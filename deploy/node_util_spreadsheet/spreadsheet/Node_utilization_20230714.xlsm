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4E080B3D-1DBE-4597-A73F-D00536C76E70}" xr6:coauthVersionLast="47" xr6:coauthVersionMax="47" xr10:uidLastSave="{00000000-0000-0000-0000-000000000000}"/>
  <bookViews>
    <workbookView xWindow="-120" yWindow="-120" windowWidth="29040" windowHeight="15720" activeTab="2"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'node-raw'!$A$1:$J$5</definedName>
    <definedName name="ExternalData_3" localSheetId="4" hidden="1">'deployment-raw'!$A$1:$P$51</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7" roundtripDataSignature="AMtx7mgui3ahraFjMZuGL135K9JftOaw/g=="/>
    </ext>
  </extLst>
</workbook>
</file>

<file path=xl/calcChain.xml><?xml version="1.0" encoding="utf-8"?>
<calcChain xmlns="http://schemas.openxmlformats.org/spreadsheetml/2006/main">
  <c r="M1002" i="2" l="1"/>
  <c r="L1002" i="2"/>
  <c r="M1001" i="2"/>
  <c r="L1001" i="2"/>
  <c r="M1000" i="2"/>
  <c r="L1000" i="2"/>
  <c r="M999" i="2"/>
  <c r="L999" i="2"/>
  <c r="M998" i="2"/>
  <c r="L998" i="2"/>
  <c r="M997" i="2"/>
  <c r="L997" i="2"/>
  <c r="M996" i="2"/>
  <c r="L996" i="2"/>
  <c r="M995" i="2"/>
  <c r="L995" i="2"/>
  <c r="M994" i="2"/>
  <c r="L994" i="2"/>
  <c r="M993" i="2"/>
  <c r="L993" i="2"/>
  <c r="M992" i="2"/>
  <c r="L992" i="2"/>
  <c r="M991" i="2"/>
  <c r="L991" i="2"/>
  <c r="M990" i="2"/>
  <c r="L990" i="2"/>
  <c r="M989" i="2"/>
  <c r="L989" i="2"/>
  <c r="M988" i="2"/>
  <c r="L988" i="2"/>
  <c r="M987" i="2"/>
  <c r="L987" i="2"/>
  <c r="M986" i="2"/>
  <c r="L986" i="2"/>
  <c r="M985" i="2"/>
  <c r="L985" i="2"/>
  <c r="M984" i="2"/>
  <c r="L984" i="2"/>
  <c r="M983" i="2"/>
  <c r="L983" i="2"/>
  <c r="M982" i="2"/>
  <c r="L982" i="2"/>
  <c r="M981" i="2"/>
  <c r="L981" i="2"/>
  <c r="M980" i="2"/>
  <c r="L980" i="2"/>
  <c r="M979" i="2"/>
  <c r="L979" i="2"/>
  <c r="M978" i="2"/>
  <c r="L978" i="2"/>
  <c r="M977" i="2"/>
  <c r="L977" i="2"/>
  <c r="M976" i="2"/>
  <c r="L976" i="2"/>
  <c r="M975" i="2"/>
  <c r="L975" i="2"/>
  <c r="M974" i="2"/>
  <c r="L974" i="2"/>
  <c r="M973" i="2"/>
  <c r="L973" i="2"/>
  <c r="M972" i="2"/>
  <c r="L972" i="2"/>
  <c r="M971" i="2"/>
  <c r="L971" i="2"/>
  <c r="M970" i="2"/>
  <c r="L970" i="2"/>
  <c r="M969" i="2"/>
  <c r="L969" i="2"/>
  <c r="M968" i="2"/>
  <c r="L968" i="2"/>
  <c r="M967" i="2"/>
  <c r="L967" i="2"/>
  <c r="M966" i="2"/>
  <c r="L966" i="2"/>
  <c r="M965" i="2"/>
  <c r="L965" i="2"/>
  <c r="M964" i="2"/>
  <c r="L964" i="2"/>
  <c r="M963" i="2"/>
  <c r="L963" i="2"/>
  <c r="M962" i="2"/>
  <c r="L962" i="2"/>
  <c r="M961" i="2"/>
  <c r="L961" i="2"/>
  <c r="M960" i="2"/>
  <c r="L960" i="2"/>
  <c r="M959" i="2"/>
  <c r="L959" i="2"/>
  <c r="M958" i="2"/>
  <c r="L958" i="2"/>
  <c r="M957" i="2"/>
  <c r="L957" i="2"/>
  <c r="M956" i="2"/>
  <c r="L956" i="2"/>
  <c r="M955" i="2"/>
  <c r="L955" i="2"/>
  <c r="M954" i="2"/>
  <c r="L954" i="2"/>
  <c r="M953" i="2"/>
  <c r="L953" i="2"/>
  <c r="M952" i="2"/>
  <c r="L952" i="2"/>
  <c r="M951" i="2"/>
  <c r="L951" i="2"/>
  <c r="M950" i="2"/>
  <c r="L950" i="2"/>
  <c r="M949" i="2"/>
  <c r="L949" i="2"/>
  <c r="M948" i="2"/>
  <c r="L948" i="2"/>
  <c r="M947" i="2"/>
  <c r="L947" i="2"/>
  <c r="M946" i="2"/>
  <c r="L946" i="2"/>
  <c r="M945" i="2"/>
  <c r="L945" i="2"/>
  <c r="M944" i="2"/>
  <c r="L944" i="2"/>
  <c r="M943" i="2"/>
  <c r="L943" i="2"/>
  <c r="M942" i="2"/>
  <c r="L942" i="2"/>
  <c r="M941" i="2"/>
  <c r="L941" i="2"/>
  <c r="M940" i="2"/>
  <c r="L940" i="2"/>
  <c r="M939" i="2"/>
  <c r="L939" i="2"/>
  <c r="M938" i="2"/>
  <c r="L938" i="2"/>
  <c r="M937" i="2"/>
  <c r="L937" i="2"/>
  <c r="M936" i="2"/>
  <c r="L936" i="2"/>
  <c r="M935" i="2"/>
  <c r="L935" i="2"/>
  <c r="M934" i="2"/>
  <c r="L934" i="2"/>
  <c r="M933" i="2"/>
  <c r="L933" i="2"/>
  <c r="M932" i="2"/>
  <c r="L932" i="2"/>
  <c r="M931" i="2"/>
  <c r="L931" i="2"/>
  <c r="M930" i="2"/>
  <c r="L930" i="2"/>
  <c r="M929" i="2"/>
  <c r="L929" i="2"/>
  <c r="M928" i="2"/>
  <c r="L928" i="2"/>
  <c r="M927" i="2"/>
  <c r="L927" i="2"/>
  <c r="M926" i="2"/>
  <c r="L926" i="2"/>
  <c r="M925" i="2"/>
  <c r="L925" i="2"/>
  <c r="M924" i="2"/>
  <c r="L924" i="2"/>
  <c r="M923" i="2"/>
  <c r="L923" i="2"/>
  <c r="M922" i="2"/>
  <c r="L922" i="2"/>
  <c r="M921" i="2"/>
  <c r="L921" i="2"/>
  <c r="M920" i="2"/>
  <c r="L920" i="2"/>
  <c r="M919" i="2"/>
  <c r="L919" i="2"/>
  <c r="M918" i="2"/>
  <c r="L918" i="2"/>
  <c r="M917" i="2"/>
  <c r="L917" i="2"/>
  <c r="M916" i="2"/>
  <c r="L916" i="2"/>
  <c r="M915" i="2"/>
  <c r="L915" i="2"/>
  <c r="M914" i="2"/>
  <c r="L914" i="2"/>
  <c r="M913" i="2"/>
  <c r="L913" i="2"/>
  <c r="M912" i="2"/>
  <c r="L912" i="2"/>
  <c r="M911" i="2"/>
  <c r="L911" i="2"/>
  <c r="M910" i="2"/>
  <c r="L910" i="2"/>
  <c r="M909" i="2"/>
  <c r="L909" i="2"/>
  <c r="M908" i="2"/>
  <c r="L908" i="2"/>
  <c r="M907" i="2"/>
  <c r="L907" i="2"/>
  <c r="M906" i="2"/>
  <c r="L906" i="2"/>
  <c r="M905" i="2"/>
  <c r="L905" i="2"/>
  <c r="M904" i="2"/>
  <c r="L904" i="2"/>
  <c r="M903" i="2"/>
  <c r="L903" i="2"/>
  <c r="M902" i="2"/>
  <c r="L902" i="2"/>
  <c r="M901" i="2"/>
  <c r="L901" i="2"/>
  <c r="M900" i="2"/>
  <c r="L900" i="2"/>
  <c r="M899" i="2"/>
  <c r="L899" i="2"/>
  <c r="M898" i="2"/>
  <c r="L898" i="2"/>
  <c r="M897" i="2"/>
  <c r="L897" i="2"/>
  <c r="M896" i="2"/>
  <c r="L896" i="2"/>
  <c r="M895" i="2"/>
  <c r="L895" i="2"/>
  <c r="M894" i="2"/>
  <c r="L894" i="2"/>
  <c r="M893" i="2"/>
  <c r="L893" i="2"/>
  <c r="M892" i="2"/>
  <c r="L892" i="2"/>
  <c r="M891" i="2"/>
  <c r="L891" i="2"/>
  <c r="M890" i="2"/>
  <c r="L890" i="2"/>
  <c r="M889" i="2"/>
  <c r="L889" i="2"/>
  <c r="M888" i="2"/>
  <c r="L888" i="2"/>
  <c r="M887" i="2"/>
  <c r="L887" i="2"/>
  <c r="M886" i="2"/>
  <c r="L886" i="2"/>
  <c r="M885" i="2"/>
  <c r="L885" i="2"/>
  <c r="M884" i="2"/>
  <c r="L884" i="2"/>
  <c r="M883" i="2"/>
  <c r="L883" i="2"/>
  <c r="M882" i="2"/>
  <c r="L882" i="2"/>
  <c r="M881" i="2"/>
  <c r="L881" i="2"/>
  <c r="M880" i="2"/>
  <c r="L880" i="2"/>
  <c r="M879" i="2"/>
  <c r="L879" i="2"/>
  <c r="M878" i="2"/>
  <c r="L878" i="2"/>
  <c r="M877" i="2"/>
  <c r="L877" i="2"/>
  <c r="M876" i="2"/>
  <c r="L876" i="2"/>
  <c r="M875" i="2"/>
  <c r="L875" i="2"/>
  <c r="M874" i="2"/>
  <c r="L874" i="2"/>
  <c r="M873" i="2"/>
  <c r="L873" i="2"/>
  <c r="M872" i="2"/>
  <c r="L872" i="2"/>
  <c r="M871" i="2"/>
  <c r="L871" i="2"/>
  <c r="M870" i="2"/>
  <c r="L870" i="2"/>
  <c r="M869" i="2"/>
  <c r="L869" i="2"/>
  <c r="M868" i="2"/>
  <c r="L868" i="2"/>
  <c r="M867" i="2"/>
  <c r="L867" i="2"/>
  <c r="M866" i="2"/>
  <c r="L866" i="2"/>
  <c r="M865" i="2"/>
  <c r="L865" i="2"/>
  <c r="M864" i="2"/>
  <c r="L864" i="2"/>
  <c r="M863" i="2"/>
  <c r="L863" i="2"/>
  <c r="M862" i="2"/>
  <c r="L862" i="2"/>
  <c r="M861" i="2"/>
  <c r="L861" i="2"/>
  <c r="M860" i="2"/>
  <c r="L860" i="2"/>
  <c r="M859" i="2"/>
  <c r="L859" i="2"/>
  <c r="M858" i="2"/>
  <c r="L858" i="2"/>
  <c r="M857" i="2"/>
  <c r="L857" i="2"/>
  <c r="M856" i="2"/>
  <c r="L856" i="2"/>
  <c r="M855" i="2"/>
  <c r="L855" i="2"/>
  <c r="M854" i="2"/>
  <c r="L854" i="2"/>
  <c r="M853" i="2"/>
  <c r="L853" i="2"/>
  <c r="M852" i="2"/>
  <c r="L852" i="2"/>
  <c r="M851" i="2"/>
  <c r="L851" i="2"/>
  <c r="M850" i="2"/>
  <c r="L850" i="2"/>
  <c r="M849" i="2"/>
  <c r="L849" i="2"/>
  <c r="M848" i="2"/>
  <c r="L848" i="2"/>
  <c r="M847" i="2"/>
  <c r="L847" i="2"/>
  <c r="M846" i="2"/>
  <c r="L846" i="2"/>
  <c r="M845" i="2"/>
  <c r="L845" i="2"/>
  <c r="M844" i="2"/>
  <c r="L844" i="2"/>
  <c r="M843" i="2"/>
  <c r="L843" i="2"/>
  <c r="M842" i="2"/>
  <c r="L842" i="2"/>
  <c r="M841" i="2"/>
  <c r="L841" i="2"/>
  <c r="M840" i="2"/>
  <c r="L840" i="2"/>
  <c r="M839" i="2"/>
  <c r="L839" i="2"/>
  <c r="M838" i="2"/>
  <c r="L838" i="2"/>
  <c r="M837" i="2"/>
  <c r="L837" i="2"/>
  <c r="M836" i="2"/>
  <c r="L836" i="2"/>
  <c r="M835" i="2"/>
  <c r="L835" i="2"/>
  <c r="M834" i="2"/>
  <c r="L834" i="2"/>
  <c r="M833" i="2"/>
  <c r="L833" i="2"/>
  <c r="M832" i="2"/>
  <c r="L832" i="2"/>
  <c r="M831" i="2"/>
  <c r="L831" i="2"/>
  <c r="M830" i="2"/>
  <c r="L830" i="2"/>
  <c r="M829" i="2"/>
  <c r="L829" i="2"/>
  <c r="M828" i="2"/>
  <c r="L828" i="2"/>
  <c r="M827" i="2"/>
  <c r="L827" i="2"/>
  <c r="M826" i="2"/>
  <c r="L826" i="2"/>
  <c r="M825" i="2"/>
  <c r="L825" i="2"/>
  <c r="M824" i="2"/>
  <c r="L824" i="2"/>
  <c r="M823" i="2"/>
  <c r="L823" i="2"/>
  <c r="M822" i="2"/>
  <c r="L822" i="2"/>
  <c r="M821" i="2"/>
  <c r="L821" i="2"/>
  <c r="M820" i="2"/>
  <c r="L820" i="2"/>
  <c r="M819" i="2"/>
  <c r="L819" i="2"/>
  <c r="M818" i="2"/>
  <c r="L818" i="2"/>
  <c r="M817" i="2"/>
  <c r="L817" i="2"/>
  <c r="M816" i="2"/>
  <c r="L816" i="2"/>
  <c r="M815" i="2"/>
  <c r="L815" i="2"/>
  <c r="M814" i="2"/>
  <c r="L814" i="2"/>
  <c r="M813" i="2"/>
  <c r="L813" i="2"/>
  <c r="M812" i="2"/>
  <c r="L812" i="2"/>
  <c r="M811" i="2"/>
  <c r="L811" i="2"/>
  <c r="M810" i="2"/>
  <c r="L810" i="2"/>
  <c r="M809" i="2"/>
  <c r="L809" i="2"/>
  <c r="M808" i="2"/>
  <c r="L808" i="2"/>
  <c r="M807" i="2"/>
  <c r="L807" i="2"/>
  <c r="M806" i="2"/>
  <c r="L806" i="2"/>
  <c r="M805" i="2"/>
  <c r="L805" i="2"/>
  <c r="M804" i="2"/>
  <c r="L804" i="2"/>
  <c r="M803" i="2"/>
  <c r="L803" i="2"/>
  <c r="M802" i="2"/>
  <c r="L802" i="2"/>
  <c r="M801" i="2"/>
  <c r="L801" i="2"/>
  <c r="M800" i="2"/>
  <c r="L800" i="2"/>
  <c r="M799" i="2"/>
  <c r="L799" i="2"/>
  <c r="M798" i="2"/>
  <c r="L798" i="2"/>
  <c r="M797" i="2"/>
  <c r="L797" i="2"/>
  <c r="M796" i="2"/>
  <c r="L796" i="2"/>
  <c r="M795" i="2"/>
  <c r="L795" i="2"/>
  <c r="M794" i="2"/>
  <c r="L794" i="2"/>
  <c r="M793" i="2"/>
  <c r="L793" i="2"/>
  <c r="M792" i="2"/>
  <c r="L792" i="2"/>
  <c r="M791" i="2"/>
  <c r="L791" i="2"/>
  <c r="M790" i="2"/>
  <c r="L790" i="2"/>
  <c r="M789" i="2"/>
  <c r="L789" i="2"/>
  <c r="M788" i="2"/>
  <c r="L788" i="2"/>
  <c r="M787" i="2"/>
  <c r="L787" i="2"/>
  <c r="M786" i="2"/>
  <c r="L786" i="2"/>
  <c r="M785" i="2"/>
  <c r="L785" i="2"/>
  <c r="M784" i="2"/>
  <c r="L784" i="2"/>
  <c r="M783" i="2"/>
  <c r="L783" i="2"/>
  <c r="M782" i="2"/>
  <c r="L782" i="2"/>
  <c r="M781" i="2"/>
  <c r="L781" i="2"/>
  <c r="M780" i="2"/>
  <c r="L780" i="2"/>
  <c r="M779" i="2"/>
  <c r="L779" i="2"/>
  <c r="M778" i="2"/>
  <c r="L778" i="2"/>
  <c r="M777" i="2"/>
  <c r="L777" i="2"/>
  <c r="M776" i="2"/>
  <c r="L776" i="2"/>
  <c r="M775" i="2"/>
  <c r="L775" i="2"/>
  <c r="M774" i="2"/>
  <c r="L774" i="2"/>
  <c r="M773" i="2"/>
  <c r="L773" i="2"/>
  <c r="M772" i="2"/>
  <c r="L772" i="2"/>
  <c r="M771" i="2"/>
  <c r="L771" i="2"/>
  <c r="M770" i="2"/>
  <c r="L770" i="2"/>
  <c r="M769" i="2"/>
  <c r="L769" i="2"/>
  <c r="M768" i="2"/>
  <c r="L768" i="2"/>
  <c r="M767" i="2"/>
  <c r="L767" i="2"/>
  <c r="M766" i="2"/>
  <c r="L766" i="2"/>
  <c r="M765" i="2"/>
  <c r="L765" i="2"/>
  <c r="M764" i="2"/>
  <c r="L764" i="2"/>
  <c r="M763" i="2"/>
  <c r="L763" i="2"/>
  <c r="M762" i="2"/>
  <c r="L762" i="2"/>
  <c r="M761" i="2"/>
  <c r="L761" i="2"/>
  <c r="M760" i="2"/>
  <c r="L760" i="2"/>
  <c r="M759" i="2"/>
  <c r="L759" i="2"/>
  <c r="M758" i="2"/>
  <c r="L758" i="2"/>
  <c r="M757" i="2"/>
  <c r="L757" i="2"/>
  <c r="M756" i="2"/>
  <c r="L756" i="2"/>
  <c r="M755" i="2"/>
  <c r="L755" i="2"/>
  <c r="M754" i="2"/>
  <c r="L754" i="2"/>
  <c r="M753" i="2"/>
  <c r="L753" i="2"/>
  <c r="M752" i="2"/>
  <c r="L752" i="2"/>
  <c r="M751" i="2"/>
  <c r="L751" i="2"/>
  <c r="M750" i="2"/>
  <c r="L750" i="2"/>
  <c r="M749" i="2"/>
  <c r="L749" i="2"/>
  <c r="M748" i="2"/>
  <c r="L748" i="2"/>
  <c r="M747" i="2"/>
  <c r="L747" i="2"/>
  <c r="M746" i="2"/>
  <c r="L746" i="2"/>
  <c r="M745" i="2"/>
  <c r="L745" i="2"/>
  <c r="M744" i="2"/>
  <c r="L744" i="2"/>
  <c r="M743" i="2"/>
  <c r="L743" i="2"/>
  <c r="M742" i="2"/>
  <c r="L742" i="2"/>
  <c r="M741" i="2"/>
  <c r="L741" i="2"/>
  <c r="M740" i="2"/>
  <c r="L740" i="2"/>
  <c r="M739" i="2"/>
  <c r="L739" i="2"/>
  <c r="M738" i="2"/>
  <c r="L738" i="2"/>
  <c r="M737" i="2"/>
  <c r="L737" i="2"/>
  <c r="M736" i="2"/>
  <c r="L736" i="2"/>
  <c r="M735" i="2"/>
  <c r="L735" i="2"/>
  <c r="M734" i="2"/>
  <c r="L734" i="2"/>
  <c r="M733" i="2"/>
  <c r="L733" i="2"/>
  <c r="M732" i="2"/>
  <c r="L732" i="2"/>
  <c r="M731" i="2"/>
  <c r="L731" i="2"/>
  <c r="M730" i="2"/>
  <c r="L730" i="2"/>
  <c r="M729" i="2"/>
  <c r="L729" i="2"/>
  <c r="M728" i="2"/>
  <c r="L728" i="2"/>
  <c r="M727" i="2"/>
  <c r="L727" i="2"/>
  <c r="M726" i="2"/>
  <c r="L726" i="2"/>
  <c r="M725" i="2"/>
  <c r="L725" i="2"/>
  <c r="M724" i="2"/>
  <c r="L724" i="2"/>
  <c r="M723" i="2"/>
  <c r="L723" i="2"/>
  <c r="M722" i="2"/>
  <c r="L722" i="2"/>
  <c r="M721" i="2"/>
  <c r="L721" i="2"/>
  <c r="M720" i="2"/>
  <c r="L720" i="2"/>
  <c r="M719" i="2"/>
  <c r="L719" i="2"/>
  <c r="M718" i="2"/>
  <c r="L718" i="2"/>
  <c r="M717" i="2"/>
  <c r="L717" i="2"/>
  <c r="M716" i="2"/>
  <c r="L716" i="2"/>
  <c r="M715" i="2"/>
  <c r="L715" i="2"/>
  <c r="M714" i="2"/>
  <c r="L714" i="2"/>
  <c r="M713" i="2"/>
  <c r="L713" i="2"/>
  <c r="M712" i="2"/>
  <c r="L712" i="2"/>
  <c r="M711" i="2"/>
  <c r="L711" i="2"/>
  <c r="M710" i="2"/>
  <c r="L710" i="2"/>
  <c r="M709" i="2"/>
  <c r="L709" i="2"/>
  <c r="M708" i="2"/>
  <c r="L708" i="2"/>
  <c r="M707" i="2"/>
  <c r="L707" i="2"/>
  <c r="M706" i="2"/>
  <c r="L706" i="2"/>
  <c r="M705" i="2"/>
  <c r="L705" i="2"/>
  <c r="M704" i="2"/>
  <c r="L704" i="2"/>
  <c r="M703" i="2"/>
  <c r="L703" i="2"/>
  <c r="M702" i="2"/>
  <c r="L702" i="2"/>
  <c r="M701" i="2"/>
  <c r="L701" i="2"/>
  <c r="M700" i="2"/>
  <c r="L700" i="2"/>
  <c r="M699" i="2"/>
  <c r="L699" i="2"/>
  <c r="M698" i="2"/>
  <c r="L698" i="2"/>
  <c r="M697" i="2"/>
  <c r="L697" i="2"/>
  <c r="M696" i="2"/>
  <c r="L696" i="2"/>
  <c r="M695" i="2"/>
  <c r="L695" i="2"/>
  <c r="M694" i="2"/>
  <c r="L694" i="2"/>
  <c r="M693" i="2"/>
  <c r="L693" i="2"/>
  <c r="M692" i="2"/>
  <c r="L692" i="2"/>
  <c r="M691" i="2"/>
  <c r="L691" i="2"/>
  <c r="M690" i="2"/>
  <c r="L690" i="2"/>
  <c r="M689" i="2"/>
  <c r="L689" i="2"/>
  <c r="M688" i="2"/>
  <c r="L688" i="2"/>
  <c r="M687" i="2"/>
  <c r="L687" i="2"/>
  <c r="M686" i="2"/>
  <c r="L686" i="2"/>
  <c r="M685" i="2"/>
  <c r="L685" i="2"/>
  <c r="M684" i="2"/>
  <c r="L684" i="2"/>
  <c r="M683" i="2"/>
  <c r="L683" i="2"/>
  <c r="M682" i="2"/>
  <c r="L682" i="2"/>
  <c r="M681" i="2"/>
  <c r="L681" i="2"/>
  <c r="M680" i="2"/>
  <c r="L680" i="2"/>
  <c r="M679" i="2"/>
  <c r="L679" i="2"/>
  <c r="M678" i="2"/>
  <c r="L678" i="2"/>
  <c r="M677" i="2"/>
  <c r="L677" i="2"/>
  <c r="M676" i="2"/>
  <c r="L676" i="2"/>
  <c r="M675" i="2"/>
  <c r="L675" i="2"/>
  <c r="M674" i="2"/>
  <c r="L674" i="2"/>
  <c r="M673" i="2"/>
  <c r="L673" i="2"/>
  <c r="M672" i="2"/>
  <c r="L672" i="2"/>
  <c r="M671" i="2"/>
  <c r="L671" i="2"/>
  <c r="M670" i="2"/>
  <c r="L670" i="2"/>
  <c r="M669" i="2"/>
  <c r="L669" i="2"/>
  <c r="M668" i="2"/>
  <c r="L668" i="2"/>
  <c r="M667" i="2"/>
  <c r="L667" i="2"/>
  <c r="M666" i="2"/>
  <c r="L666" i="2"/>
  <c r="M665" i="2"/>
  <c r="L665" i="2"/>
  <c r="M664" i="2"/>
  <c r="L664" i="2"/>
  <c r="M663" i="2"/>
  <c r="L663" i="2"/>
  <c r="M662" i="2"/>
  <c r="L662" i="2"/>
  <c r="M661" i="2"/>
  <c r="L661" i="2"/>
  <c r="M660" i="2"/>
  <c r="L660" i="2"/>
  <c r="M659" i="2"/>
  <c r="L659" i="2"/>
  <c r="M658" i="2"/>
  <c r="L658" i="2"/>
  <c r="M657" i="2"/>
  <c r="L657" i="2"/>
  <c r="M656" i="2"/>
  <c r="L656" i="2"/>
  <c r="M655" i="2"/>
  <c r="L655" i="2"/>
  <c r="M654" i="2"/>
  <c r="L654" i="2"/>
  <c r="M653" i="2"/>
  <c r="L653" i="2"/>
  <c r="M652" i="2"/>
  <c r="L652" i="2"/>
  <c r="M651" i="2"/>
  <c r="L651" i="2"/>
  <c r="M650" i="2"/>
  <c r="L650" i="2"/>
  <c r="M649" i="2"/>
  <c r="L649" i="2"/>
  <c r="M648" i="2"/>
  <c r="L648" i="2"/>
  <c r="M647" i="2"/>
  <c r="L647" i="2"/>
  <c r="M646" i="2"/>
  <c r="L646" i="2"/>
  <c r="M645" i="2"/>
  <c r="L645" i="2"/>
  <c r="M644" i="2"/>
  <c r="L644" i="2"/>
  <c r="M643" i="2"/>
  <c r="L643" i="2"/>
  <c r="M642" i="2"/>
  <c r="L642" i="2"/>
  <c r="M641" i="2"/>
  <c r="L641" i="2"/>
  <c r="M640" i="2"/>
  <c r="L640" i="2"/>
  <c r="M639" i="2"/>
  <c r="L639" i="2"/>
  <c r="M638" i="2"/>
  <c r="L638" i="2"/>
  <c r="M637" i="2"/>
  <c r="L637" i="2"/>
  <c r="M636" i="2"/>
  <c r="L636" i="2"/>
  <c r="M635" i="2"/>
  <c r="L635" i="2"/>
  <c r="M634" i="2"/>
  <c r="L634" i="2"/>
  <c r="M633" i="2"/>
  <c r="L633" i="2"/>
  <c r="M632" i="2"/>
  <c r="L632" i="2"/>
  <c r="M631" i="2"/>
  <c r="L631" i="2"/>
  <c r="M630" i="2"/>
  <c r="L630" i="2"/>
  <c r="M629" i="2"/>
  <c r="L629" i="2"/>
  <c r="M628" i="2"/>
  <c r="L628" i="2"/>
  <c r="M627" i="2"/>
  <c r="L627" i="2"/>
  <c r="M626" i="2"/>
  <c r="L626" i="2"/>
  <c r="M625" i="2"/>
  <c r="L625" i="2"/>
  <c r="M624" i="2"/>
  <c r="L624" i="2"/>
  <c r="M623" i="2"/>
  <c r="L623" i="2"/>
  <c r="M622" i="2"/>
  <c r="L622" i="2"/>
  <c r="M621" i="2"/>
  <c r="L621" i="2"/>
  <c r="M620" i="2"/>
  <c r="L620" i="2"/>
  <c r="M619" i="2"/>
  <c r="L619" i="2"/>
  <c r="M618" i="2"/>
  <c r="L618" i="2"/>
  <c r="M617" i="2"/>
  <c r="L617" i="2"/>
  <c r="M616" i="2"/>
  <c r="L616" i="2"/>
  <c r="M615" i="2"/>
  <c r="L615" i="2"/>
  <c r="M614" i="2"/>
  <c r="L614" i="2"/>
  <c r="M613" i="2"/>
  <c r="L613" i="2"/>
  <c r="M612" i="2"/>
  <c r="L612" i="2"/>
  <c r="M611" i="2"/>
  <c r="L611" i="2"/>
  <c r="M610" i="2"/>
  <c r="L610" i="2"/>
  <c r="M609" i="2"/>
  <c r="L609" i="2"/>
  <c r="M608" i="2"/>
  <c r="L608" i="2"/>
  <c r="M607" i="2"/>
  <c r="L607" i="2"/>
  <c r="M606" i="2"/>
  <c r="L606" i="2"/>
  <c r="M605" i="2"/>
  <c r="L605" i="2"/>
  <c r="M604" i="2"/>
  <c r="L604" i="2"/>
  <c r="M603" i="2"/>
  <c r="L603" i="2"/>
  <c r="M602" i="2"/>
  <c r="L602" i="2"/>
  <c r="M601" i="2"/>
  <c r="L601" i="2"/>
  <c r="M600" i="2"/>
  <c r="L600" i="2"/>
  <c r="M599" i="2"/>
  <c r="L599" i="2"/>
  <c r="M598" i="2"/>
  <c r="L598" i="2"/>
  <c r="M597" i="2"/>
  <c r="L597" i="2"/>
  <c r="M596" i="2"/>
  <c r="L596" i="2"/>
  <c r="M595" i="2"/>
  <c r="L595" i="2"/>
  <c r="M594" i="2"/>
  <c r="L594" i="2"/>
  <c r="M593" i="2"/>
  <c r="L593" i="2"/>
  <c r="M592" i="2"/>
  <c r="L592" i="2"/>
  <c r="M591" i="2"/>
  <c r="L591" i="2"/>
  <c r="M590" i="2"/>
  <c r="L590" i="2"/>
  <c r="M589" i="2"/>
  <c r="L589" i="2"/>
  <c r="M588" i="2"/>
  <c r="L588" i="2"/>
  <c r="M587" i="2"/>
  <c r="L587" i="2"/>
  <c r="M586" i="2"/>
  <c r="L586" i="2"/>
  <c r="M585" i="2"/>
  <c r="L585" i="2"/>
  <c r="M584" i="2"/>
  <c r="L584" i="2"/>
  <c r="M583" i="2"/>
  <c r="L583" i="2"/>
  <c r="M582" i="2"/>
  <c r="L582" i="2"/>
  <c r="M581" i="2"/>
  <c r="L581" i="2"/>
  <c r="M580" i="2"/>
  <c r="L580" i="2"/>
  <c r="M579" i="2"/>
  <c r="L579" i="2"/>
  <c r="M578" i="2"/>
  <c r="L578" i="2"/>
  <c r="M577" i="2"/>
  <c r="L577" i="2"/>
  <c r="M576" i="2"/>
  <c r="L576" i="2"/>
  <c r="M575" i="2"/>
  <c r="L575" i="2"/>
  <c r="M574" i="2"/>
  <c r="L574" i="2"/>
  <c r="M573" i="2"/>
  <c r="L573" i="2"/>
  <c r="M572" i="2"/>
  <c r="L572" i="2"/>
  <c r="M571" i="2"/>
  <c r="L571" i="2"/>
  <c r="M570" i="2"/>
  <c r="L570" i="2"/>
  <c r="M569" i="2"/>
  <c r="L569" i="2"/>
  <c r="M568" i="2"/>
  <c r="L568" i="2"/>
  <c r="M567" i="2"/>
  <c r="L567" i="2"/>
  <c r="M566" i="2"/>
  <c r="L566" i="2"/>
  <c r="M565" i="2"/>
  <c r="L565" i="2"/>
  <c r="M564" i="2"/>
  <c r="L564" i="2"/>
  <c r="M563" i="2"/>
  <c r="L563" i="2"/>
  <c r="M562" i="2"/>
  <c r="L562" i="2"/>
  <c r="M561" i="2"/>
  <c r="L561" i="2"/>
  <c r="M560" i="2"/>
  <c r="L560" i="2"/>
  <c r="M559" i="2"/>
  <c r="L559" i="2"/>
  <c r="M558" i="2"/>
  <c r="L558" i="2"/>
  <c r="M557" i="2"/>
  <c r="L557" i="2"/>
  <c r="M556" i="2"/>
  <c r="L556" i="2"/>
  <c r="M555" i="2"/>
  <c r="L555" i="2"/>
  <c r="M554" i="2"/>
  <c r="L554" i="2"/>
  <c r="M553" i="2"/>
  <c r="L553" i="2"/>
  <c r="M552" i="2"/>
  <c r="L552" i="2"/>
  <c r="M551" i="2"/>
  <c r="L551" i="2"/>
  <c r="M550" i="2"/>
  <c r="L550" i="2"/>
  <c r="M549" i="2"/>
  <c r="L549" i="2"/>
  <c r="M548" i="2"/>
  <c r="L548" i="2"/>
  <c r="M547" i="2"/>
  <c r="L547" i="2"/>
  <c r="M546" i="2"/>
  <c r="L546" i="2"/>
  <c r="M545" i="2"/>
  <c r="L545" i="2"/>
  <c r="M544" i="2"/>
  <c r="L544" i="2"/>
  <c r="M543" i="2"/>
  <c r="L543" i="2"/>
  <c r="M542" i="2"/>
  <c r="L542" i="2"/>
  <c r="M541" i="2"/>
  <c r="L541" i="2"/>
  <c r="M540" i="2"/>
  <c r="L540" i="2"/>
  <c r="M539" i="2"/>
  <c r="L539" i="2"/>
  <c r="M538" i="2"/>
  <c r="L538" i="2"/>
  <c r="M537" i="2"/>
  <c r="L537" i="2"/>
  <c r="M536" i="2"/>
  <c r="L536" i="2"/>
  <c r="M535" i="2"/>
  <c r="L535" i="2"/>
  <c r="M534" i="2"/>
  <c r="L534" i="2"/>
  <c r="M533" i="2"/>
  <c r="L533" i="2"/>
  <c r="M532" i="2"/>
  <c r="L532" i="2"/>
  <c r="M531" i="2"/>
  <c r="L531" i="2"/>
  <c r="M530" i="2"/>
  <c r="L530" i="2"/>
  <c r="M529" i="2"/>
  <c r="L529" i="2"/>
  <c r="M528" i="2"/>
  <c r="L528" i="2"/>
  <c r="M527" i="2"/>
  <c r="L527" i="2"/>
  <c r="M526" i="2"/>
  <c r="L526" i="2"/>
  <c r="M525" i="2"/>
  <c r="L525" i="2"/>
  <c r="M524" i="2"/>
  <c r="L524" i="2"/>
  <c r="M523" i="2"/>
  <c r="L523" i="2"/>
  <c r="M522" i="2"/>
  <c r="L522" i="2"/>
  <c r="M521" i="2"/>
  <c r="L521" i="2"/>
  <c r="M520" i="2"/>
  <c r="L520" i="2"/>
  <c r="M519" i="2"/>
  <c r="L519" i="2"/>
  <c r="M518" i="2"/>
  <c r="L518" i="2"/>
  <c r="M517" i="2"/>
  <c r="L517" i="2"/>
  <c r="M516" i="2"/>
  <c r="L516" i="2"/>
  <c r="M515" i="2"/>
  <c r="L515" i="2"/>
  <c r="M514" i="2"/>
  <c r="L514" i="2"/>
  <c r="M513" i="2"/>
  <c r="L513" i="2"/>
  <c r="M512" i="2"/>
  <c r="L512" i="2"/>
  <c r="M511" i="2"/>
  <c r="L511" i="2"/>
  <c r="M510" i="2"/>
  <c r="L510" i="2"/>
  <c r="M509" i="2"/>
  <c r="L509" i="2"/>
  <c r="M508" i="2"/>
  <c r="L508" i="2"/>
  <c r="M507" i="2"/>
  <c r="L507" i="2"/>
  <c r="M506" i="2"/>
  <c r="L506" i="2"/>
  <c r="M505" i="2"/>
  <c r="L505" i="2"/>
  <c r="M504" i="2"/>
  <c r="L504" i="2"/>
  <c r="M503" i="2"/>
  <c r="L503" i="2"/>
  <c r="M502" i="2"/>
  <c r="L502" i="2"/>
  <c r="M501" i="2"/>
  <c r="L501" i="2"/>
  <c r="M500" i="2"/>
  <c r="L500" i="2"/>
  <c r="M499" i="2"/>
  <c r="L499" i="2"/>
  <c r="M498" i="2"/>
  <c r="L498" i="2"/>
  <c r="M497" i="2"/>
  <c r="L497" i="2"/>
  <c r="M496" i="2"/>
  <c r="L496" i="2"/>
  <c r="M495" i="2"/>
  <c r="L495" i="2"/>
  <c r="M494" i="2"/>
  <c r="L494" i="2"/>
  <c r="M493" i="2"/>
  <c r="L493" i="2"/>
  <c r="M492" i="2"/>
  <c r="L492" i="2"/>
  <c r="M491" i="2"/>
  <c r="L491" i="2"/>
  <c r="M490" i="2"/>
  <c r="L490" i="2"/>
  <c r="M489" i="2"/>
  <c r="L489" i="2"/>
  <c r="M488" i="2"/>
  <c r="L488" i="2"/>
  <c r="M487" i="2"/>
  <c r="L487" i="2"/>
  <c r="M486" i="2"/>
  <c r="L486" i="2"/>
  <c r="M485" i="2"/>
  <c r="L485" i="2"/>
  <c r="M484" i="2"/>
  <c r="L484" i="2"/>
  <c r="M483" i="2"/>
  <c r="L483" i="2"/>
  <c r="M482" i="2"/>
  <c r="L482" i="2"/>
  <c r="M481" i="2"/>
  <c r="L481" i="2"/>
  <c r="M480" i="2"/>
  <c r="L480" i="2"/>
  <c r="M479" i="2"/>
  <c r="L479" i="2"/>
  <c r="M478" i="2"/>
  <c r="L478" i="2"/>
  <c r="M477" i="2"/>
  <c r="L477" i="2"/>
  <c r="M476" i="2"/>
  <c r="L476" i="2"/>
  <c r="M475" i="2"/>
  <c r="L475" i="2"/>
  <c r="M474" i="2"/>
  <c r="L474" i="2"/>
  <c r="M473" i="2"/>
  <c r="L473" i="2"/>
  <c r="M472" i="2"/>
  <c r="L472" i="2"/>
  <c r="M471" i="2"/>
  <c r="L471" i="2"/>
  <c r="M470" i="2"/>
  <c r="L470" i="2"/>
  <c r="M469" i="2"/>
  <c r="L469" i="2"/>
  <c r="M468" i="2"/>
  <c r="L468" i="2"/>
  <c r="M467" i="2"/>
  <c r="L467" i="2"/>
  <c r="M466" i="2"/>
  <c r="L466" i="2"/>
  <c r="M465" i="2"/>
  <c r="L465" i="2"/>
  <c r="M464" i="2"/>
  <c r="L464" i="2"/>
  <c r="M463" i="2"/>
  <c r="L463" i="2"/>
  <c r="M462" i="2"/>
  <c r="L462" i="2"/>
  <c r="M461" i="2"/>
  <c r="L461" i="2"/>
  <c r="M460" i="2"/>
  <c r="L460" i="2"/>
  <c r="M459" i="2"/>
  <c r="L459" i="2"/>
  <c r="M458" i="2"/>
  <c r="L458" i="2"/>
  <c r="M457" i="2"/>
  <c r="L457" i="2"/>
  <c r="M456" i="2"/>
  <c r="L456" i="2"/>
  <c r="M455" i="2"/>
  <c r="L455" i="2"/>
  <c r="M454" i="2"/>
  <c r="L454" i="2"/>
  <c r="M453" i="2"/>
  <c r="L453" i="2"/>
  <c r="M452" i="2"/>
  <c r="L452" i="2"/>
  <c r="M451" i="2"/>
  <c r="L451" i="2"/>
  <c r="M450" i="2"/>
  <c r="L450" i="2"/>
  <c r="M449" i="2"/>
  <c r="L449" i="2"/>
  <c r="M448" i="2"/>
  <c r="L448" i="2"/>
  <c r="M447" i="2"/>
  <c r="L447" i="2"/>
  <c r="M446" i="2"/>
  <c r="L446" i="2"/>
  <c r="M445" i="2"/>
  <c r="L445" i="2"/>
  <c r="M444" i="2"/>
  <c r="L444" i="2"/>
  <c r="M443" i="2"/>
  <c r="L443" i="2"/>
  <c r="M442" i="2"/>
  <c r="L442" i="2"/>
  <c r="M441" i="2"/>
  <c r="L441" i="2"/>
  <c r="M440" i="2"/>
  <c r="L440" i="2"/>
  <c r="M439" i="2"/>
  <c r="L439" i="2"/>
  <c r="M438" i="2"/>
  <c r="L438" i="2"/>
  <c r="M437" i="2"/>
  <c r="L437" i="2"/>
  <c r="M436" i="2"/>
  <c r="L436" i="2"/>
  <c r="M435" i="2"/>
  <c r="L435" i="2"/>
  <c r="M434" i="2"/>
  <c r="L434" i="2"/>
  <c r="M433" i="2"/>
  <c r="L433" i="2"/>
  <c r="M432" i="2"/>
  <c r="L432" i="2"/>
  <c r="M431" i="2"/>
  <c r="L431" i="2"/>
  <c r="M430" i="2"/>
  <c r="L430" i="2"/>
  <c r="M429" i="2"/>
  <c r="L429" i="2"/>
  <c r="M428" i="2"/>
  <c r="L428" i="2"/>
  <c r="M427" i="2"/>
  <c r="L427" i="2"/>
  <c r="M426" i="2"/>
  <c r="L426" i="2"/>
  <c r="M425" i="2"/>
  <c r="L425" i="2"/>
  <c r="M424" i="2"/>
  <c r="L424" i="2"/>
  <c r="M423" i="2"/>
  <c r="L423" i="2"/>
  <c r="M422" i="2"/>
  <c r="L422" i="2"/>
  <c r="M421" i="2"/>
  <c r="L421" i="2"/>
  <c r="M420" i="2"/>
  <c r="L420" i="2"/>
  <c r="M419" i="2"/>
  <c r="L419" i="2"/>
  <c r="M418" i="2"/>
  <c r="L418" i="2"/>
  <c r="M417" i="2"/>
  <c r="L417" i="2"/>
  <c r="M416" i="2"/>
  <c r="L416" i="2"/>
  <c r="M415" i="2"/>
  <c r="L415" i="2"/>
  <c r="M414" i="2"/>
  <c r="L414" i="2"/>
  <c r="M413" i="2"/>
  <c r="L413" i="2"/>
  <c r="M412" i="2"/>
  <c r="L412" i="2"/>
  <c r="M411" i="2"/>
  <c r="L411" i="2"/>
  <c r="M410" i="2"/>
  <c r="L410" i="2"/>
  <c r="M409" i="2"/>
  <c r="L409" i="2"/>
  <c r="M408" i="2"/>
  <c r="L408" i="2"/>
  <c r="M407" i="2"/>
  <c r="L407" i="2"/>
  <c r="M406" i="2"/>
  <c r="L406" i="2"/>
  <c r="M405" i="2"/>
  <c r="L405" i="2"/>
  <c r="M404" i="2"/>
  <c r="L404" i="2"/>
  <c r="M403" i="2"/>
  <c r="L403" i="2"/>
  <c r="M402" i="2"/>
  <c r="L402" i="2"/>
  <c r="M401" i="2"/>
  <c r="L401" i="2"/>
  <c r="M400" i="2"/>
  <c r="L400" i="2"/>
  <c r="M399" i="2"/>
  <c r="L399" i="2"/>
  <c r="M398" i="2"/>
  <c r="L398" i="2"/>
  <c r="M397" i="2"/>
  <c r="L397" i="2"/>
  <c r="M396" i="2"/>
  <c r="L396" i="2"/>
  <c r="M395" i="2"/>
  <c r="L395" i="2"/>
  <c r="M394" i="2"/>
  <c r="L394" i="2"/>
  <c r="M393" i="2"/>
  <c r="L393" i="2"/>
  <c r="M392" i="2"/>
  <c r="L392" i="2"/>
  <c r="M391" i="2"/>
  <c r="L391" i="2"/>
  <c r="M390" i="2"/>
  <c r="L390" i="2"/>
  <c r="M389" i="2"/>
  <c r="L389" i="2"/>
  <c r="M388" i="2"/>
  <c r="L388" i="2"/>
  <c r="M387" i="2"/>
  <c r="L387" i="2"/>
  <c r="M386" i="2"/>
  <c r="L386" i="2"/>
  <c r="M385" i="2"/>
  <c r="L385" i="2"/>
  <c r="M384" i="2"/>
  <c r="L384" i="2"/>
  <c r="M383" i="2"/>
  <c r="L383" i="2"/>
  <c r="M382" i="2"/>
  <c r="L382" i="2"/>
  <c r="M381" i="2"/>
  <c r="L381" i="2"/>
  <c r="M380" i="2"/>
  <c r="L380" i="2"/>
  <c r="M379" i="2"/>
  <c r="L379" i="2"/>
  <c r="M378" i="2"/>
  <c r="L378" i="2"/>
  <c r="M377" i="2"/>
  <c r="L377" i="2"/>
  <c r="M376" i="2"/>
  <c r="L376" i="2"/>
  <c r="M375" i="2"/>
  <c r="L375" i="2"/>
  <c r="M374" i="2"/>
  <c r="L374" i="2"/>
  <c r="M373" i="2"/>
  <c r="L373" i="2"/>
  <c r="M372" i="2"/>
  <c r="L372" i="2"/>
  <c r="M371" i="2"/>
  <c r="L371" i="2"/>
  <c r="M370" i="2"/>
  <c r="L370" i="2"/>
  <c r="M369" i="2"/>
  <c r="L369" i="2"/>
  <c r="M368" i="2"/>
  <c r="L368" i="2"/>
  <c r="M367" i="2"/>
  <c r="L367" i="2"/>
  <c r="M366" i="2"/>
  <c r="L366" i="2"/>
  <c r="M365" i="2"/>
  <c r="L365" i="2"/>
  <c r="M364" i="2"/>
  <c r="L364" i="2"/>
  <c r="M363" i="2"/>
  <c r="L363" i="2"/>
  <c r="M362" i="2"/>
  <c r="L362" i="2"/>
  <c r="M361" i="2"/>
  <c r="L361" i="2"/>
  <c r="M360" i="2"/>
  <c r="L360" i="2"/>
  <c r="M359" i="2"/>
  <c r="L359" i="2"/>
  <c r="M358" i="2"/>
  <c r="L358" i="2"/>
  <c r="M357" i="2"/>
  <c r="L357" i="2"/>
  <c r="M356" i="2"/>
  <c r="L356" i="2"/>
  <c r="M355" i="2"/>
  <c r="L355" i="2"/>
  <c r="M354" i="2"/>
  <c r="L354" i="2"/>
  <c r="M353" i="2"/>
  <c r="L353" i="2"/>
  <c r="M352" i="2"/>
  <c r="L352" i="2"/>
  <c r="M351" i="2"/>
  <c r="L351" i="2"/>
  <c r="M350" i="2"/>
  <c r="L350" i="2"/>
  <c r="M349" i="2"/>
  <c r="L349" i="2"/>
  <c r="M348" i="2"/>
  <c r="L348" i="2"/>
  <c r="M347" i="2"/>
  <c r="L347" i="2"/>
  <c r="M346" i="2"/>
  <c r="L346" i="2"/>
  <c r="M345" i="2"/>
  <c r="L345" i="2"/>
  <c r="M344" i="2"/>
  <c r="L344" i="2"/>
  <c r="M343" i="2"/>
  <c r="L343" i="2"/>
  <c r="M342" i="2"/>
  <c r="L342" i="2"/>
  <c r="M341" i="2"/>
  <c r="L341" i="2"/>
  <c r="M340" i="2"/>
  <c r="L340" i="2"/>
  <c r="M339" i="2"/>
  <c r="L339" i="2"/>
  <c r="M338" i="2"/>
  <c r="L338" i="2"/>
  <c r="M337" i="2"/>
  <c r="L337" i="2"/>
  <c r="M336" i="2"/>
  <c r="L336" i="2"/>
  <c r="M335" i="2"/>
  <c r="L335" i="2"/>
  <c r="M334" i="2"/>
  <c r="L334" i="2"/>
  <c r="M333" i="2"/>
  <c r="L333" i="2"/>
  <c r="M332" i="2"/>
  <c r="L332" i="2"/>
  <c r="M331" i="2"/>
  <c r="L331" i="2"/>
  <c r="M330" i="2"/>
  <c r="L330" i="2"/>
  <c r="M329" i="2"/>
  <c r="L329" i="2"/>
  <c r="M328" i="2"/>
  <c r="L328" i="2"/>
  <c r="M327" i="2"/>
  <c r="L327" i="2"/>
  <c r="M326" i="2"/>
  <c r="L326" i="2"/>
  <c r="M325" i="2"/>
  <c r="L325" i="2"/>
  <c r="M324" i="2"/>
  <c r="L324" i="2"/>
  <c r="M323" i="2"/>
  <c r="L323" i="2"/>
  <c r="M322" i="2"/>
  <c r="L322" i="2"/>
  <c r="M321" i="2"/>
  <c r="L321" i="2"/>
  <c r="M320" i="2"/>
  <c r="L320" i="2"/>
  <c r="M319" i="2"/>
  <c r="L319" i="2"/>
  <c r="M318" i="2"/>
  <c r="L318" i="2"/>
  <c r="M317" i="2"/>
  <c r="L317" i="2"/>
  <c r="M316" i="2"/>
  <c r="L316" i="2"/>
  <c r="M315" i="2"/>
  <c r="L315" i="2"/>
  <c r="M314" i="2"/>
  <c r="L314" i="2"/>
  <c r="M313" i="2"/>
  <c r="L313" i="2"/>
  <c r="M312" i="2"/>
  <c r="L312" i="2"/>
  <c r="M311" i="2"/>
  <c r="L311" i="2"/>
  <c r="M310" i="2"/>
  <c r="L310" i="2"/>
  <c r="M309" i="2"/>
  <c r="L309" i="2"/>
  <c r="M308" i="2"/>
  <c r="L308" i="2"/>
  <c r="M307" i="2"/>
  <c r="L307" i="2"/>
  <c r="M306" i="2"/>
  <c r="L306" i="2"/>
  <c r="M305" i="2"/>
  <c r="L305" i="2"/>
  <c r="M304" i="2"/>
  <c r="L304" i="2"/>
  <c r="M303" i="2"/>
  <c r="L303" i="2"/>
  <c r="M302" i="2"/>
  <c r="L302" i="2"/>
  <c r="M301" i="2"/>
  <c r="L301" i="2"/>
  <c r="M300" i="2"/>
  <c r="L300" i="2"/>
  <c r="M299" i="2"/>
  <c r="L299" i="2"/>
  <c r="M298" i="2"/>
  <c r="L298" i="2"/>
  <c r="M297" i="2"/>
  <c r="L297" i="2"/>
  <c r="M296" i="2"/>
  <c r="L296" i="2"/>
  <c r="M295" i="2"/>
  <c r="L295" i="2"/>
  <c r="M294" i="2"/>
  <c r="L294" i="2"/>
  <c r="M293" i="2"/>
  <c r="L293" i="2"/>
  <c r="M292" i="2"/>
  <c r="L292" i="2"/>
  <c r="M291" i="2"/>
  <c r="L291" i="2"/>
  <c r="M290" i="2"/>
  <c r="L290" i="2"/>
  <c r="M289" i="2"/>
  <c r="L289" i="2"/>
  <c r="M288" i="2"/>
  <c r="L288" i="2"/>
  <c r="M287" i="2"/>
  <c r="L287" i="2"/>
  <c r="M286" i="2"/>
  <c r="L286" i="2"/>
  <c r="M285" i="2"/>
  <c r="L285" i="2"/>
  <c r="M284" i="2"/>
  <c r="L284" i="2"/>
  <c r="M283" i="2"/>
  <c r="L283" i="2"/>
  <c r="M282" i="2"/>
  <c r="L282" i="2"/>
  <c r="M281" i="2"/>
  <c r="L281" i="2"/>
  <c r="M280" i="2"/>
  <c r="L280" i="2"/>
  <c r="M279" i="2"/>
  <c r="L279" i="2"/>
  <c r="M278" i="2"/>
  <c r="L278" i="2"/>
  <c r="M277" i="2"/>
  <c r="L277" i="2"/>
  <c r="M276" i="2"/>
  <c r="L276" i="2"/>
  <c r="M275" i="2"/>
  <c r="L275" i="2"/>
  <c r="M274" i="2"/>
  <c r="L274" i="2"/>
  <c r="M273" i="2"/>
  <c r="L273" i="2"/>
  <c r="M272" i="2"/>
  <c r="L272" i="2"/>
  <c r="M271" i="2"/>
  <c r="L271" i="2"/>
  <c r="M270" i="2"/>
  <c r="L270" i="2"/>
  <c r="M269" i="2"/>
  <c r="L269" i="2"/>
  <c r="M268" i="2"/>
  <c r="L268" i="2"/>
  <c r="M267" i="2"/>
  <c r="L267" i="2"/>
  <c r="M266" i="2"/>
  <c r="L266" i="2"/>
  <c r="M265" i="2"/>
  <c r="L265" i="2"/>
  <c r="M264" i="2"/>
  <c r="L264" i="2"/>
  <c r="M263" i="2"/>
  <c r="L263" i="2"/>
  <c r="M262" i="2"/>
  <c r="L262" i="2"/>
  <c r="M261" i="2"/>
  <c r="L261" i="2"/>
  <c r="M260" i="2"/>
  <c r="L260" i="2"/>
  <c r="M259" i="2"/>
  <c r="L259" i="2"/>
  <c r="M258" i="2"/>
  <c r="L258" i="2"/>
  <c r="M257" i="2"/>
  <c r="L257" i="2"/>
  <c r="M256" i="2"/>
  <c r="L256" i="2"/>
  <c r="M255" i="2"/>
  <c r="L255" i="2"/>
  <c r="M254" i="2"/>
  <c r="L254" i="2"/>
  <c r="M253" i="2"/>
  <c r="L253" i="2"/>
  <c r="M252" i="2"/>
  <c r="L252" i="2"/>
  <c r="M251" i="2"/>
  <c r="L251" i="2"/>
  <c r="M250" i="2"/>
  <c r="L250" i="2"/>
  <c r="M249" i="2"/>
  <c r="L249" i="2"/>
  <c r="M248" i="2"/>
  <c r="L248" i="2"/>
  <c r="M247" i="2"/>
  <c r="L247" i="2"/>
  <c r="M246" i="2"/>
  <c r="L246" i="2"/>
  <c r="M245" i="2"/>
  <c r="L245" i="2"/>
  <c r="M244" i="2"/>
  <c r="L244" i="2"/>
  <c r="M243" i="2"/>
  <c r="L243" i="2"/>
  <c r="M242" i="2"/>
  <c r="L242" i="2"/>
  <c r="M241" i="2"/>
  <c r="L241" i="2"/>
  <c r="M240" i="2"/>
  <c r="L240" i="2"/>
  <c r="M239" i="2"/>
  <c r="L239" i="2"/>
  <c r="M238" i="2"/>
  <c r="L238" i="2"/>
  <c r="M237" i="2"/>
  <c r="L237" i="2"/>
  <c r="M236" i="2"/>
  <c r="L236" i="2"/>
  <c r="M235" i="2"/>
  <c r="L235" i="2"/>
  <c r="M234" i="2"/>
  <c r="L234" i="2"/>
  <c r="M233" i="2"/>
  <c r="L233" i="2"/>
  <c r="M232" i="2"/>
  <c r="L232" i="2"/>
  <c r="M231" i="2"/>
  <c r="L231" i="2"/>
  <c r="M230" i="2"/>
  <c r="L230" i="2"/>
  <c r="M229" i="2"/>
  <c r="L229" i="2"/>
  <c r="M228" i="2"/>
  <c r="L228" i="2"/>
  <c r="M227" i="2"/>
  <c r="L227" i="2"/>
  <c r="M226" i="2"/>
  <c r="L226" i="2"/>
  <c r="M225" i="2"/>
  <c r="L225" i="2"/>
  <c r="M224" i="2"/>
  <c r="L224" i="2"/>
  <c r="M223" i="2"/>
  <c r="L223" i="2"/>
  <c r="M222" i="2"/>
  <c r="L222" i="2"/>
  <c r="M221" i="2"/>
  <c r="L221" i="2"/>
  <c r="M220" i="2"/>
  <c r="L220" i="2"/>
  <c r="M219" i="2"/>
  <c r="L219" i="2"/>
  <c r="M218" i="2"/>
  <c r="L218" i="2"/>
  <c r="M217" i="2"/>
  <c r="L217" i="2"/>
  <c r="M216" i="2"/>
  <c r="L216" i="2"/>
  <c r="M215" i="2"/>
  <c r="L215" i="2"/>
  <c r="M214" i="2"/>
  <c r="L214" i="2"/>
  <c r="M213" i="2"/>
  <c r="L213" i="2"/>
  <c r="M212" i="2"/>
  <c r="L212" i="2"/>
  <c r="M211" i="2"/>
  <c r="L211" i="2"/>
  <c r="M210" i="2"/>
  <c r="L210" i="2"/>
  <c r="M209" i="2"/>
  <c r="L209" i="2"/>
  <c r="M208" i="2"/>
  <c r="L208" i="2"/>
  <c r="M207" i="2"/>
  <c r="L207" i="2"/>
  <c r="M206" i="2"/>
  <c r="L206" i="2"/>
  <c r="M205" i="2"/>
  <c r="L205" i="2"/>
  <c r="M204" i="2"/>
  <c r="L204" i="2"/>
  <c r="M203" i="2"/>
  <c r="L203" i="2"/>
  <c r="M202" i="2"/>
  <c r="L202" i="2"/>
  <c r="M201" i="2"/>
  <c r="L201" i="2"/>
  <c r="M200" i="2"/>
  <c r="L200" i="2"/>
  <c r="M199" i="2"/>
  <c r="L199" i="2"/>
  <c r="M198" i="2"/>
  <c r="L198" i="2"/>
  <c r="M197" i="2"/>
  <c r="L197" i="2"/>
  <c r="M196" i="2"/>
  <c r="L196" i="2"/>
  <c r="M195" i="2"/>
  <c r="L195" i="2"/>
  <c r="M194" i="2"/>
  <c r="L194" i="2"/>
  <c r="M193" i="2"/>
  <c r="L193" i="2"/>
  <c r="M192" i="2"/>
  <c r="L192" i="2"/>
  <c r="M191" i="2"/>
  <c r="L191" i="2"/>
  <c r="M190" i="2"/>
  <c r="L190" i="2"/>
  <c r="M189" i="2"/>
  <c r="L189" i="2"/>
  <c r="M188" i="2"/>
  <c r="L188" i="2"/>
  <c r="M187" i="2"/>
  <c r="L187" i="2"/>
  <c r="M186" i="2"/>
  <c r="L186" i="2"/>
  <c r="M185" i="2"/>
  <c r="L185" i="2"/>
  <c r="M184" i="2"/>
  <c r="L184" i="2"/>
  <c r="M183" i="2"/>
  <c r="L183" i="2"/>
  <c r="M182" i="2"/>
  <c r="L182" i="2"/>
  <c r="M181" i="2"/>
  <c r="L181" i="2"/>
  <c r="M180" i="2"/>
  <c r="L180" i="2"/>
  <c r="M179" i="2"/>
  <c r="L179" i="2"/>
  <c r="M178" i="2"/>
  <c r="L178" i="2"/>
  <c r="M177" i="2"/>
  <c r="L177" i="2"/>
  <c r="M176" i="2"/>
  <c r="L176" i="2"/>
  <c r="M175" i="2"/>
  <c r="L175" i="2"/>
  <c r="M174" i="2"/>
  <c r="L174" i="2"/>
  <c r="M173" i="2"/>
  <c r="L173" i="2"/>
  <c r="M172" i="2"/>
  <c r="L172" i="2"/>
  <c r="M171" i="2"/>
  <c r="L171" i="2"/>
  <c r="M170" i="2"/>
  <c r="L170" i="2"/>
  <c r="M169" i="2"/>
  <c r="L169" i="2"/>
  <c r="M168" i="2"/>
  <c r="L168" i="2"/>
  <c r="M167" i="2"/>
  <c r="L167" i="2"/>
  <c r="M166" i="2"/>
  <c r="L166" i="2"/>
  <c r="M165" i="2"/>
  <c r="L165" i="2"/>
  <c r="M164" i="2"/>
  <c r="L164" i="2"/>
  <c r="M163" i="2"/>
  <c r="L163" i="2"/>
  <c r="M162" i="2"/>
  <c r="L162" i="2"/>
  <c r="M161" i="2"/>
  <c r="L161" i="2"/>
  <c r="M160" i="2"/>
  <c r="L160" i="2"/>
  <c r="M159" i="2"/>
  <c r="L159" i="2"/>
  <c r="M158" i="2"/>
  <c r="L158" i="2"/>
  <c r="M157" i="2"/>
  <c r="L157" i="2"/>
  <c r="M156" i="2"/>
  <c r="L156" i="2"/>
  <c r="M155" i="2"/>
  <c r="L155" i="2"/>
  <c r="M154" i="2"/>
  <c r="L154" i="2"/>
  <c r="M153" i="2"/>
  <c r="L153" i="2"/>
  <c r="M152" i="2"/>
  <c r="L152" i="2"/>
  <c r="M151" i="2"/>
  <c r="L151" i="2"/>
  <c r="M150" i="2"/>
  <c r="L150" i="2"/>
  <c r="M149" i="2"/>
  <c r="L149" i="2"/>
  <c r="M148" i="2"/>
  <c r="L148" i="2"/>
  <c r="M147" i="2"/>
  <c r="L147" i="2"/>
  <c r="M146" i="2"/>
  <c r="L146" i="2"/>
  <c r="M145" i="2"/>
  <c r="L145" i="2"/>
  <c r="M144" i="2"/>
  <c r="L144" i="2"/>
  <c r="M143" i="2"/>
  <c r="L143" i="2"/>
  <c r="M142" i="2"/>
  <c r="L142" i="2"/>
  <c r="M141" i="2"/>
  <c r="L141" i="2"/>
  <c r="M140" i="2"/>
  <c r="L140" i="2"/>
  <c r="M139" i="2"/>
  <c r="L139" i="2"/>
  <c r="M138" i="2"/>
  <c r="L138" i="2"/>
  <c r="M137" i="2"/>
  <c r="L137" i="2"/>
  <c r="M136" i="2"/>
  <c r="L136" i="2"/>
  <c r="M135" i="2"/>
  <c r="L135" i="2"/>
  <c r="M134" i="2"/>
  <c r="L134" i="2"/>
  <c r="M133" i="2"/>
  <c r="L133" i="2"/>
  <c r="M132" i="2"/>
  <c r="L132" i="2"/>
  <c r="M131" i="2"/>
  <c r="L131" i="2"/>
  <c r="M130" i="2"/>
  <c r="L130" i="2"/>
  <c r="M129" i="2"/>
  <c r="L129" i="2"/>
  <c r="M128" i="2"/>
  <c r="L128" i="2"/>
  <c r="M127" i="2"/>
  <c r="L127" i="2"/>
  <c r="M126" i="2"/>
  <c r="L126" i="2"/>
  <c r="M125" i="2"/>
  <c r="L125" i="2"/>
  <c r="M124" i="2"/>
  <c r="L124" i="2"/>
  <c r="M123" i="2"/>
  <c r="L123" i="2"/>
  <c r="M122" i="2"/>
  <c r="L122" i="2"/>
  <c r="M121" i="2"/>
  <c r="L121" i="2"/>
  <c r="M120" i="2"/>
  <c r="L120" i="2"/>
  <c r="M119" i="2"/>
  <c r="L119" i="2"/>
  <c r="M118" i="2"/>
  <c r="L118" i="2"/>
  <c r="M117" i="2"/>
  <c r="L117" i="2"/>
  <c r="M116" i="2"/>
  <c r="L116" i="2"/>
  <c r="M115" i="2"/>
  <c r="L115" i="2"/>
  <c r="M114" i="2"/>
  <c r="L114" i="2"/>
  <c r="M113" i="2"/>
  <c r="L113" i="2"/>
  <c r="M112" i="2"/>
  <c r="L112" i="2"/>
  <c r="M111" i="2"/>
  <c r="L111" i="2"/>
  <c r="M110" i="2"/>
  <c r="L110" i="2"/>
  <c r="M109" i="2"/>
  <c r="L109" i="2"/>
  <c r="M108" i="2"/>
  <c r="L108" i="2"/>
  <c r="M107" i="2"/>
  <c r="L107" i="2"/>
  <c r="M106" i="2"/>
  <c r="L106" i="2"/>
  <c r="M105" i="2"/>
  <c r="L105" i="2"/>
  <c r="M104" i="2"/>
  <c r="L104" i="2"/>
  <c r="M103" i="2"/>
  <c r="L103" i="2"/>
  <c r="M102" i="2"/>
  <c r="L102" i="2"/>
  <c r="M101" i="2"/>
  <c r="L101" i="2"/>
  <c r="M100" i="2"/>
  <c r="L100" i="2"/>
  <c r="M99" i="2"/>
  <c r="L99" i="2"/>
  <c r="M98" i="2"/>
  <c r="L98" i="2"/>
  <c r="M97" i="2"/>
  <c r="L97" i="2"/>
  <c r="M96" i="2"/>
  <c r="L96" i="2"/>
  <c r="M95" i="2"/>
  <c r="L95" i="2"/>
  <c r="M94" i="2"/>
  <c r="L94" i="2"/>
  <c r="M93" i="2"/>
  <c r="L93" i="2"/>
  <c r="M92" i="2"/>
  <c r="L92" i="2"/>
  <c r="M91" i="2"/>
  <c r="L91" i="2"/>
  <c r="M90" i="2"/>
  <c r="L90" i="2"/>
  <c r="M89" i="2"/>
  <c r="L89" i="2"/>
  <c r="M88" i="2"/>
  <c r="L88" i="2"/>
  <c r="M87" i="2"/>
  <c r="L87" i="2"/>
  <c r="M86" i="2"/>
  <c r="L86" i="2"/>
  <c r="M85" i="2"/>
  <c r="L85" i="2"/>
  <c r="M84" i="2"/>
  <c r="L84" i="2"/>
  <c r="M83" i="2"/>
  <c r="L83" i="2"/>
  <c r="M82" i="2"/>
  <c r="L82" i="2"/>
  <c r="M81" i="2"/>
  <c r="L81" i="2"/>
  <c r="M80" i="2"/>
  <c r="L80" i="2"/>
  <c r="M79" i="2"/>
  <c r="L79" i="2"/>
  <c r="M78" i="2"/>
  <c r="L78" i="2"/>
  <c r="M77" i="2"/>
  <c r="L77" i="2"/>
  <c r="M76" i="2"/>
  <c r="L76" i="2"/>
  <c r="M75" i="2"/>
  <c r="L75" i="2"/>
  <c r="M74" i="2"/>
  <c r="L74" i="2"/>
  <c r="M73" i="2"/>
  <c r="L73" i="2"/>
  <c r="M72" i="2"/>
  <c r="L72" i="2"/>
  <c r="M71" i="2"/>
  <c r="L71" i="2"/>
  <c r="M70" i="2"/>
  <c r="L70" i="2"/>
  <c r="M69" i="2"/>
  <c r="L69" i="2"/>
  <c r="M68" i="2"/>
  <c r="L68" i="2"/>
  <c r="M67" i="2"/>
  <c r="L67" i="2"/>
  <c r="M66" i="2"/>
  <c r="L66" i="2"/>
  <c r="M65" i="2"/>
  <c r="L65" i="2"/>
  <c r="M64" i="2"/>
  <c r="L64" i="2"/>
  <c r="M63" i="2"/>
  <c r="L63" i="2"/>
  <c r="M62" i="2"/>
  <c r="L62" i="2"/>
  <c r="M61" i="2"/>
  <c r="L61" i="2"/>
  <c r="M60" i="2"/>
  <c r="L60" i="2"/>
  <c r="M59" i="2"/>
  <c r="L59" i="2"/>
  <c r="M58" i="2"/>
  <c r="L58" i="2"/>
  <c r="M57" i="2"/>
  <c r="L57" i="2"/>
  <c r="M56" i="2"/>
  <c r="L56" i="2"/>
  <c r="M55" i="2"/>
  <c r="L55" i="2"/>
  <c r="M54" i="2"/>
  <c r="L54" i="2"/>
  <c r="M53" i="2"/>
  <c r="L53" i="2"/>
  <c r="M52" i="2"/>
  <c r="L52" i="2"/>
  <c r="M51" i="2"/>
  <c r="L51" i="2"/>
  <c r="M50" i="2"/>
  <c r="L50" i="2"/>
  <c r="M49" i="2"/>
  <c r="L49" i="2"/>
  <c r="M48" i="2"/>
  <c r="L48" i="2"/>
  <c r="M47" i="2"/>
  <c r="L47" i="2"/>
  <c r="M46" i="2"/>
  <c r="L46" i="2"/>
  <c r="M45" i="2"/>
  <c r="L45" i="2"/>
  <c r="M44" i="2"/>
  <c r="L44" i="2"/>
  <c r="M43" i="2"/>
  <c r="L43" i="2"/>
  <c r="M42" i="2"/>
  <c r="L42" i="2"/>
  <c r="M41" i="2"/>
  <c r="L41" i="2"/>
  <c r="M40" i="2"/>
  <c r="L40" i="2"/>
  <c r="M39" i="2"/>
  <c r="L39" i="2"/>
  <c r="M38" i="2"/>
  <c r="L38" i="2"/>
  <c r="M37" i="2"/>
  <c r="L37" i="2"/>
  <c r="M36" i="2"/>
  <c r="L36" i="2"/>
  <c r="M35" i="2"/>
  <c r="L35" i="2"/>
  <c r="M34" i="2"/>
  <c r="L34" i="2"/>
  <c r="M33" i="2"/>
  <c r="L33" i="2"/>
  <c r="M32" i="2"/>
  <c r="L32" i="2"/>
  <c r="M31" i="2"/>
  <c r="L31" i="2"/>
  <c r="M30" i="2"/>
  <c r="L30" i="2"/>
  <c r="M29" i="2"/>
  <c r="L29" i="2"/>
  <c r="M28" i="2"/>
  <c r="L28" i="2"/>
  <c r="M27" i="2"/>
  <c r="L27" i="2"/>
  <c r="M26" i="2"/>
  <c r="L26" i="2"/>
  <c r="M25" i="2"/>
  <c r="L25" i="2"/>
  <c r="M24" i="2"/>
  <c r="L24" i="2"/>
  <c r="M23" i="2"/>
  <c r="L23" i="2"/>
  <c r="M22" i="2"/>
  <c r="L22" i="2"/>
  <c r="M21" i="2"/>
  <c r="L21" i="2"/>
  <c r="M20" i="2"/>
  <c r="L20" i="2"/>
  <c r="M19" i="2"/>
  <c r="L19" i="2"/>
  <c r="M18" i="2"/>
  <c r="L18" i="2"/>
  <c r="M17" i="2"/>
  <c r="L17" i="2"/>
  <c r="M16" i="2"/>
  <c r="L16" i="2"/>
  <c r="M15" i="2"/>
  <c r="L15" i="2"/>
  <c r="M14" i="2"/>
  <c r="L14" i="2"/>
  <c r="M13" i="2"/>
  <c r="L13" i="2"/>
  <c r="M12" i="2"/>
  <c r="L12" i="2"/>
  <c r="M11" i="2"/>
  <c r="L11" i="2"/>
  <c r="M10" i="2"/>
  <c r="L10" i="2"/>
  <c r="M9" i="2"/>
  <c r="L9" i="2"/>
  <c r="M8" i="2"/>
  <c r="L8" i="2"/>
  <c r="M7" i="2"/>
  <c r="L7" i="2"/>
  <c r="M6" i="2"/>
  <c r="L6" i="2"/>
  <c r="M5" i="2"/>
  <c r="L5" i="2"/>
  <c r="M4" i="2"/>
  <c r="L4" i="2"/>
  <c r="O2" i="2"/>
  <c r="N4" i="2"/>
  <c r="O1002" i="2"/>
  <c r="N1002" i="2"/>
  <c r="Q1002" i="2"/>
  <c r="P1002" i="2"/>
  <c r="O1001" i="2"/>
  <c r="N1001" i="2"/>
  <c r="Q1001" i="2"/>
  <c r="P1001" i="2"/>
  <c r="O1000" i="2"/>
  <c r="N1000" i="2"/>
  <c r="Q1000" i="2"/>
  <c r="P1000" i="2"/>
  <c r="O999" i="2"/>
  <c r="N999" i="2"/>
  <c r="Q999" i="2"/>
  <c r="P999" i="2"/>
  <c r="O998" i="2"/>
  <c r="N998" i="2"/>
  <c r="Q998" i="2"/>
  <c r="P998" i="2"/>
  <c r="O997" i="2"/>
  <c r="N997" i="2"/>
  <c r="Q997" i="2"/>
  <c r="P997" i="2"/>
  <c r="O996" i="2"/>
  <c r="N996" i="2"/>
  <c r="Q996" i="2"/>
  <c r="P996" i="2"/>
  <c r="O995" i="2"/>
  <c r="N995" i="2"/>
  <c r="Q995" i="2"/>
  <c r="P995" i="2"/>
  <c r="O994" i="2"/>
  <c r="N994" i="2"/>
  <c r="Q994" i="2"/>
  <c r="P994" i="2"/>
  <c r="O993" i="2"/>
  <c r="N993" i="2"/>
  <c r="Q993" i="2"/>
  <c r="P993" i="2"/>
  <c r="O992" i="2"/>
  <c r="N992" i="2"/>
  <c r="Q992" i="2"/>
  <c r="P992" i="2"/>
  <c r="O991" i="2"/>
  <c r="N991" i="2"/>
  <c r="Q991" i="2"/>
  <c r="P991" i="2"/>
  <c r="O990" i="2"/>
  <c r="N990" i="2"/>
  <c r="Q990" i="2"/>
  <c r="P990" i="2"/>
  <c r="O989" i="2"/>
  <c r="N989" i="2"/>
  <c r="Q989" i="2"/>
  <c r="P989" i="2"/>
  <c r="O988" i="2"/>
  <c r="N988" i="2"/>
  <c r="Q988" i="2"/>
  <c r="P988" i="2"/>
  <c r="O987" i="2"/>
  <c r="N987" i="2"/>
  <c r="Q987" i="2"/>
  <c r="P987" i="2"/>
  <c r="O986" i="2"/>
  <c r="N986" i="2"/>
  <c r="Q986" i="2"/>
  <c r="P986" i="2"/>
  <c r="O985" i="2"/>
  <c r="N985" i="2"/>
  <c r="Q985" i="2"/>
  <c r="P985" i="2"/>
  <c r="O984" i="2"/>
  <c r="N984" i="2"/>
  <c r="Q984" i="2"/>
  <c r="P984" i="2"/>
  <c r="O983" i="2"/>
  <c r="N983" i="2"/>
  <c r="Q983" i="2"/>
  <c r="P983" i="2"/>
  <c r="O982" i="2"/>
  <c r="N982" i="2"/>
  <c r="Q982" i="2"/>
  <c r="P982" i="2"/>
  <c r="O981" i="2"/>
  <c r="N981" i="2"/>
  <c r="Q981" i="2"/>
  <c r="P981" i="2"/>
  <c r="O980" i="2"/>
  <c r="N980" i="2"/>
  <c r="Q980" i="2"/>
  <c r="P980" i="2"/>
  <c r="O979" i="2"/>
  <c r="N979" i="2"/>
  <c r="Q979" i="2"/>
  <c r="P979" i="2"/>
  <c r="O978" i="2"/>
  <c r="N978" i="2"/>
  <c r="Q978" i="2"/>
  <c r="P978" i="2"/>
  <c r="O977" i="2"/>
  <c r="N977" i="2"/>
  <c r="Q977" i="2"/>
  <c r="P977" i="2"/>
  <c r="O976" i="2"/>
  <c r="N976" i="2"/>
  <c r="Q976" i="2"/>
  <c r="P976" i="2"/>
  <c r="O975" i="2"/>
  <c r="N975" i="2"/>
  <c r="Q975" i="2"/>
  <c r="P975" i="2"/>
  <c r="O974" i="2"/>
  <c r="N974" i="2"/>
  <c r="Q974" i="2"/>
  <c r="P974" i="2"/>
  <c r="O973" i="2"/>
  <c r="N973" i="2"/>
  <c r="Q973" i="2"/>
  <c r="P973" i="2"/>
  <c r="O972" i="2"/>
  <c r="N972" i="2"/>
  <c r="Q972" i="2"/>
  <c r="P972" i="2"/>
  <c r="O971" i="2"/>
  <c r="N971" i="2"/>
  <c r="Q971" i="2"/>
  <c r="P971" i="2"/>
  <c r="O970" i="2"/>
  <c r="N970" i="2"/>
  <c r="Q970" i="2"/>
  <c r="P970" i="2"/>
  <c r="O969" i="2"/>
  <c r="N969" i="2"/>
  <c r="Q969" i="2"/>
  <c r="P969" i="2"/>
  <c r="O968" i="2"/>
  <c r="N968" i="2"/>
  <c r="Q968" i="2"/>
  <c r="P968" i="2"/>
  <c r="O967" i="2"/>
  <c r="N967" i="2"/>
  <c r="Q967" i="2"/>
  <c r="P967" i="2"/>
  <c r="O966" i="2"/>
  <c r="N966" i="2"/>
  <c r="Q966" i="2"/>
  <c r="P966" i="2"/>
  <c r="O965" i="2"/>
  <c r="N965" i="2"/>
  <c r="Q965" i="2"/>
  <c r="P965" i="2"/>
  <c r="O964" i="2"/>
  <c r="N964" i="2"/>
  <c r="Q964" i="2"/>
  <c r="P964" i="2"/>
  <c r="O963" i="2"/>
  <c r="N963" i="2"/>
  <c r="Q963" i="2"/>
  <c r="P963" i="2"/>
  <c r="O962" i="2"/>
  <c r="N962" i="2"/>
  <c r="Q962" i="2"/>
  <c r="P962" i="2"/>
  <c r="O961" i="2"/>
  <c r="N961" i="2"/>
  <c r="Q961" i="2"/>
  <c r="P961" i="2"/>
  <c r="O960" i="2"/>
  <c r="N960" i="2"/>
  <c r="Q960" i="2"/>
  <c r="P960" i="2"/>
  <c r="O959" i="2"/>
  <c r="N959" i="2"/>
  <c r="Q959" i="2"/>
  <c r="P959" i="2"/>
  <c r="O958" i="2"/>
  <c r="N958" i="2"/>
  <c r="Q958" i="2"/>
  <c r="P958" i="2"/>
  <c r="O957" i="2"/>
  <c r="N957" i="2"/>
  <c r="Q957" i="2"/>
  <c r="P957" i="2"/>
  <c r="O956" i="2"/>
  <c r="N956" i="2"/>
  <c r="Q956" i="2"/>
  <c r="P956" i="2"/>
  <c r="O955" i="2"/>
  <c r="N955" i="2"/>
  <c r="Q955" i="2"/>
  <c r="P955" i="2"/>
  <c r="O954" i="2"/>
  <c r="N954" i="2"/>
  <c r="Q954" i="2"/>
  <c r="P954" i="2"/>
  <c r="O953" i="2"/>
  <c r="N953" i="2"/>
  <c r="Q953" i="2"/>
  <c r="P953" i="2"/>
  <c r="O952" i="2"/>
  <c r="N952" i="2"/>
  <c r="Q952" i="2"/>
  <c r="P952" i="2"/>
  <c r="O951" i="2"/>
  <c r="N951" i="2"/>
  <c r="Q951" i="2"/>
  <c r="P951" i="2"/>
  <c r="O950" i="2"/>
  <c r="N950" i="2"/>
  <c r="Q950" i="2"/>
  <c r="P950" i="2"/>
  <c r="O949" i="2"/>
  <c r="N949" i="2"/>
  <c r="Q949" i="2"/>
  <c r="P949" i="2"/>
  <c r="O948" i="2"/>
  <c r="N948" i="2"/>
  <c r="Q948" i="2"/>
  <c r="P948" i="2"/>
  <c r="O947" i="2"/>
  <c r="N947" i="2"/>
  <c r="Q947" i="2"/>
  <c r="P947" i="2"/>
  <c r="O946" i="2"/>
  <c r="N946" i="2"/>
  <c r="Q946" i="2"/>
  <c r="P946" i="2"/>
  <c r="O945" i="2"/>
  <c r="N945" i="2"/>
  <c r="Q945" i="2"/>
  <c r="P945" i="2"/>
  <c r="O944" i="2"/>
  <c r="N944" i="2"/>
  <c r="Q944" i="2"/>
  <c r="P944" i="2"/>
  <c r="O943" i="2"/>
  <c r="N943" i="2"/>
  <c r="Q943" i="2"/>
  <c r="P943" i="2"/>
  <c r="O942" i="2"/>
  <c r="N942" i="2"/>
  <c r="Q942" i="2"/>
  <c r="P942" i="2"/>
  <c r="O941" i="2"/>
  <c r="N941" i="2"/>
  <c r="Q941" i="2"/>
  <c r="P941" i="2"/>
  <c r="O940" i="2"/>
  <c r="N940" i="2"/>
  <c r="Q940" i="2"/>
  <c r="P940" i="2"/>
  <c r="O939" i="2"/>
  <c r="N939" i="2"/>
  <c r="Q939" i="2"/>
  <c r="P939" i="2"/>
  <c r="O938" i="2"/>
  <c r="N938" i="2"/>
  <c r="Q938" i="2"/>
  <c r="P938" i="2"/>
  <c r="O937" i="2"/>
  <c r="N937" i="2"/>
  <c r="Q937" i="2"/>
  <c r="P937" i="2"/>
  <c r="O936" i="2"/>
  <c r="N936" i="2"/>
  <c r="Q936" i="2"/>
  <c r="P936" i="2"/>
  <c r="O935" i="2"/>
  <c r="N935" i="2"/>
  <c r="Q935" i="2"/>
  <c r="P935" i="2"/>
  <c r="O934" i="2"/>
  <c r="N934" i="2"/>
  <c r="Q934" i="2"/>
  <c r="P934" i="2"/>
  <c r="O933" i="2"/>
  <c r="N933" i="2"/>
  <c r="Q933" i="2"/>
  <c r="P933" i="2"/>
  <c r="O932" i="2"/>
  <c r="N932" i="2"/>
  <c r="Q932" i="2"/>
  <c r="P932" i="2"/>
  <c r="O931" i="2"/>
  <c r="N931" i="2"/>
  <c r="Q931" i="2"/>
  <c r="P931" i="2"/>
  <c r="O930" i="2"/>
  <c r="N930" i="2"/>
  <c r="Q930" i="2"/>
  <c r="P930" i="2"/>
  <c r="O929" i="2"/>
  <c r="N929" i="2"/>
  <c r="Q929" i="2"/>
  <c r="P929" i="2"/>
  <c r="O928" i="2"/>
  <c r="N928" i="2"/>
  <c r="Q928" i="2"/>
  <c r="P928" i="2"/>
  <c r="O927" i="2"/>
  <c r="N927" i="2"/>
  <c r="Q927" i="2"/>
  <c r="P927" i="2"/>
  <c r="O926" i="2"/>
  <c r="N926" i="2"/>
  <c r="Q926" i="2"/>
  <c r="P926" i="2"/>
  <c r="O925" i="2"/>
  <c r="N925" i="2"/>
  <c r="Q925" i="2"/>
  <c r="P925" i="2"/>
  <c r="O924" i="2"/>
  <c r="N924" i="2"/>
  <c r="Q924" i="2"/>
  <c r="P924" i="2"/>
  <c r="O923" i="2"/>
  <c r="N923" i="2"/>
  <c r="Q923" i="2"/>
  <c r="P923" i="2"/>
  <c r="O922" i="2"/>
  <c r="N922" i="2"/>
  <c r="Q922" i="2"/>
  <c r="P922" i="2"/>
  <c r="O921" i="2"/>
  <c r="N921" i="2"/>
  <c r="Q921" i="2"/>
  <c r="P921" i="2"/>
  <c r="O920" i="2"/>
  <c r="N920" i="2"/>
  <c r="Q920" i="2"/>
  <c r="P920" i="2"/>
  <c r="O919" i="2"/>
  <c r="N919" i="2"/>
  <c r="Q919" i="2"/>
  <c r="P919" i="2"/>
  <c r="O918" i="2"/>
  <c r="N918" i="2"/>
  <c r="Q918" i="2"/>
  <c r="P918" i="2"/>
  <c r="O917" i="2"/>
  <c r="N917" i="2"/>
  <c r="Q917" i="2"/>
  <c r="P917" i="2"/>
  <c r="O916" i="2"/>
  <c r="N916" i="2"/>
  <c r="Q916" i="2"/>
  <c r="P916" i="2"/>
  <c r="O915" i="2"/>
  <c r="N915" i="2"/>
  <c r="Q915" i="2"/>
  <c r="P915" i="2"/>
  <c r="O914" i="2"/>
  <c r="N914" i="2"/>
  <c r="Q914" i="2"/>
  <c r="P914" i="2"/>
  <c r="O913" i="2"/>
  <c r="N913" i="2"/>
  <c r="Q913" i="2"/>
  <c r="P913" i="2"/>
  <c r="O912" i="2"/>
  <c r="N912" i="2"/>
  <c r="Q912" i="2"/>
  <c r="P912" i="2"/>
  <c r="O911" i="2"/>
  <c r="N911" i="2"/>
  <c r="Q911" i="2"/>
  <c r="P911" i="2"/>
  <c r="O910" i="2"/>
  <c r="N910" i="2"/>
  <c r="Q910" i="2"/>
  <c r="P910" i="2"/>
  <c r="O909" i="2"/>
  <c r="N909" i="2"/>
  <c r="Q909" i="2"/>
  <c r="P909" i="2"/>
  <c r="O908" i="2"/>
  <c r="N908" i="2"/>
  <c r="Q908" i="2"/>
  <c r="P908" i="2"/>
  <c r="O907" i="2"/>
  <c r="N907" i="2"/>
  <c r="Q907" i="2"/>
  <c r="P907" i="2"/>
  <c r="O906" i="2"/>
  <c r="N906" i="2"/>
  <c r="Q906" i="2"/>
  <c r="P906" i="2"/>
  <c r="O905" i="2"/>
  <c r="N905" i="2"/>
  <c r="Q905" i="2"/>
  <c r="P905" i="2"/>
  <c r="O904" i="2"/>
  <c r="N904" i="2"/>
  <c r="Q904" i="2"/>
  <c r="P904" i="2"/>
  <c r="O903" i="2"/>
  <c r="N903" i="2"/>
  <c r="Q903" i="2"/>
  <c r="P903" i="2"/>
  <c r="O902" i="2"/>
  <c r="N902" i="2"/>
  <c r="Q902" i="2"/>
  <c r="P902" i="2"/>
  <c r="O901" i="2"/>
  <c r="N901" i="2"/>
  <c r="Q901" i="2"/>
  <c r="P901" i="2"/>
  <c r="O900" i="2"/>
  <c r="N900" i="2"/>
  <c r="Q900" i="2"/>
  <c r="P900" i="2"/>
  <c r="O899" i="2"/>
  <c r="N899" i="2"/>
  <c r="Q899" i="2"/>
  <c r="P899" i="2"/>
  <c r="O898" i="2"/>
  <c r="N898" i="2"/>
  <c r="Q898" i="2"/>
  <c r="P898" i="2"/>
  <c r="O897" i="2"/>
  <c r="N897" i="2"/>
  <c r="Q897" i="2"/>
  <c r="P897" i="2"/>
  <c r="O896" i="2"/>
  <c r="N896" i="2"/>
  <c r="Q896" i="2"/>
  <c r="P896" i="2"/>
  <c r="O895" i="2"/>
  <c r="N895" i="2"/>
  <c r="Q895" i="2"/>
  <c r="P895" i="2"/>
  <c r="O894" i="2"/>
  <c r="N894" i="2"/>
  <c r="Q894" i="2"/>
  <c r="P894" i="2"/>
  <c r="O893" i="2"/>
  <c r="N893" i="2"/>
  <c r="Q893" i="2"/>
  <c r="P893" i="2"/>
  <c r="O892" i="2"/>
  <c r="N892" i="2"/>
  <c r="Q892" i="2"/>
  <c r="P892" i="2"/>
  <c r="O891" i="2"/>
  <c r="N891" i="2"/>
  <c r="Q891" i="2"/>
  <c r="P891" i="2"/>
  <c r="O890" i="2"/>
  <c r="N890" i="2"/>
  <c r="Q890" i="2"/>
  <c r="P890" i="2"/>
  <c r="O889" i="2"/>
  <c r="N889" i="2"/>
  <c r="Q889" i="2"/>
  <c r="P889" i="2"/>
  <c r="O888" i="2"/>
  <c r="N888" i="2"/>
  <c r="Q888" i="2"/>
  <c r="P888" i="2"/>
  <c r="O887" i="2"/>
  <c r="N887" i="2"/>
  <c r="Q887" i="2"/>
  <c r="P887" i="2"/>
  <c r="O886" i="2"/>
  <c r="N886" i="2"/>
  <c r="Q886" i="2"/>
  <c r="P886" i="2"/>
  <c r="O885" i="2"/>
  <c r="N885" i="2"/>
  <c r="Q885" i="2"/>
  <c r="P885" i="2"/>
  <c r="O884" i="2"/>
  <c r="N884" i="2"/>
  <c r="Q884" i="2"/>
  <c r="P884" i="2"/>
  <c r="O883" i="2"/>
  <c r="N883" i="2"/>
  <c r="Q883" i="2"/>
  <c r="P883" i="2"/>
  <c r="O882" i="2"/>
  <c r="N882" i="2"/>
  <c r="Q882" i="2"/>
  <c r="P882" i="2"/>
  <c r="O881" i="2"/>
  <c r="N881" i="2"/>
  <c r="Q881" i="2"/>
  <c r="P881" i="2"/>
  <c r="O880" i="2"/>
  <c r="N880" i="2"/>
  <c r="Q880" i="2"/>
  <c r="P880" i="2"/>
  <c r="O879" i="2"/>
  <c r="N879" i="2"/>
  <c r="Q879" i="2"/>
  <c r="P879" i="2"/>
  <c r="O878" i="2"/>
  <c r="N878" i="2"/>
  <c r="Q878" i="2"/>
  <c r="P878" i="2"/>
  <c r="O877" i="2"/>
  <c r="N877" i="2"/>
  <c r="Q877" i="2"/>
  <c r="P877" i="2"/>
  <c r="O876" i="2"/>
  <c r="N876" i="2"/>
  <c r="Q876" i="2"/>
  <c r="P876" i="2"/>
  <c r="O875" i="2"/>
  <c r="N875" i="2"/>
  <c r="Q875" i="2"/>
  <c r="P875" i="2"/>
  <c r="O874" i="2"/>
  <c r="N874" i="2"/>
  <c r="Q874" i="2"/>
  <c r="P874" i="2"/>
  <c r="O873" i="2"/>
  <c r="N873" i="2"/>
  <c r="Q873" i="2"/>
  <c r="P873" i="2"/>
  <c r="O872" i="2"/>
  <c r="N872" i="2"/>
  <c r="Q872" i="2"/>
  <c r="P872" i="2"/>
  <c r="O871" i="2"/>
  <c r="N871" i="2"/>
  <c r="Q871" i="2"/>
  <c r="P871" i="2"/>
  <c r="O870" i="2"/>
  <c r="N870" i="2"/>
  <c r="Q870" i="2"/>
  <c r="P870" i="2"/>
  <c r="O869" i="2"/>
  <c r="N869" i="2"/>
  <c r="Q869" i="2"/>
  <c r="P869" i="2"/>
  <c r="O868" i="2"/>
  <c r="N868" i="2"/>
  <c r="Q868" i="2"/>
  <c r="P868" i="2"/>
  <c r="O867" i="2"/>
  <c r="N867" i="2"/>
  <c r="Q867" i="2"/>
  <c r="P867" i="2"/>
  <c r="O866" i="2"/>
  <c r="N866" i="2"/>
  <c r="Q866" i="2"/>
  <c r="P866" i="2"/>
  <c r="O865" i="2"/>
  <c r="N865" i="2"/>
  <c r="Q865" i="2"/>
  <c r="P865" i="2"/>
  <c r="O864" i="2"/>
  <c r="N864" i="2"/>
  <c r="Q864" i="2"/>
  <c r="P864" i="2"/>
  <c r="O863" i="2"/>
  <c r="N863" i="2"/>
  <c r="Q863" i="2"/>
  <c r="P863" i="2"/>
  <c r="O862" i="2"/>
  <c r="N862" i="2"/>
  <c r="Q862" i="2"/>
  <c r="P862" i="2"/>
  <c r="O861" i="2"/>
  <c r="N861" i="2"/>
  <c r="Q861" i="2"/>
  <c r="P861" i="2"/>
  <c r="O860" i="2"/>
  <c r="N860" i="2"/>
  <c r="Q860" i="2"/>
  <c r="P860" i="2"/>
  <c r="O859" i="2"/>
  <c r="N859" i="2"/>
  <c r="Q859" i="2"/>
  <c r="P859" i="2"/>
  <c r="O858" i="2"/>
  <c r="N858" i="2"/>
  <c r="Q858" i="2"/>
  <c r="P858" i="2"/>
  <c r="O857" i="2"/>
  <c r="N857" i="2"/>
  <c r="Q857" i="2"/>
  <c r="P857" i="2"/>
  <c r="O856" i="2"/>
  <c r="N856" i="2"/>
  <c r="Q856" i="2"/>
  <c r="P856" i="2"/>
  <c r="O855" i="2"/>
  <c r="N855" i="2"/>
  <c r="Q855" i="2"/>
  <c r="P855" i="2"/>
  <c r="O854" i="2"/>
  <c r="N854" i="2"/>
  <c r="Q854" i="2"/>
  <c r="P854" i="2"/>
  <c r="O853" i="2"/>
  <c r="N853" i="2"/>
  <c r="Q853" i="2"/>
  <c r="P853" i="2"/>
  <c r="O852" i="2"/>
  <c r="N852" i="2"/>
  <c r="Q852" i="2"/>
  <c r="P852" i="2"/>
  <c r="O851" i="2"/>
  <c r="N851" i="2"/>
  <c r="Q851" i="2"/>
  <c r="P851" i="2"/>
  <c r="O850" i="2"/>
  <c r="N850" i="2"/>
  <c r="Q850" i="2"/>
  <c r="P850" i="2"/>
  <c r="O849" i="2"/>
  <c r="N849" i="2"/>
  <c r="Q849" i="2"/>
  <c r="P849" i="2"/>
  <c r="O848" i="2"/>
  <c r="N848" i="2"/>
  <c r="Q848" i="2"/>
  <c r="P848" i="2"/>
  <c r="O847" i="2"/>
  <c r="N847" i="2"/>
  <c r="Q847" i="2"/>
  <c r="P847" i="2"/>
  <c r="O846" i="2"/>
  <c r="N846" i="2"/>
  <c r="Q846" i="2"/>
  <c r="P846" i="2"/>
  <c r="O845" i="2"/>
  <c r="N845" i="2"/>
  <c r="Q845" i="2"/>
  <c r="P845" i="2"/>
  <c r="O844" i="2"/>
  <c r="N844" i="2"/>
  <c r="Q844" i="2"/>
  <c r="P844" i="2"/>
  <c r="O843" i="2"/>
  <c r="N843" i="2"/>
  <c r="Q843" i="2"/>
  <c r="P843" i="2"/>
  <c r="O842" i="2"/>
  <c r="N842" i="2"/>
  <c r="Q842" i="2"/>
  <c r="P842" i="2"/>
  <c r="O841" i="2"/>
  <c r="N841" i="2"/>
  <c r="Q841" i="2"/>
  <c r="P841" i="2"/>
  <c r="O840" i="2"/>
  <c r="N840" i="2"/>
  <c r="Q840" i="2"/>
  <c r="P840" i="2"/>
  <c r="O839" i="2"/>
  <c r="N839" i="2"/>
  <c r="Q839" i="2"/>
  <c r="P839" i="2"/>
  <c r="O838" i="2"/>
  <c r="N838" i="2"/>
  <c r="Q838" i="2"/>
  <c r="P838" i="2"/>
  <c r="O837" i="2"/>
  <c r="N837" i="2"/>
  <c r="Q837" i="2"/>
  <c r="P837" i="2"/>
  <c r="O836" i="2"/>
  <c r="N836" i="2"/>
  <c r="Q836" i="2"/>
  <c r="P836" i="2"/>
  <c r="O835" i="2"/>
  <c r="N835" i="2"/>
  <c r="Q835" i="2"/>
  <c r="P835" i="2"/>
  <c r="O834" i="2"/>
  <c r="N834" i="2"/>
  <c r="Q834" i="2"/>
  <c r="P834" i="2"/>
  <c r="O833" i="2"/>
  <c r="N833" i="2"/>
  <c r="Q833" i="2"/>
  <c r="P833" i="2"/>
  <c r="O832" i="2"/>
  <c r="N832" i="2"/>
  <c r="Q832" i="2"/>
  <c r="P832" i="2"/>
  <c r="O831" i="2"/>
  <c r="N831" i="2"/>
  <c r="Q831" i="2"/>
  <c r="P831" i="2"/>
  <c r="O830" i="2"/>
  <c r="N830" i="2"/>
  <c r="Q830" i="2"/>
  <c r="P830" i="2"/>
  <c r="O829" i="2"/>
  <c r="N829" i="2"/>
  <c r="Q829" i="2"/>
  <c r="P829" i="2"/>
  <c r="O828" i="2"/>
  <c r="N828" i="2"/>
  <c r="Q828" i="2"/>
  <c r="P828" i="2"/>
  <c r="O827" i="2"/>
  <c r="N827" i="2"/>
  <c r="Q827" i="2"/>
  <c r="P827" i="2"/>
  <c r="O826" i="2"/>
  <c r="N826" i="2"/>
  <c r="Q826" i="2"/>
  <c r="P826" i="2"/>
  <c r="O825" i="2"/>
  <c r="N825" i="2"/>
  <c r="Q825" i="2"/>
  <c r="P825" i="2"/>
  <c r="O824" i="2"/>
  <c r="N824" i="2"/>
  <c r="Q824" i="2"/>
  <c r="P824" i="2"/>
  <c r="O823" i="2"/>
  <c r="N823" i="2"/>
  <c r="Q823" i="2"/>
  <c r="P823" i="2"/>
  <c r="O822" i="2"/>
  <c r="N822" i="2"/>
  <c r="Q822" i="2"/>
  <c r="P822" i="2"/>
  <c r="O821" i="2"/>
  <c r="N821" i="2"/>
  <c r="Q821" i="2"/>
  <c r="P821" i="2"/>
  <c r="O820" i="2"/>
  <c r="N820" i="2"/>
  <c r="Q820" i="2"/>
  <c r="P820" i="2"/>
  <c r="O819" i="2"/>
  <c r="N819" i="2"/>
  <c r="Q819" i="2"/>
  <c r="P819" i="2"/>
  <c r="O818" i="2"/>
  <c r="N818" i="2"/>
  <c r="Q818" i="2"/>
  <c r="P818" i="2"/>
  <c r="O817" i="2"/>
  <c r="N817" i="2"/>
  <c r="Q817" i="2"/>
  <c r="P817" i="2"/>
  <c r="O816" i="2"/>
  <c r="N816" i="2"/>
  <c r="Q816" i="2"/>
  <c r="P816" i="2"/>
  <c r="O815" i="2"/>
  <c r="N815" i="2"/>
  <c r="Q815" i="2"/>
  <c r="P815" i="2"/>
  <c r="O814" i="2"/>
  <c r="N814" i="2"/>
  <c r="Q814" i="2"/>
  <c r="P814" i="2"/>
  <c r="O813" i="2"/>
  <c r="N813" i="2"/>
  <c r="Q813" i="2"/>
  <c r="P813" i="2"/>
  <c r="O812" i="2"/>
  <c r="N812" i="2"/>
  <c r="Q812" i="2"/>
  <c r="P812" i="2"/>
  <c r="O811" i="2"/>
  <c r="N811" i="2"/>
  <c r="Q811" i="2"/>
  <c r="P811" i="2"/>
  <c r="O810" i="2"/>
  <c r="N810" i="2"/>
  <c r="Q810" i="2"/>
  <c r="P810" i="2"/>
  <c r="O809" i="2"/>
  <c r="N809" i="2"/>
  <c r="Q809" i="2"/>
  <c r="P809" i="2"/>
  <c r="O808" i="2"/>
  <c r="N808" i="2"/>
  <c r="Q808" i="2"/>
  <c r="P808" i="2"/>
  <c r="O807" i="2"/>
  <c r="N807" i="2"/>
  <c r="Q807" i="2"/>
  <c r="P807" i="2"/>
  <c r="O806" i="2"/>
  <c r="N806" i="2"/>
  <c r="Q806" i="2"/>
  <c r="P806" i="2"/>
  <c r="O805" i="2"/>
  <c r="N805" i="2"/>
  <c r="Q805" i="2"/>
  <c r="P805" i="2"/>
  <c r="O804" i="2"/>
  <c r="N804" i="2"/>
  <c r="Q804" i="2"/>
  <c r="P804" i="2"/>
  <c r="O803" i="2"/>
  <c r="N803" i="2"/>
  <c r="Q803" i="2"/>
  <c r="P803" i="2"/>
  <c r="O802" i="2"/>
  <c r="N802" i="2"/>
  <c r="Q802" i="2"/>
  <c r="P802" i="2"/>
  <c r="O801" i="2"/>
  <c r="N801" i="2"/>
  <c r="Q801" i="2"/>
  <c r="P801" i="2"/>
  <c r="O800" i="2"/>
  <c r="N800" i="2"/>
  <c r="Q800" i="2"/>
  <c r="P800" i="2"/>
  <c r="O799" i="2"/>
  <c r="N799" i="2"/>
  <c r="Q799" i="2"/>
  <c r="P799" i="2"/>
  <c r="O798" i="2"/>
  <c r="N798" i="2"/>
  <c r="Q798" i="2"/>
  <c r="P798" i="2"/>
  <c r="O797" i="2"/>
  <c r="N797" i="2"/>
  <c r="Q797" i="2"/>
  <c r="P797" i="2"/>
  <c r="O796" i="2"/>
  <c r="N796" i="2"/>
  <c r="Q796" i="2"/>
  <c r="P796" i="2"/>
  <c r="O795" i="2"/>
  <c r="N795" i="2"/>
  <c r="Q795" i="2"/>
  <c r="P795" i="2"/>
  <c r="O794" i="2"/>
  <c r="N794" i="2"/>
  <c r="Q794" i="2"/>
  <c r="P794" i="2"/>
  <c r="O793" i="2"/>
  <c r="N793" i="2"/>
  <c r="Q793" i="2"/>
  <c r="P793" i="2"/>
  <c r="O792" i="2"/>
  <c r="N792" i="2"/>
  <c r="Q792" i="2"/>
  <c r="P792" i="2"/>
  <c r="O791" i="2"/>
  <c r="N791" i="2"/>
  <c r="Q791" i="2"/>
  <c r="P791" i="2"/>
  <c r="O790" i="2"/>
  <c r="N790" i="2"/>
  <c r="Q790" i="2"/>
  <c r="P790" i="2"/>
  <c r="O789" i="2"/>
  <c r="N789" i="2"/>
  <c r="Q789" i="2"/>
  <c r="P789" i="2"/>
  <c r="O788" i="2"/>
  <c r="N788" i="2"/>
  <c r="Q788" i="2"/>
  <c r="P788" i="2"/>
  <c r="O787" i="2"/>
  <c r="N787" i="2"/>
  <c r="Q787" i="2"/>
  <c r="P787" i="2"/>
  <c r="O786" i="2"/>
  <c r="N786" i="2"/>
  <c r="Q786" i="2"/>
  <c r="P786" i="2"/>
  <c r="O785" i="2"/>
  <c r="N785" i="2"/>
  <c r="Q785" i="2"/>
  <c r="P785" i="2"/>
  <c r="O784" i="2"/>
  <c r="N784" i="2"/>
  <c r="Q784" i="2"/>
  <c r="P784" i="2"/>
  <c r="O783" i="2"/>
  <c r="N783" i="2"/>
  <c r="Q783" i="2"/>
  <c r="P783" i="2"/>
  <c r="O782" i="2"/>
  <c r="N782" i="2"/>
  <c r="Q782" i="2"/>
  <c r="P782" i="2"/>
  <c r="O781" i="2"/>
  <c r="N781" i="2"/>
  <c r="Q781" i="2"/>
  <c r="P781" i="2"/>
  <c r="O780" i="2"/>
  <c r="N780" i="2"/>
  <c r="Q780" i="2"/>
  <c r="P780" i="2"/>
  <c r="O779" i="2"/>
  <c r="N779" i="2"/>
  <c r="Q779" i="2"/>
  <c r="P779" i="2"/>
  <c r="O778" i="2"/>
  <c r="N778" i="2"/>
  <c r="Q778" i="2"/>
  <c r="P778" i="2"/>
  <c r="O777" i="2"/>
  <c r="N777" i="2"/>
  <c r="Q777" i="2"/>
  <c r="P777" i="2"/>
  <c r="O776" i="2"/>
  <c r="N776" i="2"/>
  <c r="Q776" i="2"/>
  <c r="P776" i="2"/>
  <c r="O775" i="2"/>
  <c r="N775" i="2"/>
  <c r="Q775" i="2"/>
  <c r="P775" i="2"/>
  <c r="O774" i="2"/>
  <c r="N774" i="2"/>
  <c r="Q774" i="2"/>
  <c r="P774" i="2"/>
  <c r="O773" i="2"/>
  <c r="N773" i="2"/>
  <c r="Q773" i="2"/>
  <c r="P773" i="2"/>
  <c r="O772" i="2"/>
  <c r="N772" i="2"/>
  <c r="Q772" i="2"/>
  <c r="P772" i="2"/>
  <c r="O771" i="2"/>
  <c r="N771" i="2"/>
  <c r="Q771" i="2"/>
  <c r="P771" i="2"/>
  <c r="O770" i="2"/>
  <c r="N770" i="2"/>
  <c r="Q770" i="2"/>
  <c r="P770" i="2"/>
  <c r="O769" i="2"/>
  <c r="N769" i="2"/>
  <c r="Q769" i="2"/>
  <c r="P769" i="2"/>
  <c r="O768" i="2"/>
  <c r="N768" i="2"/>
  <c r="Q768" i="2"/>
  <c r="P768" i="2"/>
  <c r="O767" i="2"/>
  <c r="N767" i="2"/>
  <c r="Q767" i="2"/>
  <c r="P767" i="2"/>
  <c r="O766" i="2"/>
  <c r="N766" i="2"/>
  <c r="Q766" i="2"/>
  <c r="P766" i="2"/>
  <c r="O765" i="2"/>
  <c r="N765" i="2"/>
  <c r="Q765" i="2"/>
  <c r="P765" i="2"/>
  <c r="O764" i="2"/>
  <c r="N764" i="2"/>
  <c r="Q764" i="2"/>
  <c r="P764" i="2"/>
  <c r="O763" i="2"/>
  <c r="N763" i="2"/>
  <c r="Q763" i="2"/>
  <c r="P763" i="2"/>
  <c r="O762" i="2"/>
  <c r="N762" i="2"/>
  <c r="Q762" i="2"/>
  <c r="P762" i="2"/>
  <c r="O761" i="2"/>
  <c r="N761" i="2"/>
  <c r="Q761" i="2"/>
  <c r="P761" i="2"/>
  <c r="O760" i="2"/>
  <c r="N760" i="2"/>
  <c r="Q760" i="2"/>
  <c r="P760" i="2"/>
  <c r="O759" i="2"/>
  <c r="N759" i="2"/>
  <c r="Q759" i="2"/>
  <c r="P759" i="2"/>
  <c r="O758" i="2"/>
  <c r="N758" i="2"/>
  <c r="Q758" i="2"/>
  <c r="P758" i="2"/>
  <c r="O757" i="2"/>
  <c r="N757" i="2"/>
  <c r="Q757" i="2"/>
  <c r="P757" i="2"/>
  <c r="O756" i="2"/>
  <c r="N756" i="2"/>
  <c r="Q756" i="2"/>
  <c r="P756" i="2"/>
  <c r="O755" i="2"/>
  <c r="N755" i="2"/>
  <c r="Q755" i="2"/>
  <c r="P755" i="2"/>
  <c r="O754" i="2"/>
  <c r="N754" i="2"/>
  <c r="Q754" i="2"/>
  <c r="P754" i="2"/>
  <c r="O753" i="2"/>
  <c r="N753" i="2"/>
  <c r="Q753" i="2"/>
  <c r="P753" i="2"/>
  <c r="O752" i="2"/>
  <c r="N752" i="2"/>
  <c r="Q752" i="2"/>
  <c r="P752" i="2"/>
  <c r="O751" i="2"/>
  <c r="N751" i="2"/>
  <c r="Q751" i="2"/>
  <c r="P751" i="2"/>
  <c r="O750" i="2"/>
  <c r="N750" i="2"/>
  <c r="Q750" i="2"/>
  <c r="P750" i="2"/>
  <c r="O749" i="2"/>
  <c r="N749" i="2"/>
  <c r="Q749" i="2"/>
  <c r="P749" i="2"/>
  <c r="O748" i="2"/>
  <c r="N748" i="2"/>
  <c r="Q748" i="2"/>
  <c r="P748" i="2"/>
  <c r="O747" i="2"/>
  <c r="N747" i="2"/>
  <c r="Q747" i="2"/>
  <c r="P747" i="2"/>
  <c r="O746" i="2"/>
  <c r="N746" i="2"/>
  <c r="Q746" i="2"/>
  <c r="P746" i="2"/>
  <c r="O745" i="2"/>
  <c r="N745" i="2"/>
  <c r="Q745" i="2"/>
  <c r="P745" i="2"/>
  <c r="O744" i="2"/>
  <c r="N744" i="2"/>
  <c r="Q744" i="2"/>
  <c r="P744" i="2"/>
  <c r="O743" i="2"/>
  <c r="N743" i="2"/>
  <c r="Q743" i="2"/>
  <c r="P743" i="2"/>
  <c r="O742" i="2"/>
  <c r="N742" i="2"/>
  <c r="Q742" i="2"/>
  <c r="P742" i="2"/>
  <c r="O741" i="2"/>
  <c r="N741" i="2"/>
  <c r="Q741" i="2"/>
  <c r="P741" i="2"/>
  <c r="O740" i="2"/>
  <c r="N740" i="2"/>
  <c r="Q740" i="2"/>
  <c r="P740" i="2"/>
  <c r="O739" i="2"/>
  <c r="N739" i="2"/>
  <c r="Q739" i="2"/>
  <c r="P739" i="2"/>
  <c r="O738" i="2"/>
  <c r="N738" i="2"/>
  <c r="Q738" i="2"/>
  <c r="P738" i="2"/>
  <c r="O737" i="2"/>
  <c r="N737" i="2"/>
  <c r="Q737" i="2"/>
  <c r="P737" i="2"/>
  <c r="O736" i="2"/>
  <c r="N736" i="2"/>
  <c r="Q736" i="2"/>
  <c r="P736" i="2"/>
  <c r="O735" i="2"/>
  <c r="N735" i="2"/>
  <c r="Q735" i="2"/>
  <c r="P735" i="2"/>
  <c r="O734" i="2"/>
  <c r="N734" i="2"/>
  <c r="Q734" i="2"/>
  <c r="P734" i="2"/>
  <c r="O733" i="2"/>
  <c r="N733" i="2"/>
  <c r="Q733" i="2"/>
  <c r="P733" i="2"/>
  <c r="O732" i="2"/>
  <c r="N732" i="2"/>
  <c r="Q732" i="2"/>
  <c r="P732" i="2"/>
  <c r="O731" i="2"/>
  <c r="N731" i="2"/>
  <c r="Q731" i="2"/>
  <c r="P731" i="2"/>
  <c r="O730" i="2"/>
  <c r="N730" i="2"/>
  <c r="Q730" i="2"/>
  <c r="P730" i="2"/>
  <c r="O729" i="2"/>
  <c r="N729" i="2"/>
  <c r="Q729" i="2"/>
  <c r="P729" i="2"/>
  <c r="O728" i="2"/>
  <c r="N728" i="2"/>
  <c r="Q728" i="2"/>
  <c r="P728" i="2"/>
  <c r="O727" i="2"/>
  <c r="N727" i="2"/>
  <c r="Q727" i="2"/>
  <c r="P727" i="2"/>
  <c r="O726" i="2"/>
  <c r="N726" i="2"/>
  <c r="Q726" i="2"/>
  <c r="P726" i="2"/>
  <c r="O725" i="2"/>
  <c r="N725" i="2"/>
  <c r="Q725" i="2"/>
  <c r="P725" i="2"/>
  <c r="O724" i="2"/>
  <c r="N724" i="2"/>
  <c r="Q724" i="2"/>
  <c r="P724" i="2"/>
  <c r="O723" i="2"/>
  <c r="N723" i="2"/>
  <c r="Q723" i="2"/>
  <c r="P723" i="2"/>
  <c r="O722" i="2"/>
  <c r="N722" i="2"/>
  <c r="Q722" i="2"/>
  <c r="P722" i="2"/>
  <c r="O721" i="2"/>
  <c r="N721" i="2"/>
  <c r="Q721" i="2"/>
  <c r="P721" i="2"/>
  <c r="O720" i="2"/>
  <c r="N720" i="2"/>
  <c r="Q720" i="2"/>
  <c r="P720" i="2"/>
  <c r="O719" i="2"/>
  <c r="N719" i="2"/>
  <c r="Q719" i="2"/>
  <c r="P719" i="2"/>
  <c r="O718" i="2"/>
  <c r="N718" i="2"/>
  <c r="Q718" i="2"/>
  <c r="P718" i="2"/>
  <c r="O717" i="2"/>
  <c r="N717" i="2"/>
  <c r="Q717" i="2"/>
  <c r="P717" i="2"/>
  <c r="O716" i="2"/>
  <c r="N716" i="2"/>
  <c r="Q716" i="2"/>
  <c r="P716" i="2"/>
  <c r="O715" i="2"/>
  <c r="N715" i="2"/>
  <c r="Q715" i="2"/>
  <c r="P715" i="2"/>
  <c r="O714" i="2"/>
  <c r="N714" i="2"/>
  <c r="Q714" i="2"/>
  <c r="P714" i="2"/>
  <c r="O713" i="2"/>
  <c r="N713" i="2"/>
  <c r="Q713" i="2"/>
  <c r="P713" i="2"/>
  <c r="O712" i="2"/>
  <c r="N712" i="2"/>
  <c r="Q712" i="2"/>
  <c r="P712" i="2"/>
  <c r="O711" i="2"/>
  <c r="N711" i="2"/>
  <c r="Q711" i="2"/>
  <c r="P711" i="2"/>
  <c r="O710" i="2"/>
  <c r="N710" i="2"/>
  <c r="Q710" i="2"/>
  <c r="P710" i="2"/>
  <c r="O709" i="2"/>
  <c r="N709" i="2"/>
  <c r="Q709" i="2"/>
  <c r="P709" i="2"/>
  <c r="O708" i="2"/>
  <c r="N708" i="2"/>
  <c r="Q708" i="2"/>
  <c r="P708" i="2"/>
  <c r="O707" i="2"/>
  <c r="N707" i="2"/>
  <c r="Q707" i="2"/>
  <c r="P707" i="2"/>
  <c r="O706" i="2"/>
  <c r="N706" i="2"/>
  <c r="Q706" i="2"/>
  <c r="P706" i="2"/>
  <c r="O705" i="2"/>
  <c r="N705" i="2"/>
  <c r="Q705" i="2"/>
  <c r="P705" i="2"/>
  <c r="O704" i="2"/>
  <c r="N704" i="2"/>
  <c r="Q704" i="2"/>
  <c r="P704" i="2"/>
  <c r="O703" i="2"/>
  <c r="N703" i="2"/>
  <c r="Q703" i="2"/>
  <c r="P703" i="2"/>
  <c r="O702" i="2"/>
  <c r="N702" i="2"/>
  <c r="Q702" i="2"/>
  <c r="P702" i="2"/>
  <c r="O701" i="2"/>
  <c r="N701" i="2"/>
  <c r="Q701" i="2"/>
  <c r="P701" i="2"/>
  <c r="O700" i="2"/>
  <c r="N700" i="2"/>
  <c r="Q700" i="2"/>
  <c r="P700" i="2"/>
  <c r="O699" i="2"/>
  <c r="N699" i="2"/>
  <c r="Q699" i="2"/>
  <c r="P699" i="2"/>
  <c r="O698" i="2"/>
  <c r="N698" i="2"/>
  <c r="Q698" i="2"/>
  <c r="P698" i="2"/>
  <c r="O697" i="2"/>
  <c r="N697" i="2"/>
  <c r="Q697" i="2"/>
  <c r="P697" i="2"/>
  <c r="O696" i="2"/>
  <c r="N696" i="2"/>
  <c r="Q696" i="2"/>
  <c r="P696" i="2"/>
  <c r="O695" i="2"/>
  <c r="N695" i="2"/>
  <c r="Q695" i="2"/>
  <c r="P695" i="2"/>
  <c r="O694" i="2"/>
  <c r="N694" i="2"/>
  <c r="Q694" i="2"/>
  <c r="P694" i="2"/>
  <c r="O693" i="2"/>
  <c r="N693" i="2"/>
  <c r="Q693" i="2"/>
  <c r="P693" i="2"/>
  <c r="O692" i="2"/>
  <c r="N692" i="2"/>
  <c r="Q692" i="2"/>
  <c r="P692" i="2"/>
  <c r="O691" i="2"/>
  <c r="N691" i="2"/>
  <c r="Q691" i="2"/>
  <c r="P691" i="2"/>
  <c r="O690" i="2"/>
  <c r="N690" i="2"/>
  <c r="Q690" i="2"/>
  <c r="P690" i="2"/>
  <c r="O689" i="2"/>
  <c r="N689" i="2"/>
  <c r="Q689" i="2"/>
  <c r="P689" i="2"/>
  <c r="O688" i="2"/>
  <c r="N688" i="2"/>
  <c r="Q688" i="2"/>
  <c r="P688" i="2"/>
  <c r="O687" i="2"/>
  <c r="N687" i="2"/>
  <c r="Q687" i="2"/>
  <c r="P687" i="2"/>
  <c r="O686" i="2"/>
  <c r="N686" i="2"/>
  <c r="Q686" i="2"/>
  <c r="P686" i="2"/>
  <c r="O685" i="2"/>
  <c r="N685" i="2"/>
  <c r="Q685" i="2"/>
  <c r="P685" i="2"/>
  <c r="O684" i="2"/>
  <c r="N684" i="2"/>
  <c r="Q684" i="2"/>
  <c r="P684" i="2"/>
  <c r="O683" i="2"/>
  <c r="N683" i="2"/>
  <c r="Q683" i="2"/>
  <c r="P683" i="2"/>
  <c r="O682" i="2"/>
  <c r="N682" i="2"/>
  <c r="Q682" i="2"/>
  <c r="P682" i="2"/>
  <c r="O681" i="2"/>
  <c r="N681" i="2"/>
  <c r="Q681" i="2"/>
  <c r="P681" i="2"/>
  <c r="O680" i="2"/>
  <c r="N680" i="2"/>
  <c r="Q680" i="2"/>
  <c r="P680" i="2"/>
  <c r="O679" i="2"/>
  <c r="N679" i="2"/>
  <c r="Q679" i="2"/>
  <c r="P679" i="2"/>
  <c r="O678" i="2"/>
  <c r="N678" i="2"/>
  <c r="Q678" i="2"/>
  <c r="P678" i="2"/>
  <c r="O677" i="2"/>
  <c r="N677" i="2"/>
  <c r="Q677" i="2"/>
  <c r="P677" i="2"/>
  <c r="O676" i="2"/>
  <c r="N676" i="2"/>
  <c r="Q676" i="2"/>
  <c r="P676" i="2"/>
  <c r="O675" i="2"/>
  <c r="N675" i="2"/>
  <c r="Q675" i="2"/>
  <c r="P675" i="2"/>
  <c r="O674" i="2"/>
  <c r="N674" i="2"/>
  <c r="Q674" i="2"/>
  <c r="P674" i="2"/>
  <c r="O673" i="2"/>
  <c r="N673" i="2"/>
  <c r="Q673" i="2"/>
  <c r="P673" i="2"/>
  <c r="O672" i="2"/>
  <c r="N672" i="2"/>
  <c r="Q672" i="2"/>
  <c r="P672" i="2"/>
  <c r="O671" i="2"/>
  <c r="N671" i="2"/>
  <c r="Q671" i="2"/>
  <c r="P671" i="2"/>
  <c r="O670" i="2"/>
  <c r="N670" i="2"/>
  <c r="Q670" i="2"/>
  <c r="P670" i="2"/>
  <c r="O669" i="2"/>
  <c r="N669" i="2"/>
  <c r="Q669" i="2"/>
  <c r="P669" i="2"/>
  <c r="O668" i="2"/>
  <c r="N668" i="2"/>
  <c r="Q668" i="2"/>
  <c r="P668" i="2"/>
  <c r="O667" i="2"/>
  <c r="N667" i="2"/>
  <c r="Q667" i="2"/>
  <c r="P667" i="2"/>
  <c r="O666" i="2"/>
  <c r="N666" i="2"/>
  <c r="Q666" i="2"/>
  <c r="P666" i="2"/>
  <c r="O665" i="2"/>
  <c r="N665" i="2"/>
  <c r="Q665" i="2"/>
  <c r="P665" i="2"/>
  <c r="O664" i="2"/>
  <c r="N664" i="2"/>
  <c r="Q664" i="2"/>
  <c r="P664" i="2"/>
  <c r="O663" i="2"/>
  <c r="N663" i="2"/>
  <c r="Q663" i="2"/>
  <c r="P663" i="2"/>
  <c r="O662" i="2"/>
  <c r="N662" i="2"/>
  <c r="Q662" i="2"/>
  <c r="P662" i="2"/>
  <c r="O661" i="2"/>
  <c r="N661" i="2"/>
  <c r="Q661" i="2"/>
  <c r="P661" i="2"/>
  <c r="O660" i="2"/>
  <c r="N660" i="2"/>
  <c r="Q660" i="2"/>
  <c r="P660" i="2"/>
  <c r="O659" i="2"/>
  <c r="N659" i="2"/>
  <c r="Q659" i="2"/>
  <c r="P659" i="2"/>
  <c r="O658" i="2"/>
  <c r="N658" i="2"/>
  <c r="Q658" i="2"/>
  <c r="P658" i="2"/>
  <c r="O657" i="2"/>
  <c r="N657" i="2"/>
  <c r="Q657" i="2"/>
  <c r="P657" i="2"/>
  <c r="O656" i="2"/>
  <c r="N656" i="2"/>
  <c r="Q656" i="2"/>
  <c r="P656" i="2"/>
  <c r="O655" i="2"/>
  <c r="N655" i="2"/>
  <c r="Q655" i="2"/>
  <c r="P655" i="2"/>
  <c r="O654" i="2"/>
  <c r="N654" i="2"/>
  <c r="Q654" i="2"/>
  <c r="P654" i="2"/>
  <c r="O653" i="2"/>
  <c r="N653" i="2"/>
  <c r="Q653" i="2"/>
  <c r="P653" i="2"/>
  <c r="O652" i="2"/>
  <c r="N652" i="2"/>
  <c r="Q652" i="2"/>
  <c r="P652" i="2"/>
  <c r="O651" i="2"/>
  <c r="N651" i="2"/>
  <c r="Q651" i="2"/>
  <c r="P651" i="2"/>
  <c r="O650" i="2"/>
  <c r="N650" i="2"/>
  <c r="Q650" i="2"/>
  <c r="P650" i="2"/>
  <c r="O649" i="2"/>
  <c r="N649" i="2"/>
  <c r="Q649" i="2"/>
  <c r="P649" i="2"/>
  <c r="O648" i="2"/>
  <c r="N648" i="2"/>
  <c r="Q648" i="2"/>
  <c r="P648" i="2"/>
  <c r="O647" i="2"/>
  <c r="N647" i="2"/>
  <c r="Q647" i="2"/>
  <c r="P647" i="2"/>
  <c r="O646" i="2"/>
  <c r="N646" i="2"/>
  <c r="Q646" i="2"/>
  <c r="P646" i="2"/>
  <c r="O645" i="2"/>
  <c r="N645" i="2"/>
  <c r="Q645" i="2"/>
  <c r="P645" i="2"/>
  <c r="O644" i="2"/>
  <c r="N644" i="2"/>
  <c r="Q644" i="2"/>
  <c r="P644" i="2"/>
  <c r="O643" i="2"/>
  <c r="N643" i="2"/>
  <c r="Q643" i="2"/>
  <c r="P643" i="2"/>
  <c r="O642" i="2"/>
  <c r="N642" i="2"/>
  <c r="Q642" i="2"/>
  <c r="P642" i="2"/>
  <c r="O641" i="2"/>
  <c r="N641" i="2"/>
  <c r="Q641" i="2"/>
  <c r="P641" i="2"/>
  <c r="O640" i="2"/>
  <c r="N640" i="2"/>
  <c r="Q640" i="2"/>
  <c r="P640" i="2"/>
  <c r="O639" i="2"/>
  <c r="N639" i="2"/>
  <c r="Q639" i="2"/>
  <c r="P639" i="2"/>
  <c r="O638" i="2"/>
  <c r="N638" i="2"/>
  <c r="Q638" i="2"/>
  <c r="P638" i="2"/>
  <c r="O637" i="2"/>
  <c r="N637" i="2"/>
  <c r="Q637" i="2"/>
  <c r="P637" i="2"/>
  <c r="O636" i="2"/>
  <c r="N636" i="2"/>
  <c r="Q636" i="2"/>
  <c r="P636" i="2"/>
  <c r="O635" i="2"/>
  <c r="N635" i="2"/>
  <c r="Q635" i="2"/>
  <c r="P635" i="2"/>
  <c r="O634" i="2"/>
  <c r="N634" i="2"/>
  <c r="Q634" i="2"/>
  <c r="P634" i="2"/>
  <c r="O633" i="2"/>
  <c r="N633" i="2"/>
  <c r="Q633" i="2"/>
  <c r="P633" i="2"/>
  <c r="O632" i="2"/>
  <c r="N632" i="2"/>
  <c r="Q632" i="2"/>
  <c r="P632" i="2"/>
  <c r="O631" i="2"/>
  <c r="N631" i="2"/>
  <c r="Q631" i="2"/>
  <c r="P631" i="2"/>
  <c r="O630" i="2"/>
  <c r="N630" i="2"/>
  <c r="Q630" i="2"/>
  <c r="P630" i="2"/>
  <c r="O629" i="2"/>
  <c r="N629" i="2"/>
  <c r="Q629" i="2"/>
  <c r="P629" i="2"/>
  <c r="O628" i="2"/>
  <c r="N628" i="2"/>
  <c r="Q628" i="2"/>
  <c r="P628" i="2"/>
  <c r="O627" i="2"/>
  <c r="N627" i="2"/>
  <c r="Q627" i="2"/>
  <c r="P627" i="2"/>
  <c r="O626" i="2"/>
  <c r="N626" i="2"/>
  <c r="Q626" i="2"/>
  <c r="P626" i="2"/>
  <c r="O625" i="2"/>
  <c r="N625" i="2"/>
  <c r="Q625" i="2"/>
  <c r="P625" i="2"/>
  <c r="O624" i="2"/>
  <c r="N624" i="2"/>
  <c r="Q624" i="2"/>
  <c r="P624" i="2"/>
  <c r="O623" i="2"/>
  <c r="N623" i="2"/>
  <c r="Q623" i="2"/>
  <c r="P623" i="2"/>
  <c r="O622" i="2"/>
  <c r="N622" i="2"/>
  <c r="Q622" i="2"/>
  <c r="P622" i="2"/>
  <c r="O621" i="2"/>
  <c r="N621" i="2"/>
  <c r="Q621" i="2"/>
  <c r="P621" i="2"/>
  <c r="O620" i="2"/>
  <c r="N620" i="2"/>
  <c r="Q620" i="2"/>
  <c r="P620" i="2"/>
  <c r="O619" i="2"/>
  <c r="N619" i="2"/>
  <c r="Q619" i="2"/>
  <c r="P619" i="2"/>
  <c r="O618" i="2"/>
  <c r="N618" i="2"/>
  <c r="Q618" i="2"/>
  <c r="P618" i="2"/>
  <c r="O617" i="2"/>
  <c r="N617" i="2"/>
  <c r="Q617" i="2"/>
  <c r="P617" i="2"/>
  <c r="O616" i="2"/>
  <c r="N616" i="2"/>
  <c r="Q616" i="2"/>
  <c r="P616" i="2"/>
  <c r="O615" i="2"/>
  <c r="N615" i="2"/>
  <c r="Q615" i="2"/>
  <c r="P615" i="2"/>
  <c r="O614" i="2"/>
  <c r="N614" i="2"/>
  <c r="Q614" i="2"/>
  <c r="P614" i="2"/>
  <c r="O613" i="2"/>
  <c r="N613" i="2"/>
  <c r="Q613" i="2"/>
  <c r="P613" i="2"/>
  <c r="O612" i="2"/>
  <c r="N612" i="2"/>
  <c r="Q612" i="2"/>
  <c r="P612" i="2"/>
  <c r="O611" i="2"/>
  <c r="N611" i="2"/>
  <c r="Q611" i="2"/>
  <c r="P611" i="2"/>
  <c r="O610" i="2"/>
  <c r="N610" i="2"/>
  <c r="Q610" i="2"/>
  <c r="P610" i="2"/>
  <c r="O609" i="2"/>
  <c r="N609" i="2"/>
  <c r="Q609" i="2"/>
  <c r="P609" i="2"/>
  <c r="O608" i="2"/>
  <c r="N608" i="2"/>
  <c r="Q608" i="2"/>
  <c r="P608" i="2"/>
  <c r="O607" i="2"/>
  <c r="N607" i="2"/>
  <c r="Q607" i="2"/>
  <c r="P607" i="2"/>
  <c r="O606" i="2"/>
  <c r="N606" i="2"/>
  <c r="Q606" i="2"/>
  <c r="P606" i="2"/>
  <c r="O605" i="2"/>
  <c r="N605" i="2"/>
  <c r="Q605" i="2"/>
  <c r="P605" i="2"/>
  <c r="O604" i="2"/>
  <c r="N604" i="2"/>
  <c r="Q604" i="2"/>
  <c r="P604" i="2"/>
  <c r="O603" i="2"/>
  <c r="N603" i="2"/>
  <c r="Q603" i="2"/>
  <c r="P603" i="2"/>
  <c r="O602" i="2"/>
  <c r="N602" i="2"/>
  <c r="Q602" i="2"/>
  <c r="P602" i="2"/>
  <c r="O601" i="2"/>
  <c r="N601" i="2"/>
  <c r="Q601" i="2"/>
  <c r="P601" i="2"/>
  <c r="O600" i="2"/>
  <c r="N600" i="2"/>
  <c r="Q600" i="2"/>
  <c r="P600" i="2"/>
  <c r="O599" i="2"/>
  <c r="N599" i="2"/>
  <c r="Q599" i="2"/>
  <c r="P599" i="2"/>
  <c r="O598" i="2"/>
  <c r="N598" i="2"/>
  <c r="Q598" i="2"/>
  <c r="P598" i="2"/>
  <c r="O597" i="2"/>
  <c r="N597" i="2"/>
  <c r="Q597" i="2"/>
  <c r="P597" i="2"/>
  <c r="O596" i="2"/>
  <c r="N596" i="2"/>
  <c r="Q596" i="2"/>
  <c r="P596" i="2"/>
  <c r="O595" i="2"/>
  <c r="N595" i="2"/>
  <c r="Q595" i="2"/>
  <c r="P595" i="2"/>
  <c r="O594" i="2"/>
  <c r="N594" i="2"/>
  <c r="Q594" i="2"/>
  <c r="P594" i="2"/>
  <c r="O593" i="2"/>
  <c r="N593" i="2"/>
  <c r="Q593" i="2"/>
  <c r="P593" i="2"/>
  <c r="O592" i="2"/>
  <c r="N592" i="2"/>
  <c r="Q592" i="2"/>
  <c r="P592" i="2"/>
  <c r="O591" i="2"/>
  <c r="N591" i="2"/>
  <c r="Q591" i="2"/>
  <c r="P591" i="2"/>
  <c r="O590" i="2"/>
  <c r="N590" i="2"/>
  <c r="Q590" i="2"/>
  <c r="P590" i="2"/>
  <c r="O589" i="2"/>
  <c r="N589" i="2"/>
  <c r="Q589" i="2"/>
  <c r="P589" i="2"/>
  <c r="O588" i="2"/>
  <c r="N588" i="2"/>
  <c r="Q588" i="2"/>
  <c r="P588" i="2"/>
  <c r="O587" i="2"/>
  <c r="N587" i="2"/>
  <c r="Q587" i="2"/>
  <c r="P587" i="2"/>
  <c r="O586" i="2"/>
  <c r="N586" i="2"/>
  <c r="Q586" i="2"/>
  <c r="P586" i="2"/>
  <c r="O585" i="2"/>
  <c r="N585" i="2"/>
  <c r="Q585" i="2"/>
  <c r="P585" i="2"/>
  <c r="O584" i="2"/>
  <c r="N584" i="2"/>
  <c r="Q584" i="2"/>
  <c r="P584" i="2"/>
  <c r="O583" i="2"/>
  <c r="N583" i="2"/>
  <c r="Q583" i="2"/>
  <c r="P583" i="2"/>
  <c r="O582" i="2"/>
  <c r="N582" i="2"/>
  <c r="Q582" i="2"/>
  <c r="P582" i="2"/>
  <c r="O581" i="2"/>
  <c r="N581" i="2"/>
  <c r="Q581" i="2"/>
  <c r="P581" i="2"/>
  <c r="O580" i="2"/>
  <c r="N580" i="2"/>
  <c r="Q580" i="2"/>
  <c r="P580" i="2"/>
  <c r="O579" i="2"/>
  <c r="N579" i="2"/>
  <c r="Q579" i="2"/>
  <c r="P579" i="2"/>
  <c r="O578" i="2"/>
  <c r="N578" i="2"/>
  <c r="Q578" i="2"/>
  <c r="P578" i="2"/>
  <c r="O577" i="2"/>
  <c r="N577" i="2"/>
  <c r="Q577" i="2"/>
  <c r="P577" i="2"/>
  <c r="O576" i="2"/>
  <c r="N576" i="2"/>
  <c r="Q576" i="2"/>
  <c r="P576" i="2"/>
  <c r="O575" i="2"/>
  <c r="N575" i="2"/>
  <c r="Q575" i="2"/>
  <c r="P575" i="2"/>
  <c r="O574" i="2"/>
  <c r="N574" i="2"/>
  <c r="Q574" i="2"/>
  <c r="P574" i="2"/>
  <c r="O573" i="2"/>
  <c r="N573" i="2"/>
  <c r="Q573" i="2"/>
  <c r="P573" i="2"/>
  <c r="O572" i="2"/>
  <c r="N572" i="2"/>
  <c r="Q572" i="2"/>
  <c r="P572" i="2"/>
  <c r="O571" i="2"/>
  <c r="N571" i="2"/>
  <c r="Q571" i="2"/>
  <c r="P571" i="2"/>
  <c r="O570" i="2"/>
  <c r="N570" i="2"/>
  <c r="Q570" i="2"/>
  <c r="P570" i="2"/>
  <c r="O569" i="2"/>
  <c r="N569" i="2"/>
  <c r="Q569" i="2"/>
  <c r="P569" i="2"/>
  <c r="O568" i="2"/>
  <c r="N568" i="2"/>
  <c r="Q568" i="2"/>
  <c r="P568" i="2"/>
  <c r="O567" i="2"/>
  <c r="N567" i="2"/>
  <c r="Q567" i="2"/>
  <c r="P567" i="2"/>
  <c r="O566" i="2"/>
  <c r="N566" i="2"/>
  <c r="Q566" i="2"/>
  <c r="P566" i="2"/>
  <c r="O565" i="2"/>
  <c r="N565" i="2"/>
  <c r="Q565" i="2"/>
  <c r="P565" i="2"/>
  <c r="O564" i="2"/>
  <c r="N564" i="2"/>
  <c r="Q564" i="2"/>
  <c r="P564" i="2"/>
  <c r="O563" i="2"/>
  <c r="N563" i="2"/>
  <c r="Q563" i="2"/>
  <c r="P563" i="2"/>
  <c r="O562" i="2"/>
  <c r="N562" i="2"/>
  <c r="Q562" i="2"/>
  <c r="P562" i="2"/>
  <c r="O561" i="2"/>
  <c r="N561" i="2"/>
  <c r="Q561" i="2"/>
  <c r="P561" i="2"/>
  <c r="O560" i="2"/>
  <c r="N560" i="2"/>
  <c r="Q560" i="2"/>
  <c r="P560" i="2"/>
  <c r="O559" i="2"/>
  <c r="N559" i="2"/>
  <c r="Q559" i="2"/>
  <c r="P559" i="2"/>
  <c r="O558" i="2"/>
  <c r="N558" i="2"/>
  <c r="Q558" i="2"/>
  <c r="P558" i="2"/>
  <c r="O557" i="2"/>
  <c r="N557" i="2"/>
  <c r="Q557" i="2"/>
  <c r="P557" i="2"/>
  <c r="O556" i="2"/>
  <c r="N556" i="2"/>
  <c r="Q556" i="2"/>
  <c r="P556" i="2"/>
  <c r="O555" i="2"/>
  <c r="N555" i="2"/>
  <c r="Q555" i="2"/>
  <c r="P555" i="2"/>
  <c r="O554" i="2"/>
  <c r="N554" i="2"/>
  <c r="Q554" i="2"/>
  <c r="P554" i="2"/>
  <c r="O553" i="2"/>
  <c r="N553" i="2"/>
  <c r="Q553" i="2"/>
  <c r="P553" i="2"/>
  <c r="O552" i="2"/>
  <c r="N552" i="2"/>
  <c r="Q552" i="2"/>
  <c r="P552" i="2"/>
  <c r="O551" i="2"/>
  <c r="N551" i="2"/>
  <c r="Q551" i="2"/>
  <c r="P551" i="2"/>
  <c r="O550" i="2"/>
  <c r="N550" i="2"/>
  <c r="Q550" i="2"/>
  <c r="P550" i="2"/>
  <c r="O549" i="2"/>
  <c r="N549" i="2"/>
  <c r="Q549" i="2"/>
  <c r="P549" i="2"/>
  <c r="O548" i="2"/>
  <c r="N548" i="2"/>
  <c r="Q548" i="2"/>
  <c r="P548" i="2"/>
  <c r="O547" i="2"/>
  <c r="N547" i="2"/>
  <c r="Q547" i="2"/>
  <c r="P547" i="2"/>
  <c r="O546" i="2"/>
  <c r="N546" i="2"/>
  <c r="Q546" i="2"/>
  <c r="P546" i="2"/>
  <c r="O545" i="2"/>
  <c r="N545" i="2"/>
  <c r="Q545" i="2"/>
  <c r="P545" i="2"/>
  <c r="O544" i="2"/>
  <c r="N544" i="2"/>
  <c r="Q544" i="2"/>
  <c r="P544" i="2"/>
  <c r="O543" i="2"/>
  <c r="N543" i="2"/>
  <c r="Q543" i="2"/>
  <c r="P543" i="2"/>
  <c r="O542" i="2"/>
  <c r="N542" i="2"/>
  <c r="Q542" i="2"/>
  <c r="P542" i="2"/>
  <c r="O541" i="2"/>
  <c r="N541" i="2"/>
  <c r="Q541" i="2"/>
  <c r="P541" i="2"/>
  <c r="O540" i="2"/>
  <c r="N540" i="2"/>
  <c r="Q540" i="2"/>
  <c r="P540" i="2"/>
  <c r="O539" i="2"/>
  <c r="N539" i="2"/>
  <c r="Q539" i="2"/>
  <c r="P539" i="2"/>
  <c r="O538" i="2"/>
  <c r="N538" i="2"/>
  <c r="Q538" i="2"/>
  <c r="P538" i="2"/>
  <c r="O537" i="2"/>
  <c r="N537" i="2"/>
  <c r="Q537" i="2"/>
  <c r="P537" i="2"/>
  <c r="O536" i="2"/>
  <c r="N536" i="2"/>
  <c r="Q536" i="2"/>
  <c r="P536" i="2"/>
  <c r="O535" i="2"/>
  <c r="N535" i="2"/>
  <c r="Q535" i="2"/>
  <c r="P535" i="2"/>
  <c r="O534" i="2"/>
  <c r="N534" i="2"/>
  <c r="Q534" i="2"/>
  <c r="P534" i="2"/>
  <c r="O533" i="2"/>
  <c r="N533" i="2"/>
  <c r="Q533" i="2"/>
  <c r="P533" i="2"/>
  <c r="O532" i="2"/>
  <c r="N532" i="2"/>
  <c r="Q532" i="2"/>
  <c r="P532" i="2"/>
  <c r="O531" i="2"/>
  <c r="N531" i="2"/>
  <c r="Q531" i="2"/>
  <c r="P531" i="2"/>
  <c r="O530" i="2"/>
  <c r="N530" i="2"/>
  <c r="Q530" i="2"/>
  <c r="P530" i="2"/>
  <c r="O529" i="2"/>
  <c r="N529" i="2"/>
  <c r="Q529" i="2"/>
  <c r="P529" i="2"/>
  <c r="O528" i="2"/>
  <c r="N528" i="2"/>
  <c r="Q528" i="2"/>
  <c r="P528" i="2"/>
  <c r="O527" i="2"/>
  <c r="N527" i="2"/>
  <c r="Q527" i="2"/>
  <c r="P527" i="2"/>
  <c r="O526" i="2"/>
  <c r="N526" i="2"/>
  <c r="Q526" i="2"/>
  <c r="P526" i="2"/>
  <c r="O525" i="2"/>
  <c r="N525" i="2"/>
  <c r="Q525" i="2"/>
  <c r="P525" i="2"/>
  <c r="O524" i="2"/>
  <c r="N524" i="2"/>
  <c r="Q524" i="2"/>
  <c r="P524" i="2"/>
  <c r="O523" i="2"/>
  <c r="N523" i="2"/>
  <c r="Q523" i="2"/>
  <c r="P523" i="2"/>
  <c r="O522" i="2"/>
  <c r="N522" i="2"/>
  <c r="Q522" i="2"/>
  <c r="P522" i="2"/>
  <c r="O521" i="2"/>
  <c r="N521" i="2"/>
  <c r="Q521" i="2"/>
  <c r="P521" i="2"/>
  <c r="O520" i="2"/>
  <c r="N520" i="2"/>
  <c r="Q520" i="2"/>
  <c r="P520" i="2"/>
  <c r="O519" i="2"/>
  <c r="N519" i="2"/>
  <c r="Q519" i="2"/>
  <c r="P519" i="2"/>
  <c r="O518" i="2"/>
  <c r="N518" i="2"/>
  <c r="Q518" i="2"/>
  <c r="P518" i="2"/>
  <c r="O517" i="2"/>
  <c r="N517" i="2"/>
  <c r="Q517" i="2"/>
  <c r="P517" i="2"/>
  <c r="O516" i="2"/>
  <c r="N516" i="2"/>
  <c r="Q516" i="2"/>
  <c r="P516" i="2"/>
  <c r="O515" i="2"/>
  <c r="N515" i="2"/>
  <c r="Q515" i="2"/>
  <c r="P515" i="2"/>
  <c r="O514" i="2"/>
  <c r="N514" i="2"/>
  <c r="Q514" i="2"/>
  <c r="P514" i="2"/>
  <c r="O513" i="2"/>
  <c r="N513" i="2"/>
  <c r="Q513" i="2"/>
  <c r="P513" i="2"/>
  <c r="O512" i="2"/>
  <c r="N512" i="2"/>
  <c r="Q512" i="2"/>
  <c r="P512" i="2"/>
  <c r="O511" i="2"/>
  <c r="N511" i="2"/>
  <c r="Q511" i="2"/>
  <c r="P511" i="2"/>
  <c r="O510" i="2"/>
  <c r="N510" i="2"/>
  <c r="Q510" i="2"/>
  <c r="P510" i="2"/>
  <c r="O509" i="2"/>
  <c r="N509" i="2"/>
  <c r="Q509" i="2"/>
  <c r="P509" i="2"/>
  <c r="O508" i="2"/>
  <c r="N508" i="2"/>
  <c r="Q508" i="2"/>
  <c r="P508" i="2"/>
  <c r="O507" i="2"/>
  <c r="N507" i="2"/>
  <c r="Q507" i="2"/>
  <c r="P507" i="2"/>
  <c r="O506" i="2"/>
  <c r="N506" i="2"/>
  <c r="Q506" i="2"/>
  <c r="P506" i="2"/>
  <c r="O505" i="2"/>
  <c r="N505" i="2"/>
  <c r="Q505" i="2"/>
  <c r="P505" i="2"/>
  <c r="O504" i="2"/>
  <c r="N504" i="2"/>
  <c r="Q504" i="2"/>
  <c r="P504" i="2"/>
  <c r="O503" i="2"/>
  <c r="N503" i="2"/>
  <c r="Q503" i="2"/>
  <c r="P503" i="2"/>
  <c r="O502" i="2"/>
  <c r="N502" i="2"/>
  <c r="Q502" i="2"/>
  <c r="P502" i="2"/>
  <c r="O501" i="2"/>
  <c r="N501" i="2"/>
  <c r="Q501" i="2"/>
  <c r="P501" i="2"/>
  <c r="O500" i="2"/>
  <c r="N500" i="2"/>
  <c r="Q500" i="2"/>
  <c r="P500" i="2"/>
  <c r="O499" i="2"/>
  <c r="N499" i="2"/>
  <c r="Q499" i="2"/>
  <c r="P499" i="2"/>
  <c r="O498" i="2"/>
  <c r="N498" i="2"/>
  <c r="Q498" i="2"/>
  <c r="P498" i="2"/>
  <c r="O497" i="2"/>
  <c r="N497" i="2"/>
  <c r="Q497" i="2"/>
  <c r="P497" i="2"/>
  <c r="O496" i="2"/>
  <c r="N496" i="2"/>
  <c r="Q496" i="2"/>
  <c r="P496" i="2"/>
  <c r="O495" i="2"/>
  <c r="N495" i="2"/>
  <c r="Q495" i="2"/>
  <c r="P495" i="2"/>
  <c r="O494" i="2"/>
  <c r="N494" i="2"/>
  <c r="Q494" i="2"/>
  <c r="P494" i="2"/>
  <c r="O493" i="2"/>
  <c r="N493" i="2"/>
  <c r="Q493" i="2"/>
  <c r="P493" i="2"/>
  <c r="O492" i="2"/>
  <c r="N492" i="2"/>
  <c r="Q492" i="2"/>
  <c r="P492" i="2"/>
  <c r="O491" i="2"/>
  <c r="N491" i="2"/>
  <c r="Q491" i="2"/>
  <c r="P491" i="2"/>
  <c r="O490" i="2"/>
  <c r="N490" i="2"/>
  <c r="Q490" i="2"/>
  <c r="P490" i="2"/>
  <c r="O489" i="2"/>
  <c r="N489" i="2"/>
  <c r="Q489" i="2"/>
  <c r="P489" i="2"/>
  <c r="O488" i="2"/>
  <c r="N488" i="2"/>
  <c r="Q488" i="2"/>
  <c r="P488" i="2"/>
  <c r="O487" i="2"/>
  <c r="N487" i="2"/>
  <c r="Q487" i="2"/>
  <c r="P487" i="2"/>
  <c r="O486" i="2"/>
  <c r="N486" i="2"/>
  <c r="Q486" i="2"/>
  <c r="P486" i="2"/>
  <c r="O485" i="2"/>
  <c r="N485" i="2"/>
  <c r="Q485" i="2"/>
  <c r="P485" i="2"/>
  <c r="O484" i="2"/>
  <c r="N484" i="2"/>
  <c r="Q484" i="2"/>
  <c r="P484" i="2"/>
  <c r="O483" i="2"/>
  <c r="N483" i="2"/>
  <c r="Q483" i="2"/>
  <c r="P483" i="2"/>
  <c r="O482" i="2"/>
  <c r="N482" i="2"/>
  <c r="Q482" i="2"/>
  <c r="P482" i="2"/>
  <c r="O481" i="2"/>
  <c r="N481" i="2"/>
  <c r="Q481" i="2"/>
  <c r="P481" i="2"/>
  <c r="O480" i="2"/>
  <c r="N480" i="2"/>
  <c r="Q480" i="2"/>
  <c r="P480" i="2"/>
  <c r="O479" i="2"/>
  <c r="N479" i="2"/>
  <c r="Q479" i="2"/>
  <c r="P479" i="2"/>
  <c r="O478" i="2"/>
  <c r="N478" i="2"/>
  <c r="Q478" i="2"/>
  <c r="P478" i="2"/>
  <c r="O477" i="2"/>
  <c r="N477" i="2"/>
  <c r="Q477" i="2"/>
  <c r="P477" i="2"/>
  <c r="O476" i="2"/>
  <c r="N476" i="2"/>
  <c r="Q476" i="2"/>
  <c r="P476" i="2"/>
  <c r="O475" i="2"/>
  <c r="N475" i="2"/>
  <c r="Q475" i="2"/>
  <c r="P475" i="2"/>
  <c r="O474" i="2"/>
  <c r="N474" i="2"/>
  <c r="Q474" i="2"/>
  <c r="P474" i="2"/>
  <c r="O473" i="2"/>
  <c r="N473" i="2"/>
  <c r="Q473" i="2"/>
  <c r="P473" i="2"/>
  <c r="O472" i="2"/>
  <c r="N472" i="2"/>
  <c r="Q472" i="2"/>
  <c r="P472" i="2"/>
  <c r="O471" i="2"/>
  <c r="N471" i="2"/>
  <c r="Q471" i="2"/>
  <c r="P471" i="2"/>
  <c r="O470" i="2"/>
  <c r="N470" i="2"/>
  <c r="Q470" i="2"/>
  <c r="P470" i="2"/>
  <c r="O469" i="2"/>
  <c r="N469" i="2"/>
  <c r="Q469" i="2"/>
  <c r="P469" i="2"/>
  <c r="O468" i="2"/>
  <c r="N468" i="2"/>
  <c r="Q468" i="2"/>
  <c r="P468" i="2"/>
  <c r="O467" i="2"/>
  <c r="N467" i="2"/>
  <c r="Q467" i="2"/>
  <c r="P467" i="2"/>
  <c r="O466" i="2"/>
  <c r="N466" i="2"/>
  <c r="Q466" i="2"/>
  <c r="P466" i="2"/>
  <c r="O465" i="2"/>
  <c r="N465" i="2"/>
  <c r="Q465" i="2"/>
  <c r="P465" i="2"/>
  <c r="O464" i="2"/>
  <c r="N464" i="2"/>
  <c r="Q464" i="2"/>
  <c r="P464" i="2"/>
  <c r="O463" i="2"/>
  <c r="N463" i="2"/>
  <c r="Q463" i="2"/>
  <c r="P463" i="2"/>
  <c r="O462" i="2"/>
  <c r="N462" i="2"/>
  <c r="Q462" i="2"/>
  <c r="P462" i="2"/>
  <c r="O461" i="2"/>
  <c r="N461" i="2"/>
  <c r="Q461" i="2"/>
  <c r="P461" i="2"/>
  <c r="O460" i="2"/>
  <c r="N460" i="2"/>
  <c r="Q460" i="2"/>
  <c r="P460" i="2"/>
  <c r="O459" i="2"/>
  <c r="N459" i="2"/>
  <c r="Q459" i="2"/>
  <c r="P459" i="2"/>
  <c r="O458" i="2"/>
  <c r="N458" i="2"/>
  <c r="Q458" i="2"/>
  <c r="P458" i="2"/>
  <c r="O457" i="2"/>
  <c r="N457" i="2"/>
  <c r="Q457" i="2"/>
  <c r="P457" i="2"/>
  <c r="O456" i="2"/>
  <c r="N456" i="2"/>
  <c r="Q456" i="2"/>
  <c r="P456" i="2"/>
  <c r="O455" i="2"/>
  <c r="N455" i="2"/>
  <c r="Q455" i="2"/>
  <c r="P455" i="2"/>
  <c r="O454" i="2"/>
  <c r="N454" i="2"/>
  <c r="Q454" i="2"/>
  <c r="P454" i="2"/>
  <c r="O453" i="2"/>
  <c r="N453" i="2"/>
  <c r="Q453" i="2"/>
  <c r="P453" i="2"/>
  <c r="O452" i="2"/>
  <c r="N452" i="2"/>
  <c r="Q452" i="2"/>
  <c r="P452" i="2"/>
  <c r="O451" i="2"/>
  <c r="N451" i="2"/>
  <c r="Q451" i="2"/>
  <c r="P451" i="2"/>
  <c r="O450" i="2"/>
  <c r="N450" i="2"/>
  <c r="Q450" i="2"/>
  <c r="P450" i="2"/>
  <c r="O449" i="2"/>
  <c r="N449" i="2"/>
  <c r="Q449" i="2"/>
  <c r="P449" i="2"/>
  <c r="O448" i="2"/>
  <c r="N448" i="2"/>
  <c r="Q448" i="2"/>
  <c r="P448" i="2"/>
  <c r="O447" i="2"/>
  <c r="N447" i="2"/>
  <c r="Q447" i="2"/>
  <c r="P447" i="2"/>
  <c r="O446" i="2"/>
  <c r="N446" i="2"/>
  <c r="Q446" i="2"/>
  <c r="P446" i="2"/>
  <c r="O445" i="2"/>
  <c r="N445" i="2"/>
  <c r="Q445" i="2"/>
  <c r="P445" i="2"/>
  <c r="O444" i="2"/>
  <c r="N444" i="2"/>
  <c r="Q444" i="2"/>
  <c r="P444" i="2"/>
  <c r="O443" i="2"/>
  <c r="N443" i="2"/>
  <c r="Q443" i="2"/>
  <c r="P443" i="2"/>
  <c r="O442" i="2"/>
  <c r="N442" i="2"/>
  <c r="Q442" i="2"/>
  <c r="P442" i="2"/>
  <c r="O441" i="2"/>
  <c r="N441" i="2"/>
  <c r="Q441" i="2"/>
  <c r="P441" i="2"/>
  <c r="O440" i="2"/>
  <c r="N440" i="2"/>
  <c r="Q440" i="2"/>
  <c r="P440" i="2"/>
  <c r="O439" i="2"/>
  <c r="N439" i="2"/>
  <c r="Q439" i="2"/>
  <c r="P439" i="2"/>
  <c r="O438" i="2"/>
  <c r="N438" i="2"/>
  <c r="Q438" i="2"/>
  <c r="P438" i="2"/>
  <c r="O437" i="2"/>
  <c r="N437" i="2"/>
  <c r="Q437" i="2"/>
  <c r="P437" i="2"/>
  <c r="O436" i="2"/>
  <c r="N436" i="2"/>
  <c r="Q436" i="2"/>
  <c r="P436" i="2"/>
  <c r="O435" i="2"/>
  <c r="N435" i="2"/>
  <c r="Q435" i="2"/>
  <c r="P435" i="2"/>
  <c r="O434" i="2"/>
  <c r="N434" i="2"/>
  <c r="Q434" i="2"/>
  <c r="P434" i="2"/>
  <c r="O433" i="2"/>
  <c r="N433" i="2"/>
  <c r="Q433" i="2"/>
  <c r="P433" i="2"/>
  <c r="O432" i="2"/>
  <c r="N432" i="2"/>
  <c r="Q432" i="2"/>
  <c r="P432" i="2"/>
  <c r="O431" i="2"/>
  <c r="N431" i="2"/>
  <c r="Q431" i="2"/>
  <c r="P431" i="2"/>
  <c r="O430" i="2"/>
  <c r="N430" i="2"/>
  <c r="Q430" i="2"/>
  <c r="P430" i="2"/>
  <c r="O429" i="2"/>
  <c r="N429" i="2"/>
  <c r="Q429" i="2"/>
  <c r="P429" i="2"/>
  <c r="O428" i="2"/>
  <c r="N428" i="2"/>
  <c r="Q428" i="2"/>
  <c r="P428" i="2"/>
  <c r="O427" i="2"/>
  <c r="N427" i="2"/>
  <c r="Q427" i="2"/>
  <c r="P427" i="2"/>
  <c r="O426" i="2"/>
  <c r="N426" i="2"/>
  <c r="Q426" i="2"/>
  <c r="P426" i="2"/>
  <c r="O425" i="2"/>
  <c r="N425" i="2"/>
  <c r="Q425" i="2"/>
  <c r="P425" i="2"/>
  <c r="O424" i="2"/>
  <c r="N424" i="2"/>
  <c r="Q424" i="2"/>
  <c r="P424" i="2"/>
  <c r="O423" i="2"/>
  <c r="N423" i="2"/>
  <c r="Q423" i="2"/>
  <c r="P423" i="2"/>
  <c r="O422" i="2"/>
  <c r="N422" i="2"/>
  <c r="Q422" i="2"/>
  <c r="P422" i="2"/>
  <c r="O421" i="2"/>
  <c r="N421" i="2"/>
  <c r="Q421" i="2"/>
  <c r="P421" i="2"/>
  <c r="O420" i="2"/>
  <c r="N420" i="2"/>
  <c r="Q420" i="2"/>
  <c r="P420" i="2"/>
  <c r="O419" i="2"/>
  <c r="N419" i="2"/>
  <c r="Q419" i="2"/>
  <c r="P419" i="2"/>
  <c r="O418" i="2"/>
  <c r="N418" i="2"/>
  <c r="Q418" i="2"/>
  <c r="P418" i="2"/>
  <c r="O417" i="2"/>
  <c r="N417" i="2"/>
  <c r="Q417" i="2"/>
  <c r="P417" i="2"/>
  <c r="O416" i="2"/>
  <c r="N416" i="2"/>
  <c r="Q416" i="2"/>
  <c r="P416" i="2"/>
  <c r="O415" i="2"/>
  <c r="N415" i="2"/>
  <c r="Q415" i="2"/>
  <c r="P415" i="2"/>
  <c r="O414" i="2"/>
  <c r="N414" i="2"/>
  <c r="Q414" i="2"/>
  <c r="P414" i="2"/>
  <c r="O413" i="2"/>
  <c r="N413" i="2"/>
  <c r="Q413" i="2"/>
  <c r="P413" i="2"/>
  <c r="O412" i="2"/>
  <c r="N412" i="2"/>
  <c r="Q412" i="2"/>
  <c r="P412" i="2"/>
  <c r="O411" i="2"/>
  <c r="N411" i="2"/>
  <c r="Q411" i="2"/>
  <c r="P411" i="2"/>
  <c r="O410" i="2"/>
  <c r="N410" i="2"/>
  <c r="Q410" i="2"/>
  <c r="P410" i="2"/>
  <c r="O409" i="2"/>
  <c r="N409" i="2"/>
  <c r="Q409" i="2"/>
  <c r="P409" i="2"/>
  <c r="O408" i="2"/>
  <c r="N408" i="2"/>
  <c r="Q408" i="2"/>
  <c r="P408" i="2"/>
  <c r="O407" i="2"/>
  <c r="N407" i="2"/>
  <c r="Q407" i="2"/>
  <c r="P407" i="2"/>
  <c r="O406" i="2"/>
  <c r="N406" i="2"/>
  <c r="Q406" i="2"/>
  <c r="P406" i="2"/>
  <c r="O405" i="2"/>
  <c r="N405" i="2"/>
  <c r="Q405" i="2"/>
  <c r="P405" i="2"/>
  <c r="O404" i="2"/>
  <c r="N404" i="2"/>
  <c r="Q404" i="2"/>
  <c r="P404" i="2"/>
  <c r="O403" i="2"/>
  <c r="N403" i="2"/>
  <c r="Q403" i="2"/>
  <c r="P403" i="2"/>
  <c r="O402" i="2"/>
  <c r="N402" i="2"/>
  <c r="Q402" i="2"/>
  <c r="P402" i="2"/>
  <c r="O401" i="2"/>
  <c r="N401" i="2"/>
  <c r="Q401" i="2"/>
  <c r="P401" i="2"/>
  <c r="O400" i="2"/>
  <c r="N400" i="2"/>
  <c r="Q400" i="2"/>
  <c r="P400" i="2"/>
  <c r="O399" i="2"/>
  <c r="N399" i="2"/>
  <c r="Q399" i="2"/>
  <c r="P399" i="2"/>
  <c r="O398" i="2"/>
  <c r="N398" i="2"/>
  <c r="Q398" i="2"/>
  <c r="P398" i="2"/>
  <c r="O397" i="2"/>
  <c r="N397" i="2"/>
  <c r="Q397" i="2"/>
  <c r="P397" i="2"/>
  <c r="O396" i="2"/>
  <c r="N396" i="2"/>
  <c r="Q396" i="2"/>
  <c r="P396" i="2"/>
  <c r="O395" i="2"/>
  <c r="N395" i="2"/>
  <c r="Q395" i="2"/>
  <c r="P395" i="2"/>
  <c r="O394" i="2"/>
  <c r="N394" i="2"/>
  <c r="Q394" i="2"/>
  <c r="P394" i="2"/>
  <c r="O393" i="2"/>
  <c r="N393" i="2"/>
  <c r="Q393" i="2"/>
  <c r="P393" i="2"/>
  <c r="O392" i="2"/>
  <c r="N392" i="2"/>
  <c r="Q392" i="2"/>
  <c r="P392" i="2"/>
  <c r="O391" i="2"/>
  <c r="N391" i="2"/>
  <c r="Q391" i="2"/>
  <c r="P391" i="2"/>
  <c r="O390" i="2"/>
  <c r="N390" i="2"/>
  <c r="Q390" i="2"/>
  <c r="P390" i="2"/>
  <c r="O389" i="2"/>
  <c r="N389" i="2"/>
  <c r="Q389" i="2"/>
  <c r="P389" i="2"/>
  <c r="O388" i="2"/>
  <c r="N388" i="2"/>
  <c r="Q388" i="2"/>
  <c r="P388" i="2"/>
  <c r="O387" i="2"/>
  <c r="N387" i="2"/>
  <c r="Q387" i="2"/>
  <c r="P387" i="2"/>
  <c r="O386" i="2"/>
  <c r="N386" i="2"/>
  <c r="Q386" i="2"/>
  <c r="P386" i="2"/>
  <c r="O385" i="2"/>
  <c r="N385" i="2"/>
  <c r="Q385" i="2"/>
  <c r="P385" i="2"/>
  <c r="O384" i="2"/>
  <c r="N384" i="2"/>
  <c r="Q384" i="2"/>
  <c r="P384" i="2"/>
  <c r="O383" i="2"/>
  <c r="N383" i="2"/>
  <c r="Q383" i="2"/>
  <c r="P383" i="2"/>
  <c r="O382" i="2"/>
  <c r="N382" i="2"/>
  <c r="Q382" i="2"/>
  <c r="P382" i="2"/>
  <c r="O381" i="2"/>
  <c r="N381" i="2"/>
  <c r="Q381" i="2"/>
  <c r="P381" i="2"/>
  <c r="O380" i="2"/>
  <c r="N380" i="2"/>
  <c r="Q380" i="2"/>
  <c r="P380" i="2"/>
  <c r="O379" i="2"/>
  <c r="N379" i="2"/>
  <c r="Q379" i="2"/>
  <c r="P379" i="2"/>
  <c r="O378" i="2"/>
  <c r="N378" i="2"/>
  <c r="Q378" i="2"/>
  <c r="P378" i="2"/>
  <c r="O377" i="2"/>
  <c r="N377" i="2"/>
  <c r="Q377" i="2"/>
  <c r="P377" i="2"/>
  <c r="O376" i="2"/>
  <c r="N376" i="2"/>
  <c r="Q376" i="2"/>
  <c r="P376" i="2"/>
  <c r="O375" i="2"/>
  <c r="N375" i="2"/>
  <c r="Q375" i="2"/>
  <c r="P375" i="2"/>
  <c r="O374" i="2"/>
  <c r="N374" i="2"/>
  <c r="Q374" i="2"/>
  <c r="P374" i="2"/>
  <c r="O373" i="2"/>
  <c r="N373" i="2"/>
  <c r="Q373" i="2"/>
  <c r="P373" i="2"/>
  <c r="O372" i="2"/>
  <c r="N372" i="2"/>
  <c r="Q372" i="2"/>
  <c r="P372" i="2"/>
  <c r="O371" i="2"/>
  <c r="N371" i="2"/>
  <c r="Q371" i="2"/>
  <c r="P371" i="2"/>
  <c r="O370" i="2"/>
  <c r="N370" i="2"/>
  <c r="Q370" i="2"/>
  <c r="P370" i="2"/>
  <c r="O369" i="2"/>
  <c r="N369" i="2"/>
  <c r="Q369" i="2"/>
  <c r="P369" i="2"/>
  <c r="O368" i="2"/>
  <c r="N368" i="2"/>
  <c r="Q368" i="2"/>
  <c r="P368" i="2"/>
  <c r="O367" i="2"/>
  <c r="N367" i="2"/>
  <c r="Q367" i="2"/>
  <c r="P367" i="2"/>
  <c r="O366" i="2"/>
  <c r="N366" i="2"/>
  <c r="Q366" i="2"/>
  <c r="P366" i="2"/>
  <c r="O365" i="2"/>
  <c r="N365" i="2"/>
  <c r="Q365" i="2"/>
  <c r="P365" i="2"/>
  <c r="O364" i="2"/>
  <c r="N364" i="2"/>
  <c r="Q364" i="2"/>
  <c r="P364" i="2"/>
  <c r="O363" i="2"/>
  <c r="N363" i="2"/>
  <c r="Q363" i="2"/>
  <c r="P363" i="2"/>
  <c r="O362" i="2"/>
  <c r="N362" i="2"/>
  <c r="Q362" i="2"/>
  <c r="P362" i="2"/>
  <c r="O361" i="2"/>
  <c r="N361" i="2"/>
  <c r="Q361" i="2"/>
  <c r="P361" i="2"/>
  <c r="O360" i="2"/>
  <c r="N360" i="2"/>
  <c r="Q360" i="2"/>
  <c r="P360" i="2"/>
  <c r="O359" i="2"/>
  <c r="N359" i="2"/>
  <c r="Q359" i="2"/>
  <c r="P359" i="2"/>
  <c r="O358" i="2"/>
  <c r="N358" i="2"/>
  <c r="Q358" i="2"/>
  <c r="P358" i="2"/>
  <c r="O357" i="2"/>
  <c r="N357" i="2"/>
  <c r="Q357" i="2"/>
  <c r="P357" i="2"/>
  <c r="O356" i="2"/>
  <c r="N356" i="2"/>
  <c r="Q356" i="2"/>
  <c r="P356" i="2"/>
  <c r="O355" i="2"/>
  <c r="N355" i="2"/>
  <c r="Q355" i="2"/>
  <c r="P355" i="2"/>
  <c r="O354" i="2"/>
  <c r="N354" i="2"/>
  <c r="Q354" i="2"/>
  <c r="P354" i="2"/>
  <c r="O353" i="2"/>
  <c r="N353" i="2"/>
  <c r="Q353" i="2"/>
  <c r="P353" i="2"/>
  <c r="O352" i="2"/>
  <c r="N352" i="2"/>
  <c r="Q352" i="2"/>
  <c r="P352" i="2"/>
  <c r="O351" i="2"/>
  <c r="N351" i="2"/>
  <c r="Q351" i="2"/>
  <c r="P351" i="2"/>
  <c r="O350" i="2"/>
  <c r="N350" i="2"/>
  <c r="Q350" i="2"/>
  <c r="P350" i="2"/>
  <c r="O349" i="2"/>
  <c r="N349" i="2"/>
  <c r="Q349" i="2"/>
  <c r="P349" i="2"/>
  <c r="O348" i="2"/>
  <c r="N348" i="2"/>
  <c r="Q348" i="2"/>
  <c r="P348" i="2"/>
  <c r="O347" i="2"/>
  <c r="N347" i="2"/>
  <c r="Q347" i="2"/>
  <c r="P347" i="2"/>
  <c r="O346" i="2"/>
  <c r="N346" i="2"/>
  <c r="Q346" i="2"/>
  <c r="P346" i="2"/>
  <c r="O345" i="2"/>
  <c r="N345" i="2"/>
  <c r="Q345" i="2"/>
  <c r="P345" i="2"/>
  <c r="O344" i="2"/>
  <c r="N344" i="2"/>
  <c r="Q344" i="2"/>
  <c r="P344" i="2"/>
  <c r="O343" i="2"/>
  <c r="N343" i="2"/>
  <c r="Q343" i="2"/>
  <c r="P343" i="2"/>
  <c r="O342" i="2"/>
  <c r="N342" i="2"/>
  <c r="Q342" i="2"/>
  <c r="P342" i="2"/>
  <c r="O341" i="2"/>
  <c r="N341" i="2"/>
  <c r="Q341" i="2"/>
  <c r="P341" i="2"/>
  <c r="O340" i="2"/>
  <c r="N340" i="2"/>
  <c r="Q340" i="2"/>
  <c r="P340" i="2"/>
  <c r="O339" i="2"/>
  <c r="N339" i="2"/>
  <c r="Q339" i="2"/>
  <c r="P339" i="2"/>
  <c r="O338" i="2"/>
  <c r="N338" i="2"/>
  <c r="Q338" i="2"/>
  <c r="P338" i="2"/>
  <c r="O337" i="2"/>
  <c r="N337" i="2"/>
  <c r="Q337" i="2"/>
  <c r="P337" i="2"/>
  <c r="O336" i="2"/>
  <c r="N336" i="2"/>
  <c r="Q336" i="2"/>
  <c r="P336" i="2"/>
  <c r="O335" i="2"/>
  <c r="N335" i="2"/>
  <c r="Q335" i="2"/>
  <c r="P335" i="2"/>
  <c r="O334" i="2"/>
  <c r="N334" i="2"/>
  <c r="Q334" i="2"/>
  <c r="P334" i="2"/>
  <c r="O333" i="2"/>
  <c r="N333" i="2"/>
  <c r="Q333" i="2"/>
  <c r="P333" i="2"/>
  <c r="O332" i="2"/>
  <c r="N332" i="2"/>
  <c r="Q332" i="2"/>
  <c r="P332" i="2"/>
  <c r="O331" i="2"/>
  <c r="N331" i="2"/>
  <c r="Q331" i="2"/>
  <c r="P331" i="2"/>
  <c r="O330" i="2"/>
  <c r="N330" i="2"/>
  <c r="Q330" i="2"/>
  <c r="P330" i="2"/>
  <c r="O329" i="2"/>
  <c r="N329" i="2"/>
  <c r="Q329" i="2"/>
  <c r="P329" i="2"/>
  <c r="O328" i="2"/>
  <c r="N328" i="2"/>
  <c r="Q328" i="2"/>
  <c r="P328" i="2"/>
  <c r="O327" i="2"/>
  <c r="N327" i="2"/>
  <c r="Q327" i="2"/>
  <c r="P327" i="2"/>
  <c r="O326" i="2"/>
  <c r="N326" i="2"/>
  <c r="Q326" i="2"/>
  <c r="P326" i="2"/>
  <c r="O325" i="2"/>
  <c r="N325" i="2"/>
  <c r="Q325" i="2"/>
  <c r="P325" i="2"/>
  <c r="O324" i="2"/>
  <c r="N324" i="2"/>
  <c r="Q324" i="2"/>
  <c r="P324" i="2"/>
  <c r="O323" i="2"/>
  <c r="N323" i="2"/>
  <c r="Q323" i="2"/>
  <c r="P323" i="2"/>
  <c r="O322" i="2"/>
  <c r="N322" i="2"/>
  <c r="Q322" i="2"/>
  <c r="P322" i="2"/>
  <c r="O321" i="2"/>
  <c r="N321" i="2"/>
  <c r="Q321" i="2"/>
  <c r="P321" i="2"/>
  <c r="O320" i="2"/>
  <c r="N320" i="2"/>
  <c r="Q320" i="2"/>
  <c r="P320" i="2"/>
  <c r="O319" i="2"/>
  <c r="N319" i="2"/>
  <c r="Q319" i="2"/>
  <c r="P319" i="2"/>
  <c r="O318" i="2"/>
  <c r="N318" i="2"/>
  <c r="Q318" i="2"/>
  <c r="P318" i="2"/>
  <c r="O317" i="2"/>
  <c r="N317" i="2"/>
  <c r="Q317" i="2"/>
  <c r="P317" i="2"/>
  <c r="O316" i="2"/>
  <c r="N316" i="2"/>
  <c r="Q316" i="2"/>
  <c r="P316" i="2"/>
  <c r="O315" i="2"/>
  <c r="N315" i="2"/>
  <c r="Q315" i="2"/>
  <c r="P315" i="2"/>
  <c r="O314" i="2"/>
  <c r="N314" i="2"/>
  <c r="Q314" i="2"/>
  <c r="P314" i="2"/>
  <c r="O313" i="2"/>
  <c r="N313" i="2"/>
  <c r="Q313" i="2"/>
  <c r="P313" i="2"/>
  <c r="O312" i="2"/>
  <c r="N312" i="2"/>
  <c r="Q312" i="2"/>
  <c r="P312" i="2"/>
  <c r="O311" i="2"/>
  <c r="N311" i="2"/>
  <c r="Q311" i="2"/>
  <c r="P311" i="2"/>
  <c r="O310" i="2"/>
  <c r="N310" i="2"/>
  <c r="Q310" i="2"/>
  <c r="P310" i="2"/>
  <c r="O309" i="2"/>
  <c r="N309" i="2"/>
  <c r="Q309" i="2"/>
  <c r="P309" i="2"/>
  <c r="O308" i="2"/>
  <c r="N308" i="2"/>
  <c r="Q308" i="2"/>
  <c r="P308" i="2"/>
  <c r="O307" i="2"/>
  <c r="N307" i="2"/>
  <c r="Q307" i="2"/>
  <c r="P307" i="2"/>
  <c r="O306" i="2"/>
  <c r="N306" i="2"/>
  <c r="Q306" i="2"/>
  <c r="P306" i="2"/>
  <c r="O305" i="2"/>
  <c r="N305" i="2"/>
  <c r="Q305" i="2"/>
  <c r="P305" i="2"/>
  <c r="O304" i="2"/>
  <c r="N304" i="2"/>
  <c r="Q304" i="2"/>
  <c r="P304" i="2"/>
  <c r="O303" i="2"/>
  <c r="N303" i="2"/>
  <c r="Q303" i="2"/>
  <c r="P303" i="2"/>
  <c r="O302" i="2"/>
  <c r="N302" i="2"/>
  <c r="Q302" i="2"/>
  <c r="P302" i="2"/>
  <c r="O301" i="2"/>
  <c r="N301" i="2"/>
  <c r="Q301" i="2"/>
  <c r="P301" i="2"/>
  <c r="O300" i="2"/>
  <c r="N300" i="2"/>
  <c r="Q300" i="2"/>
  <c r="P300" i="2"/>
  <c r="O299" i="2"/>
  <c r="N299" i="2"/>
  <c r="Q299" i="2"/>
  <c r="P299" i="2"/>
  <c r="O298" i="2"/>
  <c r="N298" i="2"/>
  <c r="Q298" i="2"/>
  <c r="P298" i="2"/>
  <c r="O297" i="2"/>
  <c r="N297" i="2"/>
  <c r="Q297" i="2"/>
  <c r="P297" i="2"/>
  <c r="O296" i="2"/>
  <c r="N296" i="2"/>
  <c r="Q296" i="2"/>
  <c r="P296" i="2"/>
  <c r="O295" i="2"/>
  <c r="N295" i="2"/>
  <c r="Q295" i="2"/>
  <c r="P295" i="2"/>
  <c r="O294" i="2"/>
  <c r="N294" i="2"/>
  <c r="Q294" i="2"/>
  <c r="P294" i="2"/>
  <c r="O293" i="2"/>
  <c r="N293" i="2"/>
  <c r="Q293" i="2"/>
  <c r="P293" i="2"/>
  <c r="O292" i="2"/>
  <c r="N292" i="2"/>
  <c r="Q292" i="2"/>
  <c r="P292" i="2"/>
  <c r="O291" i="2"/>
  <c r="N291" i="2"/>
  <c r="Q291" i="2"/>
  <c r="P291" i="2"/>
  <c r="O290" i="2"/>
  <c r="N290" i="2"/>
  <c r="Q290" i="2"/>
  <c r="P290" i="2"/>
  <c r="O289" i="2"/>
  <c r="N289" i="2"/>
  <c r="Q289" i="2"/>
  <c r="P289" i="2"/>
  <c r="O288" i="2"/>
  <c r="N288" i="2"/>
  <c r="Q288" i="2"/>
  <c r="P288" i="2"/>
  <c r="O287" i="2"/>
  <c r="N287" i="2"/>
  <c r="Q287" i="2"/>
  <c r="P287" i="2"/>
  <c r="O286" i="2"/>
  <c r="N286" i="2"/>
  <c r="Q286" i="2"/>
  <c r="P286" i="2"/>
  <c r="O285" i="2"/>
  <c r="N285" i="2"/>
  <c r="Q285" i="2"/>
  <c r="P285" i="2"/>
  <c r="O284" i="2"/>
  <c r="N284" i="2"/>
  <c r="Q284" i="2"/>
  <c r="P284" i="2"/>
  <c r="O283" i="2"/>
  <c r="N283" i="2"/>
  <c r="Q283" i="2"/>
  <c r="P283" i="2"/>
  <c r="O282" i="2"/>
  <c r="N282" i="2"/>
  <c r="Q282" i="2"/>
  <c r="P282" i="2"/>
  <c r="O281" i="2"/>
  <c r="N281" i="2"/>
  <c r="Q281" i="2"/>
  <c r="P281" i="2"/>
  <c r="O280" i="2"/>
  <c r="N280" i="2"/>
  <c r="Q280" i="2"/>
  <c r="P280" i="2"/>
  <c r="O279" i="2"/>
  <c r="N279" i="2"/>
  <c r="Q279" i="2"/>
  <c r="P279" i="2"/>
  <c r="O278" i="2"/>
  <c r="N278" i="2"/>
  <c r="Q278" i="2"/>
  <c r="P278" i="2"/>
  <c r="O277" i="2"/>
  <c r="N277" i="2"/>
  <c r="Q277" i="2"/>
  <c r="P277" i="2"/>
  <c r="O276" i="2"/>
  <c r="N276" i="2"/>
  <c r="Q276" i="2"/>
  <c r="P276" i="2"/>
  <c r="O275" i="2"/>
  <c r="N275" i="2"/>
  <c r="Q275" i="2"/>
  <c r="P275" i="2"/>
  <c r="O274" i="2"/>
  <c r="N274" i="2"/>
  <c r="Q274" i="2"/>
  <c r="P274" i="2"/>
  <c r="O273" i="2"/>
  <c r="N273" i="2"/>
  <c r="Q273" i="2"/>
  <c r="P273" i="2"/>
  <c r="O272" i="2"/>
  <c r="N272" i="2"/>
  <c r="Q272" i="2"/>
  <c r="P272" i="2"/>
  <c r="O271" i="2"/>
  <c r="N271" i="2"/>
  <c r="Q271" i="2"/>
  <c r="P271" i="2"/>
  <c r="O270" i="2"/>
  <c r="N270" i="2"/>
  <c r="Q270" i="2"/>
  <c r="P270" i="2"/>
  <c r="O269" i="2"/>
  <c r="N269" i="2"/>
  <c r="Q269" i="2"/>
  <c r="P269" i="2"/>
  <c r="O268" i="2"/>
  <c r="N268" i="2"/>
  <c r="Q268" i="2"/>
  <c r="P268" i="2"/>
  <c r="O267" i="2"/>
  <c r="N267" i="2"/>
  <c r="Q267" i="2"/>
  <c r="P267" i="2"/>
  <c r="O266" i="2"/>
  <c r="N266" i="2"/>
  <c r="Q266" i="2"/>
  <c r="P266" i="2"/>
  <c r="O265" i="2"/>
  <c r="N265" i="2"/>
  <c r="Q265" i="2"/>
  <c r="P265" i="2"/>
  <c r="O264" i="2"/>
  <c r="N264" i="2"/>
  <c r="Q264" i="2"/>
  <c r="P264" i="2"/>
  <c r="O263" i="2"/>
  <c r="N263" i="2"/>
  <c r="Q263" i="2"/>
  <c r="P263" i="2"/>
  <c r="O262" i="2"/>
  <c r="N262" i="2"/>
  <c r="Q262" i="2"/>
  <c r="P262" i="2"/>
  <c r="O261" i="2"/>
  <c r="N261" i="2"/>
  <c r="Q261" i="2"/>
  <c r="P261" i="2"/>
  <c r="O260" i="2"/>
  <c r="N260" i="2"/>
  <c r="Q260" i="2"/>
  <c r="P260" i="2"/>
  <c r="O259" i="2"/>
  <c r="N259" i="2"/>
  <c r="Q259" i="2"/>
  <c r="P259" i="2"/>
  <c r="O258" i="2"/>
  <c r="N258" i="2"/>
  <c r="Q258" i="2"/>
  <c r="P258" i="2"/>
  <c r="O257" i="2"/>
  <c r="N257" i="2"/>
  <c r="Q257" i="2"/>
  <c r="P257" i="2"/>
  <c r="O256" i="2"/>
  <c r="N256" i="2"/>
  <c r="Q256" i="2"/>
  <c r="P256" i="2"/>
  <c r="O255" i="2"/>
  <c r="N255" i="2"/>
  <c r="Q255" i="2"/>
  <c r="P255" i="2"/>
  <c r="O254" i="2"/>
  <c r="N254" i="2"/>
  <c r="Q254" i="2"/>
  <c r="P254" i="2"/>
  <c r="O253" i="2"/>
  <c r="N253" i="2"/>
  <c r="Q253" i="2"/>
  <c r="P253" i="2"/>
  <c r="O252" i="2"/>
  <c r="N252" i="2"/>
  <c r="Q252" i="2"/>
  <c r="P252" i="2"/>
  <c r="O251" i="2"/>
  <c r="N251" i="2"/>
  <c r="Q251" i="2"/>
  <c r="P251" i="2"/>
  <c r="O250" i="2"/>
  <c r="N250" i="2"/>
  <c r="Q250" i="2"/>
  <c r="P250" i="2"/>
  <c r="O249" i="2"/>
  <c r="N249" i="2"/>
  <c r="Q249" i="2"/>
  <c r="P249" i="2"/>
  <c r="O248" i="2"/>
  <c r="N248" i="2"/>
  <c r="Q248" i="2"/>
  <c r="P248" i="2"/>
  <c r="O247" i="2"/>
  <c r="N247" i="2"/>
  <c r="Q247" i="2"/>
  <c r="P247" i="2"/>
  <c r="O246" i="2"/>
  <c r="N246" i="2"/>
  <c r="Q246" i="2"/>
  <c r="P246" i="2"/>
  <c r="O245" i="2"/>
  <c r="N245" i="2"/>
  <c r="Q245" i="2"/>
  <c r="P245" i="2"/>
  <c r="O244" i="2"/>
  <c r="N244" i="2"/>
  <c r="Q244" i="2"/>
  <c r="P244" i="2"/>
  <c r="O243" i="2"/>
  <c r="N243" i="2"/>
  <c r="Q243" i="2"/>
  <c r="P243" i="2"/>
  <c r="O242" i="2"/>
  <c r="N242" i="2"/>
  <c r="Q242" i="2"/>
  <c r="P242" i="2"/>
  <c r="O241" i="2"/>
  <c r="N241" i="2"/>
  <c r="Q241" i="2"/>
  <c r="P241" i="2"/>
  <c r="O240" i="2"/>
  <c r="N240" i="2"/>
  <c r="Q240" i="2"/>
  <c r="P240" i="2"/>
  <c r="O239" i="2"/>
  <c r="N239" i="2"/>
  <c r="Q239" i="2"/>
  <c r="P239" i="2"/>
  <c r="O238" i="2"/>
  <c r="N238" i="2"/>
  <c r="Q238" i="2"/>
  <c r="P238" i="2"/>
  <c r="O237" i="2"/>
  <c r="N237" i="2"/>
  <c r="Q237" i="2"/>
  <c r="P237" i="2"/>
  <c r="O236" i="2"/>
  <c r="N236" i="2"/>
  <c r="Q236" i="2"/>
  <c r="P236" i="2"/>
  <c r="O235" i="2"/>
  <c r="N235" i="2"/>
  <c r="Q235" i="2"/>
  <c r="P235" i="2"/>
  <c r="O234" i="2"/>
  <c r="N234" i="2"/>
  <c r="Q234" i="2"/>
  <c r="P234" i="2"/>
  <c r="O233" i="2"/>
  <c r="N233" i="2"/>
  <c r="Q233" i="2"/>
  <c r="P233" i="2"/>
  <c r="O232" i="2"/>
  <c r="N232" i="2"/>
  <c r="Q232" i="2"/>
  <c r="P232" i="2"/>
  <c r="O231" i="2"/>
  <c r="N231" i="2"/>
  <c r="Q231" i="2"/>
  <c r="P231" i="2"/>
  <c r="O230" i="2"/>
  <c r="N230" i="2"/>
  <c r="Q230" i="2"/>
  <c r="P230" i="2"/>
  <c r="O229" i="2"/>
  <c r="N229" i="2"/>
  <c r="Q229" i="2"/>
  <c r="P229" i="2"/>
  <c r="O228" i="2"/>
  <c r="N228" i="2"/>
  <c r="Q228" i="2"/>
  <c r="P228" i="2"/>
  <c r="O227" i="2"/>
  <c r="N227" i="2"/>
  <c r="Q227" i="2"/>
  <c r="P227" i="2"/>
  <c r="O226" i="2"/>
  <c r="N226" i="2"/>
  <c r="Q226" i="2"/>
  <c r="P226" i="2"/>
  <c r="O225" i="2"/>
  <c r="N225" i="2"/>
  <c r="Q225" i="2"/>
  <c r="P225" i="2"/>
  <c r="O224" i="2"/>
  <c r="N224" i="2"/>
  <c r="Q224" i="2"/>
  <c r="P224" i="2"/>
  <c r="O223" i="2"/>
  <c r="N223" i="2"/>
  <c r="Q223" i="2"/>
  <c r="P223" i="2"/>
  <c r="O222" i="2"/>
  <c r="N222" i="2"/>
  <c r="Q222" i="2"/>
  <c r="P222" i="2"/>
  <c r="O221" i="2"/>
  <c r="N221" i="2"/>
  <c r="Q221" i="2"/>
  <c r="P221" i="2"/>
  <c r="O220" i="2"/>
  <c r="N220" i="2"/>
  <c r="Q220" i="2"/>
  <c r="P220" i="2"/>
  <c r="O219" i="2"/>
  <c r="N219" i="2"/>
  <c r="Q219" i="2"/>
  <c r="P219" i="2"/>
  <c r="O218" i="2"/>
  <c r="N218" i="2"/>
  <c r="Q218" i="2"/>
  <c r="P218" i="2"/>
  <c r="O217" i="2"/>
  <c r="N217" i="2"/>
  <c r="Q217" i="2"/>
  <c r="P217" i="2"/>
  <c r="O216" i="2"/>
  <c r="N216" i="2"/>
  <c r="Q216" i="2"/>
  <c r="P216" i="2"/>
  <c r="O215" i="2"/>
  <c r="N215" i="2"/>
  <c r="Q215" i="2"/>
  <c r="P215" i="2"/>
  <c r="O214" i="2"/>
  <c r="N214" i="2"/>
  <c r="Q214" i="2"/>
  <c r="P214" i="2"/>
  <c r="O213" i="2"/>
  <c r="N213" i="2"/>
  <c r="Q213" i="2"/>
  <c r="P213" i="2"/>
  <c r="O212" i="2"/>
  <c r="N212" i="2"/>
  <c r="Q212" i="2"/>
  <c r="P212" i="2"/>
  <c r="O211" i="2"/>
  <c r="N211" i="2"/>
  <c r="Q211" i="2"/>
  <c r="P211" i="2"/>
  <c r="O210" i="2"/>
  <c r="N210" i="2"/>
  <c r="Q210" i="2"/>
  <c r="P210" i="2"/>
  <c r="O209" i="2"/>
  <c r="N209" i="2"/>
  <c r="Q209" i="2"/>
  <c r="P209" i="2"/>
  <c r="O208" i="2"/>
  <c r="N208" i="2"/>
  <c r="Q208" i="2"/>
  <c r="P208" i="2"/>
  <c r="O207" i="2"/>
  <c r="N207" i="2"/>
  <c r="Q207" i="2"/>
  <c r="P207" i="2"/>
  <c r="O206" i="2"/>
  <c r="N206" i="2"/>
  <c r="Q206" i="2"/>
  <c r="P206" i="2"/>
  <c r="O205" i="2"/>
  <c r="N205" i="2"/>
  <c r="Q205" i="2"/>
  <c r="P205" i="2"/>
  <c r="O204" i="2"/>
  <c r="N204" i="2"/>
  <c r="Q204" i="2"/>
  <c r="P204" i="2"/>
  <c r="O203" i="2"/>
  <c r="N203" i="2"/>
  <c r="Q203" i="2"/>
  <c r="P203" i="2"/>
  <c r="O202" i="2"/>
  <c r="N202" i="2"/>
  <c r="Q202" i="2"/>
  <c r="P202" i="2"/>
  <c r="O201" i="2"/>
  <c r="N201" i="2"/>
  <c r="Q201" i="2"/>
  <c r="P201" i="2"/>
  <c r="O200" i="2"/>
  <c r="N200" i="2"/>
  <c r="Q200" i="2"/>
  <c r="P200" i="2"/>
  <c r="O199" i="2"/>
  <c r="N199" i="2"/>
  <c r="Q199" i="2"/>
  <c r="P199" i="2"/>
  <c r="O198" i="2"/>
  <c r="N198" i="2"/>
  <c r="Q198" i="2"/>
  <c r="P198" i="2"/>
  <c r="O197" i="2"/>
  <c r="N197" i="2"/>
  <c r="Q197" i="2"/>
  <c r="P197" i="2"/>
  <c r="O196" i="2"/>
  <c r="N196" i="2"/>
  <c r="Q196" i="2"/>
  <c r="P196" i="2"/>
  <c r="O195" i="2"/>
  <c r="N195" i="2"/>
  <c r="Q195" i="2"/>
  <c r="P195" i="2"/>
  <c r="O194" i="2"/>
  <c r="N194" i="2"/>
  <c r="Q194" i="2"/>
  <c r="P194" i="2"/>
  <c r="O193" i="2"/>
  <c r="N193" i="2"/>
  <c r="Q193" i="2"/>
  <c r="P193" i="2"/>
  <c r="O192" i="2"/>
  <c r="N192" i="2"/>
  <c r="Q192" i="2"/>
  <c r="P192" i="2"/>
  <c r="O191" i="2"/>
  <c r="N191" i="2"/>
  <c r="Q191" i="2"/>
  <c r="P191" i="2"/>
  <c r="O190" i="2"/>
  <c r="N190" i="2"/>
  <c r="Q190" i="2"/>
  <c r="P190" i="2"/>
  <c r="O189" i="2"/>
  <c r="N189" i="2"/>
  <c r="Q189" i="2"/>
  <c r="P189" i="2"/>
  <c r="O188" i="2"/>
  <c r="N188" i="2"/>
  <c r="Q188" i="2"/>
  <c r="P188" i="2"/>
  <c r="O187" i="2"/>
  <c r="N187" i="2"/>
  <c r="Q187" i="2"/>
  <c r="P187" i="2"/>
  <c r="O186" i="2"/>
  <c r="N186" i="2"/>
  <c r="Q186" i="2"/>
  <c r="P186" i="2"/>
  <c r="O185" i="2"/>
  <c r="N185" i="2"/>
  <c r="Q185" i="2"/>
  <c r="P185" i="2"/>
  <c r="O184" i="2"/>
  <c r="N184" i="2"/>
  <c r="Q184" i="2"/>
  <c r="P184" i="2"/>
  <c r="O183" i="2"/>
  <c r="N183" i="2"/>
  <c r="Q183" i="2"/>
  <c r="P183" i="2"/>
  <c r="O182" i="2"/>
  <c r="N182" i="2"/>
  <c r="Q182" i="2"/>
  <c r="P182" i="2"/>
  <c r="O181" i="2"/>
  <c r="N181" i="2"/>
  <c r="Q181" i="2"/>
  <c r="P181" i="2"/>
  <c r="O180" i="2"/>
  <c r="N180" i="2"/>
  <c r="Q180" i="2"/>
  <c r="P180" i="2"/>
  <c r="O179" i="2"/>
  <c r="N179" i="2"/>
  <c r="Q179" i="2"/>
  <c r="P179" i="2"/>
  <c r="O178" i="2"/>
  <c r="N178" i="2"/>
  <c r="Q178" i="2"/>
  <c r="P178" i="2"/>
  <c r="O177" i="2"/>
  <c r="N177" i="2"/>
  <c r="Q177" i="2"/>
  <c r="P177" i="2"/>
  <c r="O176" i="2"/>
  <c r="N176" i="2"/>
  <c r="Q176" i="2"/>
  <c r="P176" i="2"/>
  <c r="O175" i="2"/>
  <c r="N175" i="2"/>
  <c r="Q175" i="2"/>
  <c r="P175" i="2"/>
  <c r="O174" i="2"/>
  <c r="N174" i="2"/>
  <c r="Q174" i="2"/>
  <c r="P174" i="2"/>
  <c r="O173" i="2"/>
  <c r="N173" i="2"/>
  <c r="Q173" i="2"/>
  <c r="P173" i="2"/>
  <c r="O172" i="2"/>
  <c r="N172" i="2"/>
  <c r="Q172" i="2"/>
  <c r="P172" i="2"/>
  <c r="O171" i="2"/>
  <c r="N171" i="2"/>
  <c r="Q171" i="2"/>
  <c r="P171" i="2"/>
  <c r="O170" i="2"/>
  <c r="N170" i="2"/>
  <c r="Q170" i="2"/>
  <c r="P170" i="2"/>
  <c r="O169" i="2"/>
  <c r="N169" i="2"/>
  <c r="Q169" i="2"/>
  <c r="P169" i="2"/>
  <c r="O168" i="2"/>
  <c r="N168" i="2"/>
  <c r="Q168" i="2"/>
  <c r="P168" i="2"/>
  <c r="O167" i="2"/>
  <c r="N167" i="2"/>
  <c r="Q167" i="2"/>
  <c r="P167" i="2"/>
  <c r="O166" i="2"/>
  <c r="N166" i="2"/>
  <c r="Q166" i="2"/>
  <c r="P166" i="2"/>
  <c r="O165" i="2"/>
  <c r="N165" i="2"/>
  <c r="Q165" i="2"/>
  <c r="P165" i="2"/>
  <c r="O164" i="2"/>
  <c r="N164" i="2"/>
  <c r="Q164" i="2"/>
  <c r="P164" i="2"/>
  <c r="O163" i="2"/>
  <c r="N163" i="2"/>
  <c r="Q163" i="2"/>
  <c r="P163" i="2"/>
  <c r="O162" i="2"/>
  <c r="N162" i="2"/>
  <c r="Q162" i="2"/>
  <c r="P162" i="2"/>
  <c r="O161" i="2"/>
  <c r="N161" i="2"/>
  <c r="Q161" i="2"/>
  <c r="P161" i="2"/>
  <c r="O160" i="2"/>
  <c r="N160" i="2"/>
  <c r="Q160" i="2"/>
  <c r="P160" i="2"/>
  <c r="O159" i="2"/>
  <c r="N159" i="2"/>
  <c r="Q159" i="2"/>
  <c r="P159" i="2"/>
  <c r="O158" i="2"/>
  <c r="N158" i="2"/>
  <c r="Q158" i="2"/>
  <c r="P158" i="2"/>
  <c r="O157" i="2"/>
  <c r="N157" i="2"/>
  <c r="Q157" i="2"/>
  <c r="P157" i="2"/>
  <c r="O156" i="2"/>
  <c r="N156" i="2"/>
  <c r="Q156" i="2"/>
  <c r="P156" i="2"/>
  <c r="O155" i="2"/>
  <c r="N155" i="2"/>
  <c r="Q155" i="2"/>
  <c r="P155" i="2"/>
  <c r="O154" i="2"/>
  <c r="N154" i="2"/>
  <c r="Q154" i="2"/>
  <c r="P154" i="2"/>
  <c r="O153" i="2"/>
  <c r="N153" i="2"/>
  <c r="Q153" i="2"/>
  <c r="P153" i="2"/>
  <c r="O152" i="2"/>
  <c r="N152" i="2"/>
  <c r="Q152" i="2"/>
  <c r="P152" i="2"/>
  <c r="O151" i="2"/>
  <c r="N151" i="2"/>
  <c r="Q151" i="2"/>
  <c r="P151" i="2"/>
  <c r="O150" i="2"/>
  <c r="N150" i="2"/>
  <c r="Q150" i="2"/>
  <c r="P150" i="2"/>
  <c r="O149" i="2"/>
  <c r="N149" i="2"/>
  <c r="Q149" i="2"/>
  <c r="P149" i="2"/>
  <c r="O148" i="2"/>
  <c r="N148" i="2"/>
  <c r="Q148" i="2"/>
  <c r="P148" i="2"/>
  <c r="O147" i="2"/>
  <c r="N147" i="2"/>
  <c r="Q147" i="2"/>
  <c r="P147" i="2"/>
  <c r="O146" i="2"/>
  <c r="N146" i="2"/>
  <c r="Q146" i="2"/>
  <c r="P146" i="2"/>
  <c r="O145" i="2"/>
  <c r="N145" i="2"/>
  <c r="Q145" i="2"/>
  <c r="P145" i="2"/>
  <c r="O144" i="2"/>
  <c r="N144" i="2"/>
  <c r="Q144" i="2"/>
  <c r="P144" i="2"/>
  <c r="O143" i="2"/>
  <c r="N143" i="2"/>
  <c r="Q143" i="2"/>
  <c r="P143" i="2"/>
  <c r="O142" i="2"/>
  <c r="N142" i="2"/>
  <c r="Q142" i="2"/>
  <c r="P142" i="2"/>
  <c r="O141" i="2"/>
  <c r="N141" i="2"/>
  <c r="Q141" i="2"/>
  <c r="P141" i="2"/>
  <c r="O140" i="2"/>
  <c r="N140" i="2"/>
  <c r="Q140" i="2"/>
  <c r="P140" i="2"/>
  <c r="O139" i="2"/>
  <c r="N139" i="2"/>
  <c r="Q139" i="2"/>
  <c r="P139" i="2"/>
  <c r="O138" i="2"/>
  <c r="N138" i="2"/>
  <c r="Q138" i="2"/>
  <c r="P138" i="2"/>
  <c r="O137" i="2"/>
  <c r="N137" i="2"/>
  <c r="Q137" i="2"/>
  <c r="P137" i="2"/>
  <c r="O136" i="2"/>
  <c r="N136" i="2"/>
  <c r="Q136" i="2"/>
  <c r="P136" i="2"/>
  <c r="O135" i="2"/>
  <c r="N135" i="2"/>
  <c r="Q135" i="2"/>
  <c r="P135" i="2"/>
  <c r="O134" i="2"/>
  <c r="N134" i="2"/>
  <c r="Q134" i="2"/>
  <c r="P134" i="2"/>
  <c r="O133" i="2"/>
  <c r="N133" i="2"/>
  <c r="Q133" i="2"/>
  <c r="P133" i="2"/>
  <c r="O132" i="2"/>
  <c r="N132" i="2"/>
  <c r="Q132" i="2"/>
  <c r="P132" i="2"/>
  <c r="O131" i="2"/>
  <c r="N131" i="2"/>
  <c r="Q131" i="2"/>
  <c r="P131" i="2"/>
  <c r="O130" i="2"/>
  <c r="N130" i="2"/>
  <c r="Q130" i="2"/>
  <c r="P130" i="2"/>
  <c r="O129" i="2"/>
  <c r="N129" i="2"/>
  <c r="Q129" i="2"/>
  <c r="P129" i="2"/>
  <c r="O128" i="2"/>
  <c r="N128" i="2"/>
  <c r="Q128" i="2"/>
  <c r="P128" i="2"/>
  <c r="O127" i="2"/>
  <c r="N127" i="2"/>
  <c r="Q127" i="2"/>
  <c r="P127" i="2"/>
  <c r="O126" i="2"/>
  <c r="N126" i="2"/>
  <c r="Q126" i="2"/>
  <c r="P126" i="2"/>
  <c r="O125" i="2"/>
  <c r="N125" i="2"/>
  <c r="Q125" i="2"/>
  <c r="P125" i="2"/>
  <c r="O124" i="2"/>
  <c r="N124" i="2"/>
  <c r="Q124" i="2"/>
  <c r="P124" i="2"/>
  <c r="O123" i="2"/>
  <c r="N123" i="2"/>
  <c r="Q123" i="2"/>
  <c r="P123" i="2"/>
  <c r="O122" i="2"/>
  <c r="N122" i="2"/>
  <c r="Q122" i="2"/>
  <c r="P122" i="2"/>
  <c r="O121" i="2"/>
  <c r="N121" i="2"/>
  <c r="Q121" i="2"/>
  <c r="P121" i="2"/>
  <c r="O120" i="2"/>
  <c r="N120" i="2"/>
  <c r="Q120" i="2"/>
  <c r="P120" i="2"/>
  <c r="O119" i="2"/>
  <c r="N119" i="2"/>
  <c r="Q119" i="2"/>
  <c r="P119" i="2"/>
  <c r="O118" i="2"/>
  <c r="N118" i="2"/>
  <c r="Q118" i="2"/>
  <c r="P118" i="2"/>
  <c r="O117" i="2"/>
  <c r="N117" i="2"/>
  <c r="Q117" i="2"/>
  <c r="P117" i="2"/>
  <c r="O116" i="2"/>
  <c r="N116" i="2"/>
  <c r="Q116" i="2"/>
  <c r="P116" i="2"/>
  <c r="O115" i="2"/>
  <c r="N115" i="2"/>
  <c r="Q115" i="2"/>
  <c r="P115" i="2"/>
  <c r="O114" i="2"/>
  <c r="N114" i="2"/>
  <c r="Q114" i="2"/>
  <c r="P114" i="2"/>
  <c r="O113" i="2"/>
  <c r="N113" i="2"/>
  <c r="Q113" i="2"/>
  <c r="P113" i="2"/>
  <c r="O112" i="2"/>
  <c r="N112" i="2"/>
  <c r="Q112" i="2"/>
  <c r="P112" i="2"/>
  <c r="O111" i="2"/>
  <c r="N111" i="2"/>
  <c r="Q111" i="2"/>
  <c r="P111" i="2"/>
  <c r="O110" i="2"/>
  <c r="N110" i="2"/>
  <c r="Q110" i="2"/>
  <c r="P110" i="2"/>
  <c r="O109" i="2"/>
  <c r="N109" i="2"/>
  <c r="Q109" i="2"/>
  <c r="P109" i="2"/>
  <c r="O108" i="2"/>
  <c r="N108" i="2"/>
  <c r="Q108" i="2"/>
  <c r="P108" i="2"/>
  <c r="O107" i="2"/>
  <c r="N107" i="2"/>
  <c r="Q107" i="2"/>
  <c r="P107" i="2"/>
  <c r="O106" i="2"/>
  <c r="N106" i="2"/>
  <c r="Q106" i="2"/>
  <c r="P106" i="2"/>
  <c r="O105" i="2"/>
  <c r="N105" i="2"/>
  <c r="Q105" i="2"/>
  <c r="P105" i="2"/>
  <c r="O104" i="2"/>
  <c r="N104" i="2"/>
  <c r="Q104" i="2"/>
  <c r="P104" i="2"/>
  <c r="O103" i="2"/>
  <c r="N103" i="2"/>
  <c r="Q103" i="2"/>
  <c r="P103" i="2"/>
  <c r="O102" i="2"/>
  <c r="N102" i="2"/>
  <c r="Q102" i="2"/>
  <c r="P102" i="2"/>
  <c r="O101" i="2"/>
  <c r="N101" i="2"/>
  <c r="Q101" i="2"/>
  <c r="P101" i="2"/>
  <c r="O100" i="2"/>
  <c r="N100" i="2"/>
  <c r="Q100" i="2"/>
  <c r="P100" i="2"/>
  <c r="O99" i="2"/>
  <c r="N99" i="2"/>
  <c r="Q99" i="2"/>
  <c r="P99" i="2"/>
  <c r="O98" i="2"/>
  <c r="N98" i="2"/>
  <c r="Q98" i="2"/>
  <c r="P98" i="2"/>
  <c r="O97" i="2"/>
  <c r="N97" i="2"/>
  <c r="Q97" i="2"/>
  <c r="P97" i="2"/>
  <c r="O96" i="2"/>
  <c r="N96" i="2"/>
  <c r="Q96" i="2"/>
  <c r="P96" i="2"/>
  <c r="O95" i="2"/>
  <c r="N95" i="2"/>
  <c r="Q95" i="2"/>
  <c r="P95" i="2"/>
  <c r="O94" i="2"/>
  <c r="N94" i="2"/>
  <c r="Q94" i="2"/>
  <c r="P94" i="2"/>
  <c r="O93" i="2"/>
  <c r="N93" i="2"/>
  <c r="Q93" i="2"/>
  <c r="P93" i="2"/>
  <c r="O92" i="2"/>
  <c r="N92" i="2"/>
  <c r="Q92" i="2"/>
  <c r="P92" i="2"/>
  <c r="O91" i="2"/>
  <c r="N91" i="2"/>
  <c r="Q91" i="2"/>
  <c r="P91" i="2"/>
  <c r="O90" i="2"/>
  <c r="N90" i="2"/>
  <c r="Q90" i="2"/>
  <c r="P90" i="2"/>
  <c r="O89" i="2"/>
  <c r="N89" i="2"/>
  <c r="Q89" i="2"/>
  <c r="P89" i="2"/>
  <c r="O88" i="2"/>
  <c r="N88" i="2"/>
  <c r="Q88" i="2"/>
  <c r="P88" i="2"/>
  <c r="O87" i="2"/>
  <c r="N87" i="2"/>
  <c r="Q87" i="2"/>
  <c r="P87" i="2"/>
  <c r="O86" i="2"/>
  <c r="N86" i="2"/>
  <c r="Q86" i="2"/>
  <c r="P86" i="2"/>
  <c r="O85" i="2"/>
  <c r="N85" i="2"/>
  <c r="Q85" i="2"/>
  <c r="P85" i="2"/>
  <c r="O84" i="2"/>
  <c r="N84" i="2"/>
  <c r="Q84" i="2"/>
  <c r="P84" i="2"/>
  <c r="O83" i="2"/>
  <c r="N83" i="2"/>
  <c r="Q83" i="2"/>
  <c r="P83" i="2"/>
  <c r="O82" i="2"/>
  <c r="N82" i="2"/>
  <c r="Q82" i="2"/>
  <c r="P82" i="2"/>
  <c r="O81" i="2"/>
  <c r="N81" i="2"/>
  <c r="Q81" i="2"/>
  <c r="P81" i="2"/>
  <c r="O80" i="2"/>
  <c r="N80" i="2"/>
  <c r="Q80" i="2"/>
  <c r="P80" i="2"/>
  <c r="O79" i="2"/>
  <c r="N79" i="2"/>
  <c r="Q79" i="2"/>
  <c r="P79" i="2"/>
  <c r="O78" i="2"/>
  <c r="N78" i="2"/>
  <c r="Q78" i="2"/>
  <c r="P78" i="2"/>
  <c r="O77" i="2"/>
  <c r="N77" i="2"/>
  <c r="Q77" i="2"/>
  <c r="P77" i="2"/>
  <c r="O76" i="2"/>
  <c r="N76" i="2"/>
  <c r="Q76" i="2"/>
  <c r="P76" i="2"/>
  <c r="O75" i="2"/>
  <c r="N75" i="2"/>
  <c r="Q75" i="2"/>
  <c r="P75" i="2"/>
  <c r="O74" i="2"/>
  <c r="N74" i="2"/>
  <c r="Q74" i="2"/>
  <c r="P74" i="2"/>
  <c r="O73" i="2"/>
  <c r="N73" i="2"/>
  <c r="Q73" i="2"/>
  <c r="P73" i="2"/>
  <c r="O72" i="2"/>
  <c r="N72" i="2"/>
  <c r="Q72" i="2"/>
  <c r="P72" i="2"/>
  <c r="O71" i="2"/>
  <c r="N71" i="2"/>
  <c r="Q71" i="2"/>
  <c r="P71" i="2"/>
  <c r="O70" i="2"/>
  <c r="N70" i="2"/>
  <c r="Q70" i="2"/>
  <c r="P70" i="2"/>
  <c r="O69" i="2"/>
  <c r="N69" i="2"/>
  <c r="Q69" i="2"/>
  <c r="P69" i="2"/>
  <c r="O68" i="2"/>
  <c r="N68" i="2"/>
  <c r="Q68" i="2"/>
  <c r="P68" i="2"/>
  <c r="O67" i="2"/>
  <c r="N67" i="2"/>
  <c r="Q67" i="2"/>
  <c r="P67" i="2"/>
  <c r="O66" i="2"/>
  <c r="N66" i="2"/>
  <c r="Q66" i="2"/>
  <c r="P66" i="2"/>
  <c r="O65" i="2"/>
  <c r="N65" i="2"/>
  <c r="Q65" i="2"/>
  <c r="P65" i="2"/>
  <c r="O64" i="2"/>
  <c r="N64" i="2"/>
  <c r="Q64" i="2"/>
  <c r="P64" i="2"/>
  <c r="O63" i="2"/>
  <c r="N63" i="2"/>
  <c r="Q63" i="2"/>
  <c r="P63" i="2"/>
  <c r="O62" i="2"/>
  <c r="N62" i="2"/>
  <c r="Q62" i="2"/>
  <c r="P62" i="2"/>
  <c r="O61" i="2"/>
  <c r="N61" i="2"/>
  <c r="Q61" i="2"/>
  <c r="P61" i="2"/>
  <c r="O60" i="2"/>
  <c r="N60" i="2"/>
  <c r="Q60" i="2"/>
  <c r="P60" i="2"/>
  <c r="O59" i="2"/>
  <c r="N59" i="2"/>
  <c r="Q59" i="2"/>
  <c r="P59" i="2"/>
  <c r="O58" i="2"/>
  <c r="N58" i="2"/>
  <c r="Q58" i="2"/>
  <c r="P58" i="2"/>
  <c r="O57" i="2"/>
  <c r="N57" i="2"/>
  <c r="Q57" i="2"/>
  <c r="P57" i="2"/>
  <c r="O56" i="2"/>
  <c r="N56" i="2"/>
  <c r="Q56" i="2"/>
  <c r="P56" i="2"/>
  <c r="O55" i="2"/>
  <c r="N55" i="2"/>
  <c r="Q55" i="2"/>
  <c r="P55" i="2"/>
  <c r="O54" i="2"/>
  <c r="N54" i="2"/>
  <c r="Q54" i="2"/>
  <c r="P54" i="2"/>
  <c r="O53" i="2"/>
  <c r="N53" i="2"/>
  <c r="Q53" i="2"/>
  <c r="P53" i="2"/>
  <c r="O52" i="2"/>
  <c r="N52" i="2"/>
  <c r="Q52" i="2"/>
  <c r="P52" i="2"/>
  <c r="O51" i="2"/>
  <c r="N51" i="2"/>
  <c r="Q51" i="2"/>
  <c r="P51" i="2"/>
  <c r="O50" i="2"/>
  <c r="N50" i="2"/>
  <c r="Q50" i="2"/>
  <c r="P50" i="2"/>
  <c r="O49" i="2"/>
  <c r="N49" i="2"/>
  <c r="Q49" i="2"/>
  <c r="P49" i="2"/>
  <c r="O48" i="2"/>
  <c r="N48" i="2"/>
  <c r="Q48" i="2"/>
  <c r="P48" i="2"/>
  <c r="O47" i="2"/>
  <c r="N47" i="2"/>
  <c r="Q47" i="2"/>
  <c r="P47" i="2"/>
  <c r="O46" i="2"/>
  <c r="N46" i="2"/>
  <c r="Q46" i="2"/>
  <c r="P46" i="2"/>
  <c r="O45" i="2"/>
  <c r="N45" i="2"/>
  <c r="Q45" i="2"/>
  <c r="P45" i="2"/>
  <c r="O44" i="2"/>
  <c r="N44" i="2"/>
  <c r="Q44" i="2"/>
  <c r="P44" i="2"/>
  <c r="O43" i="2"/>
  <c r="N43" i="2"/>
  <c r="Q43" i="2"/>
  <c r="P43" i="2"/>
  <c r="O42" i="2"/>
  <c r="N42" i="2"/>
  <c r="Q42" i="2"/>
  <c r="P42" i="2"/>
  <c r="O41" i="2"/>
  <c r="N41" i="2"/>
  <c r="Q41" i="2"/>
  <c r="P41" i="2"/>
  <c r="O40" i="2"/>
  <c r="N40" i="2"/>
  <c r="Q40" i="2"/>
  <c r="P40" i="2"/>
  <c r="O39" i="2"/>
  <c r="N39" i="2"/>
  <c r="Q39" i="2"/>
  <c r="P39" i="2"/>
  <c r="O38" i="2"/>
  <c r="N38" i="2"/>
  <c r="Q38" i="2"/>
  <c r="P38" i="2"/>
  <c r="O37" i="2"/>
  <c r="N37" i="2"/>
  <c r="Q37" i="2"/>
  <c r="P37" i="2"/>
  <c r="O36" i="2"/>
  <c r="N36" i="2"/>
  <c r="Q36" i="2"/>
  <c r="P36" i="2"/>
  <c r="O35" i="2"/>
  <c r="N35" i="2"/>
  <c r="Q35" i="2"/>
  <c r="P35" i="2"/>
  <c r="O34" i="2"/>
  <c r="N34" i="2"/>
  <c r="Q34" i="2"/>
  <c r="P34" i="2"/>
  <c r="O33" i="2"/>
  <c r="N33" i="2"/>
  <c r="Q33" i="2"/>
  <c r="P33" i="2"/>
  <c r="O32" i="2"/>
  <c r="N32" i="2"/>
  <c r="Q32" i="2"/>
  <c r="P32" i="2"/>
  <c r="O31" i="2"/>
  <c r="N31" i="2"/>
  <c r="Q31" i="2"/>
  <c r="P31" i="2"/>
  <c r="O30" i="2"/>
  <c r="N30" i="2"/>
  <c r="Q30" i="2"/>
  <c r="P30" i="2"/>
  <c r="O29" i="2"/>
  <c r="N29" i="2"/>
  <c r="Q29" i="2"/>
  <c r="P29" i="2"/>
  <c r="O28" i="2"/>
  <c r="N28" i="2"/>
  <c r="Q28" i="2"/>
  <c r="P28" i="2"/>
  <c r="O27" i="2"/>
  <c r="N27" i="2"/>
  <c r="Q27" i="2"/>
  <c r="P27" i="2"/>
  <c r="O26" i="2"/>
  <c r="N26" i="2"/>
  <c r="Q26" i="2"/>
  <c r="P26" i="2"/>
  <c r="O25" i="2"/>
  <c r="N25" i="2"/>
  <c r="Q25" i="2"/>
  <c r="P25" i="2"/>
  <c r="O24" i="2"/>
  <c r="N24" i="2"/>
  <c r="Q24" i="2"/>
  <c r="P24" i="2"/>
  <c r="O23" i="2"/>
  <c r="N23" i="2"/>
  <c r="Q23" i="2"/>
  <c r="P23" i="2"/>
  <c r="O22" i="2"/>
  <c r="N22" i="2"/>
  <c r="Q22" i="2"/>
  <c r="P22" i="2"/>
  <c r="O21" i="2"/>
  <c r="N21" i="2"/>
  <c r="Q21" i="2"/>
  <c r="P21" i="2"/>
  <c r="O20" i="2"/>
  <c r="N20" i="2"/>
  <c r="Q20" i="2"/>
  <c r="P20" i="2"/>
  <c r="O19" i="2"/>
  <c r="N19" i="2"/>
  <c r="Q19" i="2"/>
  <c r="P19" i="2"/>
  <c r="O18" i="2"/>
  <c r="N18" i="2"/>
  <c r="Q18" i="2"/>
  <c r="P18" i="2"/>
  <c r="O17" i="2"/>
  <c r="N17" i="2"/>
  <c r="Q17" i="2"/>
  <c r="P17" i="2"/>
  <c r="O16" i="2"/>
  <c r="N16" i="2"/>
  <c r="Q16" i="2"/>
  <c r="P16" i="2"/>
  <c r="O15" i="2"/>
  <c r="N15" i="2"/>
  <c r="Q15" i="2"/>
  <c r="P15" i="2"/>
  <c r="O14" i="2"/>
  <c r="N14" i="2"/>
  <c r="Q14" i="2"/>
  <c r="P14" i="2"/>
  <c r="O13" i="2"/>
  <c r="N13" i="2"/>
  <c r="Q13" i="2"/>
  <c r="P13" i="2"/>
  <c r="O12" i="2"/>
  <c r="N12" i="2"/>
  <c r="Q12" i="2"/>
  <c r="P12" i="2"/>
  <c r="O11" i="2"/>
  <c r="N11" i="2"/>
  <c r="Q11" i="2"/>
  <c r="P11" i="2"/>
  <c r="O10" i="2"/>
  <c r="N10" i="2"/>
  <c r="Q10" i="2"/>
  <c r="P10" i="2"/>
  <c r="O9" i="2"/>
  <c r="N9" i="2"/>
  <c r="Q9" i="2"/>
  <c r="P9" i="2"/>
  <c r="O8" i="2"/>
  <c r="N8" i="2"/>
  <c r="Q8" i="2"/>
  <c r="P8" i="2"/>
  <c r="O7" i="2"/>
  <c r="N7" i="2"/>
  <c r="Q7" i="2"/>
  <c r="P7" i="2"/>
  <c r="O6" i="2"/>
  <c r="N6" i="2"/>
  <c r="Q6" i="2"/>
  <c r="P6" i="2"/>
  <c r="O5" i="2"/>
  <c r="N5" i="2"/>
  <c r="Q5" i="2"/>
  <c r="P5" i="2"/>
  <c r="O4" i="2"/>
  <c r="Q4" i="2"/>
  <c r="P4" i="2"/>
  <c r="K4" i="2"/>
  <c r="J4" i="2"/>
  <c r="I1002" i="2"/>
  <c r="I1001" i="2"/>
  <c r="I1000" i="2"/>
  <c r="I999" i="2"/>
  <c r="I998" i="2"/>
  <c r="I997" i="2"/>
  <c r="I996" i="2"/>
  <c r="I995" i="2"/>
  <c r="I994" i="2"/>
  <c r="I993" i="2"/>
  <c r="I992" i="2"/>
  <c r="I991" i="2"/>
  <c r="I990" i="2"/>
  <c r="I989" i="2"/>
  <c r="I988" i="2"/>
  <c r="I987" i="2"/>
  <c r="I986" i="2"/>
  <c r="I985" i="2"/>
  <c r="I984" i="2"/>
  <c r="I983" i="2"/>
  <c r="I982" i="2"/>
  <c r="I981" i="2"/>
  <c r="I980" i="2"/>
  <c r="I979" i="2"/>
  <c r="I978" i="2"/>
  <c r="I977" i="2"/>
  <c r="I976" i="2"/>
  <c r="I975" i="2"/>
  <c r="I974" i="2"/>
  <c r="I973" i="2"/>
  <c r="I972" i="2"/>
  <c r="I971" i="2"/>
  <c r="I970" i="2"/>
  <c r="I969" i="2"/>
  <c r="I968" i="2"/>
  <c r="I967" i="2"/>
  <c r="I966" i="2"/>
  <c r="I965" i="2"/>
  <c r="I964" i="2"/>
  <c r="I963" i="2"/>
  <c r="I962" i="2"/>
  <c r="I961" i="2"/>
  <c r="I960" i="2"/>
  <c r="I959" i="2"/>
  <c r="I958" i="2"/>
  <c r="I957" i="2"/>
  <c r="I956" i="2"/>
  <c r="I955" i="2"/>
  <c r="I954" i="2"/>
  <c r="I953" i="2"/>
  <c r="I952" i="2"/>
  <c r="I951" i="2"/>
  <c r="I950" i="2"/>
  <c r="I949" i="2"/>
  <c r="I948" i="2"/>
  <c r="I947" i="2"/>
  <c r="I946" i="2"/>
  <c r="I945" i="2"/>
  <c r="I944" i="2"/>
  <c r="I943" i="2"/>
  <c r="I942" i="2"/>
  <c r="I941" i="2"/>
  <c r="I940" i="2"/>
  <c r="I939" i="2"/>
  <c r="I938" i="2"/>
  <c r="I937" i="2"/>
  <c r="I936" i="2"/>
  <c r="I935" i="2"/>
  <c r="I934" i="2"/>
  <c r="I933" i="2"/>
  <c r="I932" i="2"/>
  <c r="I931" i="2"/>
  <c r="I930" i="2"/>
  <c r="I929" i="2"/>
  <c r="I928" i="2"/>
  <c r="I927" i="2"/>
  <c r="I926" i="2"/>
  <c r="I925" i="2"/>
  <c r="I924" i="2"/>
  <c r="I923" i="2"/>
  <c r="I922" i="2"/>
  <c r="I921" i="2"/>
  <c r="I920" i="2"/>
  <c r="I919" i="2"/>
  <c r="I918" i="2"/>
  <c r="I917" i="2"/>
  <c r="I916" i="2"/>
  <c r="I915" i="2"/>
  <c r="I914" i="2"/>
  <c r="I913" i="2"/>
  <c r="I912" i="2"/>
  <c r="I911" i="2"/>
  <c r="I910" i="2"/>
  <c r="I909" i="2"/>
  <c r="I908" i="2"/>
  <c r="I907" i="2"/>
  <c r="I906" i="2"/>
  <c r="I905" i="2"/>
  <c r="I904" i="2"/>
  <c r="I903" i="2"/>
  <c r="I902" i="2"/>
  <c r="I901" i="2"/>
  <c r="I900" i="2"/>
  <c r="I899" i="2"/>
  <c r="I898" i="2"/>
  <c r="I897" i="2"/>
  <c r="I896" i="2"/>
  <c r="I895" i="2"/>
  <c r="I894" i="2"/>
  <c r="I893" i="2"/>
  <c r="I892" i="2"/>
  <c r="I891" i="2"/>
  <c r="I890" i="2"/>
  <c r="I889" i="2"/>
  <c r="I888" i="2"/>
  <c r="I887" i="2"/>
  <c r="I886" i="2"/>
  <c r="I885" i="2"/>
  <c r="I884" i="2"/>
  <c r="I883" i="2"/>
  <c r="I882" i="2"/>
  <c r="I881" i="2"/>
  <c r="I880" i="2"/>
  <c r="I879" i="2"/>
  <c r="I878" i="2"/>
  <c r="I877" i="2"/>
  <c r="I876" i="2"/>
  <c r="I875" i="2"/>
  <c r="I874" i="2"/>
  <c r="I873" i="2"/>
  <c r="I872" i="2"/>
  <c r="I871" i="2"/>
  <c r="I870" i="2"/>
  <c r="I869" i="2"/>
  <c r="I868" i="2"/>
  <c r="I867" i="2"/>
  <c r="I866" i="2"/>
  <c r="I865" i="2"/>
  <c r="I864" i="2"/>
  <c r="I863" i="2"/>
  <c r="I862" i="2"/>
  <c r="I861" i="2"/>
  <c r="I860" i="2"/>
  <c r="I859" i="2"/>
  <c r="I858" i="2"/>
  <c r="I857" i="2"/>
  <c r="I856" i="2"/>
  <c r="I855" i="2"/>
  <c r="I854" i="2"/>
  <c r="I853" i="2"/>
  <c r="I852" i="2"/>
  <c r="I851" i="2"/>
  <c r="I850" i="2"/>
  <c r="I849" i="2"/>
  <c r="I848" i="2"/>
  <c r="I847" i="2"/>
  <c r="I846" i="2"/>
  <c r="I845" i="2"/>
  <c r="I844" i="2"/>
  <c r="I843" i="2"/>
  <c r="I842" i="2"/>
  <c r="I841" i="2"/>
  <c r="I840" i="2"/>
  <c r="I839" i="2"/>
  <c r="I838" i="2"/>
  <c r="I837" i="2"/>
  <c r="I836" i="2"/>
  <c r="I835" i="2"/>
  <c r="I834" i="2"/>
  <c r="I833" i="2"/>
  <c r="I832" i="2"/>
  <c r="I831" i="2"/>
  <c r="I830" i="2"/>
  <c r="I829" i="2"/>
  <c r="I828" i="2"/>
  <c r="I827" i="2"/>
  <c r="I826" i="2"/>
  <c r="I825" i="2"/>
  <c r="I824" i="2"/>
  <c r="I823" i="2"/>
  <c r="I822" i="2"/>
  <c r="I821" i="2"/>
  <c r="I820" i="2"/>
  <c r="I819" i="2"/>
  <c r="I818" i="2"/>
  <c r="I817" i="2"/>
  <c r="I816" i="2"/>
  <c r="I815" i="2"/>
  <c r="I814" i="2"/>
  <c r="I813" i="2"/>
  <c r="I812" i="2"/>
  <c r="I811" i="2"/>
  <c r="I810" i="2"/>
  <c r="I809" i="2"/>
  <c r="I808" i="2"/>
  <c r="I807" i="2"/>
  <c r="I806" i="2"/>
  <c r="I805" i="2"/>
  <c r="I804" i="2"/>
  <c r="I803" i="2"/>
  <c r="I802" i="2"/>
  <c r="I801" i="2"/>
  <c r="I800" i="2"/>
  <c r="I799" i="2"/>
  <c r="I798" i="2"/>
  <c r="I797" i="2"/>
  <c r="I796" i="2"/>
  <c r="I795" i="2"/>
  <c r="I794" i="2"/>
  <c r="I793" i="2"/>
  <c r="I792" i="2"/>
  <c r="I791" i="2"/>
  <c r="I790" i="2"/>
  <c r="I789" i="2"/>
  <c r="I788" i="2"/>
  <c r="I787" i="2"/>
  <c r="I786" i="2"/>
  <c r="I785" i="2"/>
  <c r="I784" i="2"/>
  <c r="I783" i="2"/>
  <c r="I782" i="2"/>
  <c r="I781" i="2"/>
  <c r="I780" i="2"/>
  <c r="I779" i="2"/>
  <c r="I778" i="2"/>
  <c r="I777" i="2"/>
  <c r="I776" i="2"/>
  <c r="I775" i="2"/>
  <c r="I774" i="2"/>
  <c r="I773" i="2"/>
  <c r="I772" i="2"/>
  <c r="I771" i="2"/>
  <c r="I770" i="2"/>
  <c r="I769" i="2"/>
  <c r="I768" i="2"/>
  <c r="I767" i="2"/>
  <c r="I766" i="2"/>
  <c r="I765" i="2"/>
  <c r="I764" i="2"/>
  <c r="I763" i="2"/>
  <c r="I762" i="2"/>
  <c r="I761" i="2"/>
  <c r="I760" i="2"/>
  <c r="I759" i="2"/>
  <c r="I758" i="2"/>
  <c r="I757" i="2"/>
  <c r="I756" i="2"/>
  <c r="I755" i="2"/>
  <c r="I754" i="2"/>
  <c r="I753" i="2"/>
  <c r="I752" i="2"/>
  <c r="I751" i="2"/>
  <c r="I750" i="2"/>
  <c r="I749" i="2"/>
  <c r="I748" i="2"/>
  <c r="I747" i="2"/>
  <c r="I746" i="2"/>
  <c r="I745" i="2"/>
  <c r="I744" i="2"/>
  <c r="I743" i="2"/>
  <c r="I742" i="2"/>
  <c r="I741" i="2"/>
  <c r="I740" i="2"/>
  <c r="I739" i="2"/>
  <c r="I738" i="2"/>
  <c r="I737" i="2"/>
  <c r="I736" i="2"/>
  <c r="I735" i="2"/>
  <c r="I734" i="2"/>
  <c r="I733" i="2"/>
  <c r="I732" i="2"/>
  <c r="I731" i="2"/>
  <c r="I730" i="2"/>
  <c r="I729" i="2"/>
  <c r="I728" i="2"/>
  <c r="I727" i="2"/>
  <c r="I726" i="2"/>
  <c r="I725" i="2"/>
  <c r="I724" i="2"/>
  <c r="I723" i="2"/>
  <c r="I722" i="2"/>
  <c r="I721" i="2"/>
  <c r="I720" i="2"/>
  <c r="I719" i="2"/>
  <c r="I718" i="2"/>
  <c r="I717" i="2"/>
  <c r="I716" i="2"/>
  <c r="I715" i="2"/>
  <c r="I714" i="2"/>
  <c r="I713" i="2"/>
  <c r="I712" i="2"/>
  <c r="I711" i="2"/>
  <c r="I710" i="2"/>
  <c r="I709" i="2"/>
  <c r="I708" i="2"/>
  <c r="I707" i="2"/>
  <c r="I706" i="2"/>
  <c r="I705"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4" i="2"/>
  <c r="I263" i="2"/>
  <c r="I262" i="2"/>
  <c r="I261"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20" i="2"/>
  <c r="I219" i="2"/>
  <c r="I218" i="2"/>
  <c r="I217" i="2"/>
  <c r="I216" i="2"/>
  <c r="I215" i="2"/>
  <c r="I214" i="2"/>
  <c r="I213" i="2"/>
  <c r="I212" i="2"/>
  <c r="I211" i="2"/>
  <c r="I210" i="2"/>
  <c r="I209" i="2"/>
  <c r="I208" i="2"/>
  <c r="I207" i="2"/>
  <c r="I206" i="2"/>
  <c r="I205" i="2"/>
  <c r="I204" i="2"/>
  <c r="I203" i="2"/>
  <c r="I202" i="2"/>
  <c r="I201" i="2"/>
  <c r="I200" i="2"/>
  <c r="I199" i="2"/>
  <c r="I198" i="2"/>
  <c r="I197" i="2"/>
  <c r="I196" i="2"/>
  <c r="I195" i="2"/>
  <c r="I194" i="2"/>
  <c r="I193" i="2"/>
  <c r="I192" i="2"/>
  <c r="I191" i="2"/>
  <c r="I190" i="2"/>
  <c r="I189" i="2"/>
  <c r="I188" i="2"/>
  <c r="I187" i="2"/>
  <c r="I186" i="2"/>
  <c r="I185" i="2"/>
  <c r="I184" i="2"/>
  <c r="I183" i="2"/>
  <c r="I182" i="2"/>
  <c r="I181" i="2"/>
  <c r="I180" i="2"/>
  <c r="I179" i="2"/>
  <c r="I178" i="2"/>
  <c r="I177" i="2"/>
  <c r="I176" i="2"/>
  <c r="I175"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I4" i="2"/>
  <c r="K1002" i="2"/>
  <c r="J1002" i="2"/>
  <c r="H1002" i="2"/>
  <c r="K1001" i="2"/>
  <c r="J1001" i="2"/>
  <c r="H1001" i="2"/>
  <c r="K1000" i="2"/>
  <c r="J1000" i="2"/>
  <c r="H1000" i="2"/>
  <c r="K999" i="2"/>
  <c r="J999" i="2"/>
  <c r="H999" i="2"/>
  <c r="K998" i="2"/>
  <c r="J998" i="2"/>
  <c r="H998" i="2"/>
  <c r="K997" i="2"/>
  <c r="J997" i="2"/>
  <c r="H997" i="2"/>
  <c r="K996" i="2"/>
  <c r="J996" i="2"/>
  <c r="H996" i="2"/>
  <c r="K995" i="2"/>
  <c r="J995" i="2"/>
  <c r="H995" i="2"/>
  <c r="K994" i="2"/>
  <c r="J994" i="2"/>
  <c r="H994" i="2"/>
  <c r="K993" i="2"/>
  <c r="J993" i="2"/>
  <c r="H993" i="2"/>
  <c r="K992" i="2"/>
  <c r="J992" i="2"/>
  <c r="H992" i="2"/>
  <c r="K991" i="2"/>
  <c r="J991" i="2"/>
  <c r="H991" i="2"/>
  <c r="K990" i="2"/>
  <c r="J990" i="2"/>
  <c r="H990" i="2"/>
  <c r="K989" i="2"/>
  <c r="J989" i="2"/>
  <c r="H989" i="2"/>
  <c r="K988" i="2"/>
  <c r="J988" i="2"/>
  <c r="H988" i="2"/>
  <c r="K987" i="2"/>
  <c r="J987" i="2"/>
  <c r="H987" i="2"/>
  <c r="K986" i="2"/>
  <c r="J986" i="2"/>
  <c r="H986" i="2"/>
  <c r="K985" i="2"/>
  <c r="J985" i="2"/>
  <c r="H985" i="2"/>
  <c r="K984" i="2"/>
  <c r="J984" i="2"/>
  <c r="H984" i="2"/>
  <c r="K983" i="2"/>
  <c r="J983" i="2"/>
  <c r="H983" i="2"/>
  <c r="K982" i="2"/>
  <c r="J982" i="2"/>
  <c r="H982" i="2"/>
  <c r="K981" i="2"/>
  <c r="J981" i="2"/>
  <c r="H981" i="2"/>
  <c r="K980" i="2"/>
  <c r="J980" i="2"/>
  <c r="H980" i="2"/>
  <c r="K979" i="2"/>
  <c r="J979" i="2"/>
  <c r="H979" i="2"/>
  <c r="K978" i="2"/>
  <c r="J978" i="2"/>
  <c r="H978" i="2"/>
  <c r="K977" i="2"/>
  <c r="J977" i="2"/>
  <c r="H977" i="2"/>
  <c r="K976" i="2"/>
  <c r="J976" i="2"/>
  <c r="H976" i="2"/>
  <c r="K975" i="2"/>
  <c r="J975" i="2"/>
  <c r="H975" i="2"/>
  <c r="K974" i="2"/>
  <c r="J974" i="2"/>
  <c r="H974" i="2"/>
  <c r="K973" i="2"/>
  <c r="J973" i="2"/>
  <c r="H973" i="2"/>
  <c r="K972" i="2"/>
  <c r="J972" i="2"/>
  <c r="H972" i="2"/>
  <c r="K971" i="2"/>
  <c r="J971" i="2"/>
  <c r="H971" i="2"/>
  <c r="K970" i="2"/>
  <c r="J970" i="2"/>
  <c r="H970" i="2"/>
  <c r="K969" i="2"/>
  <c r="J969" i="2"/>
  <c r="H969" i="2"/>
  <c r="K968" i="2"/>
  <c r="J968" i="2"/>
  <c r="H968" i="2"/>
  <c r="K967" i="2"/>
  <c r="J967" i="2"/>
  <c r="H967" i="2"/>
  <c r="K966" i="2"/>
  <c r="J966" i="2"/>
  <c r="H966" i="2"/>
  <c r="K965" i="2"/>
  <c r="J965" i="2"/>
  <c r="H965" i="2"/>
  <c r="K964" i="2"/>
  <c r="J964" i="2"/>
  <c r="H964" i="2"/>
  <c r="K963" i="2"/>
  <c r="J963" i="2"/>
  <c r="H963" i="2"/>
  <c r="K962" i="2"/>
  <c r="J962" i="2"/>
  <c r="H962" i="2"/>
  <c r="K961" i="2"/>
  <c r="J961" i="2"/>
  <c r="H961" i="2"/>
  <c r="K960" i="2"/>
  <c r="J960" i="2"/>
  <c r="H960" i="2"/>
  <c r="K959" i="2"/>
  <c r="J959" i="2"/>
  <c r="H959" i="2"/>
  <c r="K958" i="2"/>
  <c r="J958" i="2"/>
  <c r="H958" i="2"/>
  <c r="K957" i="2"/>
  <c r="J957" i="2"/>
  <c r="H957" i="2"/>
  <c r="K956" i="2"/>
  <c r="J956" i="2"/>
  <c r="H956" i="2"/>
  <c r="K955" i="2"/>
  <c r="J955" i="2"/>
  <c r="H955" i="2"/>
  <c r="K954" i="2"/>
  <c r="J954" i="2"/>
  <c r="H954" i="2"/>
  <c r="K953" i="2"/>
  <c r="J953" i="2"/>
  <c r="H953" i="2"/>
  <c r="K952" i="2"/>
  <c r="J952" i="2"/>
  <c r="H952" i="2"/>
  <c r="K951" i="2"/>
  <c r="J951" i="2"/>
  <c r="H951" i="2"/>
  <c r="K950" i="2"/>
  <c r="J950" i="2"/>
  <c r="H950" i="2"/>
  <c r="K949" i="2"/>
  <c r="J949" i="2"/>
  <c r="H949" i="2"/>
  <c r="K948" i="2"/>
  <c r="J948" i="2"/>
  <c r="H948" i="2"/>
  <c r="K947" i="2"/>
  <c r="J947" i="2"/>
  <c r="H947" i="2"/>
  <c r="K946" i="2"/>
  <c r="J946" i="2"/>
  <c r="H946" i="2"/>
  <c r="K945" i="2"/>
  <c r="J945" i="2"/>
  <c r="H945" i="2"/>
  <c r="K944" i="2"/>
  <c r="J944" i="2"/>
  <c r="H944" i="2"/>
  <c r="K943" i="2"/>
  <c r="J943" i="2"/>
  <c r="H943" i="2"/>
  <c r="K942" i="2"/>
  <c r="J942" i="2"/>
  <c r="H942" i="2"/>
  <c r="K941" i="2"/>
  <c r="J941" i="2"/>
  <c r="H941" i="2"/>
  <c r="K940" i="2"/>
  <c r="J940" i="2"/>
  <c r="H940" i="2"/>
  <c r="K939" i="2"/>
  <c r="J939" i="2"/>
  <c r="H939" i="2"/>
  <c r="K938" i="2"/>
  <c r="J938" i="2"/>
  <c r="H938" i="2"/>
  <c r="K937" i="2"/>
  <c r="J937" i="2"/>
  <c r="H937" i="2"/>
  <c r="K936" i="2"/>
  <c r="J936" i="2"/>
  <c r="H936" i="2"/>
  <c r="K935" i="2"/>
  <c r="J935" i="2"/>
  <c r="H935" i="2"/>
  <c r="K934" i="2"/>
  <c r="J934" i="2"/>
  <c r="H934" i="2"/>
  <c r="K933" i="2"/>
  <c r="J933" i="2"/>
  <c r="H933" i="2"/>
  <c r="K932" i="2"/>
  <c r="J932" i="2"/>
  <c r="H932" i="2"/>
  <c r="K931" i="2"/>
  <c r="J931" i="2"/>
  <c r="H931" i="2"/>
  <c r="K930" i="2"/>
  <c r="J930" i="2"/>
  <c r="H930" i="2"/>
  <c r="K929" i="2"/>
  <c r="J929" i="2"/>
  <c r="H929" i="2"/>
  <c r="K928" i="2"/>
  <c r="J928" i="2"/>
  <c r="H928" i="2"/>
  <c r="K927" i="2"/>
  <c r="J927" i="2"/>
  <c r="H927" i="2"/>
  <c r="K926" i="2"/>
  <c r="J926" i="2"/>
  <c r="H926" i="2"/>
  <c r="K925" i="2"/>
  <c r="J925" i="2"/>
  <c r="H925" i="2"/>
  <c r="K924" i="2"/>
  <c r="J924" i="2"/>
  <c r="H924" i="2"/>
  <c r="K923" i="2"/>
  <c r="J923" i="2"/>
  <c r="H923" i="2"/>
  <c r="K922" i="2"/>
  <c r="J922" i="2"/>
  <c r="H922" i="2"/>
  <c r="K921" i="2"/>
  <c r="J921" i="2"/>
  <c r="H921" i="2"/>
  <c r="K920" i="2"/>
  <c r="J920" i="2"/>
  <c r="H920" i="2"/>
  <c r="K919" i="2"/>
  <c r="J919" i="2"/>
  <c r="H919" i="2"/>
  <c r="K918" i="2"/>
  <c r="J918" i="2"/>
  <c r="H918" i="2"/>
  <c r="K917" i="2"/>
  <c r="J917" i="2"/>
  <c r="H917" i="2"/>
  <c r="K916" i="2"/>
  <c r="J916" i="2"/>
  <c r="H916" i="2"/>
  <c r="K915" i="2"/>
  <c r="J915" i="2"/>
  <c r="H915" i="2"/>
  <c r="K914" i="2"/>
  <c r="J914" i="2"/>
  <c r="H914" i="2"/>
  <c r="K913" i="2"/>
  <c r="J913" i="2"/>
  <c r="H913" i="2"/>
  <c r="K912" i="2"/>
  <c r="J912" i="2"/>
  <c r="H912" i="2"/>
  <c r="K911" i="2"/>
  <c r="J911" i="2"/>
  <c r="H911" i="2"/>
  <c r="K910" i="2"/>
  <c r="J910" i="2"/>
  <c r="H910" i="2"/>
  <c r="K909" i="2"/>
  <c r="J909" i="2"/>
  <c r="H909" i="2"/>
  <c r="K908" i="2"/>
  <c r="J908" i="2"/>
  <c r="H908" i="2"/>
  <c r="K907" i="2"/>
  <c r="J907" i="2"/>
  <c r="H907" i="2"/>
  <c r="K906" i="2"/>
  <c r="J906" i="2"/>
  <c r="H906" i="2"/>
  <c r="K905" i="2"/>
  <c r="J905" i="2"/>
  <c r="H905" i="2"/>
  <c r="K904" i="2"/>
  <c r="J904" i="2"/>
  <c r="H904" i="2"/>
  <c r="K903" i="2"/>
  <c r="J903" i="2"/>
  <c r="H903" i="2"/>
  <c r="K902" i="2"/>
  <c r="J902" i="2"/>
  <c r="H902" i="2"/>
  <c r="K901" i="2"/>
  <c r="J901" i="2"/>
  <c r="H901" i="2"/>
  <c r="K900" i="2"/>
  <c r="J900" i="2"/>
  <c r="H900" i="2"/>
  <c r="K899" i="2"/>
  <c r="J899" i="2"/>
  <c r="H899" i="2"/>
  <c r="K898" i="2"/>
  <c r="J898" i="2"/>
  <c r="H898" i="2"/>
  <c r="K897" i="2"/>
  <c r="J897" i="2"/>
  <c r="H897" i="2"/>
  <c r="K896" i="2"/>
  <c r="J896" i="2"/>
  <c r="H896" i="2"/>
  <c r="K895" i="2"/>
  <c r="J895" i="2"/>
  <c r="H895" i="2"/>
  <c r="K894" i="2"/>
  <c r="J894" i="2"/>
  <c r="H894" i="2"/>
  <c r="K893" i="2"/>
  <c r="J893" i="2"/>
  <c r="H893" i="2"/>
  <c r="K892" i="2"/>
  <c r="J892" i="2"/>
  <c r="H892" i="2"/>
  <c r="K891" i="2"/>
  <c r="J891" i="2"/>
  <c r="H891" i="2"/>
  <c r="K890" i="2"/>
  <c r="J890" i="2"/>
  <c r="H890" i="2"/>
  <c r="K889" i="2"/>
  <c r="J889" i="2"/>
  <c r="H889" i="2"/>
  <c r="K888" i="2"/>
  <c r="J888" i="2"/>
  <c r="H888" i="2"/>
  <c r="K887" i="2"/>
  <c r="J887" i="2"/>
  <c r="H887" i="2"/>
  <c r="K886" i="2"/>
  <c r="J886" i="2"/>
  <c r="H886" i="2"/>
  <c r="K885" i="2"/>
  <c r="J885" i="2"/>
  <c r="H885" i="2"/>
  <c r="K884" i="2"/>
  <c r="J884" i="2"/>
  <c r="H884" i="2"/>
  <c r="K883" i="2"/>
  <c r="J883" i="2"/>
  <c r="H883" i="2"/>
  <c r="K882" i="2"/>
  <c r="J882" i="2"/>
  <c r="H882" i="2"/>
  <c r="K881" i="2"/>
  <c r="J881" i="2"/>
  <c r="H881" i="2"/>
  <c r="K880" i="2"/>
  <c r="J880" i="2"/>
  <c r="H880" i="2"/>
  <c r="K879" i="2"/>
  <c r="J879" i="2"/>
  <c r="H879" i="2"/>
  <c r="K878" i="2"/>
  <c r="J878" i="2"/>
  <c r="H878" i="2"/>
  <c r="K877" i="2"/>
  <c r="J877" i="2"/>
  <c r="H877" i="2"/>
  <c r="K876" i="2"/>
  <c r="J876" i="2"/>
  <c r="H876" i="2"/>
  <c r="K875" i="2"/>
  <c r="J875" i="2"/>
  <c r="H875" i="2"/>
  <c r="K874" i="2"/>
  <c r="J874" i="2"/>
  <c r="H874" i="2"/>
  <c r="K873" i="2"/>
  <c r="J873" i="2"/>
  <c r="H873" i="2"/>
  <c r="K872" i="2"/>
  <c r="J872" i="2"/>
  <c r="H872" i="2"/>
  <c r="K871" i="2"/>
  <c r="J871" i="2"/>
  <c r="H871" i="2"/>
  <c r="K870" i="2"/>
  <c r="J870" i="2"/>
  <c r="H870" i="2"/>
  <c r="K869" i="2"/>
  <c r="J869" i="2"/>
  <c r="H869" i="2"/>
  <c r="K868" i="2"/>
  <c r="J868" i="2"/>
  <c r="H868" i="2"/>
  <c r="K867" i="2"/>
  <c r="J867" i="2"/>
  <c r="H867" i="2"/>
  <c r="K866" i="2"/>
  <c r="J866" i="2"/>
  <c r="H866" i="2"/>
  <c r="K865" i="2"/>
  <c r="J865" i="2"/>
  <c r="H865" i="2"/>
  <c r="K864" i="2"/>
  <c r="J864" i="2"/>
  <c r="H864" i="2"/>
  <c r="K863" i="2"/>
  <c r="J863" i="2"/>
  <c r="H863" i="2"/>
  <c r="K862" i="2"/>
  <c r="J862" i="2"/>
  <c r="H862" i="2"/>
  <c r="K861" i="2"/>
  <c r="J861" i="2"/>
  <c r="H861" i="2"/>
  <c r="K860" i="2"/>
  <c r="J860" i="2"/>
  <c r="H860" i="2"/>
  <c r="K859" i="2"/>
  <c r="J859" i="2"/>
  <c r="H859" i="2"/>
  <c r="K858" i="2"/>
  <c r="J858" i="2"/>
  <c r="H858" i="2"/>
  <c r="K857" i="2"/>
  <c r="J857" i="2"/>
  <c r="H857" i="2"/>
  <c r="K856" i="2"/>
  <c r="J856" i="2"/>
  <c r="H856" i="2"/>
  <c r="K855" i="2"/>
  <c r="J855" i="2"/>
  <c r="H855" i="2"/>
  <c r="K854" i="2"/>
  <c r="J854" i="2"/>
  <c r="H854" i="2"/>
  <c r="K853" i="2"/>
  <c r="J853" i="2"/>
  <c r="H853" i="2"/>
  <c r="K852" i="2"/>
  <c r="J852" i="2"/>
  <c r="H852" i="2"/>
  <c r="K851" i="2"/>
  <c r="J851" i="2"/>
  <c r="H851" i="2"/>
  <c r="K850" i="2"/>
  <c r="J850" i="2"/>
  <c r="H850" i="2"/>
  <c r="K849" i="2"/>
  <c r="J849" i="2"/>
  <c r="H849" i="2"/>
  <c r="K848" i="2"/>
  <c r="J848" i="2"/>
  <c r="H848" i="2"/>
  <c r="K847" i="2"/>
  <c r="J847" i="2"/>
  <c r="H847" i="2"/>
  <c r="K846" i="2"/>
  <c r="J846" i="2"/>
  <c r="H846" i="2"/>
  <c r="K845" i="2"/>
  <c r="J845" i="2"/>
  <c r="H845" i="2"/>
  <c r="K844" i="2"/>
  <c r="J844" i="2"/>
  <c r="H844" i="2"/>
  <c r="K843" i="2"/>
  <c r="J843" i="2"/>
  <c r="H843" i="2"/>
  <c r="K842" i="2"/>
  <c r="J842" i="2"/>
  <c r="H842" i="2"/>
  <c r="K841" i="2"/>
  <c r="J841" i="2"/>
  <c r="H841" i="2"/>
  <c r="K840" i="2"/>
  <c r="J840" i="2"/>
  <c r="H840" i="2"/>
  <c r="K839" i="2"/>
  <c r="J839" i="2"/>
  <c r="H839" i="2"/>
  <c r="K838" i="2"/>
  <c r="J838" i="2"/>
  <c r="H838" i="2"/>
  <c r="K837" i="2"/>
  <c r="J837" i="2"/>
  <c r="H837" i="2"/>
  <c r="K836" i="2"/>
  <c r="J836" i="2"/>
  <c r="H836" i="2"/>
  <c r="K835" i="2"/>
  <c r="J835" i="2"/>
  <c r="H835" i="2"/>
  <c r="K834" i="2"/>
  <c r="J834" i="2"/>
  <c r="H834" i="2"/>
  <c r="K833" i="2"/>
  <c r="J833" i="2"/>
  <c r="H833" i="2"/>
  <c r="K832" i="2"/>
  <c r="J832" i="2"/>
  <c r="H832" i="2"/>
  <c r="K831" i="2"/>
  <c r="J831" i="2"/>
  <c r="H831" i="2"/>
  <c r="K830" i="2"/>
  <c r="J830" i="2"/>
  <c r="H830" i="2"/>
  <c r="K829" i="2"/>
  <c r="J829" i="2"/>
  <c r="H829" i="2"/>
  <c r="K828" i="2"/>
  <c r="J828" i="2"/>
  <c r="H828" i="2"/>
  <c r="K827" i="2"/>
  <c r="J827" i="2"/>
  <c r="H827" i="2"/>
  <c r="K826" i="2"/>
  <c r="J826" i="2"/>
  <c r="H826" i="2"/>
  <c r="K825" i="2"/>
  <c r="J825" i="2"/>
  <c r="H825" i="2"/>
  <c r="K824" i="2"/>
  <c r="J824" i="2"/>
  <c r="H824" i="2"/>
  <c r="K823" i="2"/>
  <c r="J823" i="2"/>
  <c r="H823" i="2"/>
  <c r="K822" i="2"/>
  <c r="J822" i="2"/>
  <c r="H822" i="2"/>
  <c r="K821" i="2"/>
  <c r="J821" i="2"/>
  <c r="H821" i="2"/>
  <c r="K820" i="2"/>
  <c r="J820" i="2"/>
  <c r="H820" i="2"/>
  <c r="K819" i="2"/>
  <c r="J819" i="2"/>
  <c r="H819" i="2"/>
  <c r="K818" i="2"/>
  <c r="J818" i="2"/>
  <c r="H818" i="2"/>
  <c r="K817" i="2"/>
  <c r="J817" i="2"/>
  <c r="H817" i="2"/>
  <c r="K816" i="2"/>
  <c r="J816" i="2"/>
  <c r="H816" i="2"/>
  <c r="K815" i="2"/>
  <c r="J815" i="2"/>
  <c r="H815" i="2"/>
  <c r="K814" i="2"/>
  <c r="J814" i="2"/>
  <c r="H814" i="2"/>
  <c r="K813" i="2"/>
  <c r="J813" i="2"/>
  <c r="H813" i="2"/>
  <c r="K812" i="2"/>
  <c r="J812" i="2"/>
  <c r="H812" i="2"/>
  <c r="K811" i="2"/>
  <c r="J811" i="2"/>
  <c r="H811" i="2"/>
  <c r="K810" i="2"/>
  <c r="J810" i="2"/>
  <c r="H810" i="2"/>
  <c r="K809" i="2"/>
  <c r="J809" i="2"/>
  <c r="H809" i="2"/>
  <c r="K808" i="2"/>
  <c r="J808" i="2"/>
  <c r="H808" i="2"/>
  <c r="K807" i="2"/>
  <c r="J807" i="2"/>
  <c r="H807" i="2"/>
  <c r="K806" i="2"/>
  <c r="J806" i="2"/>
  <c r="H806" i="2"/>
  <c r="K805" i="2"/>
  <c r="J805" i="2"/>
  <c r="H805" i="2"/>
  <c r="K804" i="2"/>
  <c r="J804" i="2"/>
  <c r="H804" i="2"/>
  <c r="K803" i="2"/>
  <c r="J803" i="2"/>
  <c r="H803" i="2"/>
  <c r="K802" i="2"/>
  <c r="J802" i="2"/>
  <c r="H802" i="2"/>
  <c r="K801" i="2"/>
  <c r="J801" i="2"/>
  <c r="H801" i="2"/>
  <c r="K800" i="2"/>
  <c r="J800" i="2"/>
  <c r="H800" i="2"/>
  <c r="K799" i="2"/>
  <c r="J799" i="2"/>
  <c r="H799" i="2"/>
  <c r="K798" i="2"/>
  <c r="J798" i="2"/>
  <c r="H798" i="2"/>
  <c r="K797" i="2"/>
  <c r="J797" i="2"/>
  <c r="H797" i="2"/>
  <c r="K796" i="2"/>
  <c r="J796" i="2"/>
  <c r="H796" i="2"/>
  <c r="K795" i="2"/>
  <c r="J795" i="2"/>
  <c r="H795" i="2"/>
  <c r="K794" i="2"/>
  <c r="J794" i="2"/>
  <c r="H794" i="2"/>
  <c r="K793" i="2"/>
  <c r="J793" i="2"/>
  <c r="H793" i="2"/>
  <c r="K792" i="2"/>
  <c r="J792" i="2"/>
  <c r="H792" i="2"/>
  <c r="K791" i="2"/>
  <c r="J791" i="2"/>
  <c r="H791" i="2"/>
  <c r="K790" i="2"/>
  <c r="J790" i="2"/>
  <c r="H790" i="2"/>
  <c r="K789" i="2"/>
  <c r="J789" i="2"/>
  <c r="H789" i="2"/>
  <c r="K788" i="2"/>
  <c r="J788" i="2"/>
  <c r="H788" i="2"/>
  <c r="K787" i="2"/>
  <c r="J787" i="2"/>
  <c r="H787" i="2"/>
  <c r="K786" i="2"/>
  <c r="J786" i="2"/>
  <c r="H786" i="2"/>
  <c r="K785" i="2"/>
  <c r="J785" i="2"/>
  <c r="H785" i="2"/>
  <c r="K784" i="2"/>
  <c r="J784" i="2"/>
  <c r="H784" i="2"/>
  <c r="K783" i="2"/>
  <c r="J783" i="2"/>
  <c r="H783" i="2"/>
  <c r="K782" i="2"/>
  <c r="J782" i="2"/>
  <c r="H782" i="2"/>
  <c r="K781" i="2"/>
  <c r="J781" i="2"/>
  <c r="H781" i="2"/>
  <c r="K780" i="2"/>
  <c r="J780" i="2"/>
  <c r="H780" i="2"/>
  <c r="K779" i="2"/>
  <c r="J779" i="2"/>
  <c r="H779" i="2"/>
  <c r="K778" i="2"/>
  <c r="J778" i="2"/>
  <c r="H778" i="2"/>
  <c r="K777" i="2"/>
  <c r="J777" i="2"/>
  <c r="H777" i="2"/>
  <c r="K776" i="2"/>
  <c r="J776" i="2"/>
  <c r="H776" i="2"/>
  <c r="K775" i="2"/>
  <c r="J775" i="2"/>
  <c r="H775" i="2"/>
  <c r="K774" i="2"/>
  <c r="J774" i="2"/>
  <c r="H774" i="2"/>
  <c r="K773" i="2"/>
  <c r="J773" i="2"/>
  <c r="H773" i="2"/>
  <c r="K772" i="2"/>
  <c r="J772" i="2"/>
  <c r="H772" i="2"/>
  <c r="K771" i="2"/>
  <c r="J771" i="2"/>
  <c r="H771" i="2"/>
  <c r="K770" i="2"/>
  <c r="J770" i="2"/>
  <c r="H770" i="2"/>
  <c r="K769" i="2"/>
  <c r="J769" i="2"/>
  <c r="H769" i="2"/>
  <c r="K768" i="2"/>
  <c r="J768" i="2"/>
  <c r="H768" i="2"/>
  <c r="K767" i="2"/>
  <c r="J767" i="2"/>
  <c r="H767" i="2"/>
  <c r="K766" i="2"/>
  <c r="J766" i="2"/>
  <c r="H766" i="2"/>
  <c r="K765" i="2"/>
  <c r="J765" i="2"/>
  <c r="H765" i="2"/>
  <c r="K764" i="2"/>
  <c r="J764" i="2"/>
  <c r="H764" i="2"/>
  <c r="K763" i="2"/>
  <c r="J763" i="2"/>
  <c r="H763" i="2"/>
  <c r="K762" i="2"/>
  <c r="J762" i="2"/>
  <c r="H762" i="2"/>
  <c r="K761" i="2"/>
  <c r="J761" i="2"/>
  <c r="H761" i="2"/>
  <c r="K760" i="2"/>
  <c r="J760" i="2"/>
  <c r="H760" i="2"/>
  <c r="K759" i="2"/>
  <c r="J759" i="2"/>
  <c r="H759" i="2"/>
  <c r="K758" i="2"/>
  <c r="J758" i="2"/>
  <c r="H758" i="2"/>
  <c r="K757" i="2"/>
  <c r="J757" i="2"/>
  <c r="H757" i="2"/>
  <c r="K756" i="2"/>
  <c r="J756" i="2"/>
  <c r="H756" i="2"/>
  <c r="K755" i="2"/>
  <c r="J755" i="2"/>
  <c r="H755" i="2"/>
  <c r="K754" i="2"/>
  <c r="J754" i="2"/>
  <c r="H754" i="2"/>
  <c r="K753" i="2"/>
  <c r="J753" i="2"/>
  <c r="H753" i="2"/>
  <c r="K752" i="2"/>
  <c r="J752" i="2"/>
  <c r="H752" i="2"/>
  <c r="K751" i="2"/>
  <c r="J751" i="2"/>
  <c r="H751" i="2"/>
  <c r="K750" i="2"/>
  <c r="J750" i="2"/>
  <c r="H750" i="2"/>
  <c r="K749" i="2"/>
  <c r="J749" i="2"/>
  <c r="H749" i="2"/>
  <c r="K748" i="2"/>
  <c r="J748" i="2"/>
  <c r="H748" i="2"/>
  <c r="K747" i="2"/>
  <c r="J747" i="2"/>
  <c r="H747" i="2"/>
  <c r="K746" i="2"/>
  <c r="J746" i="2"/>
  <c r="H746" i="2"/>
  <c r="K745" i="2"/>
  <c r="J745" i="2"/>
  <c r="H745" i="2"/>
  <c r="K744" i="2"/>
  <c r="J744" i="2"/>
  <c r="H744" i="2"/>
  <c r="K743" i="2"/>
  <c r="J743" i="2"/>
  <c r="H743" i="2"/>
  <c r="K742" i="2"/>
  <c r="J742" i="2"/>
  <c r="H742" i="2"/>
  <c r="K741" i="2"/>
  <c r="J741" i="2"/>
  <c r="H741" i="2"/>
  <c r="K740" i="2"/>
  <c r="J740" i="2"/>
  <c r="H740" i="2"/>
  <c r="K739" i="2"/>
  <c r="J739" i="2"/>
  <c r="H739" i="2"/>
  <c r="K738" i="2"/>
  <c r="J738" i="2"/>
  <c r="H738" i="2"/>
  <c r="K737" i="2"/>
  <c r="J737" i="2"/>
  <c r="H737" i="2"/>
  <c r="K736" i="2"/>
  <c r="J736" i="2"/>
  <c r="H736" i="2"/>
  <c r="K735" i="2"/>
  <c r="J735" i="2"/>
  <c r="H735" i="2"/>
  <c r="K734" i="2"/>
  <c r="J734" i="2"/>
  <c r="H734" i="2"/>
  <c r="K733" i="2"/>
  <c r="J733" i="2"/>
  <c r="H733" i="2"/>
  <c r="K732" i="2"/>
  <c r="J732" i="2"/>
  <c r="H732" i="2"/>
  <c r="K731" i="2"/>
  <c r="J731" i="2"/>
  <c r="H731" i="2"/>
  <c r="K730" i="2"/>
  <c r="J730" i="2"/>
  <c r="H730" i="2"/>
  <c r="K729" i="2"/>
  <c r="J729" i="2"/>
  <c r="H729" i="2"/>
  <c r="K728" i="2"/>
  <c r="J728" i="2"/>
  <c r="H728" i="2"/>
  <c r="K727" i="2"/>
  <c r="J727" i="2"/>
  <c r="H727" i="2"/>
  <c r="K726" i="2"/>
  <c r="J726" i="2"/>
  <c r="H726" i="2"/>
  <c r="K725" i="2"/>
  <c r="J725" i="2"/>
  <c r="H725" i="2"/>
  <c r="K724" i="2"/>
  <c r="J724" i="2"/>
  <c r="H724" i="2"/>
  <c r="K723" i="2"/>
  <c r="J723" i="2"/>
  <c r="H723" i="2"/>
  <c r="K722" i="2"/>
  <c r="J722" i="2"/>
  <c r="H722" i="2"/>
  <c r="K721" i="2"/>
  <c r="J721" i="2"/>
  <c r="H721" i="2"/>
  <c r="K720" i="2"/>
  <c r="J720" i="2"/>
  <c r="H720" i="2"/>
  <c r="K719" i="2"/>
  <c r="J719" i="2"/>
  <c r="H719" i="2"/>
  <c r="K718" i="2"/>
  <c r="J718" i="2"/>
  <c r="H718" i="2"/>
  <c r="K717" i="2"/>
  <c r="J717" i="2"/>
  <c r="H717" i="2"/>
  <c r="K716" i="2"/>
  <c r="J716" i="2"/>
  <c r="H716" i="2"/>
  <c r="K715" i="2"/>
  <c r="J715" i="2"/>
  <c r="H715" i="2"/>
  <c r="K714" i="2"/>
  <c r="J714" i="2"/>
  <c r="H714" i="2"/>
  <c r="K713" i="2"/>
  <c r="J713" i="2"/>
  <c r="H713" i="2"/>
  <c r="K712" i="2"/>
  <c r="J712" i="2"/>
  <c r="H712" i="2"/>
  <c r="K711" i="2"/>
  <c r="J711" i="2"/>
  <c r="H711" i="2"/>
  <c r="K710" i="2"/>
  <c r="J710" i="2"/>
  <c r="H710" i="2"/>
  <c r="K709" i="2"/>
  <c r="J709" i="2"/>
  <c r="H709" i="2"/>
  <c r="K708" i="2"/>
  <c r="J708" i="2"/>
  <c r="H708" i="2"/>
  <c r="K707" i="2"/>
  <c r="J707" i="2"/>
  <c r="H707" i="2"/>
  <c r="K706" i="2"/>
  <c r="J706" i="2"/>
  <c r="H706" i="2"/>
  <c r="K705" i="2"/>
  <c r="J705" i="2"/>
  <c r="H705" i="2"/>
  <c r="K704" i="2"/>
  <c r="J704" i="2"/>
  <c r="H704" i="2"/>
  <c r="K703" i="2"/>
  <c r="J703" i="2"/>
  <c r="H703" i="2"/>
  <c r="K702" i="2"/>
  <c r="J702" i="2"/>
  <c r="H702" i="2"/>
  <c r="K701" i="2"/>
  <c r="J701" i="2"/>
  <c r="H701" i="2"/>
  <c r="K700" i="2"/>
  <c r="J700" i="2"/>
  <c r="H700" i="2"/>
  <c r="K699" i="2"/>
  <c r="J699" i="2"/>
  <c r="H699" i="2"/>
  <c r="K698" i="2"/>
  <c r="J698" i="2"/>
  <c r="H698" i="2"/>
  <c r="K697" i="2"/>
  <c r="J697" i="2"/>
  <c r="H697" i="2"/>
  <c r="K696" i="2"/>
  <c r="J696" i="2"/>
  <c r="H696" i="2"/>
  <c r="K695" i="2"/>
  <c r="J695" i="2"/>
  <c r="H695" i="2"/>
  <c r="K694" i="2"/>
  <c r="J694" i="2"/>
  <c r="H694" i="2"/>
  <c r="K693" i="2"/>
  <c r="J693" i="2"/>
  <c r="H693" i="2"/>
  <c r="K692" i="2"/>
  <c r="J692" i="2"/>
  <c r="H692" i="2"/>
  <c r="K691" i="2"/>
  <c r="J691" i="2"/>
  <c r="H691" i="2"/>
  <c r="K690" i="2"/>
  <c r="J690" i="2"/>
  <c r="H690" i="2"/>
  <c r="K689" i="2"/>
  <c r="J689" i="2"/>
  <c r="H689" i="2"/>
  <c r="K688" i="2"/>
  <c r="J688" i="2"/>
  <c r="H688" i="2"/>
  <c r="K687" i="2"/>
  <c r="J687" i="2"/>
  <c r="H687" i="2"/>
  <c r="K686" i="2"/>
  <c r="J686" i="2"/>
  <c r="H686" i="2"/>
  <c r="K685" i="2"/>
  <c r="J685" i="2"/>
  <c r="H685" i="2"/>
  <c r="K684" i="2"/>
  <c r="J684" i="2"/>
  <c r="H684" i="2"/>
  <c r="K683" i="2"/>
  <c r="J683" i="2"/>
  <c r="H683" i="2"/>
  <c r="K682" i="2"/>
  <c r="J682" i="2"/>
  <c r="H682" i="2"/>
  <c r="K681" i="2"/>
  <c r="J681" i="2"/>
  <c r="H681" i="2"/>
  <c r="K680" i="2"/>
  <c r="J680" i="2"/>
  <c r="H680" i="2"/>
  <c r="K679" i="2"/>
  <c r="J679" i="2"/>
  <c r="H679" i="2"/>
  <c r="K678" i="2"/>
  <c r="J678" i="2"/>
  <c r="H678" i="2"/>
  <c r="K677" i="2"/>
  <c r="J677" i="2"/>
  <c r="H677" i="2"/>
  <c r="K676" i="2"/>
  <c r="J676" i="2"/>
  <c r="H676" i="2"/>
  <c r="K675" i="2"/>
  <c r="J675" i="2"/>
  <c r="H675" i="2"/>
  <c r="K674" i="2"/>
  <c r="J674" i="2"/>
  <c r="H674" i="2"/>
  <c r="K673" i="2"/>
  <c r="J673" i="2"/>
  <c r="H673" i="2"/>
  <c r="K672" i="2"/>
  <c r="J672" i="2"/>
  <c r="H672" i="2"/>
  <c r="K671" i="2"/>
  <c r="J671" i="2"/>
  <c r="H671" i="2"/>
  <c r="K670" i="2"/>
  <c r="J670" i="2"/>
  <c r="H670" i="2"/>
  <c r="K669" i="2"/>
  <c r="J669" i="2"/>
  <c r="H669" i="2"/>
  <c r="K668" i="2"/>
  <c r="J668" i="2"/>
  <c r="H668" i="2"/>
  <c r="K667" i="2"/>
  <c r="J667" i="2"/>
  <c r="H667" i="2"/>
  <c r="K666" i="2"/>
  <c r="J666" i="2"/>
  <c r="H666" i="2"/>
  <c r="K665" i="2"/>
  <c r="J665" i="2"/>
  <c r="H665" i="2"/>
  <c r="K664" i="2"/>
  <c r="J664" i="2"/>
  <c r="H664" i="2"/>
  <c r="K663" i="2"/>
  <c r="J663" i="2"/>
  <c r="H663" i="2"/>
  <c r="K662" i="2"/>
  <c r="J662" i="2"/>
  <c r="H662" i="2"/>
  <c r="K661" i="2"/>
  <c r="J661" i="2"/>
  <c r="H661" i="2"/>
  <c r="K660" i="2"/>
  <c r="J660" i="2"/>
  <c r="H660" i="2"/>
  <c r="K659" i="2"/>
  <c r="J659" i="2"/>
  <c r="H659" i="2"/>
  <c r="K658" i="2"/>
  <c r="J658" i="2"/>
  <c r="H658" i="2"/>
  <c r="K657" i="2"/>
  <c r="J657" i="2"/>
  <c r="H657" i="2"/>
  <c r="K656" i="2"/>
  <c r="J656" i="2"/>
  <c r="H656" i="2"/>
  <c r="K655" i="2"/>
  <c r="J655" i="2"/>
  <c r="H655" i="2"/>
  <c r="K654" i="2"/>
  <c r="J654" i="2"/>
  <c r="H654" i="2"/>
  <c r="K653" i="2"/>
  <c r="J653" i="2"/>
  <c r="H653" i="2"/>
  <c r="K652" i="2"/>
  <c r="J652" i="2"/>
  <c r="H652" i="2"/>
  <c r="K651" i="2"/>
  <c r="J651" i="2"/>
  <c r="H651" i="2"/>
  <c r="K650" i="2"/>
  <c r="J650" i="2"/>
  <c r="H650" i="2"/>
  <c r="K649" i="2"/>
  <c r="J649" i="2"/>
  <c r="H649" i="2"/>
  <c r="K648" i="2"/>
  <c r="J648" i="2"/>
  <c r="H648" i="2"/>
  <c r="K647" i="2"/>
  <c r="J647" i="2"/>
  <c r="H647" i="2"/>
  <c r="K646" i="2"/>
  <c r="J646" i="2"/>
  <c r="H646" i="2"/>
  <c r="K645" i="2"/>
  <c r="J645" i="2"/>
  <c r="H645" i="2"/>
  <c r="K644" i="2"/>
  <c r="J644" i="2"/>
  <c r="H644" i="2"/>
  <c r="K643" i="2"/>
  <c r="J643" i="2"/>
  <c r="H643" i="2"/>
  <c r="K642" i="2"/>
  <c r="J642" i="2"/>
  <c r="H642" i="2"/>
  <c r="K641" i="2"/>
  <c r="J641" i="2"/>
  <c r="H641" i="2"/>
  <c r="K640" i="2"/>
  <c r="J640" i="2"/>
  <c r="H640" i="2"/>
  <c r="K639" i="2"/>
  <c r="J639" i="2"/>
  <c r="H639" i="2"/>
  <c r="K638" i="2"/>
  <c r="J638" i="2"/>
  <c r="H638" i="2"/>
  <c r="K637" i="2"/>
  <c r="J637" i="2"/>
  <c r="H637" i="2"/>
  <c r="K636" i="2"/>
  <c r="J636" i="2"/>
  <c r="H636" i="2"/>
  <c r="K635" i="2"/>
  <c r="J635" i="2"/>
  <c r="H635" i="2"/>
  <c r="K634" i="2"/>
  <c r="J634" i="2"/>
  <c r="H634" i="2"/>
  <c r="K633" i="2"/>
  <c r="J633" i="2"/>
  <c r="H633" i="2"/>
  <c r="K632" i="2"/>
  <c r="J632" i="2"/>
  <c r="H632" i="2"/>
  <c r="K631" i="2"/>
  <c r="J631" i="2"/>
  <c r="H631" i="2"/>
  <c r="K630" i="2"/>
  <c r="J630" i="2"/>
  <c r="H630" i="2"/>
  <c r="K629" i="2"/>
  <c r="J629" i="2"/>
  <c r="H629" i="2"/>
  <c r="K628" i="2"/>
  <c r="J628" i="2"/>
  <c r="H628" i="2"/>
  <c r="K627" i="2"/>
  <c r="J627" i="2"/>
  <c r="H627" i="2"/>
  <c r="K626" i="2"/>
  <c r="J626" i="2"/>
  <c r="H626" i="2"/>
  <c r="K625" i="2"/>
  <c r="J625" i="2"/>
  <c r="H625" i="2"/>
  <c r="K624" i="2"/>
  <c r="J624" i="2"/>
  <c r="H624" i="2"/>
  <c r="K623" i="2"/>
  <c r="J623" i="2"/>
  <c r="H623" i="2"/>
  <c r="K622" i="2"/>
  <c r="J622" i="2"/>
  <c r="H622" i="2"/>
  <c r="K621" i="2"/>
  <c r="J621" i="2"/>
  <c r="H621" i="2"/>
  <c r="K620" i="2"/>
  <c r="J620" i="2"/>
  <c r="H620" i="2"/>
  <c r="K619" i="2"/>
  <c r="J619" i="2"/>
  <c r="H619" i="2"/>
  <c r="K618" i="2"/>
  <c r="J618" i="2"/>
  <c r="H618" i="2"/>
  <c r="K617" i="2"/>
  <c r="J617" i="2"/>
  <c r="H617" i="2"/>
  <c r="K616" i="2"/>
  <c r="J616" i="2"/>
  <c r="H616" i="2"/>
  <c r="K615" i="2"/>
  <c r="J615" i="2"/>
  <c r="H615" i="2"/>
  <c r="K614" i="2"/>
  <c r="J614" i="2"/>
  <c r="H614" i="2"/>
  <c r="K613" i="2"/>
  <c r="J613" i="2"/>
  <c r="H613" i="2"/>
  <c r="K612" i="2"/>
  <c r="J612" i="2"/>
  <c r="H612" i="2"/>
  <c r="K611" i="2"/>
  <c r="J611" i="2"/>
  <c r="H611" i="2"/>
  <c r="K610" i="2"/>
  <c r="J610" i="2"/>
  <c r="H610" i="2"/>
  <c r="K609" i="2"/>
  <c r="J609" i="2"/>
  <c r="H609" i="2"/>
  <c r="K608" i="2"/>
  <c r="J608" i="2"/>
  <c r="H608" i="2"/>
  <c r="K607" i="2"/>
  <c r="J607" i="2"/>
  <c r="H607" i="2"/>
  <c r="K606" i="2"/>
  <c r="J606" i="2"/>
  <c r="H606" i="2"/>
  <c r="K605" i="2"/>
  <c r="J605" i="2"/>
  <c r="H605" i="2"/>
  <c r="K604" i="2"/>
  <c r="J604" i="2"/>
  <c r="H604" i="2"/>
  <c r="K603" i="2"/>
  <c r="J603" i="2"/>
  <c r="H603" i="2"/>
  <c r="K602" i="2"/>
  <c r="J602" i="2"/>
  <c r="H602" i="2"/>
  <c r="K601" i="2"/>
  <c r="J601" i="2"/>
  <c r="H601" i="2"/>
  <c r="K600" i="2"/>
  <c r="J600" i="2"/>
  <c r="H600" i="2"/>
  <c r="K599" i="2"/>
  <c r="J599" i="2"/>
  <c r="H599" i="2"/>
  <c r="K598" i="2"/>
  <c r="J598" i="2"/>
  <c r="H598" i="2"/>
  <c r="K597" i="2"/>
  <c r="J597" i="2"/>
  <c r="H597" i="2"/>
  <c r="K596" i="2"/>
  <c r="J596" i="2"/>
  <c r="H596" i="2"/>
  <c r="K595" i="2"/>
  <c r="J595" i="2"/>
  <c r="H595" i="2"/>
  <c r="K594" i="2"/>
  <c r="J594" i="2"/>
  <c r="H594" i="2"/>
  <c r="K593" i="2"/>
  <c r="J593" i="2"/>
  <c r="H593" i="2"/>
  <c r="K592" i="2"/>
  <c r="J592" i="2"/>
  <c r="H592" i="2"/>
  <c r="K591" i="2"/>
  <c r="J591" i="2"/>
  <c r="H591" i="2"/>
  <c r="K590" i="2"/>
  <c r="J590" i="2"/>
  <c r="H590" i="2"/>
  <c r="K589" i="2"/>
  <c r="J589" i="2"/>
  <c r="H589" i="2"/>
  <c r="K588" i="2"/>
  <c r="J588" i="2"/>
  <c r="H588" i="2"/>
  <c r="K587" i="2"/>
  <c r="J587" i="2"/>
  <c r="H587" i="2"/>
  <c r="K586" i="2"/>
  <c r="J586" i="2"/>
  <c r="H586" i="2"/>
  <c r="K585" i="2"/>
  <c r="J585" i="2"/>
  <c r="H585" i="2"/>
  <c r="K584" i="2"/>
  <c r="J584" i="2"/>
  <c r="H584" i="2"/>
  <c r="K583" i="2"/>
  <c r="J583" i="2"/>
  <c r="H583" i="2"/>
  <c r="K582" i="2"/>
  <c r="J582" i="2"/>
  <c r="H582" i="2"/>
  <c r="K581" i="2"/>
  <c r="J581" i="2"/>
  <c r="H581" i="2"/>
  <c r="K580" i="2"/>
  <c r="J580" i="2"/>
  <c r="H580" i="2"/>
  <c r="K579" i="2"/>
  <c r="J579" i="2"/>
  <c r="H579" i="2"/>
  <c r="K578" i="2"/>
  <c r="J578" i="2"/>
  <c r="H578" i="2"/>
  <c r="K577" i="2"/>
  <c r="J577" i="2"/>
  <c r="H577" i="2"/>
  <c r="K576" i="2"/>
  <c r="J576" i="2"/>
  <c r="H576" i="2"/>
  <c r="K575" i="2"/>
  <c r="J575" i="2"/>
  <c r="H575" i="2"/>
  <c r="K574" i="2"/>
  <c r="J574" i="2"/>
  <c r="H574" i="2"/>
  <c r="K573" i="2"/>
  <c r="J573" i="2"/>
  <c r="H573" i="2"/>
  <c r="K572" i="2"/>
  <c r="J572" i="2"/>
  <c r="H572" i="2"/>
  <c r="K571" i="2"/>
  <c r="J571" i="2"/>
  <c r="H571" i="2"/>
  <c r="K570" i="2"/>
  <c r="J570" i="2"/>
  <c r="H570" i="2"/>
  <c r="K569" i="2"/>
  <c r="J569" i="2"/>
  <c r="H569" i="2"/>
  <c r="K568" i="2"/>
  <c r="J568" i="2"/>
  <c r="H568" i="2"/>
  <c r="K567" i="2"/>
  <c r="J567" i="2"/>
  <c r="H567" i="2"/>
  <c r="K566" i="2"/>
  <c r="J566" i="2"/>
  <c r="H566" i="2"/>
  <c r="K565" i="2"/>
  <c r="J565" i="2"/>
  <c r="H565" i="2"/>
  <c r="K564" i="2"/>
  <c r="J564" i="2"/>
  <c r="H564" i="2"/>
  <c r="K563" i="2"/>
  <c r="J563" i="2"/>
  <c r="H563" i="2"/>
  <c r="K562" i="2"/>
  <c r="J562" i="2"/>
  <c r="H562" i="2"/>
  <c r="K561" i="2"/>
  <c r="J561" i="2"/>
  <c r="H561" i="2"/>
  <c r="K560" i="2"/>
  <c r="J560" i="2"/>
  <c r="H560" i="2"/>
  <c r="K559" i="2"/>
  <c r="J559" i="2"/>
  <c r="H559" i="2"/>
  <c r="K558" i="2"/>
  <c r="J558" i="2"/>
  <c r="H558" i="2"/>
  <c r="K557" i="2"/>
  <c r="J557" i="2"/>
  <c r="H557" i="2"/>
  <c r="K556" i="2"/>
  <c r="J556" i="2"/>
  <c r="H556" i="2"/>
  <c r="K555" i="2"/>
  <c r="J555" i="2"/>
  <c r="H555" i="2"/>
  <c r="K554" i="2"/>
  <c r="J554" i="2"/>
  <c r="H554" i="2"/>
  <c r="K553" i="2"/>
  <c r="J553" i="2"/>
  <c r="H553" i="2"/>
  <c r="K552" i="2"/>
  <c r="J552" i="2"/>
  <c r="H552" i="2"/>
  <c r="K551" i="2"/>
  <c r="J551" i="2"/>
  <c r="H551" i="2"/>
  <c r="K550" i="2"/>
  <c r="J550" i="2"/>
  <c r="H550" i="2"/>
  <c r="K549" i="2"/>
  <c r="J549" i="2"/>
  <c r="H549" i="2"/>
  <c r="K548" i="2"/>
  <c r="J548" i="2"/>
  <c r="H548" i="2"/>
  <c r="K547" i="2"/>
  <c r="J547" i="2"/>
  <c r="H547" i="2"/>
  <c r="K546" i="2"/>
  <c r="J546" i="2"/>
  <c r="H546" i="2"/>
  <c r="K545" i="2"/>
  <c r="J545" i="2"/>
  <c r="H545" i="2"/>
  <c r="K544" i="2"/>
  <c r="J544" i="2"/>
  <c r="H544" i="2"/>
  <c r="K543" i="2"/>
  <c r="J543" i="2"/>
  <c r="H543" i="2"/>
  <c r="K542" i="2"/>
  <c r="J542" i="2"/>
  <c r="H542" i="2"/>
  <c r="K541" i="2"/>
  <c r="J541" i="2"/>
  <c r="H541" i="2"/>
  <c r="K540" i="2"/>
  <c r="J540" i="2"/>
  <c r="H540" i="2"/>
  <c r="K539" i="2"/>
  <c r="J539" i="2"/>
  <c r="H539" i="2"/>
  <c r="K538" i="2"/>
  <c r="J538" i="2"/>
  <c r="H538" i="2"/>
  <c r="K537" i="2"/>
  <c r="J537" i="2"/>
  <c r="H537" i="2"/>
  <c r="K536" i="2"/>
  <c r="J536" i="2"/>
  <c r="H536" i="2"/>
  <c r="K535" i="2"/>
  <c r="J535" i="2"/>
  <c r="H535" i="2"/>
  <c r="K534" i="2"/>
  <c r="J534" i="2"/>
  <c r="H534" i="2"/>
  <c r="K533" i="2"/>
  <c r="J533" i="2"/>
  <c r="H533" i="2"/>
  <c r="K532" i="2"/>
  <c r="J532" i="2"/>
  <c r="H532" i="2"/>
  <c r="K531" i="2"/>
  <c r="J531" i="2"/>
  <c r="H531" i="2"/>
  <c r="K530" i="2"/>
  <c r="J530" i="2"/>
  <c r="H530" i="2"/>
  <c r="K529" i="2"/>
  <c r="J529" i="2"/>
  <c r="H529" i="2"/>
  <c r="K528" i="2"/>
  <c r="J528" i="2"/>
  <c r="H528" i="2"/>
  <c r="K527" i="2"/>
  <c r="J527" i="2"/>
  <c r="H527" i="2"/>
  <c r="K526" i="2"/>
  <c r="J526" i="2"/>
  <c r="H526" i="2"/>
  <c r="K525" i="2"/>
  <c r="J525" i="2"/>
  <c r="H525" i="2"/>
  <c r="K524" i="2"/>
  <c r="J524" i="2"/>
  <c r="H524" i="2"/>
  <c r="K523" i="2"/>
  <c r="J523" i="2"/>
  <c r="H523" i="2"/>
  <c r="K522" i="2"/>
  <c r="J522" i="2"/>
  <c r="H522" i="2"/>
  <c r="K521" i="2"/>
  <c r="J521" i="2"/>
  <c r="H521" i="2"/>
  <c r="K520" i="2"/>
  <c r="J520" i="2"/>
  <c r="H520" i="2"/>
  <c r="K519" i="2"/>
  <c r="J519" i="2"/>
  <c r="H519" i="2"/>
  <c r="K518" i="2"/>
  <c r="J518" i="2"/>
  <c r="H518" i="2"/>
  <c r="K517" i="2"/>
  <c r="J517" i="2"/>
  <c r="H517" i="2"/>
  <c r="K516" i="2"/>
  <c r="J516" i="2"/>
  <c r="H516" i="2"/>
  <c r="K515" i="2"/>
  <c r="J515" i="2"/>
  <c r="H515" i="2"/>
  <c r="K514" i="2"/>
  <c r="J514" i="2"/>
  <c r="H514" i="2"/>
  <c r="K513" i="2"/>
  <c r="J513" i="2"/>
  <c r="H513" i="2"/>
  <c r="K512" i="2"/>
  <c r="J512" i="2"/>
  <c r="H512" i="2"/>
  <c r="K511" i="2"/>
  <c r="J511" i="2"/>
  <c r="H511" i="2"/>
  <c r="K510" i="2"/>
  <c r="J510" i="2"/>
  <c r="H510" i="2"/>
  <c r="K509" i="2"/>
  <c r="J509" i="2"/>
  <c r="H509" i="2"/>
  <c r="K508" i="2"/>
  <c r="J508" i="2"/>
  <c r="H508" i="2"/>
  <c r="K507" i="2"/>
  <c r="J507" i="2"/>
  <c r="H507" i="2"/>
  <c r="K506" i="2"/>
  <c r="J506" i="2"/>
  <c r="H506" i="2"/>
  <c r="K505" i="2"/>
  <c r="J505" i="2"/>
  <c r="H505" i="2"/>
  <c r="K504" i="2"/>
  <c r="J504" i="2"/>
  <c r="H504" i="2"/>
  <c r="K503" i="2"/>
  <c r="J503" i="2"/>
  <c r="H503" i="2"/>
  <c r="K502" i="2"/>
  <c r="J502" i="2"/>
  <c r="H502" i="2"/>
  <c r="K501" i="2"/>
  <c r="J501" i="2"/>
  <c r="H501" i="2"/>
  <c r="K500" i="2"/>
  <c r="J500" i="2"/>
  <c r="H500" i="2"/>
  <c r="K499" i="2"/>
  <c r="J499" i="2"/>
  <c r="H499" i="2"/>
  <c r="K498" i="2"/>
  <c r="J498" i="2"/>
  <c r="H498" i="2"/>
  <c r="K497" i="2"/>
  <c r="J497" i="2"/>
  <c r="H497" i="2"/>
  <c r="K496" i="2"/>
  <c r="J496" i="2"/>
  <c r="H496" i="2"/>
  <c r="K495" i="2"/>
  <c r="J495" i="2"/>
  <c r="H495" i="2"/>
  <c r="K494" i="2"/>
  <c r="J494" i="2"/>
  <c r="H494" i="2"/>
  <c r="K493" i="2"/>
  <c r="J493" i="2"/>
  <c r="H493" i="2"/>
  <c r="K492" i="2"/>
  <c r="J492" i="2"/>
  <c r="H492" i="2"/>
  <c r="K491" i="2"/>
  <c r="J491" i="2"/>
  <c r="H491" i="2"/>
  <c r="K490" i="2"/>
  <c r="J490" i="2"/>
  <c r="H490" i="2"/>
  <c r="K489" i="2"/>
  <c r="J489" i="2"/>
  <c r="H489" i="2"/>
  <c r="K488" i="2"/>
  <c r="J488" i="2"/>
  <c r="H488" i="2"/>
  <c r="K487" i="2"/>
  <c r="J487" i="2"/>
  <c r="H487" i="2"/>
  <c r="K486" i="2"/>
  <c r="J486" i="2"/>
  <c r="H486" i="2"/>
  <c r="K485" i="2"/>
  <c r="J485" i="2"/>
  <c r="H485" i="2"/>
  <c r="K484" i="2"/>
  <c r="J484" i="2"/>
  <c r="H484" i="2"/>
  <c r="K483" i="2"/>
  <c r="J483" i="2"/>
  <c r="H483" i="2"/>
  <c r="K482" i="2"/>
  <c r="J482" i="2"/>
  <c r="H482" i="2"/>
  <c r="K481" i="2"/>
  <c r="J481" i="2"/>
  <c r="H481" i="2"/>
  <c r="K480" i="2"/>
  <c r="J480" i="2"/>
  <c r="H480" i="2"/>
  <c r="K479" i="2"/>
  <c r="J479" i="2"/>
  <c r="H479" i="2"/>
  <c r="K478" i="2"/>
  <c r="J478" i="2"/>
  <c r="H478" i="2"/>
  <c r="K477" i="2"/>
  <c r="J477" i="2"/>
  <c r="H477" i="2"/>
  <c r="K476" i="2"/>
  <c r="J476" i="2"/>
  <c r="H476" i="2"/>
  <c r="K475" i="2"/>
  <c r="J475" i="2"/>
  <c r="H475" i="2"/>
  <c r="K474" i="2"/>
  <c r="J474" i="2"/>
  <c r="H474" i="2"/>
  <c r="K473" i="2"/>
  <c r="J473" i="2"/>
  <c r="H473" i="2"/>
  <c r="K472" i="2"/>
  <c r="J472" i="2"/>
  <c r="H472" i="2"/>
  <c r="K471" i="2"/>
  <c r="J471" i="2"/>
  <c r="H471" i="2"/>
  <c r="K470" i="2"/>
  <c r="J470" i="2"/>
  <c r="H470" i="2"/>
  <c r="K469" i="2"/>
  <c r="J469" i="2"/>
  <c r="H469" i="2"/>
  <c r="K468" i="2"/>
  <c r="J468" i="2"/>
  <c r="H468" i="2"/>
  <c r="K467" i="2"/>
  <c r="J467" i="2"/>
  <c r="H467" i="2"/>
  <c r="K466" i="2"/>
  <c r="J466" i="2"/>
  <c r="H466" i="2"/>
  <c r="K465" i="2"/>
  <c r="J465" i="2"/>
  <c r="H465" i="2"/>
  <c r="K464" i="2"/>
  <c r="J464" i="2"/>
  <c r="H464" i="2"/>
  <c r="K463" i="2"/>
  <c r="J463" i="2"/>
  <c r="H463" i="2"/>
  <c r="K462" i="2"/>
  <c r="J462" i="2"/>
  <c r="H462" i="2"/>
  <c r="K461" i="2"/>
  <c r="J461" i="2"/>
  <c r="H461" i="2"/>
  <c r="K460" i="2"/>
  <c r="J460" i="2"/>
  <c r="H460" i="2"/>
  <c r="K459" i="2"/>
  <c r="J459" i="2"/>
  <c r="H459" i="2"/>
  <c r="K458" i="2"/>
  <c r="J458" i="2"/>
  <c r="H458" i="2"/>
  <c r="K457" i="2"/>
  <c r="J457" i="2"/>
  <c r="H457" i="2"/>
  <c r="K456" i="2"/>
  <c r="J456" i="2"/>
  <c r="H456" i="2"/>
  <c r="K455" i="2"/>
  <c r="J455" i="2"/>
  <c r="H455" i="2"/>
  <c r="K454" i="2"/>
  <c r="J454" i="2"/>
  <c r="H454" i="2"/>
  <c r="K453" i="2"/>
  <c r="J453" i="2"/>
  <c r="H453" i="2"/>
  <c r="K452" i="2"/>
  <c r="J452" i="2"/>
  <c r="H452" i="2"/>
  <c r="K451" i="2"/>
  <c r="J451" i="2"/>
  <c r="H451" i="2"/>
  <c r="K450" i="2"/>
  <c r="J450" i="2"/>
  <c r="H450" i="2"/>
  <c r="K449" i="2"/>
  <c r="J449" i="2"/>
  <c r="H449" i="2"/>
  <c r="K448" i="2"/>
  <c r="J448" i="2"/>
  <c r="H448" i="2"/>
  <c r="K447" i="2"/>
  <c r="J447" i="2"/>
  <c r="H447" i="2"/>
  <c r="K446" i="2"/>
  <c r="J446" i="2"/>
  <c r="H446" i="2"/>
  <c r="K445" i="2"/>
  <c r="J445" i="2"/>
  <c r="H445" i="2"/>
  <c r="K444" i="2"/>
  <c r="J444" i="2"/>
  <c r="H444" i="2"/>
  <c r="K443" i="2"/>
  <c r="J443" i="2"/>
  <c r="H443" i="2"/>
  <c r="K442" i="2"/>
  <c r="J442" i="2"/>
  <c r="H442" i="2"/>
  <c r="K441" i="2"/>
  <c r="J441" i="2"/>
  <c r="H441" i="2"/>
  <c r="K440" i="2"/>
  <c r="J440" i="2"/>
  <c r="H440" i="2"/>
  <c r="K439" i="2"/>
  <c r="J439" i="2"/>
  <c r="H439" i="2"/>
  <c r="K438" i="2"/>
  <c r="J438" i="2"/>
  <c r="H438" i="2"/>
  <c r="K437" i="2"/>
  <c r="J437" i="2"/>
  <c r="H437" i="2"/>
  <c r="K436" i="2"/>
  <c r="J436" i="2"/>
  <c r="H436" i="2"/>
  <c r="K435" i="2"/>
  <c r="J435" i="2"/>
  <c r="H435" i="2"/>
  <c r="K434" i="2"/>
  <c r="J434" i="2"/>
  <c r="H434" i="2"/>
  <c r="K433" i="2"/>
  <c r="J433" i="2"/>
  <c r="H433" i="2"/>
  <c r="K432" i="2"/>
  <c r="J432" i="2"/>
  <c r="H432" i="2"/>
  <c r="K431" i="2"/>
  <c r="J431" i="2"/>
  <c r="H431" i="2"/>
  <c r="K430" i="2"/>
  <c r="J430" i="2"/>
  <c r="H430" i="2"/>
  <c r="K429" i="2"/>
  <c r="J429" i="2"/>
  <c r="H429" i="2"/>
  <c r="K428" i="2"/>
  <c r="J428" i="2"/>
  <c r="H428" i="2"/>
  <c r="K427" i="2"/>
  <c r="J427" i="2"/>
  <c r="H427" i="2"/>
  <c r="K426" i="2"/>
  <c r="J426" i="2"/>
  <c r="H426" i="2"/>
  <c r="K425" i="2"/>
  <c r="J425" i="2"/>
  <c r="H425" i="2"/>
  <c r="K424" i="2"/>
  <c r="J424" i="2"/>
  <c r="H424" i="2"/>
  <c r="K423" i="2"/>
  <c r="J423" i="2"/>
  <c r="H423" i="2"/>
  <c r="K422" i="2"/>
  <c r="J422" i="2"/>
  <c r="H422" i="2"/>
  <c r="K421" i="2"/>
  <c r="J421" i="2"/>
  <c r="H421" i="2"/>
  <c r="K420" i="2"/>
  <c r="J420" i="2"/>
  <c r="H420" i="2"/>
  <c r="K419" i="2"/>
  <c r="J419" i="2"/>
  <c r="H419" i="2"/>
  <c r="K418" i="2"/>
  <c r="J418" i="2"/>
  <c r="H418" i="2"/>
  <c r="K417" i="2"/>
  <c r="J417" i="2"/>
  <c r="H417" i="2"/>
  <c r="K416" i="2"/>
  <c r="J416" i="2"/>
  <c r="H416" i="2"/>
  <c r="K415" i="2"/>
  <c r="J415" i="2"/>
  <c r="H415" i="2"/>
  <c r="K414" i="2"/>
  <c r="J414" i="2"/>
  <c r="H414" i="2"/>
  <c r="K413" i="2"/>
  <c r="J413" i="2"/>
  <c r="H413" i="2"/>
  <c r="K412" i="2"/>
  <c r="J412" i="2"/>
  <c r="H412" i="2"/>
  <c r="K411" i="2"/>
  <c r="J411" i="2"/>
  <c r="H411" i="2"/>
  <c r="K410" i="2"/>
  <c r="J410" i="2"/>
  <c r="H410" i="2"/>
  <c r="K409" i="2"/>
  <c r="J409" i="2"/>
  <c r="H409" i="2"/>
  <c r="K408" i="2"/>
  <c r="J408" i="2"/>
  <c r="H408" i="2"/>
  <c r="K407" i="2"/>
  <c r="J407" i="2"/>
  <c r="H407" i="2"/>
  <c r="K406" i="2"/>
  <c r="J406" i="2"/>
  <c r="H406" i="2"/>
  <c r="K405" i="2"/>
  <c r="J405" i="2"/>
  <c r="H405" i="2"/>
  <c r="K404" i="2"/>
  <c r="J404" i="2"/>
  <c r="H404" i="2"/>
  <c r="K403" i="2"/>
  <c r="J403" i="2"/>
  <c r="H403" i="2"/>
  <c r="K402" i="2"/>
  <c r="J402" i="2"/>
  <c r="H402" i="2"/>
  <c r="K401" i="2"/>
  <c r="J401" i="2"/>
  <c r="H401" i="2"/>
  <c r="K400" i="2"/>
  <c r="J400" i="2"/>
  <c r="H400" i="2"/>
  <c r="K399" i="2"/>
  <c r="J399" i="2"/>
  <c r="H399" i="2"/>
  <c r="K398" i="2"/>
  <c r="J398" i="2"/>
  <c r="H398" i="2"/>
  <c r="K397" i="2"/>
  <c r="J397" i="2"/>
  <c r="H397" i="2"/>
  <c r="K396" i="2"/>
  <c r="J396" i="2"/>
  <c r="H396" i="2"/>
  <c r="K395" i="2"/>
  <c r="J395" i="2"/>
  <c r="H395" i="2"/>
  <c r="K394" i="2"/>
  <c r="J394" i="2"/>
  <c r="H394" i="2"/>
  <c r="K393" i="2"/>
  <c r="J393" i="2"/>
  <c r="H393" i="2"/>
  <c r="K392" i="2"/>
  <c r="J392" i="2"/>
  <c r="H392" i="2"/>
  <c r="K391" i="2"/>
  <c r="J391" i="2"/>
  <c r="H391" i="2"/>
  <c r="K390" i="2"/>
  <c r="J390" i="2"/>
  <c r="H390" i="2"/>
  <c r="K389" i="2"/>
  <c r="J389" i="2"/>
  <c r="H389" i="2"/>
  <c r="K388" i="2"/>
  <c r="J388" i="2"/>
  <c r="H388" i="2"/>
  <c r="K387" i="2"/>
  <c r="J387" i="2"/>
  <c r="H387" i="2"/>
  <c r="K386" i="2"/>
  <c r="J386" i="2"/>
  <c r="H386" i="2"/>
  <c r="K385" i="2"/>
  <c r="J385" i="2"/>
  <c r="H385" i="2"/>
  <c r="K384" i="2"/>
  <c r="J384" i="2"/>
  <c r="H384" i="2"/>
  <c r="K383" i="2"/>
  <c r="J383" i="2"/>
  <c r="H383" i="2"/>
  <c r="K382" i="2"/>
  <c r="J382" i="2"/>
  <c r="H382" i="2"/>
  <c r="K381" i="2"/>
  <c r="J381" i="2"/>
  <c r="H381" i="2"/>
  <c r="K380" i="2"/>
  <c r="J380" i="2"/>
  <c r="H380" i="2"/>
  <c r="K379" i="2"/>
  <c r="J379" i="2"/>
  <c r="H379" i="2"/>
  <c r="K378" i="2"/>
  <c r="J378" i="2"/>
  <c r="H378" i="2"/>
  <c r="K377" i="2"/>
  <c r="J377" i="2"/>
  <c r="H377" i="2"/>
  <c r="K376" i="2"/>
  <c r="J376" i="2"/>
  <c r="H376" i="2"/>
  <c r="K375" i="2"/>
  <c r="J375" i="2"/>
  <c r="H375" i="2"/>
  <c r="K374" i="2"/>
  <c r="J374" i="2"/>
  <c r="H374" i="2"/>
  <c r="K373" i="2"/>
  <c r="J373" i="2"/>
  <c r="H373" i="2"/>
  <c r="K372" i="2"/>
  <c r="J372" i="2"/>
  <c r="H372" i="2"/>
  <c r="K371" i="2"/>
  <c r="J371" i="2"/>
  <c r="H371" i="2"/>
  <c r="K370" i="2"/>
  <c r="J370" i="2"/>
  <c r="H370" i="2"/>
  <c r="K369" i="2"/>
  <c r="J369" i="2"/>
  <c r="H369" i="2"/>
  <c r="K368" i="2"/>
  <c r="J368" i="2"/>
  <c r="H368" i="2"/>
  <c r="K367" i="2"/>
  <c r="J367" i="2"/>
  <c r="H367" i="2"/>
  <c r="K366" i="2"/>
  <c r="J366" i="2"/>
  <c r="H366" i="2"/>
  <c r="K365" i="2"/>
  <c r="J365" i="2"/>
  <c r="H365" i="2"/>
  <c r="K364" i="2"/>
  <c r="J364" i="2"/>
  <c r="H364" i="2"/>
  <c r="K363" i="2"/>
  <c r="J363" i="2"/>
  <c r="H363" i="2"/>
  <c r="K362" i="2"/>
  <c r="J362" i="2"/>
  <c r="H362" i="2"/>
  <c r="K361" i="2"/>
  <c r="J361" i="2"/>
  <c r="H361" i="2"/>
  <c r="K360" i="2"/>
  <c r="J360" i="2"/>
  <c r="H360" i="2"/>
  <c r="K359" i="2"/>
  <c r="J359" i="2"/>
  <c r="H359" i="2"/>
  <c r="K358" i="2"/>
  <c r="J358" i="2"/>
  <c r="H358" i="2"/>
  <c r="K357" i="2"/>
  <c r="J357" i="2"/>
  <c r="H357" i="2"/>
  <c r="K356" i="2"/>
  <c r="J356" i="2"/>
  <c r="H356" i="2"/>
  <c r="K355" i="2"/>
  <c r="J355" i="2"/>
  <c r="H355" i="2"/>
  <c r="K354" i="2"/>
  <c r="J354" i="2"/>
  <c r="H354" i="2"/>
  <c r="K353" i="2"/>
  <c r="J353" i="2"/>
  <c r="H353" i="2"/>
  <c r="K352" i="2"/>
  <c r="J352" i="2"/>
  <c r="H352" i="2"/>
  <c r="K351" i="2"/>
  <c r="J351" i="2"/>
  <c r="H351" i="2"/>
  <c r="K350" i="2"/>
  <c r="J350" i="2"/>
  <c r="H350" i="2"/>
  <c r="K349" i="2"/>
  <c r="J349" i="2"/>
  <c r="H349" i="2"/>
  <c r="K348" i="2"/>
  <c r="J348" i="2"/>
  <c r="H348" i="2"/>
  <c r="K347" i="2"/>
  <c r="J347" i="2"/>
  <c r="H347" i="2"/>
  <c r="K346" i="2"/>
  <c r="J346" i="2"/>
  <c r="H346" i="2"/>
  <c r="K345" i="2"/>
  <c r="J345" i="2"/>
  <c r="H345" i="2"/>
  <c r="K344" i="2"/>
  <c r="J344" i="2"/>
  <c r="H344" i="2"/>
  <c r="K343" i="2"/>
  <c r="J343" i="2"/>
  <c r="H343" i="2"/>
  <c r="K342" i="2"/>
  <c r="J342" i="2"/>
  <c r="H342" i="2"/>
  <c r="K341" i="2"/>
  <c r="J341" i="2"/>
  <c r="H341" i="2"/>
  <c r="K340" i="2"/>
  <c r="J340" i="2"/>
  <c r="H340" i="2"/>
  <c r="K339" i="2"/>
  <c r="J339" i="2"/>
  <c r="H339" i="2"/>
  <c r="K338" i="2"/>
  <c r="J338" i="2"/>
  <c r="H338" i="2"/>
  <c r="K337" i="2"/>
  <c r="J337" i="2"/>
  <c r="H337" i="2"/>
  <c r="K336" i="2"/>
  <c r="J336" i="2"/>
  <c r="H336" i="2"/>
  <c r="K335" i="2"/>
  <c r="J335" i="2"/>
  <c r="H335" i="2"/>
  <c r="K334" i="2"/>
  <c r="J334" i="2"/>
  <c r="H334" i="2"/>
  <c r="K333" i="2"/>
  <c r="J333" i="2"/>
  <c r="H333" i="2"/>
  <c r="K332" i="2"/>
  <c r="J332" i="2"/>
  <c r="H332" i="2"/>
  <c r="K331" i="2"/>
  <c r="J331" i="2"/>
  <c r="H331" i="2"/>
  <c r="K330" i="2"/>
  <c r="J330" i="2"/>
  <c r="H330" i="2"/>
  <c r="K329" i="2"/>
  <c r="J329" i="2"/>
  <c r="H329" i="2"/>
  <c r="K328" i="2"/>
  <c r="J328" i="2"/>
  <c r="H328" i="2"/>
  <c r="K327" i="2"/>
  <c r="J327" i="2"/>
  <c r="H327" i="2"/>
  <c r="K326" i="2"/>
  <c r="J326" i="2"/>
  <c r="H326" i="2"/>
  <c r="K325" i="2"/>
  <c r="J325" i="2"/>
  <c r="H325" i="2"/>
  <c r="K324" i="2"/>
  <c r="J324" i="2"/>
  <c r="H324" i="2"/>
  <c r="K323" i="2"/>
  <c r="J323" i="2"/>
  <c r="H323" i="2"/>
  <c r="K322" i="2"/>
  <c r="J322" i="2"/>
  <c r="H322" i="2"/>
  <c r="K321" i="2"/>
  <c r="J321" i="2"/>
  <c r="H321" i="2"/>
  <c r="K320" i="2"/>
  <c r="J320" i="2"/>
  <c r="H320" i="2"/>
  <c r="K319" i="2"/>
  <c r="J319" i="2"/>
  <c r="H319" i="2"/>
  <c r="K318" i="2"/>
  <c r="J318" i="2"/>
  <c r="H318" i="2"/>
  <c r="K317" i="2"/>
  <c r="J317" i="2"/>
  <c r="H317" i="2"/>
  <c r="K316" i="2"/>
  <c r="J316" i="2"/>
  <c r="H316" i="2"/>
  <c r="K315" i="2"/>
  <c r="J315" i="2"/>
  <c r="H315" i="2"/>
  <c r="K314" i="2"/>
  <c r="J314" i="2"/>
  <c r="H314" i="2"/>
  <c r="K313" i="2"/>
  <c r="J313" i="2"/>
  <c r="H313" i="2"/>
  <c r="K312" i="2"/>
  <c r="J312" i="2"/>
  <c r="H312" i="2"/>
  <c r="K311" i="2"/>
  <c r="J311" i="2"/>
  <c r="H311" i="2"/>
  <c r="K310" i="2"/>
  <c r="J310" i="2"/>
  <c r="H310" i="2"/>
  <c r="K309" i="2"/>
  <c r="J309" i="2"/>
  <c r="H309" i="2"/>
  <c r="K308" i="2"/>
  <c r="J308" i="2"/>
  <c r="H308" i="2"/>
  <c r="K307" i="2"/>
  <c r="J307" i="2"/>
  <c r="H307" i="2"/>
  <c r="K306" i="2"/>
  <c r="J306" i="2"/>
  <c r="H306" i="2"/>
  <c r="K305" i="2"/>
  <c r="J305" i="2"/>
  <c r="H305" i="2"/>
  <c r="K304" i="2"/>
  <c r="J304" i="2"/>
  <c r="H304" i="2"/>
  <c r="K303" i="2"/>
  <c r="J303" i="2"/>
  <c r="H303" i="2"/>
  <c r="K302" i="2"/>
  <c r="J302" i="2"/>
  <c r="H302" i="2"/>
  <c r="K301" i="2"/>
  <c r="J301" i="2"/>
  <c r="H301" i="2"/>
  <c r="K300" i="2"/>
  <c r="J300" i="2"/>
  <c r="H300" i="2"/>
  <c r="K299" i="2"/>
  <c r="J299" i="2"/>
  <c r="H299" i="2"/>
  <c r="K298" i="2"/>
  <c r="J298" i="2"/>
  <c r="H298" i="2"/>
  <c r="K297" i="2"/>
  <c r="J297" i="2"/>
  <c r="H297" i="2"/>
  <c r="K296" i="2"/>
  <c r="J296" i="2"/>
  <c r="H296" i="2"/>
  <c r="K295" i="2"/>
  <c r="J295" i="2"/>
  <c r="H295" i="2"/>
  <c r="K294" i="2"/>
  <c r="J294" i="2"/>
  <c r="H294" i="2"/>
  <c r="K293" i="2"/>
  <c r="J293" i="2"/>
  <c r="H293" i="2"/>
  <c r="K292" i="2"/>
  <c r="J292" i="2"/>
  <c r="H292" i="2"/>
  <c r="K291" i="2"/>
  <c r="J291" i="2"/>
  <c r="H291" i="2"/>
  <c r="K290" i="2"/>
  <c r="J290" i="2"/>
  <c r="H290" i="2"/>
  <c r="K289" i="2"/>
  <c r="J289" i="2"/>
  <c r="H289" i="2"/>
  <c r="K288" i="2"/>
  <c r="J288" i="2"/>
  <c r="H288" i="2"/>
  <c r="K287" i="2"/>
  <c r="J287" i="2"/>
  <c r="H287" i="2"/>
  <c r="K286" i="2"/>
  <c r="J286" i="2"/>
  <c r="H286" i="2"/>
  <c r="K285" i="2"/>
  <c r="J285" i="2"/>
  <c r="H285" i="2"/>
  <c r="K284" i="2"/>
  <c r="J284" i="2"/>
  <c r="H284" i="2"/>
  <c r="K283" i="2"/>
  <c r="J283" i="2"/>
  <c r="H283" i="2"/>
  <c r="K282" i="2"/>
  <c r="J282" i="2"/>
  <c r="H282" i="2"/>
  <c r="K281" i="2"/>
  <c r="J281" i="2"/>
  <c r="H281" i="2"/>
  <c r="K280" i="2"/>
  <c r="J280" i="2"/>
  <c r="H280" i="2"/>
  <c r="K279" i="2"/>
  <c r="J279" i="2"/>
  <c r="H279" i="2"/>
  <c r="K278" i="2"/>
  <c r="J278" i="2"/>
  <c r="H278" i="2"/>
  <c r="K277" i="2"/>
  <c r="J277" i="2"/>
  <c r="H277" i="2"/>
  <c r="K276" i="2"/>
  <c r="J276" i="2"/>
  <c r="H276" i="2"/>
  <c r="K275" i="2"/>
  <c r="J275" i="2"/>
  <c r="H275" i="2"/>
  <c r="K274" i="2"/>
  <c r="J274" i="2"/>
  <c r="H274" i="2"/>
  <c r="K273" i="2"/>
  <c r="J273" i="2"/>
  <c r="H273" i="2"/>
  <c r="K272" i="2"/>
  <c r="J272" i="2"/>
  <c r="H272" i="2"/>
  <c r="K271" i="2"/>
  <c r="J271" i="2"/>
  <c r="H271" i="2"/>
  <c r="K270" i="2"/>
  <c r="J270" i="2"/>
  <c r="H270" i="2"/>
  <c r="K269" i="2"/>
  <c r="J269" i="2"/>
  <c r="H269" i="2"/>
  <c r="K268" i="2"/>
  <c r="J268" i="2"/>
  <c r="H268" i="2"/>
  <c r="K267" i="2"/>
  <c r="J267" i="2"/>
  <c r="H267" i="2"/>
  <c r="K266" i="2"/>
  <c r="J266" i="2"/>
  <c r="H266" i="2"/>
  <c r="K265" i="2"/>
  <c r="J265" i="2"/>
  <c r="H265" i="2"/>
  <c r="K264" i="2"/>
  <c r="J264" i="2"/>
  <c r="H264" i="2"/>
  <c r="K263" i="2"/>
  <c r="J263" i="2"/>
  <c r="H263" i="2"/>
  <c r="K262" i="2"/>
  <c r="J262" i="2"/>
  <c r="H262" i="2"/>
  <c r="K261" i="2"/>
  <c r="J261" i="2"/>
  <c r="H261" i="2"/>
  <c r="K260" i="2"/>
  <c r="J260" i="2"/>
  <c r="H260" i="2"/>
  <c r="K259" i="2"/>
  <c r="J259" i="2"/>
  <c r="H259" i="2"/>
  <c r="K258" i="2"/>
  <c r="J258" i="2"/>
  <c r="H258" i="2"/>
  <c r="K257" i="2"/>
  <c r="J257" i="2"/>
  <c r="H257" i="2"/>
  <c r="K256" i="2"/>
  <c r="J256" i="2"/>
  <c r="H256" i="2"/>
  <c r="K255" i="2"/>
  <c r="J255" i="2"/>
  <c r="H255" i="2"/>
  <c r="K254" i="2"/>
  <c r="J254" i="2"/>
  <c r="H254" i="2"/>
  <c r="K253" i="2"/>
  <c r="J253" i="2"/>
  <c r="H253" i="2"/>
  <c r="K252" i="2"/>
  <c r="J252" i="2"/>
  <c r="H252" i="2"/>
  <c r="K251" i="2"/>
  <c r="J251" i="2"/>
  <c r="H251" i="2"/>
  <c r="K250" i="2"/>
  <c r="J250" i="2"/>
  <c r="H250" i="2"/>
  <c r="K249" i="2"/>
  <c r="J249" i="2"/>
  <c r="H249" i="2"/>
  <c r="K248" i="2"/>
  <c r="J248" i="2"/>
  <c r="H248" i="2"/>
  <c r="K247" i="2"/>
  <c r="J247" i="2"/>
  <c r="H247" i="2"/>
  <c r="K246" i="2"/>
  <c r="J246" i="2"/>
  <c r="H246" i="2"/>
  <c r="K245" i="2"/>
  <c r="J245" i="2"/>
  <c r="H245" i="2"/>
  <c r="K244" i="2"/>
  <c r="J244" i="2"/>
  <c r="H244" i="2"/>
  <c r="K243" i="2"/>
  <c r="J243" i="2"/>
  <c r="H243" i="2"/>
  <c r="K242" i="2"/>
  <c r="J242" i="2"/>
  <c r="H242" i="2"/>
  <c r="K241" i="2"/>
  <c r="J241" i="2"/>
  <c r="H241" i="2"/>
  <c r="K240" i="2"/>
  <c r="J240" i="2"/>
  <c r="H240" i="2"/>
  <c r="K239" i="2"/>
  <c r="J239" i="2"/>
  <c r="H239" i="2"/>
  <c r="K238" i="2"/>
  <c r="J238" i="2"/>
  <c r="H238" i="2"/>
  <c r="K237" i="2"/>
  <c r="J237" i="2"/>
  <c r="H237" i="2"/>
  <c r="K236" i="2"/>
  <c r="J236" i="2"/>
  <c r="H236" i="2"/>
  <c r="K235" i="2"/>
  <c r="J235" i="2"/>
  <c r="H235" i="2"/>
  <c r="K234" i="2"/>
  <c r="J234" i="2"/>
  <c r="H234" i="2"/>
  <c r="K233" i="2"/>
  <c r="J233" i="2"/>
  <c r="H233" i="2"/>
  <c r="K232" i="2"/>
  <c r="J232" i="2"/>
  <c r="H232" i="2"/>
  <c r="K231" i="2"/>
  <c r="J231" i="2"/>
  <c r="H231" i="2"/>
  <c r="K230" i="2"/>
  <c r="J230" i="2"/>
  <c r="H230" i="2"/>
  <c r="K229" i="2"/>
  <c r="J229" i="2"/>
  <c r="H229" i="2"/>
  <c r="K228" i="2"/>
  <c r="J228" i="2"/>
  <c r="H228" i="2"/>
  <c r="K227" i="2"/>
  <c r="J227" i="2"/>
  <c r="H227" i="2"/>
  <c r="K226" i="2"/>
  <c r="J226" i="2"/>
  <c r="H226" i="2"/>
  <c r="K225" i="2"/>
  <c r="J225" i="2"/>
  <c r="H225" i="2"/>
  <c r="K224" i="2"/>
  <c r="J224" i="2"/>
  <c r="H224" i="2"/>
  <c r="K223" i="2"/>
  <c r="J223" i="2"/>
  <c r="H223" i="2"/>
  <c r="K222" i="2"/>
  <c r="J222" i="2"/>
  <c r="H222" i="2"/>
  <c r="K221" i="2"/>
  <c r="J221" i="2"/>
  <c r="H221" i="2"/>
  <c r="K220" i="2"/>
  <c r="J220" i="2"/>
  <c r="H220" i="2"/>
  <c r="K219" i="2"/>
  <c r="J219" i="2"/>
  <c r="H219" i="2"/>
  <c r="K218" i="2"/>
  <c r="J218" i="2"/>
  <c r="H218" i="2"/>
  <c r="K217" i="2"/>
  <c r="J217" i="2"/>
  <c r="H217" i="2"/>
  <c r="K216" i="2"/>
  <c r="J216" i="2"/>
  <c r="H216" i="2"/>
  <c r="K215" i="2"/>
  <c r="J215" i="2"/>
  <c r="H215" i="2"/>
  <c r="K214" i="2"/>
  <c r="J214" i="2"/>
  <c r="H214" i="2"/>
  <c r="K213" i="2"/>
  <c r="J213" i="2"/>
  <c r="H213" i="2"/>
  <c r="K212" i="2"/>
  <c r="J212" i="2"/>
  <c r="H212" i="2"/>
  <c r="K211" i="2"/>
  <c r="J211" i="2"/>
  <c r="H211" i="2"/>
  <c r="K210" i="2"/>
  <c r="J210" i="2"/>
  <c r="H210" i="2"/>
  <c r="K209" i="2"/>
  <c r="J209" i="2"/>
  <c r="H209" i="2"/>
  <c r="K208" i="2"/>
  <c r="J208" i="2"/>
  <c r="H208" i="2"/>
  <c r="K207" i="2"/>
  <c r="J207" i="2"/>
  <c r="H207" i="2"/>
  <c r="K206" i="2"/>
  <c r="J206" i="2"/>
  <c r="H206" i="2"/>
  <c r="K205" i="2"/>
  <c r="J205" i="2"/>
  <c r="H205" i="2"/>
  <c r="K204" i="2"/>
  <c r="J204" i="2"/>
  <c r="H204" i="2"/>
  <c r="K203" i="2"/>
  <c r="J203" i="2"/>
  <c r="H203" i="2"/>
  <c r="K202" i="2"/>
  <c r="J202" i="2"/>
  <c r="H202" i="2"/>
  <c r="K201" i="2"/>
  <c r="J201" i="2"/>
  <c r="H201" i="2"/>
  <c r="K200" i="2"/>
  <c r="J200" i="2"/>
  <c r="H200" i="2"/>
  <c r="K199" i="2"/>
  <c r="J199" i="2"/>
  <c r="H199" i="2"/>
  <c r="K198" i="2"/>
  <c r="J198" i="2"/>
  <c r="H198" i="2"/>
  <c r="K197" i="2"/>
  <c r="J197" i="2"/>
  <c r="H197" i="2"/>
  <c r="K196" i="2"/>
  <c r="J196" i="2"/>
  <c r="H196" i="2"/>
  <c r="K195" i="2"/>
  <c r="J195" i="2"/>
  <c r="H195" i="2"/>
  <c r="K194" i="2"/>
  <c r="J194" i="2"/>
  <c r="H194" i="2"/>
  <c r="K193" i="2"/>
  <c r="J193" i="2"/>
  <c r="H193" i="2"/>
  <c r="K192" i="2"/>
  <c r="J192" i="2"/>
  <c r="H192" i="2"/>
  <c r="K191" i="2"/>
  <c r="J191" i="2"/>
  <c r="H191" i="2"/>
  <c r="K190" i="2"/>
  <c r="J190" i="2"/>
  <c r="H190" i="2"/>
  <c r="K189" i="2"/>
  <c r="J189" i="2"/>
  <c r="H189" i="2"/>
  <c r="K188" i="2"/>
  <c r="J188" i="2"/>
  <c r="H188" i="2"/>
  <c r="K187" i="2"/>
  <c r="J187" i="2"/>
  <c r="H187" i="2"/>
  <c r="K186" i="2"/>
  <c r="J186" i="2"/>
  <c r="H186" i="2"/>
  <c r="K185" i="2"/>
  <c r="J185" i="2"/>
  <c r="H185" i="2"/>
  <c r="K184" i="2"/>
  <c r="J184" i="2"/>
  <c r="H184" i="2"/>
  <c r="K183" i="2"/>
  <c r="J183" i="2"/>
  <c r="H183" i="2"/>
  <c r="K182" i="2"/>
  <c r="J182" i="2"/>
  <c r="H182" i="2"/>
  <c r="K181" i="2"/>
  <c r="J181" i="2"/>
  <c r="H181" i="2"/>
  <c r="K180" i="2"/>
  <c r="J180" i="2"/>
  <c r="H180" i="2"/>
  <c r="K179" i="2"/>
  <c r="J179" i="2"/>
  <c r="H179" i="2"/>
  <c r="K178" i="2"/>
  <c r="J178" i="2"/>
  <c r="H178" i="2"/>
  <c r="K177" i="2"/>
  <c r="J177" i="2"/>
  <c r="H177" i="2"/>
  <c r="K176" i="2"/>
  <c r="J176" i="2"/>
  <c r="H176" i="2"/>
  <c r="K175" i="2"/>
  <c r="J175" i="2"/>
  <c r="H175" i="2"/>
  <c r="K174" i="2"/>
  <c r="J174" i="2"/>
  <c r="H174" i="2"/>
  <c r="K173" i="2"/>
  <c r="J173" i="2"/>
  <c r="H173" i="2"/>
  <c r="K172" i="2"/>
  <c r="J172" i="2"/>
  <c r="H172" i="2"/>
  <c r="K171" i="2"/>
  <c r="J171" i="2"/>
  <c r="H171" i="2"/>
  <c r="K170" i="2"/>
  <c r="J170" i="2"/>
  <c r="H170" i="2"/>
  <c r="K169" i="2"/>
  <c r="J169" i="2"/>
  <c r="H169" i="2"/>
  <c r="K168" i="2"/>
  <c r="J168" i="2"/>
  <c r="H168" i="2"/>
  <c r="K167" i="2"/>
  <c r="J167" i="2"/>
  <c r="H167" i="2"/>
  <c r="K166" i="2"/>
  <c r="J166" i="2"/>
  <c r="H166" i="2"/>
  <c r="K165" i="2"/>
  <c r="J165" i="2"/>
  <c r="H165" i="2"/>
  <c r="K164" i="2"/>
  <c r="J164" i="2"/>
  <c r="H164" i="2"/>
  <c r="K163" i="2"/>
  <c r="J163" i="2"/>
  <c r="H163" i="2"/>
  <c r="K162" i="2"/>
  <c r="J162" i="2"/>
  <c r="H162" i="2"/>
  <c r="K161" i="2"/>
  <c r="J161" i="2"/>
  <c r="H161" i="2"/>
  <c r="K160" i="2"/>
  <c r="J160" i="2"/>
  <c r="H160" i="2"/>
  <c r="K159" i="2"/>
  <c r="J159" i="2"/>
  <c r="H159" i="2"/>
  <c r="K158" i="2"/>
  <c r="J158" i="2"/>
  <c r="H158" i="2"/>
  <c r="K157" i="2"/>
  <c r="J157" i="2"/>
  <c r="H157" i="2"/>
  <c r="K156" i="2"/>
  <c r="J156" i="2"/>
  <c r="H156" i="2"/>
  <c r="K155" i="2"/>
  <c r="J155" i="2"/>
  <c r="H155" i="2"/>
  <c r="K154" i="2"/>
  <c r="J154" i="2"/>
  <c r="H154" i="2"/>
  <c r="K153" i="2"/>
  <c r="J153" i="2"/>
  <c r="H153" i="2"/>
  <c r="K152" i="2"/>
  <c r="J152" i="2"/>
  <c r="H152" i="2"/>
  <c r="K151" i="2"/>
  <c r="J151" i="2"/>
  <c r="H151" i="2"/>
  <c r="K150" i="2"/>
  <c r="J150" i="2"/>
  <c r="H150" i="2"/>
  <c r="K149" i="2"/>
  <c r="J149" i="2"/>
  <c r="H149" i="2"/>
  <c r="K148" i="2"/>
  <c r="J148" i="2"/>
  <c r="H148" i="2"/>
  <c r="K147" i="2"/>
  <c r="J147" i="2"/>
  <c r="H147" i="2"/>
  <c r="K146" i="2"/>
  <c r="J146" i="2"/>
  <c r="H146" i="2"/>
  <c r="K145" i="2"/>
  <c r="J145" i="2"/>
  <c r="H145" i="2"/>
  <c r="K144" i="2"/>
  <c r="J144" i="2"/>
  <c r="H144" i="2"/>
  <c r="K143" i="2"/>
  <c r="J143" i="2"/>
  <c r="H143" i="2"/>
  <c r="K142" i="2"/>
  <c r="J142" i="2"/>
  <c r="H142" i="2"/>
  <c r="K141" i="2"/>
  <c r="J141" i="2"/>
  <c r="H141" i="2"/>
  <c r="K140" i="2"/>
  <c r="J140" i="2"/>
  <c r="H140" i="2"/>
  <c r="K139" i="2"/>
  <c r="J139" i="2"/>
  <c r="H139" i="2"/>
  <c r="K138" i="2"/>
  <c r="J138" i="2"/>
  <c r="H138" i="2"/>
  <c r="K137" i="2"/>
  <c r="J137" i="2"/>
  <c r="H137" i="2"/>
  <c r="K136" i="2"/>
  <c r="J136" i="2"/>
  <c r="H136" i="2"/>
  <c r="K135" i="2"/>
  <c r="J135" i="2"/>
  <c r="H135" i="2"/>
  <c r="K134" i="2"/>
  <c r="J134" i="2"/>
  <c r="H134" i="2"/>
  <c r="K133" i="2"/>
  <c r="J133" i="2"/>
  <c r="H133" i="2"/>
  <c r="K132" i="2"/>
  <c r="J132" i="2"/>
  <c r="H132" i="2"/>
  <c r="K131" i="2"/>
  <c r="J131" i="2"/>
  <c r="H131" i="2"/>
  <c r="K130" i="2"/>
  <c r="J130" i="2"/>
  <c r="H130" i="2"/>
  <c r="K129" i="2"/>
  <c r="J129" i="2"/>
  <c r="H129" i="2"/>
  <c r="K128" i="2"/>
  <c r="J128" i="2"/>
  <c r="H128" i="2"/>
  <c r="K127" i="2"/>
  <c r="J127" i="2"/>
  <c r="H127" i="2"/>
  <c r="K126" i="2"/>
  <c r="J126" i="2"/>
  <c r="H126" i="2"/>
  <c r="K125" i="2"/>
  <c r="J125" i="2"/>
  <c r="H125" i="2"/>
  <c r="K124" i="2"/>
  <c r="J124" i="2"/>
  <c r="H124" i="2"/>
  <c r="K123" i="2"/>
  <c r="J123" i="2"/>
  <c r="H123" i="2"/>
  <c r="K122" i="2"/>
  <c r="J122" i="2"/>
  <c r="H122" i="2"/>
  <c r="K121" i="2"/>
  <c r="J121" i="2"/>
  <c r="H121" i="2"/>
  <c r="K120" i="2"/>
  <c r="J120" i="2"/>
  <c r="H120" i="2"/>
  <c r="K119" i="2"/>
  <c r="J119" i="2"/>
  <c r="H119" i="2"/>
  <c r="K118" i="2"/>
  <c r="J118" i="2"/>
  <c r="H118" i="2"/>
  <c r="K117" i="2"/>
  <c r="J117" i="2"/>
  <c r="H117" i="2"/>
  <c r="K116" i="2"/>
  <c r="J116" i="2"/>
  <c r="H116" i="2"/>
  <c r="K115" i="2"/>
  <c r="J115" i="2"/>
  <c r="H115" i="2"/>
  <c r="K114" i="2"/>
  <c r="J114" i="2"/>
  <c r="H114" i="2"/>
  <c r="K113" i="2"/>
  <c r="J113" i="2"/>
  <c r="H113" i="2"/>
  <c r="K112" i="2"/>
  <c r="J112" i="2"/>
  <c r="H112" i="2"/>
  <c r="K111" i="2"/>
  <c r="J111" i="2"/>
  <c r="H111" i="2"/>
  <c r="K110" i="2"/>
  <c r="J110" i="2"/>
  <c r="H110" i="2"/>
  <c r="K109" i="2"/>
  <c r="J109" i="2"/>
  <c r="H109" i="2"/>
  <c r="K108" i="2"/>
  <c r="J108" i="2"/>
  <c r="H108" i="2"/>
  <c r="K107" i="2"/>
  <c r="J107" i="2"/>
  <c r="H107" i="2"/>
  <c r="K106" i="2"/>
  <c r="J106" i="2"/>
  <c r="H106" i="2"/>
  <c r="K105" i="2"/>
  <c r="J105" i="2"/>
  <c r="H105" i="2"/>
  <c r="K104" i="2"/>
  <c r="J104" i="2"/>
  <c r="H104" i="2"/>
  <c r="K103" i="2"/>
  <c r="J103" i="2"/>
  <c r="H103" i="2"/>
  <c r="K102" i="2"/>
  <c r="J102" i="2"/>
  <c r="H102" i="2"/>
  <c r="K101" i="2"/>
  <c r="J101" i="2"/>
  <c r="H101" i="2"/>
  <c r="K100" i="2"/>
  <c r="J100" i="2"/>
  <c r="H100" i="2"/>
  <c r="K99" i="2"/>
  <c r="J99" i="2"/>
  <c r="H99" i="2"/>
  <c r="K98" i="2"/>
  <c r="J98" i="2"/>
  <c r="H98" i="2"/>
  <c r="K97" i="2"/>
  <c r="J97" i="2"/>
  <c r="H97" i="2"/>
  <c r="K96" i="2"/>
  <c r="J96" i="2"/>
  <c r="H96" i="2"/>
  <c r="K95" i="2"/>
  <c r="J95" i="2"/>
  <c r="H95" i="2"/>
  <c r="K94" i="2"/>
  <c r="J94" i="2"/>
  <c r="H94" i="2"/>
  <c r="K93" i="2"/>
  <c r="J93" i="2"/>
  <c r="H93" i="2"/>
  <c r="K92" i="2"/>
  <c r="J92" i="2"/>
  <c r="H92" i="2"/>
  <c r="K91" i="2"/>
  <c r="J91" i="2"/>
  <c r="H91" i="2"/>
  <c r="K90" i="2"/>
  <c r="J90" i="2"/>
  <c r="H90" i="2"/>
  <c r="K89" i="2"/>
  <c r="J89" i="2"/>
  <c r="H89" i="2"/>
  <c r="K88" i="2"/>
  <c r="J88" i="2"/>
  <c r="H88" i="2"/>
  <c r="K87" i="2"/>
  <c r="J87" i="2"/>
  <c r="H87" i="2"/>
  <c r="K86" i="2"/>
  <c r="J86" i="2"/>
  <c r="H86" i="2"/>
  <c r="K85" i="2"/>
  <c r="J85" i="2"/>
  <c r="H85" i="2"/>
  <c r="K84" i="2"/>
  <c r="J84" i="2"/>
  <c r="H84" i="2"/>
  <c r="K83" i="2"/>
  <c r="J83" i="2"/>
  <c r="H83" i="2"/>
  <c r="K82" i="2"/>
  <c r="J82" i="2"/>
  <c r="H82" i="2"/>
  <c r="K81" i="2"/>
  <c r="J81" i="2"/>
  <c r="H81" i="2"/>
  <c r="K80" i="2"/>
  <c r="J80" i="2"/>
  <c r="H80" i="2"/>
  <c r="K79" i="2"/>
  <c r="J79" i="2"/>
  <c r="H79" i="2"/>
  <c r="K78" i="2"/>
  <c r="J78" i="2"/>
  <c r="H78" i="2"/>
  <c r="K77" i="2"/>
  <c r="J77" i="2"/>
  <c r="H77" i="2"/>
  <c r="K76" i="2"/>
  <c r="J76" i="2"/>
  <c r="H76" i="2"/>
  <c r="K75" i="2"/>
  <c r="J75" i="2"/>
  <c r="H75" i="2"/>
  <c r="K74" i="2"/>
  <c r="J74" i="2"/>
  <c r="H74" i="2"/>
  <c r="K73" i="2"/>
  <c r="J73" i="2"/>
  <c r="H73" i="2"/>
  <c r="K72" i="2"/>
  <c r="J72" i="2"/>
  <c r="H72" i="2"/>
  <c r="K71" i="2"/>
  <c r="J71" i="2"/>
  <c r="H71" i="2"/>
  <c r="K70" i="2"/>
  <c r="J70" i="2"/>
  <c r="H70" i="2"/>
  <c r="K69" i="2"/>
  <c r="J69" i="2"/>
  <c r="H69" i="2"/>
  <c r="K68" i="2"/>
  <c r="J68" i="2"/>
  <c r="H68" i="2"/>
  <c r="K67" i="2"/>
  <c r="J67" i="2"/>
  <c r="H67" i="2"/>
  <c r="K66" i="2"/>
  <c r="J66" i="2"/>
  <c r="H66" i="2"/>
  <c r="K65" i="2"/>
  <c r="J65" i="2"/>
  <c r="H65" i="2"/>
  <c r="K64" i="2"/>
  <c r="J64" i="2"/>
  <c r="H64" i="2"/>
  <c r="K63" i="2"/>
  <c r="J63" i="2"/>
  <c r="H63" i="2"/>
  <c r="K62" i="2"/>
  <c r="J62" i="2"/>
  <c r="H62" i="2"/>
  <c r="K61" i="2"/>
  <c r="J61" i="2"/>
  <c r="H61" i="2"/>
  <c r="K60" i="2"/>
  <c r="J60" i="2"/>
  <c r="H60" i="2"/>
  <c r="K59" i="2"/>
  <c r="J59" i="2"/>
  <c r="H59" i="2"/>
  <c r="K58" i="2"/>
  <c r="J58" i="2"/>
  <c r="H58" i="2"/>
  <c r="K57" i="2"/>
  <c r="J57" i="2"/>
  <c r="H57" i="2"/>
  <c r="K56" i="2"/>
  <c r="J56" i="2"/>
  <c r="H56" i="2"/>
  <c r="K55" i="2"/>
  <c r="J55" i="2"/>
  <c r="H55" i="2"/>
  <c r="K54" i="2"/>
  <c r="J54" i="2"/>
  <c r="H54" i="2"/>
  <c r="K53" i="2"/>
  <c r="J53" i="2"/>
  <c r="H53" i="2"/>
  <c r="K52" i="2"/>
  <c r="J52" i="2"/>
  <c r="H52" i="2"/>
  <c r="K51" i="2"/>
  <c r="J51" i="2"/>
  <c r="H51" i="2"/>
  <c r="K50" i="2"/>
  <c r="J50" i="2"/>
  <c r="H50" i="2"/>
  <c r="K49" i="2"/>
  <c r="J49" i="2"/>
  <c r="H49" i="2"/>
  <c r="K48" i="2"/>
  <c r="J48" i="2"/>
  <c r="H48" i="2"/>
  <c r="K47" i="2"/>
  <c r="J47" i="2"/>
  <c r="H47" i="2"/>
  <c r="K46" i="2"/>
  <c r="J46" i="2"/>
  <c r="H46" i="2"/>
  <c r="K45" i="2"/>
  <c r="J45" i="2"/>
  <c r="H45" i="2"/>
  <c r="K44" i="2"/>
  <c r="J44" i="2"/>
  <c r="H44" i="2"/>
  <c r="K43" i="2"/>
  <c r="J43" i="2"/>
  <c r="H43" i="2"/>
  <c r="K42" i="2"/>
  <c r="J42" i="2"/>
  <c r="H42" i="2"/>
  <c r="K41" i="2"/>
  <c r="J41" i="2"/>
  <c r="H41" i="2"/>
  <c r="K40" i="2"/>
  <c r="J40" i="2"/>
  <c r="H40" i="2"/>
  <c r="K39" i="2"/>
  <c r="J39" i="2"/>
  <c r="H39" i="2"/>
  <c r="K38" i="2"/>
  <c r="J38" i="2"/>
  <c r="H38" i="2"/>
  <c r="K37" i="2"/>
  <c r="J37" i="2"/>
  <c r="H37" i="2"/>
  <c r="K36" i="2"/>
  <c r="J36" i="2"/>
  <c r="H36" i="2"/>
  <c r="K35" i="2"/>
  <c r="J35" i="2"/>
  <c r="H35" i="2"/>
  <c r="K34" i="2"/>
  <c r="J34" i="2"/>
  <c r="H34" i="2"/>
  <c r="K33" i="2"/>
  <c r="J33" i="2"/>
  <c r="H33" i="2"/>
  <c r="K32" i="2"/>
  <c r="J32" i="2"/>
  <c r="H32" i="2"/>
  <c r="K31" i="2"/>
  <c r="J31" i="2"/>
  <c r="H31" i="2"/>
  <c r="K30" i="2"/>
  <c r="J30" i="2"/>
  <c r="H30" i="2"/>
  <c r="K29" i="2"/>
  <c r="J29" i="2"/>
  <c r="H29" i="2"/>
  <c r="K28" i="2"/>
  <c r="J28" i="2"/>
  <c r="H28" i="2"/>
  <c r="K27" i="2"/>
  <c r="J27" i="2"/>
  <c r="H27" i="2"/>
  <c r="K26" i="2"/>
  <c r="J26" i="2"/>
  <c r="H26" i="2"/>
  <c r="K25" i="2"/>
  <c r="J25" i="2"/>
  <c r="H25" i="2"/>
  <c r="K24" i="2"/>
  <c r="J24" i="2"/>
  <c r="H24" i="2"/>
  <c r="K23" i="2"/>
  <c r="J23" i="2"/>
  <c r="H23" i="2"/>
  <c r="K22" i="2"/>
  <c r="J22" i="2"/>
  <c r="H22" i="2"/>
  <c r="K21" i="2"/>
  <c r="J21" i="2"/>
  <c r="H21" i="2"/>
  <c r="K20" i="2"/>
  <c r="J20" i="2"/>
  <c r="H20" i="2"/>
  <c r="K19" i="2"/>
  <c r="J19" i="2"/>
  <c r="H19" i="2"/>
  <c r="K18" i="2"/>
  <c r="J18" i="2"/>
  <c r="H18" i="2"/>
  <c r="K17" i="2"/>
  <c r="J17" i="2"/>
  <c r="H17" i="2"/>
  <c r="K16" i="2"/>
  <c r="J16" i="2"/>
  <c r="H16" i="2"/>
  <c r="K15" i="2"/>
  <c r="J15" i="2"/>
  <c r="H15" i="2"/>
  <c r="K14" i="2"/>
  <c r="J14" i="2"/>
  <c r="H14" i="2"/>
  <c r="K13" i="2"/>
  <c r="J13" i="2"/>
  <c r="H13" i="2"/>
  <c r="K12" i="2"/>
  <c r="J12" i="2"/>
  <c r="H12" i="2"/>
  <c r="K11" i="2"/>
  <c r="J11" i="2"/>
  <c r="H11" i="2"/>
  <c r="K10" i="2"/>
  <c r="J10" i="2"/>
  <c r="H10" i="2"/>
  <c r="K9" i="2"/>
  <c r="J9" i="2"/>
  <c r="H9" i="2"/>
  <c r="K8" i="2"/>
  <c r="J8" i="2"/>
  <c r="H8" i="2"/>
  <c r="K7" i="2"/>
  <c r="J7" i="2"/>
  <c r="H7" i="2"/>
  <c r="K6" i="2"/>
  <c r="J6" i="2"/>
  <c r="H6" i="2"/>
  <c r="K5" i="2"/>
  <c r="J5" i="2"/>
  <c r="H5" i="2"/>
  <c r="H4" i="2"/>
  <c r="G1002" i="2"/>
  <c r="G1001" i="2"/>
  <c r="G1000" i="2"/>
  <c r="G999" i="2"/>
  <c r="G998" i="2"/>
  <c r="G997" i="2"/>
  <c r="G996" i="2"/>
  <c r="G995" i="2"/>
  <c r="G994" i="2"/>
  <c r="G993" i="2"/>
  <c r="G992" i="2"/>
  <c r="G991" i="2"/>
  <c r="G990" i="2"/>
  <c r="G989" i="2"/>
  <c r="G988" i="2"/>
  <c r="G987" i="2"/>
  <c r="G986" i="2"/>
  <c r="G985" i="2"/>
  <c r="G984" i="2"/>
  <c r="G983" i="2"/>
  <c r="G982" i="2"/>
  <c r="G981" i="2"/>
  <c r="G980" i="2"/>
  <c r="G979" i="2"/>
  <c r="G978" i="2"/>
  <c r="G977" i="2"/>
  <c r="G976" i="2"/>
  <c r="G975" i="2"/>
  <c r="G974" i="2"/>
  <c r="G973" i="2"/>
  <c r="G972" i="2"/>
  <c r="G971" i="2"/>
  <c r="G970" i="2"/>
  <c r="G969" i="2"/>
  <c r="G968" i="2"/>
  <c r="G967" i="2"/>
  <c r="G966" i="2"/>
  <c r="G965" i="2"/>
  <c r="G964" i="2"/>
  <c r="G963" i="2"/>
  <c r="G962" i="2"/>
  <c r="G961" i="2"/>
  <c r="G960" i="2"/>
  <c r="G959" i="2"/>
  <c r="G958" i="2"/>
  <c r="G957" i="2"/>
  <c r="G956" i="2"/>
  <c r="G955" i="2"/>
  <c r="G954" i="2"/>
  <c r="G953" i="2"/>
  <c r="G952" i="2"/>
  <c r="G951" i="2"/>
  <c r="G950" i="2"/>
  <c r="G949" i="2"/>
  <c r="G948" i="2"/>
  <c r="G947" i="2"/>
  <c r="G946" i="2"/>
  <c r="G945" i="2"/>
  <c r="G944" i="2"/>
  <c r="G943" i="2"/>
  <c r="G942" i="2"/>
  <c r="G941" i="2"/>
  <c r="G940" i="2"/>
  <c r="G939" i="2"/>
  <c r="G938" i="2"/>
  <c r="G937" i="2"/>
  <c r="G936" i="2"/>
  <c r="G935" i="2"/>
  <c r="G934" i="2"/>
  <c r="G933" i="2"/>
  <c r="G932" i="2"/>
  <c r="G931" i="2"/>
  <c r="G930" i="2"/>
  <c r="G929" i="2"/>
  <c r="G928" i="2"/>
  <c r="G927" i="2"/>
  <c r="G926" i="2"/>
  <c r="G925" i="2"/>
  <c r="G924" i="2"/>
  <c r="G923" i="2"/>
  <c r="G922" i="2"/>
  <c r="G921" i="2"/>
  <c r="G920" i="2"/>
  <c r="G919" i="2"/>
  <c r="G918" i="2"/>
  <c r="G917" i="2"/>
  <c r="G916" i="2"/>
  <c r="G915" i="2"/>
  <c r="G914" i="2"/>
  <c r="G913" i="2"/>
  <c r="G912" i="2"/>
  <c r="G911" i="2"/>
  <c r="G910" i="2"/>
  <c r="G909" i="2"/>
  <c r="G908" i="2"/>
  <c r="G907" i="2"/>
  <c r="G906" i="2"/>
  <c r="G905" i="2"/>
  <c r="G904" i="2"/>
  <c r="G903" i="2"/>
  <c r="G902" i="2"/>
  <c r="G901" i="2"/>
  <c r="G900" i="2"/>
  <c r="G899" i="2"/>
  <c r="G898" i="2"/>
  <c r="G897" i="2"/>
  <c r="G896" i="2"/>
  <c r="G895" i="2"/>
  <c r="G894" i="2"/>
  <c r="G893" i="2"/>
  <c r="G892" i="2"/>
  <c r="G891" i="2"/>
  <c r="G890" i="2"/>
  <c r="G889" i="2"/>
  <c r="G888" i="2"/>
  <c r="G887" i="2"/>
  <c r="G886" i="2"/>
  <c r="G885" i="2"/>
  <c r="G884" i="2"/>
  <c r="G883" i="2"/>
  <c r="G882" i="2"/>
  <c r="G881" i="2"/>
  <c r="G880" i="2"/>
  <c r="G879" i="2"/>
  <c r="G878" i="2"/>
  <c r="G877" i="2"/>
  <c r="G876" i="2"/>
  <c r="G875" i="2"/>
  <c r="G874" i="2"/>
  <c r="G873" i="2"/>
  <c r="G872" i="2"/>
  <c r="G871" i="2"/>
  <c r="G870" i="2"/>
  <c r="G869" i="2"/>
  <c r="G868" i="2"/>
  <c r="G867" i="2"/>
  <c r="G866" i="2"/>
  <c r="G865" i="2"/>
  <c r="G864" i="2"/>
  <c r="G863" i="2"/>
  <c r="G862" i="2"/>
  <c r="G861" i="2"/>
  <c r="G860" i="2"/>
  <c r="G859" i="2"/>
  <c r="G858" i="2"/>
  <c r="G857" i="2"/>
  <c r="G856" i="2"/>
  <c r="G855" i="2"/>
  <c r="G854" i="2"/>
  <c r="G853" i="2"/>
  <c r="G852" i="2"/>
  <c r="G851" i="2"/>
  <c r="G850" i="2"/>
  <c r="G849" i="2"/>
  <c r="G848" i="2"/>
  <c r="G847" i="2"/>
  <c r="G846" i="2"/>
  <c r="G845" i="2"/>
  <c r="G844" i="2"/>
  <c r="G843" i="2"/>
  <c r="G842" i="2"/>
  <c r="G841" i="2"/>
  <c r="G840" i="2"/>
  <c r="G839" i="2"/>
  <c r="G838" i="2"/>
  <c r="G837" i="2"/>
  <c r="G836" i="2"/>
  <c r="G835" i="2"/>
  <c r="G834" i="2"/>
  <c r="G833" i="2"/>
  <c r="G832" i="2"/>
  <c r="G831" i="2"/>
  <c r="G830" i="2"/>
  <c r="G829" i="2"/>
  <c r="G828" i="2"/>
  <c r="G827" i="2"/>
  <c r="G826" i="2"/>
  <c r="G825" i="2"/>
  <c r="G824" i="2"/>
  <c r="G823" i="2"/>
  <c r="G822" i="2"/>
  <c r="G821" i="2"/>
  <c r="G820" i="2"/>
  <c r="G819" i="2"/>
  <c r="G818" i="2"/>
  <c r="G817" i="2"/>
  <c r="G816" i="2"/>
  <c r="G815" i="2"/>
  <c r="G814" i="2"/>
  <c r="G813" i="2"/>
  <c r="G812" i="2"/>
  <c r="G811" i="2"/>
  <c r="G810" i="2"/>
  <c r="G809" i="2"/>
  <c r="G808" i="2"/>
  <c r="G807" i="2"/>
  <c r="G806" i="2"/>
  <c r="G805" i="2"/>
  <c r="G804" i="2"/>
  <c r="G803" i="2"/>
  <c r="G802" i="2"/>
  <c r="G801" i="2"/>
  <c r="G800" i="2"/>
  <c r="G799" i="2"/>
  <c r="G798" i="2"/>
  <c r="G797" i="2"/>
  <c r="G796" i="2"/>
  <c r="G795" i="2"/>
  <c r="G794" i="2"/>
  <c r="G793" i="2"/>
  <c r="G792" i="2"/>
  <c r="G791" i="2"/>
  <c r="G790" i="2"/>
  <c r="G789" i="2"/>
  <c r="G788" i="2"/>
  <c r="G787" i="2"/>
  <c r="G786" i="2"/>
  <c r="G785" i="2"/>
  <c r="G784" i="2"/>
  <c r="G783" i="2"/>
  <c r="G782" i="2"/>
  <c r="G781" i="2"/>
  <c r="G780" i="2"/>
  <c r="G779" i="2"/>
  <c r="G778" i="2"/>
  <c r="G777" i="2"/>
  <c r="G776" i="2"/>
  <c r="G775" i="2"/>
  <c r="G774" i="2"/>
  <c r="G773" i="2"/>
  <c r="G772" i="2"/>
  <c r="G771" i="2"/>
  <c r="G770" i="2"/>
  <c r="G769" i="2"/>
  <c r="G768" i="2"/>
  <c r="G767" i="2"/>
  <c r="G766" i="2"/>
  <c r="G765" i="2"/>
  <c r="G764" i="2"/>
  <c r="G763" i="2"/>
  <c r="G762" i="2"/>
  <c r="G761" i="2"/>
  <c r="G760" i="2"/>
  <c r="G759" i="2"/>
  <c r="G758" i="2"/>
  <c r="G757" i="2"/>
  <c r="G756" i="2"/>
  <c r="G755" i="2"/>
  <c r="G754" i="2"/>
  <c r="G753" i="2"/>
  <c r="G752" i="2"/>
  <c r="G751" i="2"/>
  <c r="G750" i="2"/>
  <c r="G749" i="2"/>
  <c r="G748" i="2"/>
  <c r="G747" i="2"/>
  <c r="G746" i="2"/>
  <c r="G745" i="2"/>
  <c r="G744" i="2"/>
  <c r="G743" i="2"/>
  <c r="G742" i="2"/>
  <c r="G741" i="2"/>
  <c r="G740" i="2"/>
  <c r="G739" i="2"/>
  <c r="G738" i="2"/>
  <c r="G737" i="2"/>
  <c r="G736" i="2"/>
  <c r="G735" i="2"/>
  <c r="G734" i="2"/>
  <c r="G733" i="2"/>
  <c r="G732" i="2"/>
  <c r="G731" i="2"/>
  <c r="G730" i="2"/>
  <c r="G729" i="2"/>
  <c r="G728" i="2"/>
  <c r="G727" i="2"/>
  <c r="G726" i="2"/>
  <c r="G725" i="2"/>
  <c r="G724" i="2"/>
  <c r="G723" i="2"/>
  <c r="G722" i="2"/>
  <c r="G721" i="2"/>
  <c r="G720" i="2"/>
  <c r="G719" i="2"/>
  <c r="G718" i="2"/>
  <c r="G717" i="2"/>
  <c r="G716" i="2"/>
  <c r="G715" i="2"/>
  <c r="G714" i="2"/>
  <c r="G713" i="2"/>
  <c r="G712" i="2"/>
  <c r="G711" i="2"/>
  <c r="G710" i="2"/>
  <c r="G709" i="2"/>
  <c r="G708" i="2"/>
  <c r="G707" i="2"/>
  <c r="G706" i="2"/>
  <c r="G705" i="2"/>
  <c r="G704" i="2"/>
  <c r="G703" i="2"/>
  <c r="G702" i="2"/>
  <c r="G701" i="2"/>
  <c r="G700" i="2"/>
  <c r="G699" i="2"/>
  <c r="G698" i="2"/>
  <c r="G697" i="2"/>
  <c r="G696" i="2"/>
  <c r="G695" i="2"/>
  <c r="G694" i="2"/>
  <c r="G693" i="2"/>
  <c r="G692" i="2"/>
  <c r="G691" i="2"/>
  <c r="G690" i="2"/>
  <c r="G689" i="2"/>
  <c r="G688" i="2"/>
  <c r="G687" i="2"/>
  <c r="G686" i="2"/>
  <c r="G685" i="2"/>
  <c r="G684" i="2"/>
  <c r="G683" i="2"/>
  <c r="G682" i="2"/>
  <c r="G681" i="2"/>
  <c r="G680" i="2"/>
  <c r="G679" i="2"/>
  <c r="G678" i="2"/>
  <c r="G677" i="2"/>
  <c r="G676" i="2"/>
  <c r="G675" i="2"/>
  <c r="G674" i="2"/>
  <c r="G673" i="2"/>
  <c r="G672" i="2"/>
  <c r="G671" i="2"/>
  <c r="G670" i="2"/>
  <c r="G669" i="2"/>
  <c r="G668" i="2"/>
  <c r="G667" i="2"/>
  <c r="G666" i="2"/>
  <c r="G665" i="2"/>
  <c r="G664" i="2"/>
  <c r="G663" i="2"/>
  <c r="G662" i="2"/>
  <c r="G661" i="2"/>
  <c r="G660" i="2"/>
  <c r="G659" i="2"/>
  <c r="G658" i="2"/>
  <c r="G657" i="2"/>
  <c r="G656" i="2"/>
  <c r="G655" i="2"/>
  <c r="G654" i="2"/>
  <c r="G653" i="2"/>
  <c r="G652" i="2"/>
  <c r="G651" i="2"/>
  <c r="G650" i="2"/>
  <c r="G649" i="2"/>
  <c r="G648" i="2"/>
  <c r="G647" i="2"/>
  <c r="G646" i="2"/>
  <c r="G645" i="2"/>
  <c r="G644" i="2"/>
  <c r="G643" i="2"/>
  <c r="G642" i="2"/>
  <c r="G641" i="2"/>
  <c r="G640" i="2"/>
  <c r="G639" i="2"/>
  <c r="G638" i="2"/>
  <c r="G637" i="2"/>
  <c r="G636" i="2"/>
  <c r="G635" i="2"/>
  <c r="G634" i="2"/>
  <c r="G633" i="2"/>
  <c r="G632" i="2"/>
  <c r="G631" i="2"/>
  <c r="G630" i="2"/>
  <c r="G629" i="2"/>
  <c r="G628" i="2"/>
  <c r="G627" i="2"/>
  <c r="G626" i="2"/>
  <c r="G625" i="2"/>
  <c r="G624" i="2"/>
  <c r="G623" i="2"/>
  <c r="G622" i="2"/>
  <c r="G621" i="2"/>
  <c r="G620" i="2"/>
  <c r="G619" i="2"/>
  <c r="G618" i="2"/>
  <c r="G617" i="2"/>
  <c r="G616" i="2"/>
  <c r="G615" i="2"/>
  <c r="G614" i="2"/>
  <c r="G613" i="2"/>
  <c r="G612" i="2"/>
  <c r="G611" i="2"/>
  <c r="G610" i="2"/>
  <c r="G609" i="2"/>
  <c r="G608" i="2"/>
  <c r="G607" i="2"/>
  <c r="G606" i="2"/>
  <c r="G605" i="2"/>
  <c r="G604" i="2"/>
  <c r="G603" i="2"/>
  <c r="G602" i="2"/>
  <c r="G601" i="2"/>
  <c r="G600" i="2"/>
  <c r="G599" i="2"/>
  <c r="G598" i="2"/>
  <c r="G597" i="2"/>
  <c r="G596" i="2"/>
  <c r="G595" i="2"/>
  <c r="G594" i="2"/>
  <c r="G593" i="2"/>
  <c r="G592" i="2"/>
  <c r="G591" i="2"/>
  <c r="G590" i="2"/>
  <c r="G589" i="2"/>
  <c r="G588" i="2"/>
  <c r="G587" i="2"/>
  <c r="G586" i="2"/>
  <c r="G585" i="2"/>
  <c r="G584" i="2"/>
  <c r="G583" i="2"/>
  <c r="G582" i="2"/>
  <c r="G581" i="2"/>
  <c r="G580" i="2"/>
  <c r="G579" i="2"/>
  <c r="G578" i="2"/>
  <c r="G577" i="2"/>
  <c r="G576" i="2"/>
  <c r="G575" i="2"/>
  <c r="G574" i="2"/>
  <c r="G573" i="2"/>
  <c r="G572" i="2"/>
  <c r="G571" i="2"/>
  <c r="G570" i="2"/>
  <c r="G569" i="2"/>
  <c r="G568" i="2"/>
  <c r="G567" i="2"/>
  <c r="G566" i="2"/>
  <c r="G565" i="2"/>
  <c r="G564" i="2"/>
  <c r="G563" i="2"/>
  <c r="G562" i="2"/>
  <c r="G561" i="2"/>
  <c r="G560" i="2"/>
  <c r="G559" i="2"/>
  <c r="G558" i="2"/>
  <c r="G557" i="2"/>
  <c r="G556" i="2"/>
  <c r="G555" i="2"/>
  <c r="G554" i="2"/>
  <c r="G553" i="2"/>
  <c r="G552" i="2"/>
  <c r="G551" i="2"/>
  <c r="G550" i="2"/>
  <c r="G549" i="2"/>
  <c r="G548" i="2"/>
  <c r="G547" i="2"/>
  <c r="G546" i="2"/>
  <c r="G545" i="2"/>
  <c r="G544" i="2"/>
  <c r="G543" i="2"/>
  <c r="G542" i="2"/>
  <c r="G541" i="2"/>
  <c r="G540" i="2"/>
  <c r="G539" i="2"/>
  <c r="G538" i="2"/>
  <c r="G537" i="2"/>
  <c r="G536" i="2"/>
  <c r="G535" i="2"/>
  <c r="G534" i="2"/>
  <c r="G533" i="2"/>
  <c r="G532" i="2"/>
  <c r="G531" i="2"/>
  <c r="G530" i="2"/>
  <c r="G529" i="2"/>
  <c r="G528" i="2"/>
  <c r="G527" i="2"/>
  <c r="G526" i="2"/>
  <c r="G525" i="2"/>
  <c r="G524" i="2"/>
  <c r="G523" i="2"/>
  <c r="G522" i="2"/>
  <c r="G521" i="2"/>
  <c r="G520" i="2"/>
  <c r="G519" i="2"/>
  <c r="G518" i="2"/>
  <c r="G517" i="2"/>
  <c r="G516" i="2"/>
  <c r="G515" i="2"/>
  <c r="G514" i="2"/>
  <c r="G513" i="2"/>
  <c r="G512" i="2"/>
  <c r="G511" i="2"/>
  <c r="G510" i="2"/>
  <c r="G509" i="2"/>
  <c r="G508" i="2"/>
  <c r="G507" i="2"/>
  <c r="G506" i="2"/>
  <c r="G505" i="2"/>
  <c r="G504" i="2"/>
  <c r="G503" i="2"/>
  <c r="G502" i="2"/>
  <c r="G501" i="2"/>
  <c r="G500" i="2"/>
  <c r="G499" i="2"/>
  <c r="G498" i="2"/>
  <c r="G497" i="2"/>
  <c r="G496" i="2"/>
  <c r="G495" i="2"/>
  <c r="G494" i="2"/>
  <c r="G493" i="2"/>
  <c r="G492" i="2"/>
  <c r="G491" i="2"/>
  <c r="G490" i="2"/>
  <c r="G489" i="2"/>
  <c r="G488" i="2"/>
  <c r="G487" i="2"/>
  <c r="G486" i="2"/>
  <c r="G485" i="2"/>
  <c r="G484" i="2"/>
  <c r="G483" i="2"/>
  <c r="G482" i="2"/>
  <c r="G481" i="2"/>
  <c r="G480" i="2"/>
  <c r="G479" i="2"/>
  <c r="G478" i="2"/>
  <c r="G477" i="2"/>
  <c r="G476" i="2"/>
  <c r="G475" i="2"/>
  <c r="G474" i="2"/>
  <c r="G473" i="2"/>
  <c r="G472" i="2"/>
  <c r="G471" i="2"/>
  <c r="G470" i="2"/>
  <c r="G469" i="2"/>
  <c r="G468" i="2"/>
  <c r="G467" i="2"/>
  <c r="G466" i="2"/>
  <c r="G465" i="2"/>
  <c r="G464" i="2"/>
  <c r="G463" i="2"/>
  <c r="G462" i="2"/>
  <c r="G461" i="2"/>
  <c r="G460" i="2"/>
  <c r="G459" i="2"/>
  <c r="G458" i="2"/>
  <c r="G457" i="2"/>
  <c r="G456" i="2"/>
  <c r="G455" i="2"/>
  <c r="G454" i="2"/>
  <c r="G453" i="2"/>
  <c r="G452" i="2"/>
  <c r="G451" i="2"/>
  <c r="G450" i="2"/>
  <c r="G449" i="2"/>
  <c r="G448" i="2"/>
  <c r="G447" i="2"/>
  <c r="G446" i="2"/>
  <c r="G445" i="2"/>
  <c r="G444" i="2"/>
  <c r="G443" i="2"/>
  <c r="G442" i="2"/>
  <c r="G441" i="2"/>
  <c r="G440" i="2"/>
  <c r="G439" i="2"/>
  <c r="G438" i="2"/>
  <c r="G437" i="2"/>
  <c r="G436" i="2"/>
  <c r="G435" i="2"/>
  <c r="G434" i="2"/>
  <c r="G433" i="2"/>
  <c r="G432" i="2"/>
  <c r="G431" i="2"/>
  <c r="G430" i="2"/>
  <c r="G429" i="2"/>
  <c r="G428" i="2"/>
  <c r="G427" i="2"/>
  <c r="G426" i="2"/>
  <c r="G425" i="2"/>
  <c r="G424" i="2"/>
  <c r="G423" i="2"/>
  <c r="G422" i="2"/>
  <c r="G421" i="2"/>
  <c r="G420" i="2"/>
  <c r="G419" i="2"/>
  <c r="G418" i="2"/>
  <c r="G417" i="2"/>
  <c r="G416" i="2"/>
  <c r="G415" i="2"/>
  <c r="G414" i="2"/>
  <c r="G413" i="2"/>
  <c r="G412" i="2"/>
  <c r="G411" i="2"/>
  <c r="G410" i="2"/>
  <c r="G409" i="2"/>
  <c r="G408" i="2"/>
  <c r="G407" i="2"/>
  <c r="G406" i="2"/>
  <c r="G405" i="2"/>
  <c r="G404" i="2"/>
  <c r="G403" i="2"/>
  <c r="G402" i="2"/>
  <c r="G401" i="2"/>
  <c r="G400" i="2"/>
  <c r="G399" i="2"/>
  <c r="G398" i="2"/>
  <c r="G397" i="2"/>
  <c r="G396" i="2"/>
  <c r="G395" i="2"/>
  <c r="G394" i="2"/>
  <c r="G393" i="2"/>
  <c r="G392" i="2"/>
  <c r="G391" i="2"/>
  <c r="G390" i="2"/>
  <c r="G389" i="2"/>
  <c r="G388" i="2"/>
  <c r="G387" i="2"/>
  <c r="G386" i="2"/>
  <c r="G385" i="2"/>
  <c r="G384" i="2"/>
  <c r="G383" i="2"/>
  <c r="G382" i="2"/>
  <c r="G381" i="2"/>
  <c r="G380" i="2"/>
  <c r="G379" i="2"/>
  <c r="G378" i="2"/>
  <c r="G377" i="2"/>
  <c r="G376" i="2"/>
  <c r="G375" i="2"/>
  <c r="G374" i="2"/>
  <c r="G373" i="2"/>
  <c r="G372" i="2"/>
  <c r="G371" i="2"/>
  <c r="G370" i="2"/>
  <c r="G369" i="2"/>
  <c r="G368" i="2"/>
  <c r="G367" i="2"/>
  <c r="G366" i="2"/>
  <c r="G365" i="2"/>
  <c r="G364" i="2"/>
  <c r="G363" i="2"/>
  <c r="G362" i="2"/>
  <c r="G361" i="2"/>
  <c r="G360" i="2"/>
  <c r="G359" i="2"/>
  <c r="G358" i="2"/>
  <c r="G357" i="2"/>
  <c r="G356" i="2"/>
  <c r="G355" i="2"/>
  <c r="G354" i="2"/>
  <c r="G353" i="2"/>
  <c r="G352" i="2"/>
  <c r="G351" i="2"/>
  <c r="G350" i="2"/>
  <c r="G349" i="2"/>
  <c r="G348" i="2"/>
  <c r="G347" i="2"/>
  <c r="G346" i="2"/>
  <c r="G345" i="2"/>
  <c r="G344" i="2"/>
  <c r="G343" i="2"/>
  <c r="G342" i="2"/>
  <c r="G341" i="2"/>
  <c r="G340" i="2"/>
  <c r="G339" i="2"/>
  <c r="G338" i="2"/>
  <c r="G337" i="2"/>
  <c r="G336" i="2"/>
  <c r="G335" i="2"/>
  <c r="G334" i="2"/>
  <c r="G333" i="2"/>
  <c r="G332" i="2"/>
  <c r="G331" i="2"/>
  <c r="G330" i="2"/>
  <c r="G329" i="2"/>
  <c r="G328" i="2"/>
  <c r="G327" i="2"/>
  <c r="G326" i="2"/>
  <c r="G325" i="2"/>
  <c r="G324" i="2"/>
  <c r="G323" i="2"/>
  <c r="G322" i="2"/>
  <c r="G321" i="2"/>
  <c r="G320" i="2"/>
  <c r="G319" i="2"/>
  <c r="G318" i="2"/>
  <c r="G317" i="2"/>
  <c r="G316" i="2"/>
  <c r="G315" i="2"/>
  <c r="G314" i="2"/>
  <c r="G313" i="2"/>
  <c r="G312" i="2"/>
  <c r="G311" i="2"/>
  <c r="G310" i="2"/>
  <c r="G309" i="2"/>
  <c r="G308" i="2"/>
  <c r="G307" i="2"/>
  <c r="G306" i="2"/>
  <c r="G305" i="2"/>
  <c r="G304" i="2"/>
  <c r="G303" i="2"/>
  <c r="G302" i="2"/>
  <c r="G301" i="2"/>
  <c r="G300" i="2"/>
  <c r="G299" i="2"/>
  <c r="G298" i="2"/>
  <c r="G297" i="2"/>
  <c r="G296" i="2"/>
  <c r="G295" i="2"/>
  <c r="G294" i="2"/>
  <c r="G293" i="2"/>
  <c r="G292" i="2"/>
  <c r="G291" i="2"/>
  <c r="G290" i="2"/>
  <c r="G289" i="2"/>
  <c r="G288" i="2"/>
  <c r="G287" i="2"/>
  <c r="G286" i="2"/>
  <c r="G285" i="2"/>
  <c r="G284" i="2"/>
  <c r="G283" i="2"/>
  <c r="G282" i="2"/>
  <c r="G281" i="2"/>
  <c r="G280" i="2"/>
  <c r="G279" i="2"/>
  <c r="G278" i="2"/>
  <c r="G277" i="2"/>
  <c r="G276" i="2"/>
  <c r="G275" i="2"/>
  <c r="G274" i="2"/>
  <c r="G273" i="2"/>
  <c r="G272" i="2"/>
  <c r="G271" i="2"/>
  <c r="G270" i="2"/>
  <c r="G269" i="2"/>
  <c r="G268" i="2"/>
  <c r="G267" i="2"/>
  <c r="G266" i="2"/>
  <c r="G265" i="2"/>
  <c r="G264" i="2"/>
  <c r="G263" i="2"/>
  <c r="G262" i="2"/>
  <c r="G261" i="2"/>
  <c r="G260" i="2"/>
  <c r="G259" i="2"/>
  <c r="G258" i="2"/>
  <c r="G257" i="2"/>
  <c r="G256" i="2"/>
  <c r="G255" i="2"/>
  <c r="G254" i="2"/>
  <c r="G253" i="2"/>
  <c r="G252" i="2"/>
  <c r="G251" i="2"/>
  <c r="G250" i="2"/>
  <c r="G249" i="2"/>
  <c r="G248" i="2"/>
  <c r="G247" i="2"/>
  <c r="G246" i="2"/>
  <c r="G245" i="2"/>
  <c r="G244" i="2"/>
  <c r="G243" i="2"/>
  <c r="G242" i="2"/>
  <c r="G241" i="2"/>
  <c r="G240" i="2"/>
  <c r="G239" i="2"/>
  <c r="G238" i="2"/>
  <c r="G237" i="2"/>
  <c r="G236" i="2"/>
  <c r="G235" i="2"/>
  <c r="G234" i="2"/>
  <c r="G233" i="2"/>
  <c r="G232" i="2"/>
  <c r="G231" i="2"/>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90"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F1002" i="2"/>
  <c r="F1001" i="2"/>
  <c r="F1000" i="2"/>
  <c r="F999" i="2"/>
  <c r="F998" i="2"/>
  <c r="F997" i="2"/>
  <c r="F996" i="2"/>
  <c r="F995" i="2"/>
  <c r="F994" i="2"/>
  <c r="F993" i="2"/>
  <c r="F992" i="2"/>
  <c r="F991" i="2"/>
  <c r="F990" i="2"/>
  <c r="F989" i="2"/>
  <c r="F988" i="2"/>
  <c r="F987" i="2"/>
  <c r="F986" i="2"/>
  <c r="F985" i="2"/>
  <c r="F984" i="2"/>
  <c r="F983" i="2"/>
  <c r="F982" i="2"/>
  <c r="F981" i="2"/>
  <c r="F980" i="2"/>
  <c r="F979" i="2"/>
  <c r="F978" i="2"/>
  <c r="F977" i="2"/>
  <c r="F976" i="2"/>
  <c r="F975" i="2"/>
  <c r="F974" i="2"/>
  <c r="F973" i="2"/>
  <c r="F972" i="2"/>
  <c r="F971" i="2"/>
  <c r="F970" i="2"/>
  <c r="F969" i="2"/>
  <c r="F968" i="2"/>
  <c r="F967" i="2"/>
  <c r="F966" i="2"/>
  <c r="F965" i="2"/>
  <c r="F964" i="2"/>
  <c r="F963" i="2"/>
  <c r="F962" i="2"/>
  <c r="F961" i="2"/>
  <c r="F960" i="2"/>
  <c r="F959" i="2"/>
  <c r="F958" i="2"/>
  <c r="F957" i="2"/>
  <c r="F956" i="2"/>
  <c r="F955" i="2"/>
  <c r="F954" i="2"/>
  <c r="F953" i="2"/>
  <c r="F952" i="2"/>
  <c r="F951" i="2"/>
  <c r="F950" i="2"/>
  <c r="F949" i="2"/>
  <c r="F948" i="2"/>
  <c r="F947" i="2"/>
  <c r="F946" i="2"/>
  <c r="F945" i="2"/>
  <c r="F944" i="2"/>
  <c r="F943" i="2"/>
  <c r="F942" i="2"/>
  <c r="F941" i="2"/>
  <c r="F940" i="2"/>
  <c r="F939" i="2"/>
  <c r="F938" i="2"/>
  <c r="F937" i="2"/>
  <c r="F936" i="2"/>
  <c r="F935" i="2"/>
  <c r="F934" i="2"/>
  <c r="F933" i="2"/>
  <c r="F932" i="2"/>
  <c r="F931" i="2"/>
  <c r="F930" i="2"/>
  <c r="F929" i="2"/>
  <c r="F928" i="2"/>
  <c r="F927" i="2"/>
  <c r="F926" i="2"/>
  <c r="F925" i="2"/>
  <c r="F924" i="2"/>
  <c r="F923" i="2"/>
  <c r="F922" i="2"/>
  <c r="F921" i="2"/>
  <c r="F920" i="2"/>
  <c r="F919" i="2"/>
  <c r="F918" i="2"/>
  <c r="F917" i="2"/>
  <c r="F916" i="2"/>
  <c r="F915" i="2"/>
  <c r="F914" i="2"/>
  <c r="F913" i="2"/>
  <c r="F912" i="2"/>
  <c r="F911" i="2"/>
  <c r="F910" i="2"/>
  <c r="F909" i="2"/>
  <c r="F908" i="2"/>
  <c r="F907" i="2"/>
  <c r="F906" i="2"/>
  <c r="F905" i="2"/>
  <c r="F904" i="2"/>
  <c r="F903" i="2"/>
  <c r="F902" i="2"/>
  <c r="F901" i="2"/>
  <c r="F900" i="2"/>
  <c r="F899" i="2"/>
  <c r="F898" i="2"/>
  <c r="F897" i="2"/>
  <c r="F896" i="2"/>
  <c r="F895" i="2"/>
  <c r="F894" i="2"/>
  <c r="F893" i="2"/>
  <c r="F892" i="2"/>
  <c r="F891" i="2"/>
  <c r="F890" i="2"/>
  <c r="F889" i="2"/>
  <c r="F888" i="2"/>
  <c r="F887" i="2"/>
  <c r="F886" i="2"/>
  <c r="F885" i="2"/>
  <c r="F884" i="2"/>
  <c r="F883" i="2"/>
  <c r="F882" i="2"/>
  <c r="F881" i="2"/>
  <c r="F880" i="2"/>
  <c r="F879" i="2"/>
  <c r="F878" i="2"/>
  <c r="F877" i="2"/>
  <c r="F876" i="2"/>
  <c r="F875" i="2"/>
  <c r="F874" i="2"/>
  <c r="F873" i="2"/>
  <c r="F872" i="2"/>
  <c r="F871" i="2"/>
  <c r="F870" i="2"/>
  <c r="F869" i="2"/>
  <c r="F868" i="2"/>
  <c r="F867" i="2"/>
  <c r="F866" i="2"/>
  <c r="F865" i="2"/>
  <c r="F864" i="2"/>
  <c r="F863" i="2"/>
  <c r="F862" i="2"/>
  <c r="F861" i="2"/>
  <c r="F860" i="2"/>
  <c r="F859" i="2"/>
  <c r="F858" i="2"/>
  <c r="F857" i="2"/>
  <c r="F856" i="2"/>
  <c r="F855" i="2"/>
  <c r="F854" i="2"/>
  <c r="F853" i="2"/>
  <c r="F852" i="2"/>
  <c r="F851" i="2"/>
  <c r="F850" i="2"/>
  <c r="F849" i="2"/>
  <c r="F848" i="2"/>
  <c r="F847" i="2"/>
  <c r="F846" i="2"/>
  <c r="F845" i="2"/>
  <c r="F844" i="2"/>
  <c r="F843" i="2"/>
  <c r="F842" i="2"/>
  <c r="F841" i="2"/>
  <c r="F840" i="2"/>
  <c r="F839" i="2"/>
  <c r="F838" i="2"/>
  <c r="F837" i="2"/>
  <c r="F836" i="2"/>
  <c r="F835" i="2"/>
  <c r="F834" i="2"/>
  <c r="F833" i="2"/>
  <c r="F832" i="2"/>
  <c r="F831" i="2"/>
  <c r="F830" i="2"/>
  <c r="F829" i="2"/>
  <c r="F828" i="2"/>
  <c r="F827" i="2"/>
  <c r="F826" i="2"/>
  <c r="F825" i="2"/>
  <c r="F824" i="2"/>
  <c r="F823" i="2"/>
  <c r="F822" i="2"/>
  <c r="F821" i="2"/>
  <c r="F820" i="2"/>
  <c r="F819" i="2"/>
  <c r="F818" i="2"/>
  <c r="F817" i="2"/>
  <c r="F816" i="2"/>
  <c r="F815" i="2"/>
  <c r="F814" i="2"/>
  <c r="F813" i="2"/>
  <c r="F812" i="2"/>
  <c r="F811" i="2"/>
  <c r="F810" i="2"/>
  <c r="F809" i="2"/>
  <c r="F808" i="2"/>
  <c r="F807" i="2"/>
  <c r="F806" i="2"/>
  <c r="F805" i="2"/>
  <c r="F804" i="2"/>
  <c r="F803" i="2"/>
  <c r="F802" i="2"/>
  <c r="F801" i="2"/>
  <c r="F800" i="2"/>
  <c r="F799" i="2"/>
  <c r="F798" i="2"/>
  <c r="F797" i="2"/>
  <c r="F796" i="2"/>
  <c r="F795" i="2"/>
  <c r="F794" i="2"/>
  <c r="F793" i="2"/>
  <c r="F792" i="2"/>
  <c r="F791" i="2"/>
  <c r="F790" i="2"/>
  <c r="F789" i="2"/>
  <c r="F788" i="2"/>
  <c r="F787" i="2"/>
  <c r="F786" i="2"/>
  <c r="F785" i="2"/>
  <c r="F784" i="2"/>
  <c r="F783" i="2"/>
  <c r="F782" i="2"/>
  <c r="F781" i="2"/>
  <c r="F780" i="2"/>
  <c r="F779" i="2"/>
  <c r="F778" i="2"/>
  <c r="F777" i="2"/>
  <c r="F776" i="2"/>
  <c r="F775" i="2"/>
  <c r="F774" i="2"/>
  <c r="F773" i="2"/>
  <c r="F772" i="2"/>
  <c r="F771" i="2"/>
  <c r="F770" i="2"/>
  <c r="F769" i="2"/>
  <c r="F768" i="2"/>
  <c r="F767" i="2"/>
  <c r="F766" i="2"/>
  <c r="F765" i="2"/>
  <c r="F764" i="2"/>
  <c r="F763" i="2"/>
  <c r="F762" i="2"/>
  <c r="F761" i="2"/>
  <c r="F760" i="2"/>
  <c r="F759" i="2"/>
  <c r="F758" i="2"/>
  <c r="F757" i="2"/>
  <c r="F756" i="2"/>
  <c r="F755" i="2"/>
  <c r="F754" i="2"/>
  <c r="F753" i="2"/>
  <c r="F752" i="2"/>
  <c r="F751" i="2"/>
  <c r="F750" i="2"/>
  <c r="F749" i="2"/>
  <c r="F748" i="2"/>
  <c r="F747" i="2"/>
  <c r="F746" i="2"/>
  <c r="F745" i="2"/>
  <c r="F744" i="2"/>
  <c r="F743" i="2"/>
  <c r="F742" i="2"/>
  <c r="F741" i="2"/>
  <c r="F740" i="2"/>
  <c r="F739" i="2"/>
  <c r="F738" i="2"/>
  <c r="F737" i="2"/>
  <c r="F736" i="2"/>
  <c r="F735" i="2"/>
  <c r="F734" i="2"/>
  <c r="F733" i="2"/>
  <c r="F732" i="2"/>
  <c r="F731" i="2"/>
  <c r="F730" i="2"/>
  <c r="F729" i="2"/>
  <c r="F728" i="2"/>
  <c r="F727" i="2"/>
  <c r="F726" i="2"/>
  <c r="F725" i="2"/>
  <c r="F724" i="2"/>
  <c r="F723" i="2"/>
  <c r="F722" i="2"/>
  <c r="F721" i="2"/>
  <c r="F720" i="2"/>
  <c r="F719" i="2"/>
  <c r="F718" i="2"/>
  <c r="F717" i="2"/>
  <c r="F716" i="2"/>
  <c r="F715" i="2"/>
  <c r="F714" i="2"/>
  <c r="F713" i="2"/>
  <c r="F712" i="2"/>
  <c r="F711" i="2"/>
  <c r="F710" i="2"/>
  <c r="F709" i="2"/>
  <c r="F708" i="2"/>
  <c r="F707" i="2"/>
  <c r="F706" i="2"/>
  <c r="F705" i="2"/>
  <c r="F704" i="2"/>
  <c r="F703" i="2"/>
  <c r="F702" i="2"/>
  <c r="F701" i="2"/>
  <c r="F700" i="2"/>
  <c r="F699" i="2"/>
  <c r="F698" i="2"/>
  <c r="F697" i="2"/>
  <c r="F696" i="2"/>
  <c r="F695" i="2"/>
  <c r="F694" i="2"/>
  <c r="F693" i="2"/>
  <c r="F692" i="2"/>
  <c r="F691" i="2"/>
  <c r="F690" i="2"/>
  <c r="F689" i="2"/>
  <c r="F688" i="2"/>
  <c r="F687" i="2"/>
  <c r="F686" i="2"/>
  <c r="F685" i="2"/>
  <c r="F684" i="2"/>
  <c r="F683" i="2"/>
  <c r="F682" i="2"/>
  <c r="F681" i="2"/>
  <c r="F680" i="2"/>
  <c r="F679" i="2"/>
  <c r="F678" i="2"/>
  <c r="F677" i="2"/>
  <c r="F676" i="2"/>
  <c r="F675" i="2"/>
  <c r="F674" i="2"/>
  <c r="F673" i="2"/>
  <c r="F672" i="2"/>
  <c r="F671" i="2"/>
  <c r="F670" i="2"/>
  <c r="F669" i="2"/>
  <c r="F668" i="2"/>
  <c r="F667" i="2"/>
  <c r="F666" i="2"/>
  <c r="F665" i="2"/>
  <c r="F664" i="2"/>
  <c r="F663" i="2"/>
  <c r="F662" i="2"/>
  <c r="F661" i="2"/>
  <c r="F660" i="2"/>
  <c r="F659" i="2"/>
  <c r="F658" i="2"/>
  <c r="F657" i="2"/>
  <c r="F656" i="2"/>
  <c r="F655" i="2"/>
  <c r="F654" i="2"/>
  <c r="F653" i="2"/>
  <c r="F652" i="2"/>
  <c r="F651" i="2"/>
  <c r="F650" i="2"/>
  <c r="F649" i="2"/>
  <c r="F648" i="2"/>
  <c r="F647" i="2"/>
  <c r="F646" i="2"/>
  <c r="F645" i="2"/>
  <c r="F644" i="2"/>
  <c r="F643" i="2"/>
  <c r="F642" i="2"/>
  <c r="F641" i="2"/>
  <c r="F640" i="2"/>
  <c r="F639" i="2"/>
  <c r="F638" i="2"/>
  <c r="F637" i="2"/>
  <c r="F636" i="2"/>
  <c r="F635" i="2"/>
  <c r="F634" i="2"/>
  <c r="F633" i="2"/>
  <c r="F632" i="2"/>
  <c r="F631" i="2"/>
  <c r="F630" i="2"/>
  <c r="F629" i="2"/>
  <c r="F628" i="2"/>
  <c r="F627" i="2"/>
  <c r="F626" i="2"/>
  <c r="F625" i="2"/>
  <c r="F624" i="2"/>
  <c r="F623" i="2"/>
  <c r="F622" i="2"/>
  <c r="F621" i="2"/>
  <c r="F620" i="2"/>
  <c r="F619" i="2"/>
  <c r="F618" i="2"/>
  <c r="F617" i="2"/>
  <c r="F616" i="2"/>
  <c r="F615" i="2"/>
  <c r="F614" i="2"/>
  <c r="F613" i="2"/>
  <c r="F612" i="2"/>
  <c r="F611" i="2"/>
  <c r="F610" i="2"/>
  <c r="F609" i="2"/>
  <c r="F608" i="2"/>
  <c r="F607" i="2"/>
  <c r="F606" i="2"/>
  <c r="F605" i="2"/>
  <c r="F604" i="2"/>
  <c r="F603" i="2"/>
  <c r="F602" i="2"/>
  <c r="F601" i="2"/>
  <c r="F600" i="2"/>
  <c r="F599" i="2"/>
  <c r="F598" i="2"/>
  <c r="F597" i="2"/>
  <c r="F596" i="2"/>
  <c r="F595" i="2"/>
  <c r="F594" i="2"/>
  <c r="F593" i="2"/>
  <c r="F592" i="2"/>
  <c r="F591" i="2"/>
  <c r="F590" i="2"/>
  <c r="F589" i="2"/>
  <c r="F588" i="2"/>
  <c r="F587" i="2"/>
  <c r="F586" i="2"/>
  <c r="F585" i="2"/>
  <c r="F584" i="2"/>
  <c r="F583" i="2"/>
  <c r="F582" i="2"/>
  <c r="F581" i="2"/>
  <c r="F580" i="2"/>
  <c r="F579" i="2"/>
  <c r="F578" i="2"/>
  <c r="F577" i="2"/>
  <c r="F576" i="2"/>
  <c r="F575" i="2"/>
  <c r="F574" i="2"/>
  <c r="F573" i="2"/>
  <c r="F572" i="2"/>
  <c r="F571" i="2"/>
  <c r="F570" i="2"/>
  <c r="F569" i="2"/>
  <c r="F568" i="2"/>
  <c r="F567" i="2"/>
  <c r="F566" i="2"/>
  <c r="F565" i="2"/>
  <c r="F564" i="2"/>
  <c r="F563" i="2"/>
  <c r="F562" i="2"/>
  <c r="F561" i="2"/>
  <c r="F560" i="2"/>
  <c r="F559" i="2"/>
  <c r="F558" i="2"/>
  <c r="F557" i="2"/>
  <c r="F556" i="2"/>
  <c r="F555" i="2"/>
  <c r="F554" i="2"/>
  <c r="F553" i="2"/>
  <c r="F552" i="2"/>
  <c r="F551" i="2"/>
  <c r="F550" i="2"/>
  <c r="F549" i="2"/>
  <c r="F548" i="2"/>
  <c r="F547" i="2"/>
  <c r="F546" i="2"/>
  <c r="F545" i="2"/>
  <c r="F544" i="2"/>
  <c r="F543" i="2"/>
  <c r="F542" i="2"/>
  <c r="F541" i="2"/>
  <c r="F540" i="2"/>
  <c r="F539" i="2"/>
  <c r="F538" i="2"/>
  <c r="F537" i="2"/>
  <c r="F536" i="2"/>
  <c r="F535" i="2"/>
  <c r="F534" i="2"/>
  <c r="F533" i="2"/>
  <c r="F532" i="2"/>
  <c r="F531" i="2"/>
  <c r="F530" i="2"/>
  <c r="F529" i="2"/>
  <c r="F528" i="2"/>
  <c r="F527" i="2"/>
  <c r="F526" i="2"/>
  <c r="F525" i="2"/>
  <c r="F524" i="2"/>
  <c r="F523" i="2"/>
  <c r="F522" i="2"/>
  <c r="F521" i="2"/>
  <c r="F520" i="2"/>
  <c r="F519" i="2"/>
  <c r="F518" i="2"/>
  <c r="F517" i="2"/>
  <c r="F516" i="2"/>
  <c r="F515" i="2"/>
  <c r="F514" i="2"/>
  <c r="F513" i="2"/>
  <c r="F512" i="2"/>
  <c r="F511" i="2"/>
  <c r="F510" i="2"/>
  <c r="F509" i="2"/>
  <c r="F508" i="2"/>
  <c r="F507" i="2"/>
  <c r="F506" i="2"/>
  <c r="F505" i="2"/>
  <c r="F504" i="2"/>
  <c r="F503" i="2"/>
  <c r="F502" i="2"/>
  <c r="F501" i="2"/>
  <c r="F500" i="2"/>
  <c r="F499" i="2"/>
  <c r="F498" i="2"/>
  <c r="F497" i="2"/>
  <c r="F496" i="2"/>
  <c r="F495" i="2"/>
  <c r="F494" i="2"/>
  <c r="F493" i="2"/>
  <c r="F492" i="2"/>
  <c r="F491" i="2"/>
  <c r="F490" i="2"/>
  <c r="F489" i="2"/>
  <c r="F488" i="2"/>
  <c r="F487" i="2"/>
  <c r="F486" i="2"/>
  <c r="F485" i="2"/>
  <c r="F484" i="2"/>
  <c r="F483" i="2"/>
  <c r="F482" i="2"/>
  <c r="F481" i="2"/>
  <c r="F480" i="2"/>
  <c r="F479" i="2"/>
  <c r="F478" i="2"/>
  <c r="F477" i="2"/>
  <c r="F476" i="2"/>
  <c r="F475" i="2"/>
  <c r="F474" i="2"/>
  <c r="F473" i="2"/>
  <c r="F472" i="2"/>
  <c r="F471" i="2"/>
  <c r="F470" i="2"/>
  <c r="F469" i="2"/>
  <c r="F468" i="2"/>
  <c r="F467" i="2"/>
  <c r="F466" i="2"/>
  <c r="F465" i="2"/>
  <c r="F464" i="2"/>
  <c r="F463" i="2"/>
  <c r="F462" i="2"/>
  <c r="F461" i="2"/>
  <c r="F460" i="2"/>
  <c r="F459" i="2"/>
  <c r="F458" i="2"/>
  <c r="F457" i="2"/>
  <c r="F456" i="2"/>
  <c r="F455" i="2"/>
  <c r="F454" i="2"/>
  <c r="F453" i="2"/>
  <c r="F452" i="2"/>
  <c r="F451" i="2"/>
  <c r="F450" i="2"/>
  <c r="F449" i="2"/>
  <c r="F448" i="2"/>
  <c r="F447" i="2"/>
  <c r="F446" i="2"/>
  <c r="F445" i="2"/>
  <c r="F444" i="2"/>
  <c r="F443" i="2"/>
  <c r="F442" i="2"/>
  <c r="F441" i="2"/>
  <c r="F440" i="2"/>
  <c r="F439" i="2"/>
  <c r="F438" i="2"/>
  <c r="F437" i="2"/>
  <c r="F436" i="2"/>
  <c r="F435" i="2"/>
  <c r="F434" i="2"/>
  <c r="F433" i="2"/>
  <c r="F432" i="2"/>
  <c r="F431" i="2"/>
  <c r="F430" i="2"/>
  <c r="F429" i="2"/>
  <c r="F428" i="2"/>
  <c r="F427" i="2"/>
  <c r="F426" i="2"/>
  <c r="F425" i="2"/>
  <c r="F424" i="2"/>
  <c r="F423" i="2"/>
  <c r="F422" i="2"/>
  <c r="F421" i="2"/>
  <c r="F420" i="2"/>
  <c r="F419" i="2"/>
  <c r="F418" i="2"/>
  <c r="F417" i="2"/>
  <c r="F416" i="2"/>
  <c r="F415" i="2"/>
  <c r="F414" i="2"/>
  <c r="F413" i="2"/>
  <c r="F412" i="2"/>
  <c r="F411" i="2"/>
  <c r="F410" i="2"/>
  <c r="F409" i="2"/>
  <c r="F408" i="2"/>
  <c r="F407" i="2"/>
  <c r="F406" i="2"/>
  <c r="F405" i="2"/>
  <c r="F404" i="2"/>
  <c r="F403" i="2"/>
  <c r="F402" i="2"/>
  <c r="F401" i="2"/>
  <c r="F400" i="2"/>
  <c r="F399" i="2"/>
  <c r="F398" i="2"/>
  <c r="F397" i="2"/>
  <c r="F396" i="2"/>
  <c r="F395" i="2"/>
  <c r="F394" i="2"/>
  <c r="F393" i="2"/>
  <c r="F392" i="2"/>
  <c r="F391" i="2"/>
  <c r="F390" i="2"/>
  <c r="F389" i="2"/>
  <c r="F388" i="2"/>
  <c r="F387" i="2"/>
  <c r="F386" i="2"/>
  <c r="F385" i="2"/>
  <c r="F384" i="2"/>
  <c r="F383" i="2"/>
  <c r="F382" i="2"/>
  <c r="F381" i="2"/>
  <c r="F380" i="2"/>
  <c r="F379" i="2"/>
  <c r="F378" i="2"/>
  <c r="F377" i="2"/>
  <c r="F376" i="2"/>
  <c r="F375" i="2"/>
  <c r="F374" i="2"/>
  <c r="F373" i="2"/>
  <c r="F372" i="2"/>
  <c r="F371" i="2"/>
  <c r="F370" i="2"/>
  <c r="F369" i="2"/>
  <c r="F368" i="2"/>
  <c r="F367" i="2"/>
  <c r="F366" i="2"/>
  <c r="F365" i="2"/>
  <c r="F364" i="2"/>
  <c r="F363" i="2"/>
  <c r="F362" i="2"/>
  <c r="F361" i="2"/>
  <c r="F360" i="2"/>
  <c r="F359" i="2"/>
  <c r="F358" i="2"/>
  <c r="F357" i="2"/>
  <c r="F356" i="2"/>
  <c r="F355" i="2"/>
  <c r="F354" i="2"/>
  <c r="F353" i="2"/>
  <c r="F352" i="2"/>
  <c r="F351" i="2"/>
  <c r="F350" i="2"/>
  <c r="F349" i="2"/>
  <c r="F348" i="2"/>
  <c r="F347" i="2"/>
  <c r="F346" i="2"/>
  <c r="F345" i="2"/>
  <c r="F344" i="2"/>
  <c r="F343" i="2"/>
  <c r="F342" i="2"/>
  <c r="F341" i="2"/>
  <c r="F340" i="2"/>
  <c r="F339" i="2"/>
  <c r="F338" i="2"/>
  <c r="F337" i="2"/>
  <c r="F336" i="2"/>
  <c r="F335" i="2"/>
  <c r="F334" i="2"/>
  <c r="F333" i="2"/>
  <c r="F332" i="2"/>
  <c r="F331" i="2"/>
  <c r="F330" i="2"/>
  <c r="F329" i="2"/>
  <c r="F328" i="2"/>
  <c r="F327" i="2"/>
  <c r="F326" i="2"/>
  <c r="F325" i="2"/>
  <c r="F324" i="2"/>
  <c r="F323" i="2"/>
  <c r="F322" i="2"/>
  <c r="F321" i="2"/>
  <c r="F320" i="2"/>
  <c r="F319" i="2"/>
  <c r="F318" i="2"/>
  <c r="F317" i="2"/>
  <c r="F316" i="2"/>
  <c r="F315" i="2"/>
  <c r="F314" i="2"/>
  <c r="F313" i="2"/>
  <c r="F312" i="2"/>
  <c r="F311" i="2"/>
  <c r="F310" i="2"/>
  <c r="F309" i="2"/>
  <c r="F308" i="2"/>
  <c r="F307" i="2"/>
  <c r="F306" i="2"/>
  <c r="F305" i="2"/>
  <c r="F304" i="2"/>
  <c r="F303" i="2"/>
  <c r="F302" i="2"/>
  <c r="F301" i="2"/>
  <c r="F300" i="2"/>
  <c r="F299" i="2"/>
  <c r="F298" i="2"/>
  <c r="F297" i="2"/>
  <c r="F296" i="2"/>
  <c r="F295" i="2"/>
  <c r="F294" i="2"/>
  <c r="F293" i="2"/>
  <c r="F292" i="2"/>
  <c r="F291" i="2"/>
  <c r="F290" i="2"/>
  <c r="F289" i="2"/>
  <c r="F288" i="2"/>
  <c r="F287" i="2"/>
  <c r="F286" i="2"/>
  <c r="F285" i="2"/>
  <c r="F284" i="2"/>
  <c r="F283" i="2"/>
  <c r="F282" i="2"/>
  <c r="F281" i="2"/>
  <c r="F280" i="2"/>
  <c r="F279" i="2"/>
  <c r="F278" i="2"/>
  <c r="F277" i="2"/>
  <c r="F276" i="2"/>
  <c r="F275" i="2"/>
  <c r="F274" i="2"/>
  <c r="F273" i="2"/>
  <c r="F272" i="2"/>
  <c r="F271" i="2"/>
  <c r="F270" i="2"/>
  <c r="F269" i="2"/>
  <c r="F268" i="2"/>
  <c r="F267" i="2"/>
  <c r="F266" i="2"/>
  <c r="F265" i="2"/>
  <c r="F264" i="2"/>
  <c r="F263" i="2"/>
  <c r="F262" i="2"/>
  <c r="F261" i="2"/>
  <c r="F260" i="2"/>
  <c r="F259" i="2"/>
  <c r="F258" i="2"/>
  <c r="F257" i="2"/>
  <c r="F256" i="2"/>
  <c r="F255" i="2"/>
  <c r="F254" i="2"/>
  <c r="F253" i="2"/>
  <c r="F252" i="2"/>
  <c r="F251" i="2"/>
  <c r="F250" i="2"/>
  <c r="F249" i="2"/>
  <c r="F248" i="2"/>
  <c r="F247" i="2"/>
  <c r="F246" i="2"/>
  <c r="F245" i="2"/>
  <c r="F244" i="2"/>
  <c r="F243" i="2"/>
  <c r="F242" i="2"/>
  <c r="F241" i="2"/>
  <c r="F240" i="2"/>
  <c r="F239" i="2"/>
  <c r="F238" i="2"/>
  <c r="F237" i="2"/>
  <c r="F236" i="2"/>
  <c r="F235" i="2"/>
  <c r="F234" i="2"/>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E1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D1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AB14" i="3"/>
  <c r="N53" i="3"/>
  <c r="N52" i="3"/>
  <c r="N51" i="3"/>
  <c r="N50" i="3"/>
  <c r="N49" i="3"/>
  <c r="N48" i="3"/>
  <c r="N47" i="3"/>
  <c r="N46" i="3"/>
  <c r="N45" i="3"/>
  <c r="N44" i="3"/>
  <c r="N43" i="3"/>
  <c r="N42" i="3"/>
  <c r="N41" i="3"/>
  <c r="N40" i="3"/>
  <c r="N39" i="3"/>
  <c r="N38" i="3"/>
  <c r="N37" i="3"/>
  <c r="N36" i="3"/>
  <c r="N35" i="3"/>
  <c r="N34" i="3"/>
  <c r="N33" i="3"/>
  <c r="N32" i="3"/>
  <c r="N31" i="3"/>
  <c r="N30" i="3"/>
  <c r="N29" i="3"/>
  <c r="N28" i="3"/>
  <c r="N27" i="3"/>
  <c r="N26" i="3"/>
  <c r="N25" i="3"/>
  <c r="N24" i="3"/>
  <c r="N23" i="3"/>
  <c r="N22" i="3"/>
  <c r="N21" i="3"/>
  <c r="N20" i="3"/>
  <c r="N19" i="3"/>
  <c r="N18" i="3"/>
  <c r="N17" i="3"/>
  <c r="N16" i="3"/>
  <c r="N15" i="3"/>
  <c r="N14" i="3"/>
  <c r="M53" i="3"/>
  <c r="M52" i="3"/>
  <c r="M51" i="3"/>
  <c r="M50" i="3"/>
  <c r="M49" i="3"/>
  <c r="M48" i="3"/>
  <c r="M47" i="3"/>
  <c r="M46" i="3"/>
  <c r="M45" i="3"/>
  <c r="M44" i="3"/>
  <c r="M43"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M500" i="1" l="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A4" i="3" a="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D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G32" i="1" l="1"/>
  <c r="G40" i="1"/>
  <c r="G48" i="1"/>
  <c r="I35" i="1"/>
  <c r="I43" i="1"/>
  <c r="I51" i="1"/>
  <c r="C6" i="3"/>
  <c r="C12" i="3"/>
  <c r="C8" i="3"/>
  <c r="C13" i="3"/>
  <c r="B10" i="3"/>
  <c r="C11" i="3"/>
  <c r="B9" i="3"/>
  <c r="C10" i="3"/>
  <c r="B8" i="3"/>
  <c r="C9" i="3"/>
  <c r="B7" i="3"/>
  <c r="C5" i="3"/>
  <c r="B13" i="3"/>
  <c r="B5" i="3"/>
  <c r="C7" i="3"/>
  <c r="B6" i="3"/>
  <c r="B12" i="3"/>
  <c r="B11" i="3"/>
  <c r="C93" i="3"/>
  <c r="B93" i="3"/>
  <c r="C133" i="3"/>
  <c r="B133" i="3"/>
  <c r="C165" i="3"/>
  <c r="B165" i="3"/>
  <c r="C205" i="3"/>
  <c r="B205" i="3"/>
  <c r="C245" i="3"/>
  <c r="B245" i="3"/>
  <c r="C269" i="3"/>
  <c r="B269" i="3"/>
  <c r="C333" i="3"/>
  <c r="B333" i="3"/>
  <c r="C55" i="3"/>
  <c r="B55" i="3"/>
  <c r="C87" i="3"/>
  <c r="B87" i="3"/>
  <c r="C111" i="3"/>
  <c r="B111" i="3"/>
  <c r="C127" i="3"/>
  <c r="B127" i="3"/>
  <c r="C143" i="3"/>
  <c r="B143" i="3"/>
  <c r="C159" i="3"/>
  <c r="B159" i="3"/>
  <c r="C175" i="3"/>
  <c r="B175" i="3"/>
  <c r="C199" i="3"/>
  <c r="B199" i="3"/>
  <c r="C223" i="3"/>
  <c r="B223" i="3"/>
  <c r="C247" i="3"/>
  <c r="B247" i="3"/>
  <c r="C287" i="3"/>
  <c r="B287" i="3"/>
  <c r="C311" i="3"/>
  <c r="B311" i="3"/>
  <c r="B335" i="3"/>
  <c r="C335" i="3"/>
  <c r="B359" i="3"/>
  <c r="C359" i="3"/>
  <c r="B383" i="3"/>
  <c r="C383" i="3"/>
  <c r="B407" i="3"/>
  <c r="C407" i="3"/>
  <c r="B447" i="3"/>
  <c r="C447" i="3"/>
  <c r="B495" i="3"/>
  <c r="C495" i="3"/>
  <c r="C56" i="3"/>
  <c r="B56" i="3"/>
  <c r="C80" i="3"/>
  <c r="B80" i="3"/>
  <c r="C104" i="3"/>
  <c r="B104" i="3"/>
  <c r="C136" i="3"/>
  <c r="B136" i="3"/>
  <c r="C168" i="3"/>
  <c r="B168" i="3"/>
  <c r="C192" i="3"/>
  <c r="B192" i="3"/>
  <c r="C208" i="3"/>
  <c r="B208" i="3"/>
  <c r="C232" i="3"/>
  <c r="B232" i="3"/>
  <c r="C256" i="3"/>
  <c r="B256" i="3"/>
  <c r="C280" i="3"/>
  <c r="B280" i="3"/>
  <c r="C304" i="3"/>
  <c r="B304" i="3"/>
  <c r="C336" i="3"/>
  <c r="B336" i="3"/>
  <c r="C368" i="3"/>
  <c r="B368" i="3"/>
  <c r="C400" i="3"/>
  <c r="B400" i="3"/>
  <c r="C432" i="3"/>
  <c r="B432" i="3"/>
  <c r="C480" i="3"/>
  <c r="B480" i="3"/>
  <c r="C57" i="3"/>
  <c r="B57" i="3"/>
  <c r="C65" i="3"/>
  <c r="B65" i="3"/>
  <c r="C73" i="3"/>
  <c r="B73" i="3"/>
  <c r="C81" i="3"/>
  <c r="B81" i="3"/>
  <c r="C89" i="3"/>
  <c r="B89" i="3"/>
  <c r="C97" i="3"/>
  <c r="B97" i="3"/>
  <c r="C105" i="3"/>
  <c r="B105" i="3"/>
  <c r="C113" i="3"/>
  <c r="B113" i="3"/>
  <c r="C121" i="3"/>
  <c r="B121" i="3"/>
  <c r="C129" i="3"/>
  <c r="B129" i="3"/>
  <c r="C137" i="3"/>
  <c r="B137" i="3"/>
  <c r="C145" i="3"/>
  <c r="B145" i="3"/>
  <c r="C153" i="3"/>
  <c r="B153" i="3"/>
  <c r="C161" i="3"/>
  <c r="B161" i="3"/>
  <c r="C169" i="3"/>
  <c r="B169" i="3"/>
  <c r="C177" i="3"/>
  <c r="B177" i="3"/>
  <c r="C185" i="3"/>
  <c r="B185" i="3"/>
  <c r="C193" i="3"/>
  <c r="B193" i="3"/>
  <c r="C201" i="3"/>
  <c r="B201" i="3"/>
  <c r="C209" i="3"/>
  <c r="B209" i="3"/>
  <c r="C217" i="3"/>
  <c r="B217" i="3"/>
  <c r="C225" i="3"/>
  <c r="B225" i="3"/>
  <c r="C233" i="3"/>
  <c r="B233" i="3"/>
  <c r="C241" i="3"/>
  <c r="B241" i="3"/>
  <c r="C249" i="3"/>
  <c r="B249" i="3"/>
  <c r="C257" i="3"/>
  <c r="B257" i="3"/>
  <c r="C265" i="3"/>
  <c r="B265" i="3"/>
  <c r="C273" i="3"/>
  <c r="B273" i="3"/>
  <c r="C281" i="3"/>
  <c r="B281" i="3"/>
  <c r="C289" i="3"/>
  <c r="B289" i="3"/>
  <c r="C297" i="3"/>
  <c r="B297" i="3"/>
  <c r="C305" i="3"/>
  <c r="B305" i="3"/>
  <c r="C313" i="3"/>
  <c r="B313" i="3"/>
  <c r="C321" i="3"/>
  <c r="B321" i="3"/>
  <c r="C329" i="3"/>
  <c r="B329" i="3"/>
  <c r="C337" i="3"/>
  <c r="B337" i="3"/>
  <c r="C345" i="3"/>
  <c r="B345" i="3"/>
  <c r="C353" i="3"/>
  <c r="B353" i="3"/>
  <c r="C361" i="3"/>
  <c r="B361" i="3"/>
  <c r="C369" i="3"/>
  <c r="B369" i="3"/>
  <c r="C377" i="3"/>
  <c r="B377" i="3"/>
  <c r="C385" i="3"/>
  <c r="B385" i="3"/>
  <c r="C393" i="3"/>
  <c r="B393" i="3"/>
  <c r="C401" i="3"/>
  <c r="B401" i="3"/>
  <c r="C409" i="3"/>
  <c r="B409" i="3"/>
  <c r="C417" i="3"/>
  <c r="B417" i="3"/>
  <c r="C425" i="3"/>
  <c r="B425" i="3"/>
  <c r="C433" i="3"/>
  <c r="B433" i="3"/>
  <c r="C441" i="3"/>
  <c r="B441" i="3"/>
  <c r="C449" i="3"/>
  <c r="B449" i="3"/>
  <c r="C457" i="3"/>
  <c r="B457" i="3"/>
  <c r="C465" i="3"/>
  <c r="B465" i="3"/>
  <c r="C473" i="3"/>
  <c r="B473" i="3"/>
  <c r="C481" i="3"/>
  <c r="B481" i="3"/>
  <c r="C489" i="3"/>
  <c r="B489" i="3"/>
  <c r="B497" i="3"/>
  <c r="C497" i="3"/>
  <c r="C85" i="3"/>
  <c r="B85" i="3"/>
  <c r="C125" i="3"/>
  <c r="B125" i="3"/>
  <c r="C173" i="3"/>
  <c r="B173" i="3"/>
  <c r="C229" i="3"/>
  <c r="B229" i="3"/>
  <c r="C357" i="3"/>
  <c r="B357" i="3"/>
  <c r="C183" i="3"/>
  <c r="B183" i="3"/>
  <c r="C207" i="3"/>
  <c r="B207" i="3"/>
  <c r="C231" i="3"/>
  <c r="B231" i="3"/>
  <c r="C255" i="3"/>
  <c r="B255" i="3"/>
  <c r="C271" i="3"/>
  <c r="B271" i="3"/>
  <c r="C303" i="3"/>
  <c r="B303" i="3"/>
  <c r="C327" i="3"/>
  <c r="B327" i="3"/>
  <c r="B351" i="3"/>
  <c r="C351" i="3"/>
  <c r="B375" i="3"/>
  <c r="C375" i="3"/>
  <c r="B399" i="3"/>
  <c r="C399" i="3"/>
  <c r="B415" i="3"/>
  <c r="C415" i="3"/>
  <c r="B431" i="3"/>
  <c r="C431" i="3"/>
  <c r="B455" i="3"/>
  <c r="C455" i="3"/>
  <c r="B479" i="3"/>
  <c r="C479" i="3"/>
  <c r="C64" i="3"/>
  <c r="B64" i="3"/>
  <c r="C88" i="3"/>
  <c r="B88" i="3"/>
  <c r="C112" i="3"/>
  <c r="B112" i="3"/>
  <c r="C128" i="3"/>
  <c r="B128" i="3"/>
  <c r="C152" i="3"/>
  <c r="B152" i="3"/>
  <c r="C176" i="3"/>
  <c r="B176" i="3"/>
  <c r="C200" i="3"/>
  <c r="B200" i="3"/>
  <c r="C224" i="3"/>
  <c r="B224" i="3"/>
  <c r="C248" i="3"/>
  <c r="B248" i="3"/>
  <c r="C272" i="3"/>
  <c r="B272" i="3"/>
  <c r="C288" i="3"/>
  <c r="B288" i="3"/>
  <c r="C312" i="3"/>
  <c r="B312" i="3"/>
  <c r="C328" i="3"/>
  <c r="B328" i="3"/>
  <c r="C352" i="3"/>
  <c r="B352" i="3"/>
  <c r="C376" i="3"/>
  <c r="B376" i="3"/>
  <c r="C392" i="3"/>
  <c r="B392" i="3"/>
  <c r="C416" i="3"/>
  <c r="B416" i="3"/>
  <c r="C440" i="3"/>
  <c r="B440" i="3"/>
  <c r="C456" i="3"/>
  <c r="B456" i="3"/>
  <c r="C472" i="3"/>
  <c r="B472" i="3"/>
  <c r="C488" i="3"/>
  <c r="B488"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C498" i="3"/>
  <c r="B498" i="3"/>
  <c r="C61" i="3"/>
  <c r="B61" i="3"/>
  <c r="C101" i="3"/>
  <c r="B101" i="3"/>
  <c r="C141" i="3"/>
  <c r="B141" i="3"/>
  <c r="C181" i="3"/>
  <c r="B181" i="3"/>
  <c r="C237" i="3"/>
  <c r="B237" i="3"/>
  <c r="C349" i="3"/>
  <c r="B349" i="3"/>
  <c r="C63" i="3"/>
  <c r="B63" i="3"/>
  <c r="C71" i="3"/>
  <c r="B71" i="3"/>
  <c r="C79" i="3"/>
  <c r="B79" i="3"/>
  <c r="C103" i="3"/>
  <c r="B103" i="3"/>
  <c r="C119" i="3"/>
  <c r="B119" i="3"/>
  <c r="C135" i="3"/>
  <c r="B135" i="3"/>
  <c r="C151" i="3"/>
  <c r="B151" i="3"/>
  <c r="C167" i="3"/>
  <c r="B167" i="3"/>
  <c r="C191" i="3"/>
  <c r="B191" i="3"/>
  <c r="C215" i="3"/>
  <c r="B215" i="3"/>
  <c r="C239" i="3"/>
  <c r="B239" i="3"/>
  <c r="C263" i="3"/>
  <c r="B263" i="3"/>
  <c r="C279" i="3"/>
  <c r="B279" i="3"/>
  <c r="C295" i="3"/>
  <c r="B295" i="3"/>
  <c r="C319" i="3"/>
  <c r="B319" i="3"/>
  <c r="B343" i="3"/>
  <c r="C343" i="3"/>
  <c r="B367" i="3"/>
  <c r="C367" i="3"/>
  <c r="B391" i="3"/>
  <c r="C391" i="3"/>
  <c r="B423" i="3"/>
  <c r="C423" i="3"/>
  <c r="B439" i="3"/>
  <c r="C439" i="3"/>
  <c r="B463" i="3"/>
  <c r="C463" i="3"/>
  <c r="B471" i="3"/>
  <c r="C471" i="3"/>
  <c r="C72" i="3"/>
  <c r="B72" i="3"/>
  <c r="C96" i="3"/>
  <c r="B96" i="3"/>
  <c r="C120" i="3"/>
  <c r="B120" i="3"/>
  <c r="C144" i="3"/>
  <c r="B144" i="3"/>
  <c r="C160" i="3"/>
  <c r="B160" i="3"/>
  <c r="C184" i="3"/>
  <c r="B184" i="3"/>
  <c r="C216" i="3"/>
  <c r="B216" i="3"/>
  <c r="C240" i="3"/>
  <c r="B240" i="3"/>
  <c r="C264" i="3"/>
  <c r="B264" i="3"/>
  <c r="C296" i="3"/>
  <c r="B296" i="3"/>
  <c r="C320" i="3"/>
  <c r="B320" i="3"/>
  <c r="C344" i="3"/>
  <c r="B344" i="3"/>
  <c r="C360" i="3"/>
  <c r="B360" i="3"/>
  <c r="C384" i="3"/>
  <c r="B384" i="3"/>
  <c r="C408" i="3"/>
  <c r="B408" i="3"/>
  <c r="C424" i="3"/>
  <c r="B424" i="3"/>
  <c r="C448" i="3"/>
  <c r="B448" i="3"/>
  <c r="C464" i="3"/>
  <c r="B464" i="3"/>
  <c r="C496" i="3"/>
  <c r="B496"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77" i="3"/>
  <c r="B77" i="3"/>
  <c r="C117" i="3"/>
  <c r="B117" i="3"/>
  <c r="C157" i="3"/>
  <c r="B157" i="3"/>
  <c r="C197" i="3"/>
  <c r="B197" i="3"/>
  <c r="C221" i="3"/>
  <c r="B221" i="3"/>
  <c r="C261" i="3"/>
  <c r="B261" i="3"/>
  <c r="C341" i="3"/>
  <c r="B341" i="3"/>
  <c r="C95" i="3"/>
  <c r="B95" i="3"/>
  <c r="B487" i="3"/>
  <c r="C48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69" i="3"/>
  <c r="B69" i="3"/>
  <c r="C109" i="3"/>
  <c r="B109" i="3"/>
  <c r="C149" i="3"/>
  <c r="B149" i="3"/>
  <c r="C189" i="3"/>
  <c r="B189" i="3"/>
  <c r="C213" i="3"/>
  <c r="B213" i="3"/>
  <c r="C253" i="3"/>
  <c r="B253" i="3"/>
  <c r="C277" i="3"/>
  <c r="B277" i="3"/>
  <c r="C285" i="3"/>
  <c r="B285" i="3"/>
  <c r="C293" i="3"/>
  <c r="B293" i="3"/>
  <c r="C301" i="3"/>
  <c r="B301" i="3"/>
  <c r="C309" i="3"/>
  <c r="B309" i="3"/>
  <c r="C317" i="3"/>
  <c r="B317" i="3"/>
  <c r="C325" i="3"/>
  <c r="B325"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54" i="3"/>
  <c r="B54" i="3"/>
  <c r="C62" i="3"/>
  <c r="B62" i="3"/>
  <c r="C70" i="3"/>
  <c r="B70" i="3"/>
  <c r="C78" i="3"/>
  <c r="B78" i="3"/>
  <c r="C86" i="3"/>
  <c r="B86" i="3"/>
  <c r="C94" i="3"/>
  <c r="B94" i="3"/>
  <c r="C102" i="3"/>
  <c r="B102" i="3"/>
  <c r="C110" i="3"/>
  <c r="B110" i="3"/>
  <c r="C118" i="3"/>
  <c r="B118" i="3"/>
  <c r="C126" i="3"/>
  <c r="B126" i="3"/>
  <c r="C134" i="3"/>
  <c r="B134" i="3"/>
  <c r="C142" i="3"/>
  <c r="B142" i="3"/>
  <c r="C150" i="3"/>
  <c r="B150" i="3"/>
  <c r="C158" i="3"/>
  <c r="B158" i="3"/>
  <c r="C166" i="3"/>
  <c r="B166" i="3"/>
  <c r="C174" i="3"/>
  <c r="B174" i="3"/>
  <c r="C182" i="3"/>
  <c r="B182" i="3"/>
  <c r="C190" i="3"/>
  <c r="B190" i="3"/>
  <c r="C198" i="3"/>
  <c r="B198" i="3"/>
  <c r="C206" i="3"/>
  <c r="B206" i="3"/>
  <c r="C214" i="3"/>
  <c r="B214" i="3"/>
  <c r="C222" i="3"/>
  <c r="B222" i="3"/>
  <c r="C230" i="3"/>
  <c r="B230" i="3"/>
  <c r="C238" i="3"/>
  <c r="B238" i="3"/>
  <c r="C246" i="3"/>
  <c r="B246" i="3"/>
  <c r="C254" i="3"/>
  <c r="B254" i="3"/>
  <c r="C262" i="3"/>
  <c r="B262" i="3"/>
  <c r="C270" i="3"/>
  <c r="B270" i="3"/>
  <c r="C278" i="3"/>
  <c r="B278" i="3"/>
  <c r="C286" i="3"/>
  <c r="B286" i="3"/>
  <c r="C294" i="3"/>
  <c r="B294" i="3"/>
  <c r="C302" i="3"/>
  <c r="B302" i="3"/>
  <c r="C310" i="3"/>
  <c r="B310" i="3"/>
  <c r="C318" i="3"/>
  <c r="B318" i="3"/>
  <c r="C326" i="3"/>
  <c r="B326" i="3"/>
  <c r="C334" i="3"/>
  <c r="B334" i="3"/>
  <c r="C342" i="3"/>
  <c r="B342" i="3"/>
  <c r="C350" i="3"/>
  <c r="B350" i="3"/>
  <c r="C358" i="3"/>
  <c r="B358"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AE58" i="3"/>
  <c r="AD58" i="3"/>
  <c r="AC58" i="3"/>
  <c r="AB58" i="3"/>
  <c r="N58" i="3"/>
  <c r="M58" i="3"/>
  <c r="O58" i="3"/>
  <c r="AE122" i="3"/>
  <c r="AD122" i="3"/>
  <c r="AC122" i="3"/>
  <c r="AB122" i="3"/>
  <c r="N122" i="3"/>
  <c r="M122" i="3"/>
  <c r="O122" i="3"/>
  <c r="AE258" i="3"/>
  <c r="AC258" i="3"/>
  <c r="AD258" i="3"/>
  <c r="AB258" i="3"/>
  <c r="N258" i="3"/>
  <c r="M258" i="3"/>
  <c r="O258" i="3"/>
  <c r="AE59" i="3"/>
  <c r="AD59" i="3"/>
  <c r="AB59" i="3"/>
  <c r="AC59" i="3"/>
  <c r="N59" i="3"/>
  <c r="M59" i="3"/>
  <c r="O59" i="3"/>
  <c r="AE67" i="3"/>
  <c r="AC67" i="3"/>
  <c r="AB67" i="3"/>
  <c r="AD67" i="3"/>
  <c r="N67" i="3"/>
  <c r="M67" i="3"/>
  <c r="O67" i="3"/>
  <c r="AE75" i="3"/>
  <c r="AD75" i="3"/>
  <c r="AB75" i="3"/>
  <c r="AC75" i="3"/>
  <c r="N75" i="3"/>
  <c r="M75" i="3"/>
  <c r="O75" i="3"/>
  <c r="AE83" i="3"/>
  <c r="AD83" i="3"/>
  <c r="AB83" i="3"/>
  <c r="AC83" i="3"/>
  <c r="N83" i="3"/>
  <c r="M83" i="3"/>
  <c r="O83" i="3"/>
  <c r="AE91" i="3"/>
  <c r="AD91" i="3"/>
  <c r="AC91" i="3"/>
  <c r="AB91" i="3"/>
  <c r="N91" i="3"/>
  <c r="M91" i="3"/>
  <c r="O91" i="3"/>
  <c r="AE99" i="3"/>
  <c r="AB99" i="3"/>
  <c r="AD99" i="3"/>
  <c r="AC99" i="3"/>
  <c r="N99" i="3"/>
  <c r="M99" i="3"/>
  <c r="O99" i="3"/>
  <c r="AE107" i="3"/>
  <c r="AD107" i="3"/>
  <c r="AB107" i="3"/>
  <c r="AC107" i="3"/>
  <c r="N107" i="3"/>
  <c r="M107" i="3"/>
  <c r="O107" i="3"/>
  <c r="AE115" i="3"/>
  <c r="AC115" i="3"/>
  <c r="AB115" i="3"/>
  <c r="AD115" i="3"/>
  <c r="N115" i="3"/>
  <c r="M115" i="3"/>
  <c r="O115" i="3"/>
  <c r="AE123" i="3"/>
  <c r="AD123" i="3"/>
  <c r="AB123" i="3"/>
  <c r="AC123" i="3"/>
  <c r="N123" i="3"/>
  <c r="M123" i="3"/>
  <c r="O123" i="3"/>
  <c r="AE131" i="3"/>
  <c r="AD131" i="3"/>
  <c r="AC131" i="3"/>
  <c r="AB131" i="3"/>
  <c r="N131" i="3"/>
  <c r="M131" i="3"/>
  <c r="O131" i="3"/>
  <c r="AE139" i="3"/>
  <c r="AD139" i="3"/>
  <c r="AB139" i="3"/>
  <c r="AC139" i="3"/>
  <c r="N139" i="3"/>
  <c r="M139" i="3"/>
  <c r="O139" i="3"/>
  <c r="AE147" i="3"/>
  <c r="AB147" i="3"/>
  <c r="AC147" i="3"/>
  <c r="AD147" i="3"/>
  <c r="N147" i="3"/>
  <c r="M147" i="3"/>
  <c r="O147" i="3"/>
  <c r="AE155" i="3"/>
  <c r="AD155" i="3"/>
  <c r="AC155" i="3"/>
  <c r="AB155" i="3"/>
  <c r="N155" i="3"/>
  <c r="M155" i="3"/>
  <c r="O155" i="3"/>
  <c r="AE163" i="3"/>
  <c r="AD163" i="3"/>
  <c r="AB163" i="3"/>
  <c r="AC163" i="3"/>
  <c r="N163" i="3"/>
  <c r="M163" i="3"/>
  <c r="O163" i="3"/>
  <c r="AE171" i="3"/>
  <c r="AD171" i="3"/>
  <c r="AB171" i="3"/>
  <c r="AC171" i="3"/>
  <c r="N171" i="3"/>
  <c r="M171" i="3"/>
  <c r="O171" i="3"/>
  <c r="AE179" i="3"/>
  <c r="AC179" i="3"/>
  <c r="AB179" i="3"/>
  <c r="AD179" i="3"/>
  <c r="N179" i="3"/>
  <c r="M179" i="3"/>
  <c r="O179" i="3"/>
  <c r="AE187" i="3"/>
  <c r="AD187" i="3"/>
  <c r="AC187" i="3"/>
  <c r="AB187" i="3"/>
  <c r="N187" i="3"/>
  <c r="M187" i="3"/>
  <c r="O187" i="3"/>
  <c r="AE195" i="3"/>
  <c r="AC195" i="3"/>
  <c r="AB195" i="3"/>
  <c r="AD195" i="3"/>
  <c r="N195" i="3"/>
  <c r="M195" i="3"/>
  <c r="O195" i="3"/>
  <c r="AE203" i="3"/>
  <c r="AD203" i="3"/>
  <c r="AC203" i="3"/>
  <c r="AB203" i="3"/>
  <c r="N203" i="3"/>
  <c r="M203" i="3"/>
  <c r="O203" i="3"/>
  <c r="AE211" i="3"/>
  <c r="AC211" i="3"/>
  <c r="AD211" i="3"/>
  <c r="AB211" i="3"/>
  <c r="N211" i="3"/>
  <c r="M211" i="3"/>
  <c r="O211" i="3"/>
  <c r="AE219" i="3"/>
  <c r="AD219" i="3"/>
  <c r="AC219" i="3"/>
  <c r="AB219" i="3"/>
  <c r="N219" i="3"/>
  <c r="M219" i="3"/>
  <c r="O219" i="3"/>
  <c r="AE227" i="3"/>
  <c r="AC227" i="3"/>
  <c r="AB227" i="3"/>
  <c r="AD227" i="3"/>
  <c r="N227" i="3"/>
  <c r="M227" i="3"/>
  <c r="O227" i="3"/>
  <c r="AE235" i="3"/>
  <c r="AD235" i="3"/>
  <c r="AB235" i="3"/>
  <c r="AC235" i="3"/>
  <c r="N235" i="3"/>
  <c r="M235" i="3"/>
  <c r="O235" i="3"/>
  <c r="AE243" i="3"/>
  <c r="AC243" i="3"/>
  <c r="AB243" i="3"/>
  <c r="AD243" i="3"/>
  <c r="N243" i="3"/>
  <c r="M243" i="3"/>
  <c r="O243" i="3"/>
  <c r="AE251" i="3"/>
  <c r="AD251" i="3"/>
  <c r="AC251" i="3"/>
  <c r="AB251" i="3"/>
  <c r="N251" i="3"/>
  <c r="M251" i="3"/>
  <c r="O251" i="3"/>
  <c r="AE259" i="3"/>
  <c r="AC259" i="3"/>
  <c r="AD259" i="3"/>
  <c r="AB259" i="3"/>
  <c r="N259" i="3"/>
  <c r="M259" i="3"/>
  <c r="O259" i="3"/>
  <c r="AE267" i="3"/>
  <c r="AD267" i="3"/>
  <c r="AB267" i="3"/>
  <c r="AC267" i="3"/>
  <c r="N267" i="3"/>
  <c r="M267" i="3"/>
  <c r="O267" i="3"/>
  <c r="AE275" i="3"/>
  <c r="AC275" i="3"/>
  <c r="AB275" i="3"/>
  <c r="AD275" i="3"/>
  <c r="N275" i="3"/>
  <c r="M275" i="3"/>
  <c r="O275" i="3"/>
  <c r="AE283" i="3"/>
  <c r="AD283" i="3"/>
  <c r="AC283" i="3"/>
  <c r="AB283" i="3"/>
  <c r="N283" i="3"/>
  <c r="M283" i="3"/>
  <c r="O283" i="3"/>
  <c r="AE291" i="3"/>
  <c r="AD291" i="3"/>
  <c r="AC291" i="3"/>
  <c r="AB291" i="3"/>
  <c r="N291" i="3"/>
  <c r="M291" i="3"/>
  <c r="O291" i="3"/>
  <c r="AE299" i="3"/>
  <c r="AD299" i="3"/>
  <c r="AC299" i="3"/>
  <c r="AB299" i="3"/>
  <c r="O299" i="3"/>
  <c r="N299" i="3"/>
  <c r="M299" i="3"/>
  <c r="AE307" i="3"/>
  <c r="AD307" i="3"/>
  <c r="AC307" i="3"/>
  <c r="AB307" i="3"/>
  <c r="N307" i="3"/>
  <c r="O307" i="3"/>
  <c r="M307" i="3"/>
  <c r="AE315" i="3"/>
  <c r="AC315" i="3"/>
  <c r="AD315" i="3"/>
  <c r="AB315" i="3"/>
  <c r="N315" i="3"/>
  <c r="O315" i="3"/>
  <c r="M315" i="3"/>
  <c r="AE323" i="3"/>
  <c r="AD323" i="3"/>
  <c r="AB323" i="3"/>
  <c r="AC323" i="3"/>
  <c r="O323" i="3"/>
  <c r="N323" i="3"/>
  <c r="M323" i="3"/>
  <c r="AE331" i="3"/>
  <c r="AD331" i="3"/>
  <c r="AB331" i="3"/>
  <c r="AC331" i="3"/>
  <c r="O331" i="3"/>
  <c r="N331" i="3"/>
  <c r="M331" i="3"/>
  <c r="AE339" i="3"/>
  <c r="AD339" i="3"/>
  <c r="AC339" i="3"/>
  <c r="AB339" i="3"/>
  <c r="N339" i="3"/>
  <c r="O339" i="3"/>
  <c r="M339" i="3"/>
  <c r="AE347" i="3"/>
  <c r="AD347" i="3"/>
  <c r="AB347" i="3"/>
  <c r="AC347" i="3"/>
  <c r="N347" i="3"/>
  <c r="O347" i="3"/>
  <c r="M347" i="3"/>
  <c r="AE355" i="3"/>
  <c r="AD355" i="3"/>
  <c r="AB355" i="3"/>
  <c r="AC355" i="3"/>
  <c r="O355" i="3"/>
  <c r="N355" i="3"/>
  <c r="M355" i="3"/>
  <c r="AE363" i="3"/>
  <c r="AD363" i="3"/>
  <c r="AC363" i="3"/>
  <c r="AB363" i="3"/>
  <c r="O363" i="3"/>
  <c r="N363" i="3"/>
  <c r="M363" i="3"/>
  <c r="AE371" i="3"/>
  <c r="AD371" i="3"/>
  <c r="AB371" i="3"/>
  <c r="AC371" i="3"/>
  <c r="N371" i="3"/>
  <c r="O371" i="3"/>
  <c r="M371" i="3"/>
  <c r="AE379" i="3"/>
  <c r="AD379" i="3"/>
  <c r="AB379" i="3"/>
  <c r="N379" i="3"/>
  <c r="AC379" i="3"/>
  <c r="O379" i="3"/>
  <c r="M379" i="3"/>
  <c r="AE387" i="3"/>
  <c r="AD387" i="3"/>
  <c r="AC387" i="3"/>
  <c r="AB387" i="3"/>
  <c r="N387" i="3"/>
  <c r="M387" i="3"/>
  <c r="O387" i="3"/>
  <c r="AE395" i="3"/>
  <c r="AD395" i="3"/>
  <c r="AB395" i="3"/>
  <c r="AC395" i="3"/>
  <c r="N395" i="3"/>
  <c r="O395" i="3"/>
  <c r="M395" i="3"/>
  <c r="AE403" i="3"/>
  <c r="AD403" i="3"/>
  <c r="AB403" i="3"/>
  <c r="AC403" i="3"/>
  <c r="N403" i="3"/>
  <c r="M403" i="3"/>
  <c r="O403" i="3"/>
  <c r="AE411" i="3"/>
  <c r="AD411" i="3"/>
  <c r="AC411" i="3"/>
  <c r="AB411" i="3"/>
  <c r="N411" i="3"/>
  <c r="O411" i="3"/>
  <c r="M411" i="3"/>
  <c r="AE419" i="3"/>
  <c r="AD419" i="3"/>
  <c r="AB419" i="3"/>
  <c r="AC419" i="3"/>
  <c r="N419" i="3"/>
  <c r="M419" i="3"/>
  <c r="O419" i="3"/>
  <c r="AE427" i="3"/>
  <c r="AD427" i="3"/>
  <c r="AC427" i="3"/>
  <c r="AB427" i="3"/>
  <c r="N427" i="3"/>
  <c r="O427" i="3"/>
  <c r="M427" i="3"/>
  <c r="AE435" i="3"/>
  <c r="AD435" i="3"/>
  <c r="AB435" i="3"/>
  <c r="AC435" i="3"/>
  <c r="N435" i="3"/>
  <c r="M435" i="3"/>
  <c r="O435" i="3"/>
  <c r="AE443" i="3"/>
  <c r="AD443" i="3"/>
  <c r="AB443" i="3"/>
  <c r="N443" i="3"/>
  <c r="AC443" i="3"/>
  <c r="O443" i="3"/>
  <c r="M443" i="3"/>
  <c r="AE451" i="3"/>
  <c r="AD451" i="3"/>
  <c r="AC451" i="3"/>
  <c r="AB451" i="3"/>
  <c r="N451" i="3"/>
  <c r="M451" i="3"/>
  <c r="O451" i="3"/>
  <c r="AE459" i="3"/>
  <c r="AD459" i="3"/>
  <c r="AB459" i="3"/>
  <c r="AC459" i="3"/>
  <c r="N459" i="3"/>
  <c r="O459" i="3"/>
  <c r="M459" i="3"/>
  <c r="AE467" i="3"/>
  <c r="AD467" i="3"/>
  <c r="AB467" i="3"/>
  <c r="AC467" i="3"/>
  <c r="N467" i="3"/>
  <c r="M467" i="3"/>
  <c r="O467" i="3"/>
  <c r="AE475" i="3"/>
  <c r="AD475" i="3"/>
  <c r="AC475" i="3"/>
  <c r="AB475" i="3"/>
  <c r="N475" i="3"/>
  <c r="O475" i="3"/>
  <c r="M475" i="3"/>
  <c r="AE483" i="3"/>
  <c r="AD483" i="3"/>
  <c r="AB483" i="3"/>
  <c r="AC483" i="3"/>
  <c r="N483" i="3"/>
  <c r="M483" i="3"/>
  <c r="O483" i="3"/>
  <c r="AE491" i="3"/>
  <c r="AD491" i="3"/>
  <c r="AC491" i="3"/>
  <c r="AB491" i="3"/>
  <c r="N491" i="3"/>
  <c r="O491" i="3"/>
  <c r="M491" i="3"/>
  <c r="AE499" i="3"/>
  <c r="AD499" i="3"/>
  <c r="AB499" i="3"/>
  <c r="AC499" i="3"/>
  <c r="N499" i="3"/>
  <c r="M499" i="3"/>
  <c r="O499" i="3"/>
  <c r="AE66" i="3"/>
  <c r="AD66" i="3"/>
  <c r="AC66" i="3"/>
  <c r="AB66" i="3"/>
  <c r="N66" i="3"/>
  <c r="M66" i="3"/>
  <c r="O66" i="3"/>
  <c r="AE82" i="3"/>
  <c r="AD82" i="3"/>
  <c r="AC82" i="3"/>
  <c r="AB82" i="3"/>
  <c r="N82" i="3"/>
  <c r="O82" i="3"/>
  <c r="M82" i="3"/>
  <c r="AE98" i="3"/>
  <c r="AD98" i="3"/>
  <c r="AC98" i="3"/>
  <c r="AB98" i="3"/>
  <c r="N98" i="3"/>
  <c r="M98" i="3"/>
  <c r="O98" i="3"/>
  <c r="AE114" i="3"/>
  <c r="AD114" i="3"/>
  <c r="AC114" i="3"/>
  <c r="AB114" i="3"/>
  <c r="N114" i="3"/>
  <c r="O114" i="3"/>
  <c r="M114" i="3"/>
  <c r="AE138" i="3"/>
  <c r="AD138" i="3"/>
  <c r="AC138" i="3"/>
  <c r="AB138" i="3"/>
  <c r="N138" i="3"/>
  <c r="M138" i="3"/>
  <c r="O138" i="3"/>
  <c r="AE154" i="3"/>
  <c r="AD154" i="3"/>
  <c r="AC154" i="3"/>
  <c r="AB154" i="3"/>
  <c r="N154" i="3"/>
  <c r="O154" i="3"/>
  <c r="M154" i="3"/>
  <c r="AE170" i="3"/>
  <c r="AD170" i="3"/>
  <c r="AC170" i="3"/>
  <c r="AB170" i="3"/>
  <c r="N170" i="3"/>
  <c r="O170" i="3"/>
  <c r="M170" i="3"/>
  <c r="AE186" i="3"/>
  <c r="AC186" i="3"/>
  <c r="AD186" i="3"/>
  <c r="AB186" i="3"/>
  <c r="N186" i="3"/>
  <c r="M186" i="3"/>
  <c r="O186" i="3"/>
  <c r="AE202" i="3"/>
  <c r="AC202" i="3"/>
  <c r="AD202" i="3"/>
  <c r="AB202" i="3"/>
  <c r="N202" i="3"/>
  <c r="M202" i="3"/>
  <c r="O202" i="3"/>
  <c r="AE218" i="3"/>
  <c r="AC218" i="3"/>
  <c r="AD218" i="3"/>
  <c r="AB218" i="3"/>
  <c r="N218" i="3"/>
  <c r="M218" i="3"/>
  <c r="O218" i="3"/>
  <c r="AE234" i="3"/>
  <c r="AC234" i="3"/>
  <c r="AD234" i="3"/>
  <c r="AB234" i="3"/>
  <c r="N234" i="3"/>
  <c r="O234" i="3"/>
  <c r="M234" i="3"/>
  <c r="AE250" i="3"/>
  <c r="AC250" i="3"/>
  <c r="AD250" i="3"/>
  <c r="AB250" i="3"/>
  <c r="N250" i="3"/>
  <c r="M250" i="3"/>
  <c r="O250" i="3"/>
  <c r="AE282" i="3"/>
  <c r="AC282" i="3"/>
  <c r="AD282" i="3"/>
  <c r="N282" i="3"/>
  <c r="AB282" i="3"/>
  <c r="M282" i="3"/>
  <c r="O282" i="3"/>
  <c r="AE298" i="3"/>
  <c r="AC298" i="3"/>
  <c r="AD298" i="3"/>
  <c r="AB298" i="3"/>
  <c r="N298" i="3"/>
  <c r="O298" i="3"/>
  <c r="M298" i="3"/>
  <c r="AE314" i="3"/>
  <c r="AC314" i="3"/>
  <c r="AD314" i="3"/>
  <c r="AB314" i="3"/>
  <c r="N314" i="3"/>
  <c r="O314" i="3"/>
  <c r="M314" i="3"/>
  <c r="AE330" i="3"/>
  <c r="AC330" i="3"/>
  <c r="AD330" i="3"/>
  <c r="AB330" i="3"/>
  <c r="N330" i="3"/>
  <c r="M330" i="3"/>
  <c r="O330" i="3"/>
  <c r="AE354" i="3"/>
  <c r="AC354" i="3"/>
  <c r="AB354" i="3"/>
  <c r="N354" i="3"/>
  <c r="AD354" i="3"/>
  <c r="O354" i="3"/>
  <c r="M354" i="3"/>
  <c r="AE370" i="3"/>
  <c r="AC370" i="3"/>
  <c r="AD370" i="3"/>
  <c r="N370" i="3"/>
  <c r="AB370" i="3"/>
  <c r="O370" i="3"/>
  <c r="M370" i="3"/>
  <c r="AE386" i="3"/>
  <c r="AC386" i="3"/>
  <c r="AD386" i="3"/>
  <c r="AB386" i="3"/>
  <c r="N386" i="3"/>
  <c r="M386" i="3"/>
  <c r="O386" i="3"/>
  <c r="AE402" i="3"/>
  <c r="AC402" i="3"/>
  <c r="AD402" i="3"/>
  <c r="AB402" i="3"/>
  <c r="M402" i="3"/>
  <c r="N402" i="3"/>
  <c r="O402" i="3"/>
  <c r="AE418" i="3"/>
  <c r="AC418" i="3"/>
  <c r="AD418" i="3"/>
  <c r="N418" i="3"/>
  <c r="AB418" i="3"/>
  <c r="M418" i="3"/>
  <c r="O418" i="3"/>
  <c r="AE434" i="3"/>
  <c r="AC434" i="3"/>
  <c r="AD434" i="3"/>
  <c r="AB434" i="3"/>
  <c r="M434" i="3"/>
  <c r="O434" i="3"/>
  <c r="N434" i="3"/>
  <c r="AE450" i="3"/>
  <c r="AC450" i="3"/>
  <c r="AD450" i="3"/>
  <c r="M450" i="3"/>
  <c r="N450" i="3"/>
  <c r="O450" i="3"/>
  <c r="AB450" i="3"/>
  <c r="AE466" i="3"/>
  <c r="AC466" i="3"/>
  <c r="AD466" i="3"/>
  <c r="AB466" i="3"/>
  <c r="M466" i="3"/>
  <c r="N466" i="3"/>
  <c r="O466" i="3"/>
  <c r="AE482" i="3"/>
  <c r="AC482" i="3"/>
  <c r="AB482" i="3"/>
  <c r="AD482" i="3"/>
  <c r="M482" i="3"/>
  <c r="O482" i="3"/>
  <c r="N482" i="3"/>
  <c r="AE490" i="3"/>
  <c r="AC490" i="3"/>
  <c r="AD490" i="3"/>
  <c r="AB490" i="3"/>
  <c r="N490" i="3"/>
  <c r="M490" i="3"/>
  <c r="O490" i="3"/>
  <c r="AD60" i="3"/>
  <c r="AE60" i="3"/>
  <c r="AB60" i="3"/>
  <c r="AC60" i="3"/>
  <c r="N60" i="3"/>
  <c r="M60" i="3"/>
  <c r="O60" i="3"/>
  <c r="AD68" i="3"/>
  <c r="AE68" i="3"/>
  <c r="AC68" i="3"/>
  <c r="AB68" i="3"/>
  <c r="N68" i="3"/>
  <c r="M68" i="3"/>
  <c r="O68" i="3"/>
  <c r="AD76" i="3"/>
  <c r="AE76" i="3"/>
  <c r="AB76" i="3"/>
  <c r="AC76" i="3"/>
  <c r="N76" i="3"/>
  <c r="M76" i="3"/>
  <c r="O76" i="3"/>
  <c r="AE84" i="3"/>
  <c r="AD84" i="3"/>
  <c r="AB84" i="3"/>
  <c r="AC84" i="3"/>
  <c r="N84" i="3"/>
  <c r="M84" i="3"/>
  <c r="O84" i="3"/>
  <c r="AD92" i="3"/>
  <c r="AE92" i="3"/>
  <c r="AC92" i="3"/>
  <c r="AB92" i="3"/>
  <c r="N92" i="3"/>
  <c r="M92" i="3"/>
  <c r="O92" i="3"/>
  <c r="AD100" i="3"/>
  <c r="AE100" i="3"/>
  <c r="AB100" i="3"/>
  <c r="AC100" i="3"/>
  <c r="N100" i="3"/>
  <c r="M100" i="3"/>
  <c r="O100" i="3"/>
  <c r="AD108" i="3"/>
  <c r="AB108" i="3"/>
  <c r="AC108" i="3"/>
  <c r="AE108" i="3"/>
  <c r="N108" i="3"/>
  <c r="M108" i="3"/>
  <c r="O108" i="3"/>
  <c r="AE116" i="3"/>
  <c r="AD116" i="3"/>
  <c r="AB116" i="3"/>
  <c r="AC116" i="3"/>
  <c r="N116" i="3"/>
  <c r="M116" i="3"/>
  <c r="O116" i="3"/>
  <c r="AD124" i="3"/>
  <c r="AE124" i="3"/>
  <c r="AB124" i="3"/>
  <c r="AC124" i="3"/>
  <c r="N124" i="3"/>
  <c r="M124" i="3"/>
  <c r="O124" i="3"/>
  <c r="AD132" i="3"/>
  <c r="AE132" i="3"/>
  <c r="AC132" i="3"/>
  <c r="AB132" i="3"/>
  <c r="N132" i="3"/>
  <c r="M132" i="3"/>
  <c r="O132" i="3"/>
  <c r="AD140" i="3"/>
  <c r="AE140" i="3"/>
  <c r="AB140" i="3"/>
  <c r="AC140" i="3"/>
  <c r="N140" i="3"/>
  <c r="M140" i="3"/>
  <c r="O140" i="3"/>
  <c r="AE148" i="3"/>
  <c r="AD148" i="3"/>
  <c r="AB148" i="3"/>
  <c r="AC148" i="3"/>
  <c r="N148" i="3"/>
  <c r="M148" i="3"/>
  <c r="O148" i="3"/>
  <c r="AD156" i="3"/>
  <c r="AE156" i="3"/>
  <c r="AC156" i="3"/>
  <c r="AB156" i="3"/>
  <c r="N156" i="3"/>
  <c r="M156" i="3"/>
  <c r="O156" i="3"/>
  <c r="AD164" i="3"/>
  <c r="AE164" i="3"/>
  <c r="AB164" i="3"/>
  <c r="AC164" i="3"/>
  <c r="N164" i="3"/>
  <c r="M164" i="3"/>
  <c r="O164" i="3"/>
  <c r="AD172" i="3"/>
  <c r="AE172" i="3"/>
  <c r="AB172" i="3"/>
  <c r="AC172" i="3"/>
  <c r="N172" i="3"/>
  <c r="M172" i="3"/>
  <c r="O172" i="3"/>
  <c r="AE180" i="3"/>
  <c r="AD180" i="3"/>
  <c r="AB180" i="3"/>
  <c r="AC180" i="3"/>
  <c r="N180" i="3"/>
  <c r="M180" i="3"/>
  <c r="O180" i="3"/>
  <c r="AD188" i="3"/>
  <c r="AE188" i="3"/>
  <c r="AB188" i="3"/>
  <c r="AC188" i="3"/>
  <c r="N188" i="3"/>
  <c r="M188" i="3"/>
  <c r="O188" i="3"/>
  <c r="AD196" i="3"/>
  <c r="AC196" i="3"/>
  <c r="AE196" i="3"/>
  <c r="AB196" i="3"/>
  <c r="N196" i="3"/>
  <c r="M196" i="3"/>
  <c r="O196" i="3"/>
  <c r="AD204" i="3"/>
  <c r="AE204" i="3"/>
  <c r="AC204" i="3"/>
  <c r="AB204" i="3"/>
  <c r="N204" i="3"/>
  <c r="M204" i="3"/>
  <c r="O204" i="3"/>
  <c r="AE212" i="3"/>
  <c r="AD212" i="3"/>
  <c r="AC212" i="3"/>
  <c r="AB212" i="3"/>
  <c r="N212" i="3"/>
  <c r="M212" i="3"/>
  <c r="O212" i="3"/>
  <c r="AD220" i="3"/>
  <c r="AE220" i="3"/>
  <c r="AC220" i="3"/>
  <c r="AB220" i="3"/>
  <c r="N220" i="3"/>
  <c r="M220" i="3"/>
  <c r="O220" i="3"/>
  <c r="AD228" i="3"/>
  <c r="AB228" i="3"/>
  <c r="AE228" i="3"/>
  <c r="AC228" i="3"/>
  <c r="N228" i="3"/>
  <c r="M228" i="3"/>
  <c r="O228" i="3"/>
  <c r="AD236" i="3"/>
  <c r="AE236" i="3"/>
  <c r="AB236" i="3"/>
  <c r="AC236" i="3"/>
  <c r="N236" i="3"/>
  <c r="M236" i="3"/>
  <c r="O236" i="3"/>
  <c r="AE244" i="3"/>
  <c r="AD244" i="3"/>
  <c r="AC244" i="3"/>
  <c r="AB244" i="3"/>
  <c r="N244" i="3"/>
  <c r="M244" i="3"/>
  <c r="O244" i="3"/>
  <c r="AD252" i="3"/>
  <c r="AC252" i="3"/>
  <c r="AE252" i="3"/>
  <c r="AB252" i="3"/>
  <c r="N252" i="3"/>
  <c r="M252" i="3"/>
  <c r="O252" i="3"/>
  <c r="AD260" i="3"/>
  <c r="AB260" i="3"/>
  <c r="AE260" i="3"/>
  <c r="AC260" i="3"/>
  <c r="N260" i="3"/>
  <c r="M260" i="3"/>
  <c r="O260" i="3"/>
  <c r="AD268" i="3"/>
  <c r="AE268" i="3"/>
  <c r="AB268" i="3"/>
  <c r="AC268" i="3"/>
  <c r="N268" i="3"/>
  <c r="M268" i="3"/>
  <c r="O268" i="3"/>
  <c r="AE276" i="3"/>
  <c r="AD276" i="3"/>
  <c r="AC276" i="3"/>
  <c r="AB276" i="3"/>
  <c r="N276" i="3"/>
  <c r="M276" i="3"/>
  <c r="O276" i="3"/>
  <c r="AD284" i="3"/>
  <c r="AE284" i="3"/>
  <c r="AC284" i="3"/>
  <c r="AB284" i="3"/>
  <c r="N284" i="3"/>
  <c r="M284" i="3"/>
  <c r="O284" i="3"/>
  <c r="AD292" i="3"/>
  <c r="AE292" i="3"/>
  <c r="AC292" i="3"/>
  <c r="AB292" i="3"/>
  <c r="N292" i="3"/>
  <c r="M292" i="3"/>
  <c r="O292" i="3"/>
  <c r="AE300" i="3"/>
  <c r="AD300" i="3"/>
  <c r="AC300" i="3"/>
  <c r="AB300" i="3"/>
  <c r="N300" i="3"/>
  <c r="M300" i="3"/>
  <c r="O300" i="3"/>
  <c r="AD308" i="3"/>
  <c r="AE308" i="3"/>
  <c r="AC308" i="3"/>
  <c r="N308" i="3"/>
  <c r="O308" i="3"/>
  <c r="AB308" i="3"/>
  <c r="M308" i="3"/>
  <c r="AD316" i="3"/>
  <c r="AE316" i="3"/>
  <c r="AC316" i="3"/>
  <c r="AB316" i="3"/>
  <c r="N316" i="3"/>
  <c r="O316" i="3"/>
  <c r="M316" i="3"/>
  <c r="AD324" i="3"/>
  <c r="AE324" i="3"/>
  <c r="AB324" i="3"/>
  <c r="AC324" i="3"/>
  <c r="N324" i="3"/>
  <c r="O324" i="3"/>
  <c r="M324" i="3"/>
  <c r="AD332" i="3"/>
  <c r="AE332" i="3"/>
  <c r="AC332" i="3"/>
  <c r="AB332" i="3"/>
  <c r="N332" i="3"/>
  <c r="O332" i="3"/>
  <c r="M332" i="3"/>
  <c r="AD340" i="3"/>
  <c r="AC340" i="3"/>
  <c r="AE340" i="3"/>
  <c r="AB340" i="3"/>
  <c r="N340" i="3"/>
  <c r="O340" i="3"/>
  <c r="M340" i="3"/>
  <c r="AD348" i="3"/>
  <c r="AE348" i="3"/>
  <c r="AC348" i="3"/>
  <c r="AB348" i="3"/>
  <c r="N348" i="3"/>
  <c r="O348" i="3"/>
  <c r="M348" i="3"/>
  <c r="AD356" i="3"/>
  <c r="AE356" i="3"/>
  <c r="AB356" i="3"/>
  <c r="AC356" i="3"/>
  <c r="N356" i="3"/>
  <c r="O356" i="3"/>
  <c r="M356" i="3"/>
  <c r="AD364" i="3"/>
  <c r="AE364" i="3"/>
  <c r="AC364" i="3"/>
  <c r="AB364" i="3"/>
  <c r="N364" i="3"/>
  <c r="O364" i="3"/>
  <c r="M364" i="3"/>
  <c r="AD372" i="3"/>
  <c r="AE372" i="3"/>
  <c r="AC372" i="3"/>
  <c r="M372" i="3"/>
  <c r="AB372" i="3"/>
  <c r="N372" i="3"/>
  <c r="O372" i="3"/>
  <c r="AD380" i="3"/>
  <c r="AE380" i="3"/>
  <c r="AC380" i="3"/>
  <c r="AB380" i="3"/>
  <c r="M380" i="3"/>
  <c r="N380" i="3"/>
  <c r="O380" i="3"/>
  <c r="AD388" i="3"/>
  <c r="AC388" i="3"/>
  <c r="AB388" i="3"/>
  <c r="AE388" i="3"/>
  <c r="N388" i="3"/>
  <c r="M388" i="3"/>
  <c r="O388" i="3"/>
  <c r="AD396" i="3"/>
  <c r="AE396" i="3"/>
  <c r="AB396" i="3"/>
  <c r="AC396" i="3"/>
  <c r="N396" i="3"/>
  <c r="M396" i="3"/>
  <c r="O396" i="3"/>
  <c r="AD404" i="3"/>
  <c r="AB404" i="3"/>
  <c r="AE404" i="3"/>
  <c r="AC404" i="3"/>
  <c r="N404" i="3"/>
  <c r="M404" i="3"/>
  <c r="O404" i="3"/>
  <c r="AD412" i="3"/>
  <c r="AE412" i="3"/>
  <c r="AC412" i="3"/>
  <c r="AB412" i="3"/>
  <c r="N412" i="3"/>
  <c r="M412" i="3"/>
  <c r="O412" i="3"/>
  <c r="AD420" i="3"/>
  <c r="AE420" i="3"/>
  <c r="AB420" i="3"/>
  <c r="AC420" i="3"/>
  <c r="N420" i="3"/>
  <c r="M420" i="3"/>
  <c r="O420" i="3"/>
  <c r="AD428" i="3"/>
  <c r="AE428" i="3"/>
  <c r="AB428" i="3"/>
  <c r="AC428" i="3"/>
  <c r="N428" i="3"/>
  <c r="M428" i="3"/>
  <c r="O428" i="3"/>
  <c r="AD436" i="3"/>
  <c r="AE436" i="3"/>
  <c r="AB436" i="3"/>
  <c r="AC436" i="3"/>
  <c r="N436" i="3"/>
  <c r="M436" i="3"/>
  <c r="O436" i="3"/>
  <c r="AD444" i="3"/>
  <c r="AB444" i="3"/>
  <c r="AE444" i="3"/>
  <c r="AC444" i="3"/>
  <c r="N444" i="3"/>
  <c r="M444" i="3"/>
  <c r="O444" i="3"/>
  <c r="AD452" i="3"/>
  <c r="AC452" i="3"/>
  <c r="AE452" i="3"/>
  <c r="AB452" i="3"/>
  <c r="N452" i="3"/>
  <c r="M452" i="3"/>
  <c r="O452" i="3"/>
  <c r="AD460" i="3"/>
  <c r="AE460" i="3"/>
  <c r="AB460" i="3"/>
  <c r="AC460" i="3"/>
  <c r="N460" i="3"/>
  <c r="M460" i="3"/>
  <c r="O460" i="3"/>
  <c r="AD468" i="3"/>
  <c r="AE468" i="3"/>
  <c r="AB468" i="3"/>
  <c r="AC468" i="3"/>
  <c r="N468" i="3"/>
  <c r="M468" i="3"/>
  <c r="O468" i="3"/>
  <c r="AD476" i="3"/>
  <c r="AE476" i="3"/>
  <c r="AC476" i="3"/>
  <c r="AB476" i="3"/>
  <c r="N476" i="3"/>
  <c r="M476" i="3"/>
  <c r="O476" i="3"/>
  <c r="AD484" i="3"/>
  <c r="AE484" i="3"/>
  <c r="AB484" i="3"/>
  <c r="N484" i="3"/>
  <c r="AC484" i="3"/>
  <c r="M484" i="3"/>
  <c r="O484" i="3"/>
  <c r="AD492" i="3"/>
  <c r="AE492" i="3"/>
  <c r="AB492" i="3"/>
  <c r="AC492" i="3"/>
  <c r="N492" i="3"/>
  <c r="M492" i="3"/>
  <c r="O492" i="3"/>
  <c r="AD500" i="3"/>
  <c r="AE500" i="3"/>
  <c r="AB500" i="3"/>
  <c r="AC500" i="3"/>
  <c r="N500" i="3"/>
  <c r="M500" i="3"/>
  <c r="O500" i="3"/>
  <c r="AE346" i="3"/>
  <c r="AC346" i="3"/>
  <c r="AD346" i="3"/>
  <c r="AB346" i="3"/>
  <c r="N346" i="3"/>
  <c r="O346" i="3"/>
  <c r="M346" i="3"/>
  <c r="AE61" i="3"/>
  <c r="AD61" i="3"/>
  <c r="AC61" i="3"/>
  <c r="AB61" i="3"/>
  <c r="N61" i="3"/>
  <c r="M61" i="3"/>
  <c r="O61" i="3"/>
  <c r="AE69" i="3"/>
  <c r="AD69" i="3"/>
  <c r="AC69" i="3"/>
  <c r="AB69" i="3"/>
  <c r="N69" i="3"/>
  <c r="M69" i="3"/>
  <c r="O69" i="3"/>
  <c r="AE77" i="3"/>
  <c r="AD77" i="3"/>
  <c r="AC77" i="3"/>
  <c r="AB77" i="3"/>
  <c r="N77" i="3"/>
  <c r="M77" i="3"/>
  <c r="O77" i="3"/>
  <c r="AE85" i="3"/>
  <c r="AD85" i="3"/>
  <c r="AC85" i="3"/>
  <c r="AB85" i="3"/>
  <c r="N85" i="3"/>
  <c r="M85" i="3"/>
  <c r="O85" i="3"/>
  <c r="AE93" i="3"/>
  <c r="AD93" i="3"/>
  <c r="AC93" i="3"/>
  <c r="AB93" i="3"/>
  <c r="N93" i="3"/>
  <c r="M93" i="3"/>
  <c r="O93" i="3"/>
  <c r="AE101" i="3"/>
  <c r="AD101" i="3"/>
  <c r="AC101" i="3"/>
  <c r="AB101" i="3"/>
  <c r="N101" i="3"/>
  <c r="M101" i="3"/>
  <c r="O101" i="3"/>
  <c r="AE109" i="3"/>
  <c r="AD109" i="3"/>
  <c r="AC109" i="3"/>
  <c r="AB109" i="3"/>
  <c r="N109" i="3"/>
  <c r="M109" i="3"/>
  <c r="O109" i="3"/>
  <c r="AE117" i="3"/>
  <c r="AD117" i="3"/>
  <c r="AC117" i="3"/>
  <c r="AB117" i="3"/>
  <c r="N117" i="3"/>
  <c r="M117" i="3"/>
  <c r="O117" i="3"/>
  <c r="AE125" i="3"/>
  <c r="AD125" i="3"/>
  <c r="AC125" i="3"/>
  <c r="AB125" i="3"/>
  <c r="N125" i="3"/>
  <c r="M125" i="3"/>
  <c r="O125" i="3"/>
  <c r="AE133" i="3"/>
  <c r="AD133" i="3"/>
  <c r="AC133" i="3"/>
  <c r="AB133" i="3"/>
  <c r="N133" i="3"/>
  <c r="M133" i="3"/>
  <c r="O133" i="3"/>
  <c r="AE141" i="3"/>
  <c r="AD141" i="3"/>
  <c r="AC141" i="3"/>
  <c r="AB141" i="3"/>
  <c r="N141" i="3"/>
  <c r="M141" i="3"/>
  <c r="O141" i="3"/>
  <c r="AE149" i="3"/>
  <c r="AD149" i="3"/>
  <c r="AC149" i="3"/>
  <c r="AB149" i="3"/>
  <c r="N149" i="3"/>
  <c r="M149" i="3"/>
  <c r="O149" i="3"/>
  <c r="AE157" i="3"/>
  <c r="AD157" i="3"/>
  <c r="AC157" i="3"/>
  <c r="AB157" i="3"/>
  <c r="N157" i="3"/>
  <c r="M157" i="3"/>
  <c r="O157" i="3"/>
  <c r="AE165" i="3"/>
  <c r="AD165" i="3"/>
  <c r="AC165" i="3"/>
  <c r="AB165" i="3"/>
  <c r="N165" i="3"/>
  <c r="M165" i="3"/>
  <c r="O165" i="3"/>
  <c r="AE173" i="3"/>
  <c r="AD173" i="3"/>
  <c r="AC173" i="3"/>
  <c r="AB173" i="3"/>
  <c r="N173" i="3"/>
  <c r="M173" i="3"/>
  <c r="O173" i="3"/>
  <c r="AE181" i="3"/>
  <c r="AD181" i="3"/>
  <c r="AC181" i="3"/>
  <c r="AB181" i="3"/>
  <c r="N181" i="3"/>
  <c r="M181" i="3"/>
  <c r="O181" i="3"/>
  <c r="AE189" i="3"/>
  <c r="AD189" i="3"/>
  <c r="AB189" i="3"/>
  <c r="AC189" i="3"/>
  <c r="N189" i="3"/>
  <c r="M189" i="3"/>
  <c r="O189" i="3"/>
  <c r="AE197" i="3"/>
  <c r="AD197" i="3"/>
  <c r="AB197" i="3"/>
  <c r="AC197" i="3"/>
  <c r="N197" i="3"/>
  <c r="M197" i="3"/>
  <c r="O197" i="3"/>
  <c r="AE205" i="3"/>
  <c r="AD205" i="3"/>
  <c r="AC205" i="3"/>
  <c r="AB205" i="3"/>
  <c r="N205" i="3"/>
  <c r="M205" i="3"/>
  <c r="O205" i="3"/>
  <c r="AE213" i="3"/>
  <c r="AD213" i="3"/>
  <c r="AC213" i="3"/>
  <c r="AB213" i="3"/>
  <c r="N213" i="3"/>
  <c r="M213" i="3"/>
  <c r="O213" i="3"/>
  <c r="AE221" i="3"/>
  <c r="AD221" i="3"/>
  <c r="AC221" i="3"/>
  <c r="AB221" i="3"/>
  <c r="N221" i="3"/>
  <c r="M221" i="3"/>
  <c r="O221" i="3"/>
  <c r="AE229" i="3"/>
  <c r="AD229" i="3"/>
  <c r="AC229" i="3"/>
  <c r="AB229" i="3"/>
  <c r="N229" i="3"/>
  <c r="M229" i="3"/>
  <c r="O229" i="3"/>
  <c r="AE237" i="3"/>
  <c r="AD237" i="3"/>
  <c r="AC237" i="3"/>
  <c r="AB237" i="3"/>
  <c r="N237" i="3"/>
  <c r="M237" i="3"/>
  <c r="O237" i="3"/>
  <c r="AE245" i="3"/>
  <c r="AD245" i="3"/>
  <c r="AC245" i="3"/>
  <c r="AB245" i="3"/>
  <c r="N245" i="3"/>
  <c r="M245" i="3"/>
  <c r="O245" i="3"/>
  <c r="AE253" i="3"/>
  <c r="AD253" i="3"/>
  <c r="AC253" i="3"/>
  <c r="AB253" i="3"/>
  <c r="N253" i="3"/>
  <c r="M253" i="3"/>
  <c r="O253" i="3"/>
  <c r="AE261" i="3"/>
  <c r="AD261" i="3"/>
  <c r="AC261" i="3"/>
  <c r="AB261" i="3"/>
  <c r="N261" i="3"/>
  <c r="M261" i="3"/>
  <c r="O261" i="3"/>
  <c r="AE269" i="3"/>
  <c r="AD269" i="3"/>
  <c r="AC269" i="3"/>
  <c r="AB269" i="3"/>
  <c r="N269" i="3"/>
  <c r="M269" i="3"/>
  <c r="O269" i="3"/>
  <c r="AE277" i="3"/>
  <c r="AD277" i="3"/>
  <c r="AC277" i="3"/>
  <c r="AB277" i="3"/>
  <c r="N277" i="3"/>
  <c r="M277" i="3"/>
  <c r="O277" i="3"/>
  <c r="AE285" i="3"/>
  <c r="AD285" i="3"/>
  <c r="AC285" i="3"/>
  <c r="AB285" i="3"/>
  <c r="N285" i="3"/>
  <c r="M285" i="3"/>
  <c r="O285" i="3"/>
  <c r="AE293" i="3"/>
  <c r="AD293" i="3"/>
  <c r="AC293" i="3"/>
  <c r="AB293" i="3"/>
  <c r="N293" i="3"/>
  <c r="M293" i="3"/>
  <c r="O293" i="3"/>
  <c r="AE301" i="3"/>
  <c r="AD301" i="3"/>
  <c r="AC301" i="3"/>
  <c r="AB301" i="3"/>
  <c r="N301" i="3"/>
  <c r="M301" i="3"/>
  <c r="O301" i="3"/>
  <c r="AE309" i="3"/>
  <c r="AD309" i="3"/>
  <c r="AC309" i="3"/>
  <c r="AB309" i="3"/>
  <c r="N309" i="3"/>
  <c r="M309" i="3"/>
  <c r="O309" i="3"/>
  <c r="AE317" i="3"/>
  <c r="AD317" i="3"/>
  <c r="AC317" i="3"/>
  <c r="AB317" i="3"/>
  <c r="N317" i="3"/>
  <c r="M317" i="3"/>
  <c r="O317" i="3"/>
  <c r="AE325" i="3"/>
  <c r="AD325" i="3"/>
  <c r="AC325" i="3"/>
  <c r="AB325" i="3"/>
  <c r="N325" i="3"/>
  <c r="M325" i="3"/>
  <c r="O325" i="3"/>
  <c r="AE333" i="3"/>
  <c r="AD333" i="3"/>
  <c r="AC333" i="3"/>
  <c r="AB333" i="3"/>
  <c r="N333" i="3"/>
  <c r="M333" i="3"/>
  <c r="O333" i="3"/>
  <c r="AE341" i="3"/>
  <c r="AD341" i="3"/>
  <c r="AC341" i="3"/>
  <c r="AB341" i="3"/>
  <c r="N341" i="3"/>
  <c r="M341" i="3"/>
  <c r="O341" i="3"/>
  <c r="AE349" i="3"/>
  <c r="AD349" i="3"/>
  <c r="AC349" i="3"/>
  <c r="AB349" i="3"/>
  <c r="N349" i="3"/>
  <c r="M349" i="3"/>
  <c r="O349" i="3"/>
  <c r="AE357" i="3"/>
  <c r="AD357" i="3"/>
  <c r="AC357" i="3"/>
  <c r="AB357" i="3"/>
  <c r="N357" i="3"/>
  <c r="M357" i="3"/>
  <c r="O357" i="3"/>
  <c r="AE365" i="3"/>
  <c r="AD365" i="3"/>
  <c r="AC365" i="3"/>
  <c r="AB365" i="3"/>
  <c r="N365" i="3"/>
  <c r="O365" i="3"/>
  <c r="M365" i="3"/>
  <c r="AE373" i="3"/>
  <c r="AD373" i="3"/>
  <c r="AC373" i="3"/>
  <c r="AB373" i="3"/>
  <c r="N373" i="3"/>
  <c r="O373" i="3"/>
  <c r="M373" i="3"/>
  <c r="AE381" i="3"/>
  <c r="AD381" i="3"/>
  <c r="AC381" i="3"/>
  <c r="AB381" i="3"/>
  <c r="N381" i="3"/>
  <c r="O381" i="3"/>
  <c r="M381" i="3"/>
  <c r="AE389" i="3"/>
  <c r="AD389" i="3"/>
  <c r="AC389" i="3"/>
  <c r="AB389" i="3"/>
  <c r="O389" i="3"/>
  <c r="M389" i="3"/>
  <c r="N389" i="3"/>
  <c r="AE397" i="3"/>
  <c r="AD397" i="3"/>
  <c r="AC397" i="3"/>
  <c r="AB397" i="3"/>
  <c r="N397" i="3"/>
  <c r="O397" i="3"/>
  <c r="M397" i="3"/>
  <c r="AE405" i="3"/>
  <c r="AD405" i="3"/>
  <c r="AC405" i="3"/>
  <c r="AB405" i="3"/>
  <c r="N405" i="3"/>
  <c r="O405" i="3"/>
  <c r="M405" i="3"/>
  <c r="AE413" i="3"/>
  <c r="AD413" i="3"/>
  <c r="AC413" i="3"/>
  <c r="AB413" i="3"/>
  <c r="N413" i="3"/>
  <c r="O413" i="3"/>
  <c r="M413" i="3"/>
  <c r="AE421" i="3"/>
  <c r="AD421" i="3"/>
  <c r="AC421" i="3"/>
  <c r="AB421" i="3"/>
  <c r="N421" i="3"/>
  <c r="O421" i="3"/>
  <c r="M421" i="3"/>
  <c r="AE429" i="3"/>
  <c r="AD429" i="3"/>
  <c r="AC429" i="3"/>
  <c r="AB429" i="3"/>
  <c r="N429" i="3"/>
  <c r="O429" i="3"/>
  <c r="M429" i="3"/>
  <c r="AE437" i="3"/>
  <c r="AD437" i="3"/>
  <c r="AC437" i="3"/>
  <c r="AB437" i="3"/>
  <c r="N437" i="3"/>
  <c r="O437" i="3"/>
  <c r="M437" i="3"/>
  <c r="AE445" i="3"/>
  <c r="AD445" i="3"/>
  <c r="AC445" i="3"/>
  <c r="AB445" i="3"/>
  <c r="N445" i="3"/>
  <c r="O445" i="3"/>
  <c r="M445" i="3"/>
  <c r="AE453" i="3"/>
  <c r="AD453" i="3"/>
  <c r="AC453" i="3"/>
  <c r="AB453" i="3"/>
  <c r="O453" i="3"/>
  <c r="N453" i="3"/>
  <c r="M453" i="3"/>
  <c r="AE461" i="3"/>
  <c r="AD461" i="3"/>
  <c r="AC461" i="3"/>
  <c r="AB461" i="3"/>
  <c r="O461" i="3"/>
  <c r="N461" i="3"/>
  <c r="M461" i="3"/>
  <c r="AE469" i="3"/>
  <c r="AD469" i="3"/>
  <c r="AC469" i="3"/>
  <c r="AB469" i="3"/>
  <c r="N469" i="3"/>
  <c r="O469" i="3"/>
  <c r="M469" i="3"/>
  <c r="AE477" i="3"/>
  <c r="AD477" i="3"/>
  <c r="AC477" i="3"/>
  <c r="AB477" i="3"/>
  <c r="N477" i="3"/>
  <c r="O477" i="3"/>
  <c r="M477" i="3"/>
  <c r="AE485" i="3"/>
  <c r="AD485" i="3"/>
  <c r="AC485" i="3"/>
  <c r="AB485" i="3"/>
  <c r="N485" i="3"/>
  <c r="O485" i="3"/>
  <c r="M485" i="3"/>
  <c r="AE493" i="3"/>
  <c r="AD493" i="3"/>
  <c r="AC493" i="3"/>
  <c r="AB493" i="3"/>
  <c r="O493" i="3"/>
  <c r="M493" i="3"/>
  <c r="N493" i="3"/>
  <c r="AE501" i="3"/>
  <c r="AD501" i="3"/>
  <c r="AC501" i="3"/>
  <c r="AB501" i="3"/>
  <c r="N501" i="3"/>
  <c r="O501" i="3"/>
  <c r="M501" i="3"/>
  <c r="AE266" i="3"/>
  <c r="AC266" i="3"/>
  <c r="AD266" i="3"/>
  <c r="AB266" i="3"/>
  <c r="N266" i="3"/>
  <c r="M266" i="3"/>
  <c r="O266" i="3"/>
  <c r="AE54" i="3"/>
  <c r="AD54" i="3"/>
  <c r="AC54" i="3"/>
  <c r="AB54" i="3"/>
  <c r="N54" i="3"/>
  <c r="M54" i="3"/>
  <c r="O54" i="3"/>
  <c r="AE62" i="3"/>
  <c r="AC62" i="3"/>
  <c r="AB62" i="3"/>
  <c r="AD62" i="3"/>
  <c r="M62" i="3"/>
  <c r="N62" i="3"/>
  <c r="O62" i="3"/>
  <c r="AE70" i="3"/>
  <c r="AD70" i="3"/>
  <c r="AC70" i="3"/>
  <c r="AB70" i="3"/>
  <c r="M70" i="3"/>
  <c r="N70" i="3"/>
  <c r="O70" i="3"/>
  <c r="AE78" i="3"/>
  <c r="AD78" i="3"/>
  <c r="AC78" i="3"/>
  <c r="AB78" i="3"/>
  <c r="N78" i="3"/>
  <c r="M78" i="3"/>
  <c r="O78" i="3"/>
  <c r="AE86" i="3"/>
  <c r="AD86" i="3"/>
  <c r="AC86" i="3"/>
  <c r="AB86" i="3"/>
  <c r="N86" i="3"/>
  <c r="M86" i="3"/>
  <c r="O86" i="3"/>
  <c r="AE94" i="3"/>
  <c r="AD94" i="3"/>
  <c r="AB94" i="3"/>
  <c r="AC94" i="3"/>
  <c r="M94" i="3"/>
  <c r="N94" i="3"/>
  <c r="O94" i="3"/>
  <c r="AE102" i="3"/>
  <c r="AD102" i="3"/>
  <c r="AC102" i="3"/>
  <c r="AB102" i="3"/>
  <c r="M102" i="3"/>
  <c r="N102" i="3"/>
  <c r="O102" i="3"/>
  <c r="AE110" i="3"/>
  <c r="AC110" i="3"/>
  <c r="AD110" i="3"/>
  <c r="N110" i="3"/>
  <c r="M110" i="3"/>
  <c r="O110" i="3"/>
  <c r="AB110" i="3"/>
  <c r="AE118" i="3"/>
  <c r="AD118" i="3"/>
  <c r="AC118" i="3"/>
  <c r="AB118" i="3"/>
  <c r="N118" i="3"/>
  <c r="M118" i="3"/>
  <c r="O118" i="3"/>
  <c r="AE126" i="3"/>
  <c r="AD126" i="3"/>
  <c r="AC126" i="3"/>
  <c r="AB126" i="3"/>
  <c r="M126" i="3"/>
  <c r="O126" i="3"/>
  <c r="N126" i="3"/>
  <c r="AE134" i="3"/>
  <c r="AD134" i="3"/>
  <c r="AC134" i="3"/>
  <c r="AB134" i="3"/>
  <c r="M134" i="3"/>
  <c r="N134" i="3"/>
  <c r="O134" i="3"/>
  <c r="AE142" i="3"/>
  <c r="AC142" i="3"/>
  <c r="AD142" i="3"/>
  <c r="N142" i="3"/>
  <c r="M142" i="3"/>
  <c r="AB142" i="3"/>
  <c r="O142" i="3"/>
  <c r="AE150" i="3"/>
  <c r="AD150" i="3"/>
  <c r="AC150" i="3"/>
  <c r="AB150" i="3"/>
  <c r="N150" i="3"/>
  <c r="M150" i="3"/>
  <c r="O150" i="3"/>
  <c r="AE158" i="3"/>
  <c r="AD158" i="3"/>
  <c r="AB158" i="3"/>
  <c r="AC158" i="3"/>
  <c r="M158" i="3"/>
  <c r="N158" i="3"/>
  <c r="O158" i="3"/>
  <c r="AE166" i="3"/>
  <c r="AD166" i="3"/>
  <c r="AC166" i="3"/>
  <c r="AB166" i="3"/>
  <c r="M166" i="3"/>
  <c r="N166" i="3"/>
  <c r="O166" i="3"/>
  <c r="AE174" i="3"/>
  <c r="AD174" i="3"/>
  <c r="AC174" i="3"/>
  <c r="AB174" i="3"/>
  <c r="N174" i="3"/>
  <c r="M174" i="3"/>
  <c r="O174" i="3"/>
  <c r="AE182" i="3"/>
  <c r="AD182" i="3"/>
  <c r="AB182" i="3"/>
  <c r="AC182" i="3"/>
  <c r="N182" i="3"/>
  <c r="M182" i="3"/>
  <c r="O182" i="3"/>
  <c r="AE190" i="3"/>
  <c r="AC190" i="3"/>
  <c r="AD190" i="3"/>
  <c r="AB190" i="3"/>
  <c r="M190" i="3"/>
  <c r="O190" i="3"/>
  <c r="N190" i="3"/>
  <c r="AE198" i="3"/>
  <c r="AD198" i="3"/>
  <c r="AC198" i="3"/>
  <c r="AB198" i="3"/>
  <c r="M198" i="3"/>
  <c r="N198" i="3"/>
  <c r="O198" i="3"/>
  <c r="AE206" i="3"/>
  <c r="AD206" i="3"/>
  <c r="AC206" i="3"/>
  <c r="AB206" i="3"/>
  <c r="N206" i="3"/>
  <c r="M206" i="3"/>
  <c r="O206" i="3"/>
  <c r="AE214" i="3"/>
  <c r="AC214" i="3"/>
  <c r="AD214" i="3"/>
  <c r="AB214" i="3"/>
  <c r="N214" i="3"/>
  <c r="M214" i="3"/>
  <c r="O214" i="3"/>
  <c r="AE222" i="3"/>
  <c r="AC222" i="3"/>
  <c r="AD222" i="3"/>
  <c r="AB222" i="3"/>
  <c r="M222" i="3"/>
  <c r="O222" i="3"/>
  <c r="N222" i="3"/>
  <c r="AE230" i="3"/>
  <c r="AD230" i="3"/>
  <c r="AC230" i="3"/>
  <c r="AB230" i="3"/>
  <c r="M230" i="3"/>
  <c r="N230" i="3"/>
  <c r="O230" i="3"/>
  <c r="AE238" i="3"/>
  <c r="AC238" i="3"/>
  <c r="AD238" i="3"/>
  <c r="N238" i="3"/>
  <c r="M238" i="3"/>
  <c r="O238" i="3"/>
  <c r="AB238" i="3"/>
  <c r="AE246" i="3"/>
  <c r="AD246" i="3"/>
  <c r="AC246" i="3"/>
  <c r="AB246" i="3"/>
  <c r="N246" i="3"/>
  <c r="M246" i="3"/>
  <c r="O246" i="3"/>
  <c r="AE254" i="3"/>
  <c r="AC254" i="3"/>
  <c r="AD254" i="3"/>
  <c r="AB254" i="3"/>
  <c r="M254" i="3"/>
  <c r="O254" i="3"/>
  <c r="N254" i="3"/>
  <c r="AE262" i="3"/>
  <c r="AD262" i="3"/>
  <c r="AC262" i="3"/>
  <c r="AB262" i="3"/>
  <c r="M262" i="3"/>
  <c r="N262" i="3"/>
  <c r="O262" i="3"/>
  <c r="AE270" i="3"/>
  <c r="AC270" i="3"/>
  <c r="AB270" i="3"/>
  <c r="AD270" i="3"/>
  <c r="N270" i="3"/>
  <c r="M270" i="3"/>
  <c r="O270" i="3"/>
  <c r="AE278" i="3"/>
  <c r="AD278" i="3"/>
  <c r="AC278" i="3"/>
  <c r="AB278" i="3"/>
  <c r="N278" i="3"/>
  <c r="M278" i="3"/>
  <c r="O278" i="3"/>
  <c r="AE286" i="3"/>
  <c r="AD286" i="3"/>
  <c r="AC286" i="3"/>
  <c r="AB286" i="3"/>
  <c r="M286" i="3"/>
  <c r="O286" i="3"/>
  <c r="N286" i="3"/>
  <c r="AE294" i="3"/>
  <c r="AC294" i="3"/>
  <c r="AD294" i="3"/>
  <c r="AB294" i="3"/>
  <c r="M294" i="3"/>
  <c r="N294" i="3"/>
  <c r="O294" i="3"/>
  <c r="AE302" i="3"/>
  <c r="AD302" i="3"/>
  <c r="AC302" i="3"/>
  <c r="AB302" i="3"/>
  <c r="N302" i="3"/>
  <c r="M302" i="3"/>
  <c r="O302" i="3"/>
  <c r="AE310" i="3"/>
  <c r="AD310" i="3"/>
  <c r="AC310" i="3"/>
  <c r="AB310" i="3"/>
  <c r="N310" i="3"/>
  <c r="M310" i="3"/>
  <c r="O310" i="3"/>
  <c r="AE318" i="3"/>
  <c r="AD318" i="3"/>
  <c r="AC318" i="3"/>
  <c r="AB318" i="3"/>
  <c r="M318" i="3"/>
  <c r="N318" i="3"/>
  <c r="O318" i="3"/>
  <c r="AE326" i="3"/>
  <c r="AD326" i="3"/>
  <c r="AC326" i="3"/>
  <c r="AB326" i="3"/>
  <c r="M326" i="3"/>
  <c r="N326" i="3"/>
  <c r="O326" i="3"/>
  <c r="AE334" i="3"/>
  <c r="AD334" i="3"/>
  <c r="AC334" i="3"/>
  <c r="AB334" i="3"/>
  <c r="N334" i="3"/>
  <c r="M334" i="3"/>
  <c r="O334" i="3"/>
  <c r="AE342" i="3"/>
  <c r="AD342" i="3"/>
  <c r="AC342" i="3"/>
  <c r="AB342" i="3"/>
  <c r="N342" i="3"/>
  <c r="M342" i="3"/>
  <c r="O342" i="3"/>
  <c r="AE350" i="3"/>
  <c r="AD350" i="3"/>
  <c r="AC350" i="3"/>
  <c r="AB350" i="3"/>
  <c r="M350" i="3"/>
  <c r="N350" i="3"/>
  <c r="O350" i="3"/>
  <c r="AE358" i="3"/>
  <c r="AC358" i="3"/>
  <c r="AB358" i="3"/>
  <c r="AD358" i="3"/>
  <c r="M358" i="3"/>
  <c r="N358" i="3"/>
  <c r="O358" i="3"/>
  <c r="AE366" i="3"/>
  <c r="AD366" i="3"/>
  <c r="AC366" i="3"/>
  <c r="AB366" i="3"/>
  <c r="N366" i="3"/>
  <c r="M366" i="3"/>
  <c r="O366" i="3"/>
  <c r="AE374" i="3"/>
  <c r="AC374" i="3"/>
  <c r="AD374" i="3"/>
  <c r="AB374" i="3"/>
  <c r="N374" i="3"/>
  <c r="M374" i="3"/>
  <c r="O374" i="3"/>
  <c r="AE382" i="3"/>
  <c r="AD382" i="3"/>
  <c r="AC382" i="3"/>
  <c r="AB382" i="3"/>
  <c r="N382" i="3"/>
  <c r="M382" i="3"/>
  <c r="O382" i="3"/>
  <c r="AE390" i="3"/>
  <c r="AD390" i="3"/>
  <c r="AB390" i="3"/>
  <c r="AC390" i="3"/>
  <c r="N390" i="3"/>
  <c r="M390" i="3"/>
  <c r="O390" i="3"/>
  <c r="AE398" i="3"/>
  <c r="AD398" i="3"/>
  <c r="AC398" i="3"/>
  <c r="AB398" i="3"/>
  <c r="M398" i="3"/>
  <c r="N398" i="3"/>
  <c r="O398" i="3"/>
  <c r="AE406" i="3"/>
  <c r="AD406" i="3"/>
  <c r="AC406" i="3"/>
  <c r="AB406" i="3"/>
  <c r="N406" i="3"/>
  <c r="M406" i="3"/>
  <c r="O406" i="3"/>
  <c r="AE414" i="3"/>
  <c r="AD414" i="3"/>
  <c r="AC414" i="3"/>
  <c r="AB414" i="3"/>
  <c r="N414" i="3"/>
  <c r="M414" i="3"/>
  <c r="O414" i="3"/>
  <c r="AE422" i="3"/>
  <c r="AC422" i="3"/>
  <c r="AD422" i="3"/>
  <c r="AB422" i="3"/>
  <c r="N422" i="3"/>
  <c r="M422" i="3"/>
  <c r="O422" i="3"/>
  <c r="AE430" i="3"/>
  <c r="AD430" i="3"/>
  <c r="AC430" i="3"/>
  <c r="AB430" i="3"/>
  <c r="N430" i="3"/>
  <c r="M430" i="3"/>
  <c r="O430" i="3"/>
  <c r="AE438" i="3"/>
  <c r="AC438" i="3"/>
  <c r="AD438" i="3"/>
  <c r="AB438" i="3"/>
  <c r="N438" i="3"/>
  <c r="M438" i="3"/>
  <c r="O438" i="3"/>
  <c r="AE446" i="3"/>
  <c r="AD446" i="3"/>
  <c r="AB446" i="3"/>
  <c r="N446" i="3"/>
  <c r="AC446" i="3"/>
  <c r="M446" i="3"/>
  <c r="O446" i="3"/>
  <c r="AE454" i="3"/>
  <c r="AD454" i="3"/>
  <c r="AC454" i="3"/>
  <c r="N454" i="3"/>
  <c r="AB454" i="3"/>
  <c r="M454" i="3"/>
  <c r="O454" i="3"/>
  <c r="AE462" i="3"/>
  <c r="AD462" i="3"/>
  <c r="AC462" i="3"/>
  <c r="AB462" i="3"/>
  <c r="N462" i="3"/>
  <c r="M462" i="3"/>
  <c r="O462" i="3"/>
  <c r="AE470" i="3"/>
  <c r="AD470" i="3"/>
  <c r="AC470" i="3"/>
  <c r="N470" i="3"/>
  <c r="AB470" i="3"/>
  <c r="M470" i="3"/>
  <c r="O470" i="3"/>
  <c r="AE478" i="3"/>
  <c r="AD478" i="3"/>
  <c r="AC478" i="3"/>
  <c r="AB478" i="3"/>
  <c r="N478" i="3"/>
  <c r="M478" i="3"/>
  <c r="O478" i="3"/>
  <c r="AE486" i="3"/>
  <c r="AC486" i="3"/>
  <c r="AD486" i="3"/>
  <c r="AB486" i="3"/>
  <c r="N486" i="3"/>
  <c r="M486" i="3"/>
  <c r="O486" i="3"/>
  <c r="AE494" i="3"/>
  <c r="AD494" i="3"/>
  <c r="AC494" i="3"/>
  <c r="AB494" i="3"/>
  <c r="N494" i="3"/>
  <c r="M494" i="3"/>
  <c r="O494" i="3"/>
  <c r="AC502" i="3"/>
  <c r="AD502" i="3"/>
  <c r="AB502" i="3"/>
  <c r="N502" i="3"/>
  <c r="M502" i="3"/>
  <c r="O502" i="3"/>
  <c r="AE74" i="3"/>
  <c r="AD74" i="3"/>
  <c r="AC74" i="3"/>
  <c r="AB74" i="3"/>
  <c r="N74" i="3"/>
  <c r="M74" i="3"/>
  <c r="O74" i="3"/>
  <c r="AE90" i="3"/>
  <c r="AD90" i="3"/>
  <c r="AC90" i="3"/>
  <c r="AB90" i="3"/>
  <c r="N90" i="3"/>
  <c r="M90" i="3"/>
  <c r="O90" i="3"/>
  <c r="AE106" i="3"/>
  <c r="AD106" i="3"/>
  <c r="AC106" i="3"/>
  <c r="AB106" i="3"/>
  <c r="N106" i="3"/>
  <c r="O106" i="3"/>
  <c r="M106" i="3"/>
  <c r="AE130" i="3"/>
  <c r="AD130" i="3"/>
  <c r="AC130" i="3"/>
  <c r="AB130" i="3"/>
  <c r="N130" i="3"/>
  <c r="M130" i="3"/>
  <c r="O130" i="3"/>
  <c r="AE146" i="3"/>
  <c r="AD146" i="3"/>
  <c r="AC146" i="3"/>
  <c r="AB146" i="3"/>
  <c r="N146" i="3"/>
  <c r="O146" i="3"/>
  <c r="M146" i="3"/>
  <c r="AE162" i="3"/>
  <c r="AD162" i="3"/>
  <c r="AC162" i="3"/>
  <c r="AB162" i="3"/>
  <c r="N162" i="3"/>
  <c r="O162" i="3"/>
  <c r="M162" i="3"/>
  <c r="AE178" i="3"/>
  <c r="AD178" i="3"/>
  <c r="AC178" i="3"/>
  <c r="AB178" i="3"/>
  <c r="N178" i="3"/>
  <c r="O178" i="3"/>
  <c r="M178" i="3"/>
  <c r="AE194" i="3"/>
  <c r="AC194" i="3"/>
  <c r="AD194" i="3"/>
  <c r="AB194" i="3"/>
  <c r="N194" i="3"/>
  <c r="M194" i="3"/>
  <c r="O194" i="3"/>
  <c r="AE210" i="3"/>
  <c r="AC210" i="3"/>
  <c r="AD210" i="3"/>
  <c r="AB210" i="3"/>
  <c r="N210" i="3"/>
  <c r="O210" i="3"/>
  <c r="M210" i="3"/>
  <c r="AE226" i="3"/>
  <c r="AC226" i="3"/>
  <c r="AD226" i="3"/>
  <c r="AB226" i="3"/>
  <c r="N226" i="3"/>
  <c r="O226" i="3"/>
  <c r="M226" i="3"/>
  <c r="AE242" i="3"/>
  <c r="AC242" i="3"/>
  <c r="AD242" i="3"/>
  <c r="AB242" i="3"/>
  <c r="N242" i="3"/>
  <c r="O242" i="3"/>
  <c r="M242" i="3"/>
  <c r="AE274" i="3"/>
  <c r="AC274" i="3"/>
  <c r="AD274" i="3"/>
  <c r="AB274" i="3"/>
  <c r="N274" i="3"/>
  <c r="O274" i="3"/>
  <c r="M274" i="3"/>
  <c r="AE290" i="3"/>
  <c r="AC290" i="3"/>
  <c r="AD290" i="3"/>
  <c r="N290" i="3"/>
  <c r="AB290" i="3"/>
  <c r="O290" i="3"/>
  <c r="M290" i="3"/>
  <c r="AE306" i="3"/>
  <c r="AC306" i="3"/>
  <c r="AD306" i="3"/>
  <c r="AB306" i="3"/>
  <c r="N306" i="3"/>
  <c r="O306" i="3"/>
  <c r="M306" i="3"/>
  <c r="AE322" i="3"/>
  <c r="AC322" i="3"/>
  <c r="AD322" i="3"/>
  <c r="AB322" i="3"/>
  <c r="N322" i="3"/>
  <c r="O322" i="3"/>
  <c r="M322" i="3"/>
  <c r="AE338" i="3"/>
  <c r="AC338" i="3"/>
  <c r="AD338" i="3"/>
  <c r="N338" i="3"/>
  <c r="AB338" i="3"/>
  <c r="O338" i="3"/>
  <c r="M338" i="3"/>
  <c r="AE362" i="3"/>
  <c r="AC362" i="3"/>
  <c r="AD362" i="3"/>
  <c r="AB362" i="3"/>
  <c r="N362" i="3"/>
  <c r="O362" i="3"/>
  <c r="M362" i="3"/>
  <c r="AE378" i="3"/>
  <c r="AC378" i="3"/>
  <c r="AD378" i="3"/>
  <c r="AB378" i="3"/>
  <c r="N378" i="3"/>
  <c r="M378" i="3"/>
  <c r="O378" i="3"/>
  <c r="AE394" i="3"/>
  <c r="AC394" i="3"/>
  <c r="AD394" i="3"/>
  <c r="N394" i="3"/>
  <c r="AB394" i="3"/>
  <c r="O394" i="3"/>
  <c r="M394" i="3"/>
  <c r="AE410" i="3"/>
  <c r="AC410" i="3"/>
  <c r="AD410" i="3"/>
  <c r="AB410" i="3"/>
  <c r="M410" i="3"/>
  <c r="N410" i="3"/>
  <c r="O410" i="3"/>
  <c r="AE426" i="3"/>
  <c r="AC426" i="3"/>
  <c r="AD426" i="3"/>
  <c r="AB426" i="3"/>
  <c r="M426" i="3"/>
  <c r="O426" i="3"/>
  <c r="N426" i="3"/>
  <c r="AE442" i="3"/>
  <c r="AC442" i="3"/>
  <c r="AD442" i="3"/>
  <c r="AB442" i="3"/>
  <c r="N442" i="3"/>
  <c r="M442" i="3"/>
  <c r="O442" i="3"/>
  <c r="AE458" i="3"/>
  <c r="AC458" i="3"/>
  <c r="AD458" i="3"/>
  <c r="AB458" i="3"/>
  <c r="N458" i="3"/>
  <c r="M458" i="3"/>
  <c r="O458" i="3"/>
  <c r="AE474" i="3"/>
  <c r="AC474" i="3"/>
  <c r="AD474" i="3"/>
  <c r="AB474" i="3"/>
  <c r="N474" i="3"/>
  <c r="M474" i="3"/>
  <c r="O474" i="3"/>
  <c r="AE498" i="3"/>
  <c r="AC498" i="3"/>
  <c r="AD498" i="3"/>
  <c r="AB498" i="3"/>
  <c r="M498" i="3"/>
  <c r="O498" i="3"/>
  <c r="N498" i="3"/>
  <c r="AE55" i="3"/>
  <c r="AD55" i="3"/>
  <c r="AC55" i="3"/>
  <c r="N55" i="3"/>
  <c r="AB55" i="3"/>
  <c r="M55" i="3"/>
  <c r="O55" i="3"/>
  <c r="AE63" i="3"/>
  <c r="AC63" i="3"/>
  <c r="AD63" i="3"/>
  <c r="AB63" i="3"/>
  <c r="N63" i="3"/>
  <c r="M63" i="3"/>
  <c r="O63" i="3"/>
  <c r="AE71" i="3"/>
  <c r="AD71" i="3"/>
  <c r="AC71" i="3"/>
  <c r="AB71" i="3"/>
  <c r="N71" i="3"/>
  <c r="M71" i="3"/>
  <c r="O71" i="3"/>
  <c r="AE79" i="3"/>
  <c r="AC79" i="3"/>
  <c r="AD79" i="3"/>
  <c r="N79" i="3"/>
  <c r="AB79" i="3"/>
  <c r="M79" i="3"/>
  <c r="O79" i="3"/>
  <c r="AE87" i="3"/>
  <c r="AD87" i="3"/>
  <c r="AC87" i="3"/>
  <c r="N87" i="3"/>
  <c r="AB87" i="3"/>
  <c r="M87" i="3"/>
  <c r="O87" i="3"/>
  <c r="AE95" i="3"/>
  <c r="AC95" i="3"/>
  <c r="AB95" i="3"/>
  <c r="N95" i="3"/>
  <c r="AD95" i="3"/>
  <c r="M95" i="3"/>
  <c r="O95" i="3"/>
  <c r="AE103" i="3"/>
  <c r="AD103" i="3"/>
  <c r="AC103" i="3"/>
  <c r="AB103" i="3"/>
  <c r="N103" i="3"/>
  <c r="M103" i="3"/>
  <c r="O103" i="3"/>
  <c r="AE111" i="3"/>
  <c r="AC111" i="3"/>
  <c r="AD111" i="3"/>
  <c r="N111" i="3"/>
  <c r="AB111" i="3"/>
  <c r="M111" i="3"/>
  <c r="O111" i="3"/>
  <c r="AE119" i="3"/>
  <c r="AD119" i="3"/>
  <c r="AC119" i="3"/>
  <c r="N119" i="3"/>
  <c r="M119" i="3"/>
  <c r="AB119" i="3"/>
  <c r="O119" i="3"/>
  <c r="AE127" i="3"/>
  <c r="AC127" i="3"/>
  <c r="AD127" i="3"/>
  <c r="AB127" i="3"/>
  <c r="N127" i="3"/>
  <c r="M127" i="3"/>
  <c r="O127" i="3"/>
  <c r="AE135" i="3"/>
  <c r="AD135" i="3"/>
  <c r="AC135" i="3"/>
  <c r="AB135" i="3"/>
  <c r="N135" i="3"/>
  <c r="M135" i="3"/>
  <c r="O135" i="3"/>
  <c r="AE143" i="3"/>
  <c r="AC143" i="3"/>
  <c r="AD143" i="3"/>
  <c r="N143" i="3"/>
  <c r="AB143" i="3"/>
  <c r="M143" i="3"/>
  <c r="O143" i="3"/>
  <c r="AE151" i="3"/>
  <c r="AD151" i="3"/>
  <c r="AC151" i="3"/>
  <c r="N151" i="3"/>
  <c r="M151" i="3"/>
  <c r="AB151" i="3"/>
  <c r="O151" i="3"/>
  <c r="AE159" i="3"/>
  <c r="AC159" i="3"/>
  <c r="AD159" i="3"/>
  <c r="AB159" i="3"/>
  <c r="N159" i="3"/>
  <c r="M159" i="3"/>
  <c r="O159" i="3"/>
  <c r="AE167" i="3"/>
  <c r="AD167" i="3"/>
  <c r="AC167" i="3"/>
  <c r="AB167" i="3"/>
  <c r="N167" i="3"/>
  <c r="M167" i="3"/>
  <c r="O167" i="3"/>
  <c r="AE175" i="3"/>
  <c r="AC175" i="3"/>
  <c r="AD175" i="3"/>
  <c r="N175" i="3"/>
  <c r="AB175" i="3"/>
  <c r="M175" i="3"/>
  <c r="O175" i="3"/>
  <c r="AE183" i="3"/>
  <c r="AD183" i="3"/>
  <c r="AC183" i="3"/>
  <c r="N183" i="3"/>
  <c r="AB183" i="3"/>
  <c r="M183" i="3"/>
  <c r="O183" i="3"/>
  <c r="AE191" i="3"/>
  <c r="AC191" i="3"/>
  <c r="AD191" i="3"/>
  <c r="AB191" i="3"/>
  <c r="N191" i="3"/>
  <c r="M191" i="3"/>
  <c r="O191" i="3"/>
  <c r="AE199" i="3"/>
  <c r="AD199" i="3"/>
  <c r="AC199" i="3"/>
  <c r="AB199" i="3"/>
  <c r="N199" i="3"/>
  <c r="M199" i="3"/>
  <c r="O199" i="3"/>
  <c r="AE207" i="3"/>
  <c r="AD207" i="3"/>
  <c r="AC207" i="3"/>
  <c r="N207" i="3"/>
  <c r="AB207" i="3"/>
  <c r="M207" i="3"/>
  <c r="O207" i="3"/>
  <c r="AE215" i="3"/>
  <c r="AD215" i="3"/>
  <c r="AC215" i="3"/>
  <c r="N215" i="3"/>
  <c r="AB215" i="3"/>
  <c r="M215" i="3"/>
  <c r="O215" i="3"/>
  <c r="AE223" i="3"/>
  <c r="AC223" i="3"/>
  <c r="AB223" i="3"/>
  <c r="N223" i="3"/>
  <c r="AD223" i="3"/>
  <c r="M223" i="3"/>
  <c r="O223" i="3"/>
  <c r="AE231" i="3"/>
  <c r="AD231" i="3"/>
  <c r="AC231" i="3"/>
  <c r="AB231" i="3"/>
  <c r="N231" i="3"/>
  <c r="M231" i="3"/>
  <c r="O231" i="3"/>
  <c r="AE239" i="3"/>
  <c r="AD239" i="3"/>
  <c r="AC239" i="3"/>
  <c r="N239" i="3"/>
  <c r="AB239" i="3"/>
  <c r="M239" i="3"/>
  <c r="O239" i="3"/>
  <c r="AE247" i="3"/>
  <c r="AD247" i="3"/>
  <c r="AC247" i="3"/>
  <c r="N247" i="3"/>
  <c r="M247" i="3"/>
  <c r="AB247" i="3"/>
  <c r="O247" i="3"/>
  <c r="AE255" i="3"/>
  <c r="AC255" i="3"/>
  <c r="AD255" i="3"/>
  <c r="AB255" i="3"/>
  <c r="N255" i="3"/>
  <c r="M255" i="3"/>
  <c r="O255" i="3"/>
  <c r="AE263" i="3"/>
  <c r="AD263" i="3"/>
  <c r="AC263" i="3"/>
  <c r="AB263" i="3"/>
  <c r="N263" i="3"/>
  <c r="M263" i="3"/>
  <c r="O263" i="3"/>
  <c r="AE271" i="3"/>
  <c r="AB271" i="3"/>
  <c r="AC271" i="3"/>
  <c r="N271" i="3"/>
  <c r="AD271" i="3"/>
  <c r="M271" i="3"/>
  <c r="O271" i="3"/>
  <c r="AE279" i="3"/>
  <c r="AD279" i="3"/>
  <c r="AC279" i="3"/>
  <c r="AB279" i="3"/>
  <c r="N279" i="3"/>
  <c r="M279" i="3"/>
  <c r="O279" i="3"/>
  <c r="AD287" i="3"/>
  <c r="AE287" i="3"/>
  <c r="AC287" i="3"/>
  <c r="AB287" i="3"/>
  <c r="N287" i="3"/>
  <c r="M287" i="3"/>
  <c r="O287" i="3"/>
  <c r="AD295" i="3"/>
  <c r="AE295" i="3"/>
  <c r="AC295" i="3"/>
  <c r="AB295" i="3"/>
  <c r="N295" i="3"/>
  <c r="M295" i="3"/>
  <c r="O295" i="3"/>
  <c r="AD303" i="3"/>
  <c r="AE303" i="3"/>
  <c r="AC303" i="3"/>
  <c r="AB303" i="3"/>
  <c r="N303" i="3"/>
  <c r="M303" i="3"/>
  <c r="O303" i="3"/>
  <c r="AD311" i="3"/>
  <c r="AE311" i="3"/>
  <c r="AC311" i="3"/>
  <c r="AB311" i="3"/>
  <c r="N311" i="3"/>
  <c r="M311" i="3"/>
  <c r="O311" i="3"/>
  <c r="AD319" i="3"/>
  <c r="AE319" i="3"/>
  <c r="AC319" i="3"/>
  <c r="N319" i="3"/>
  <c r="AB319" i="3"/>
  <c r="M319" i="3"/>
  <c r="O319" i="3"/>
  <c r="AD327" i="3"/>
  <c r="AE327" i="3"/>
  <c r="AC327" i="3"/>
  <c r="AB327" i="3"/>
  <c r="N327" i="3"/>
  <c r="M327" i="3"/>
  <c r="O327" i="3"/>
  <c r="AD335" i="3"/>
  <c r="AE335" i="3"/>
  <c r="AC335" i="3"/>
  <c r="AB335" i="3"/>
  <c r="N335" i="3"/>
  <c r="M335" i="3"/>
  <c r="O335" i="3"/>
  <c r="AD343" i="3"/>
  <c r="AE343" i="3"/>
  <c r="AB343" i="3"/>
  <c r="AC343" i="3"/>
  <c r="N343" i="3"/>
  <c r="M343" i="3"/>
  <c r="O343" i="3"/>
  <c r="AD351" i="3"/>
  <c r="AE351" i="3"/>
  <c r="AC351" i="3"/>
  <c r="N351" i="3"/>
  <c r="AB351" i="3"/>
  <c r="M351" i="3"/>
  <c r="O351" i="3"/>
  <c r="AD359" i="3"/>
  <c r="AE359" i="3"/>
  <c r="AC359" i="3"/>
  <c r="AB359" i="3"/>
  <c r="N359" i="3"/>
  <c r="M359" i="3"/>
  <c r="O359" i="3"/>
  <c r="AD367" i="3"/>
  <c r="AE367" i="3"/>
  <c r="AC367" i="3"/>
  <c r="AB367" i="3"/>
  <c r="N367" i="3"/>
  <c r="M367" i="3"/>
  <c r="O367" i="3"/>
  <c r="AD375" i="3"/>
  <c r="AE375" i="3"/>
  <c r="AC375" i="3"/>
  <c r="N375" i="3"/>
  <c r="AB375" i="3"/>
  <c r="M375" i="3"/>
  <c r="O375" i="3"/>
  <c r="AD383" i="3"/>
  <c r="AE383" i="3"/>
  <c r="AC383" i="3"/>
  <c r="N383" i="3"/>
  <c r="AB383" i="3"/>
  <c r="M383" i="3"/>
  <c r="O383" i="3"/>
  <c r="AD391" i="3"/>
  <c r="AE391" i="3"/>
  <c r="AB391" i="3"/>
  <c r="N391" i="3"/>
  <c r="AC391" i="3"/>
  <c r="M391" i="3"/>
  <c r="O391" i="3"/>
  <c r="AD399" i="3"/>
  <c r="AE399" i="3"/>
  <c r="AC399" i="3"/>
  <c r="N399" i="3"/>
  <c r="AB399" i="3"/>
  <c r="M399" i="3"/>
  <c r="O399" i="3"/>
  <c r="AD407" i="3"/>
  <c r="AE407" i="3"/>
  <c r="N407" i="3"/>
  <c r="AC407" i="3"/>
  <c r="AB407" i="3"/>
  <c r="M407" i="3"/>
  <c r="O407" i="3"/>
  <c r="AD415" i="3"/>
  <c r="AE415" i="3"/>
  <c r="N415" i="3"/>
  <c r="AB415" i="3"/>
  <c r="M415" i="3"/>
  <c r="AC415" i="3"/>
  <c r="O415" i="3"/>
  <c r="AD423" i="3"/>
  <c r="AE423" i="3"/>
  <c r="AC423" i="3"/>
  <c r="N423" i="3"/>
  <c r="AB423" i="3"/>
  <c r="M423" i="3"/>
  <c r="O423" i="3"/>
  <c r="AD431" i="3"/>
  <c r="AE431" i="3"/>
  <c r="AC431" i="3"/>
  <c r="AB431" i="3"/>
  <c r="N431" i="3"/>
  <c r="M431" i="3"/>
  <c r="O431" i="3"/>
  <c r="AD439" i="3"/>
  <c r="AE439" i="3"/>
  <c r="AC439" i="3"/>
  <c r="N439" i="3"/>
  <c r="AB439" i="3"/>
  <c r="M439" i="3"/>
  <c r="O439" i="3"/>
  <c r="AD447" i="3"/>
  <c r="AE447" i="3"/>
  <c r="AC447" i="3"/>
  <c r="AB447" i="3"/>
  <c r="N447" i="3"/>
  <c r="M447" i="3"/>
  <c r="O447" i="3"/>
  <c r="AD455" i="3"/>
  <c r="AE455" i="3"/>
  <c r="N455" i="3"/>
  <c r="AC455" i="3"/>
  <c r="AB455" i="3"/>
  <c r="M455" i="3"/>
  <c r="O455" i="3"/>
  <c r="AD463" i="3"/>
  <c r="AE463" i="3"/>
  <c r="AC463" i="3"/>
  <c r="AB463" i="3"/>
  <c r="N463" i="3"/>
  <c r="M463" i="3"/>
  <c r="O463" i="3"/>
  <c r="AD471" i="3"/>
  <c r="AE471" i="3"/>
  <c r="AC471" i="3"/>
  <c r="N471" i="3"/>
  <c r="M471" i="3"/>
  <c r="AB471" i="3"/>
  <c r="O471" i="3"/>
  <c r="AD479" i="3"/>
  <c r="AE479" i="3"/>
  <c r="N479" i="3"/>
  <c r="AB479" i="3"/>
  <c r="AC479" i="3"/>
  <c r="M479" i="3"/>
  <c r="O479" i="3"/>
  <c r="AD487" i="3"/>
  <c r="AE487" i="3"/>
  <c r="AC487" i="3"/>
  <c r="AB487" i="3"/>
  <c r="N487" i="3"/>
  <c r="M487" i="3"/>
  <c r="O487" i="3"/>
  <c r="AD495" i="3"/>
  <c r="AE495" i="3"/>
  <c r="AC495" i="3"/>
  <c r="N495" i="3"/>
  <c r="AB495" i="3"/>
  <c r="M495" i="3"/>
  <c r="O495" i="3"/>
  <c r="AD56" i="3"/>
  <c r="AC56" i="3"/>
  <c r="AE56" i="3"/>
  <c r="AB56" i="3"/>
  <c r="N56" i="3"/>
  <c r="M56" i="3"/>
  <c r="O56" i="3"/>
  <c r="AE64" i="3"/>
  <c r="AD64" i="3"/>
  <c r="AC64" i="3"/>
  <c r="AB64" i="3"/>
  <c r="N64" i="3"/>
  <c r="M64" i="3"/>
  <c r="O64" i="3"/>
  <c r="AE72" i="3"/>
  <c r="AD72" i="3"/>
  <c r="AC72" i="3"/>
  <c r="AB72" i="3"/>
  <c r="N72" i="3"/>
  <c r="M72" i="3"/>
  <c r="O72" i="3"/>
  <c r="AE80" i="3"/>
  <c r="AD80" i="3"/>
  <c r="AC80" i="3"/>
  <c r="AB80" i="3"/>
  <c r="N80" i="3"/>
  <c r="M80" i="3"/>
  <c r="O80" i="3"/>
  <c r="AD88" i="3"/>
  <c r="AC88" i="3"/>
  <c r="AB88" i="3"/>
  <c r="AE88" i="3"/>
  <c r="N88" i="3"/>
  <c r="M88" i="3"/>
  <c r="O88" i="3"/>
  <c r="AE96" i="3"/>
  <c r="AD96" i="3"/>
  <c r="AC96" i="3"/>
  <c r="AB96" i="3"/>
  <c r="N96" i="3"/>
  <c r="M96" i="3"/>
  <c r="O96" i="3"/>
  <c r="AE104" i="3"/>
  <c r="AD104" i="3"/>
  <c r="AC104" i="3"/>
  <c r="AB104" i="3"/>
  <c r="N104" i="3"/>
  <c r="M104" i="3"/>
  <c r="O104" i="3"/>
  <c r="AE112" i="3"/>
  <c r="AD112" i="3"/>
  <c r="AC112" i="3"/>
  <c r="AB112" i="3"/>
  <c r="N112" i="3"/>
  <c r="M112" i="3"/>
  <c r="O112" i="3"/>
  <c r="AD120" i="3"/>
  <c r="AC120" i="3"/>
  <c r="AE120" i="3"/>
  <c r="AB120" i="3"/>
  <c r="N120" i="3"/>
  <c r="M120" i="3"/>
  <c r="O120" i="3"/>
  <c r="AE128" i="3"/>
  <c r="AD128" i="3"/>
  <c r="AC128" i="3"/>
  <c r="AB128" i="3"/>
  <c r="N128" i="3"/>
  <c r="M128" i="3"/>
  <c r="O128" i="3"/>
  <c r="AE136" i="3"/>
  <c r="AD136" i="3"/>
  <c r="AC136" i="3"/>
  <c r="AB136" i="3"/>
  <c r="N136" i="3"/>
  <c r="M136" i="3"/>
  <c r="O136" i="3"/>
  <c r="AE144" i="3"/>
  <c r="AD144" i="3"/>
  <c r="AC144" i="3"/>
  <c r="AB144" i="3"/>
  <c r="N144" i="3"/>
  <c r="M144" i="3"/>
  <c r="O144" i="3"/>
  <c r="AD152" i="3"/>
  <c r="AC152" i="3"/>
  <c r="AE152" i="3"/>
  <c r="AB152" i="3"/>
  <c r="N152" i="3"/>
  <c r="M152" i="3"/>
  <c r="O152" i="3"/>
  <c r="AE160" i="3"/>
  <c r="AD160" i="3"/>
  <c r="AC160" i="3"/>
  <c r="AB160" i="3"/>
  <c r="N160" i="3"/>
  <c r="M160" i="3"/>
  <c r="O160" i="3"/>
  <c r="AE168" i="3"/>
  <c r="AD168" i="3"/>
  <c r="AC168" i="3"/>
  <c r="AB168" i="3"/>
  <c r="N168" i="3"/>
  <c r="M168" i="3"/>
  <c r="O168" i="3"/>
  <c r="AE176" i="3"/>
  <c r="AD176" i="3"/>
  <c r="AC176" i="3"/>
  <c r="AB176" i="3"/>
  <c r="N176" i="3"/>
  <c r="M176" i="3"/>
  <c r="O176" i="3"/>
  <c r="AD184" i="3"/>
  <c r="AC184" i="3"/>
  <c r="AE184" i="3"/>
  <c r="AB184" i="3"/>
  <c r="N184" i="3"/>
  <c r="M184" i="3"/>
  <c r="O184" i="3"/>
  <c r="AE192" i="3"/>
  <c r="AD192" i="3"/>
  <c r="AC192" i="3"/>
  <c r="AB192" i="3"/>
  <c r="N192" i="3"/>
  <c r="M192" i="3"/>
  <c r="O192" i="3"/>
  <c r="AE200" i="3"/>
  <c r="AD200" i="3"/>
  <c r="AC200" i="3"/>
  <c r="AB200" i="3"/>
  <c r="N200" i="3"/>
  <c r="M200" i="3"/>
  <c r="O200" i="3"/>
  <c r="AE208" i="3"/>
  <c r="AD208" i="3"/>
  <c r="AC208" i="3"/>
  <c r="AB208" i="3"/>
  <c r="N208" i="3"/>
  <c r="M208" i="3"/>
  <c r="O208" i="3"/>
  <c r="AD216" i="3"/>
  <c r="AE216" i="3"/>
  <c r="AC216" i="3"/>
  <c r="AB216" i="3"/>
  <c r="N216" i="3"/>
  <c r="M216" i="3"/>
  <c r="O216" i="3"/>
  <c r="AE224" i="3"/>
  <c r="AD224" i="3"/>
  <c r="AC224" i="3"/>
  <c r="AB224" i="3"/>
  <c r="N224" i="3"/>
  <c r="M224" i="3"/>
  <c r="O224" i="3"/>
  <c r="AE232" i="3"/>
  <c r="AD232" i="3"/>
  <c r="AC232" i="3"/>
  <c r="AB232" i="3"/>
  <c r="N232" i="3"/>
  <c r="M232" i="3"/>
  <c r="O232" i="3"/>
  <c r="AE240" i="3"/>
  <c r="AD240" i="3"/>
  <c r="AC240" i="3"/>
  <c r="AB240" i="3"/>
  <c r="N240" i="3"/>
  <c r="M240" i="3"/>
  <c r="O240" i="3"/>
  <c r="AD248" i="3"/>
  <c r="AC248" i="3"/>
  <c r="AE248" i="3"/>
  <c r="AB248" i="3"/>
  <c r="N248" i="3"/>
  <c r="M248" i="3"/>
  <c r="O248" i="3"/>
  <c r="AE256" i="3"/>
  <c r="AD256" i="3"/>
  <c r="AC256" i="3"/>
  <c r="AB256" i="3"/>
  <c r="N256" i="3"/>
  <c r="M256" i="3"/>
  <c r="O256" i="3"/>
  <c r="AE264" i="3"/>
  <c r="AD264" i="3"/>
  <c r="AC264" i="3"/>
  <c r="AB264" i="3"/>
  <c r="N264" i="3"/>
  <c r="M264" i="3"/>
  <c r="O264" i="3"/>
  <c r="AE272" i="3"/>
  <c r="AD272" i="3"/>
  <c r="AC272" i="3"/>
  <c r="N272" i="3"/>
  <c r="M272" i="3"/>
  <c r="AB272" i="3"/>
  <c r="O272" i="3"/>
  <c r="AD280" i="3"/>
  <c r="AE280" i="3"/>
  <c r="AC280" i="3"/>
  <c r="AB280" i="3"/>
  <c r="N280" i="3"/>
  <c r="M280" i="3"/>
  <c r="O280" i="3"/>
  <c r="AE288" i="3"/>
  <c r="AB288" i="3"/>
  <c r="AD288" i="3"/>
  <c r="N288" i="3"/>
  <c r="AC288" i="3"/>
  <c r="M288" i="3"/>
  <c r="O288" i="3"/>
  <c r="AD296" i="3"/>
  <c r="AE296" i="3"/>
  <c r="AC296" i="3"/>
  <c r="AB296" i="3"/>
  <c r="N296" i="3"/>
  <c r="M296" i="3"/>
  <c r="O296" i="3"/>
  <c r="AE304" i="3"/>
  <c r="AD304" i="3"/>
  <c r="AC304" i="3"/>
  <c r="AB304" i="3"/>
  <c r="N304" i="3"/>
  <c r="M304" i="3"/>
  <c r="O304" i="3"/>
  <c r="AE312" i="3"/>
  <c r="AD312" i="3"/>
  <c r="AC312" i="3"/>
  <c r="AB312" i="3"/>
  <c r="N312" i="3"/>
  <c r="M312" i="3"/>
  <c r="O312" i="3"/>
  <c r="AE320" i="3"/>
  <c r="AD320" i="3"/>
  <c r="AB320" i="3"/>
  <c r="AC320" i="3"/>
  <c r="N320" i="3"/>
  <c r="M320" i="3"/>
  <c r="O320" i="3"/>
  <c r="AE328" i="3"/>
  <c r="AD328" i="3"/>
  <c r="AC328" i="3"/>
  <c r="N328" i="3"/>
  <c r="AB328" i="3"/>
  <c r="M328" i="3"/>
  <c r="O328" i="3"/>
  <c r="AE336" i="3"/>
  <c r="AD336" i="3"/>
  <c r="AC336" i="3"/>
  <c r="AB336" i="3"/>
  <c r="N336" i="3"/>
  <c r="M336" i="3"/>
  <c r="O336" i="3"/>
  <c r="AE344" i="3"/>
  <c r="AD344" i="3"/>
  <c r="AC344" i="3"/>
  <c r="AB344" i="3"/>
  <c r="N344" i="3"/>
  <c r="M344" i="3"/>
  <c r="O344" i="3"/>
  <c r="AE352" i="3"/>
  <c r="AD352" i="3"/>
  <c r="AC352" i="3"/>
  <c r="AB352" i="3"/>
  <c r="N352" i="3"/>
  <c r="M352" i="3"/>
  <c r="O352" i="3"/>
  <c r="AE360" i="3"/>
  <c r="AD360" i="3"/>
  <c r="AC360" i="3"/>
  <c r="N360" i="3"/>
  <c r="AB360" i="3"/>
  <c r="M360" i="3"/>
  <c r="O360" i="3"/>
  <c r="AE368" i="3"/>
  <c r="AD368" i="3"/>
  <c r="AC368" i="3"/>
  <c r="AB368" i="3"/>
  <c r="N368" i="3"/>
  <c r="M368" i="3"/>
  <c r="O368" i="3"/>
  <c r="AE376" i="3"/>
  <c r="AD376" i="3"/>
  <c r="AB376" i="3"/>
  <c r="N376" i="3"/>
  <c r="M376" i="3"/>
  <c r="AC376" i="3"/>
  <c r="O376" i="3"/>
  <c r="AE384" i="3"/>
  <c r="AD384" i="3"/>
  <c r="AC384" i="3"/>
  <c r="AB384" i="3"/>
  <c r="M384" i="3"/>
  <c r="O384" i="3"/>
  <c r="N384" i="3"/>
  <c r="AE392" i="3"/>
  <c r="AD392" i="3"/>
  <c r="AC392" i="3"/>
  <c r="AB392" i="3"/>
  <c r="N392" i="3"/>
  <c r="M392" i="3"/>
  <c r="O392" i="3"/>
  <c r="AE400" i="3"/>
  <c r="AD400" i="3"/>
  <c r="AC400" i="3"/>
  <c r="AB400" i="3"/>
  <c r="M400" i="3"/>
  <c r="N400" i="3"/>
  <c r="O400" i="3"/>
  <c r="AE408" i="3"/>
  <c r="AD408" i="3"/>
  <c r="AC408" i="3"/>
  <c r="N408" i="3"/>
  <c r="M408" i="3"/>
  <c r="O408" i="3"/>
  <c r="AB408" i="3"/>
  <c r="AE416" i="3"/>
  <c r="AD416" i="3"/>
  <c r="AB416" i="3"/>
  <c r="AC416" i="3"/>
  <c r="N416" i="3"/>
  <c r="M416" i="3"/>
  <c r="O416" i="3"/>
  <c r="AE424" i="3"/>
  <c r="AD424" i="3"/>
  <c r="AC424" i="3"/>
  <c r="AB424" i="3"/>
  <c r="M424" i="3"/>
  <c r="N424" i="3"/>
  <c r="O424" i="3"/>
  <c r="AE432" i="3"/>
  <c r="AD432" i="3"/>
  <c r="AB432" i="3"/>
  <c r="AC432" i="3"/>
  <c r="N432" i="3"/>
  <c r="M432" i="3"/>
  <c r="O432" i="3"/>
  <c r="AE440" i="3"/>
  <c r="AD440" i="3"/>
  <c r="AB440" i="3"/>
  <c r="AC440" i="3"/>
  <c r="M440" i="3"/>
  <c r="N440" i="3"/>
  <c r="O440" i="3"/>
  <c r="AE448" i="3"/>
  <c r="AD448" i="3"/>
  <c r="AC448" i="3"/>
  <c r="AB448" i="3"/>
  <c r="M448" i="3"/>
  <c r="N448" i="3"/>
  <c r="O448" i="3"/>
  <c r="AE456" i="3"/>
  <c r="AD456" i="3"/>
  <c r="AC456" i="3"/>
  <c r="AB456" i="3"/>
  <c r="N456" i="3"/>
  <c r="M456" i="3"/>
  <c r="O456" i="3"/>
  <c r="AE464" i="3"/>
  <c r="AD464" i="3"/>
  <c r="AC464" i="3"/>
  <c r="AB464" i="3"/>
  <c r="N464" i="3"/>
  <c r="M464" i="3"/>
  <c r="O464" i="3"/>
  <c r="AE472" i="3"/>
  <c r="AD472" i="3"/>
  <c r="AC472" i="3"/>
  <c r="AB472" i="3"/>
  <c r="N472" i="3"/>
  <c r="M472" i="3"/>
  <c r="O472" i="3"/>
  <c r="AE480" i="3"/>
  <c r="AD480" i="3"/>
  <c r="AB480" i="3"/>
  <c r="N480" i="3"/>
  <c r="AC480" i="3"/>
  <c r="M480" i="3"/>
  <c r="O480" i="3"/>
  <c r="AE488" i="3"/>
  <c r="AD488" i="3"/>
  <c r="AC488" i="3"/>
  <c r="AB488" i="3"/>
  <c r="N488" i="3"/>
  <c r="M488" i="3"/>
  <c r="O488" i="3"/>
  <c r="AE496" i="3"/>
  <c r="AD496" i="3"/>
  <c r="AB496" i="3"/>
  <c r="N496" i="3"/>
  <c r="AC496" i="3"/>
  <c r="M496" i="3"/>
  <c r="O496" i="3"/>
  <c r="AE13" i="3"/>
  <c r="AE5" i="3"/>
  <c r="AE11" i="3"/>
  <c r="AE10" i="3"/>
  <c r="AE9" i="3"/>
  <c r="AE7" i="3"/>
  <c r="AE6" i="3"/>
  <c r="AE12" i="3"/>
  <c r="AD13" i="3"/>
  <c r="AD5" i="3"/>
  <c r="AE8" i="3"/>
  <c r="AD12" i="3"/>
  <c r="AD10" i="3"/>
  <c r="AD8" i="3"/>
  <c r="AC10" i="3"/>
  <c r="AC9" i="3"/>
  <c r="AC8" i="3"/>
  <c r="AC7" i="3"/>
  <c r="AD9" i="3"/>
  <c r="AC13" i="3"/>
  <c r="AC5" i="3"/>
  <c r="AD7" i="3"/>
  <c r="AC11" i="3"/>
  <c r="AB13" i="3"/>
  <c r="AB5" i="3"/>
  <c r="AD6" i="3"/>
  <c r="AC6" i="3"/>
  <c r="AB12" i="3"/>
  <c r="AB10" i="3"/>
  <c r="AB9" i="3"/>
  <c r="AB8" i="3"/>
  <c r="AB6" i="3"/>
  <c r="AC12" i="3"/>
  <c r="N9" i="3"/>
  <c r="N7" i="3"/>
  <c r="N13" i="3"/>
  <c r="N5" i="3"/>
  <c r="AB11" i="3"/>
  <c r="N12" i="3"/>
  <c r="M9" i="3"/>
  <c r="M8" i="3"/>
  <c r="N11" i="3"/>
  <c r="M7" i="3"/>
  <c r="AD11" i="3"/>
  <c r="AB7" i="3"/>
  <c r="N10" i="3"/>
  <c r="M6" i="3"/>
  <c r="N8" i="3"/>
  <c r="N6" i="3"/>
  <c r="M12" i="3"/>
  <c r="M11" i="3"/>
  <c r="M5" i="3"/>
  <c r="M13" i="3"/>
  <c r="M10" i="3"/>
  <c r="AE57" i="3"/>
  <c r="AD57" i="3"/>
  <c r="AC57" i="3"/>
  <c r="AB57" i="3"/>
  <c r="N57" i="3"/>
  <c r="M57" i="3"/>
  <c r="O57" i="3"/>
  <c r="AE65" i="3"/>
  <c r="AC65" i="3"/>
  <c r="AD65" i="3"/>
  <c r="AB65" i="3"/>
  <c r="N65" i="3"/>
  <c r="M65" i="3"/>
  <c r="O65" i="3"/>
  <c r="AE73" i="3"/>
  <c r="AD73" i="3"/>
  <c r="AC73" i="3"/>
  <c r="AB73" i="3"/>
  <c r="N73" i="3"/>
  <c r="M73" i="3"/>
  <c r="O73" i="3"/>
  <c r="AE81" i="3"/>
  <c r="AC81" i="3"/>
  <c r="AD81" i="3"/>
  <c r="AB81" i="3"/>
  <c r="N81" i="3"/>
  <c r="M81" i="3"/>
  <c r="O81" i="3"/>
  <c r="AE89" i="3"/>
  <c r="AD89" i="3"/>
  <c r="AC89" i="3"/>
  <c r="AB89" i="3"/>
  <c r="N89" i="3"/>
  <c r="M89" i="3"/>
  <c r="O89" i="3"/>
  <c r="AE97" i="3"/>
  <c r="AC97" i="3"/>
  <c r="AD97" i="3"/>
  <c r="AB97" i="3"/>
  <c r="N97" i="3"/>
  <c r="M97" i="3"/>
  <c r="O97" i="3"/>
  <c r="AE105" i="3"/>
  <c r="AD105" i="3"/>
  <c r="AC105" i="3"/>
  <c r="AB105" i="3"/>
  <c r="N105" i="3"/>
  <c r="M105" i="3"/>
  <c r="O105" i="3"/>
  <c r="AE113" i="3"/>
  <c r="AC113" i="3"/>
  <c r="AD113" i="3"/>
  <c r="AB113" i="3"/>
  <c r="N113" i="3"/>
  <c r="M113" i="3"/>
  <c r="O113" i="3"/>
  <c r="AE121" i="3"/>
  <c r="AD121" i="3"/>
  <c r="AC121" i="3"/>
  <c r="AB121" i="3"/>
  <c r="N121" i="3"/>
  <c r="M121" i="3"/>
  <c r="O121" i="3"/>
  <c r="AE129" i="3"/>
  <c r="AC129" i="3"/>
  <c r="AD129" i="3"/>
  <c r="AB129" i="3"/>
  <c r="N129" i="3"/>
  <c r="M129" i="3"/>
  <c r="O129" i="3"/>
  <c r="AE137" i="3"/>
  <c r="AD137" i="3"/>
  <c r="AC137" i="3"/>
  <c r="AB137" i="3"/>
  <c r="N137" i="3"/>
  <c r="M137" i="3"/>
  <c r="O137" i="3"/>
  <c r="AE145" i="3"/>
  <c r="AC145" i="3"/>
  <c r="AD145" i="3"/>
  <c r="AB145" i="3"/>
  <c r="N145" i="3"/>
  <c r="M145" i="3"/>
  <c r="O145" i="3"/>
  <c r="AE153" i="3"/>
  <c r="AD153" i="3"/>
  <c r="AC153" i="3"/>
  <c r="AB153" i="3"/>
  <c r="N153" i="3"/>
  <c r="M153" i="3"/>
  <c r="O153" i="3"/>
  <c r="AE161" i="3"/>
  <c r="AC161" i="3"/>
  <c r="AD161" i="3"/>
  <c r="AB161" i="3"/>
  <c r="N161" i="3"/>
  <c r="M161" i="3"/>
  <c r="O161" i="3"/>
  <c r="AE169" i="3"/>
  <c r="AD169" i="3"/>
  <c r="AC169" i="3"/>
  <c r="AB169" i="3"/>
  <c r="N169" i="3"/>
  <c r="M169" i="3"/>
  <c r="O169" i="3"/>
  <c r="AE177" i="3"/>
  <c r="AC177" i="3"/>
  <c r="AD177" i="3"/>
  <c r="AB177" i="3"/>
  <c r="N177" i="3"/>
  <c r="M177" i="3"/>
  <c r="O177" i="3"/>
  <c r="AE185" i="3"/>
  <c r="AD185" i="3"/>
  <c r="AC185" i="3"/>
  <c r="AB185" i="3"/>
  <c r="N185" i="3"/>
  <c r="M185" i="3"/>
  <c r="O185" i="3"/>
  <c r="AE193" i="3"/>
  <c r="AC193" i="3"/>
  <c r="AD193" i="3"/>
  <c r="AB193" i="3"/>
  <c r="N193" i="3"/>
  <c r="M193" i="3"/>
  <c r="O193" i="3"/>
  <c r="AE201" i="3"/>
  <c r="AD201" i="3"/>
  <c r="AC201" i="3"/>
  <c r="AB201" i="3"/>
  <c r="N201" i="3"/>
  <c r="M201" i="3"/>
  <c r="O201" i="3"/>
  <c r="AE209" i="3"/>
  <c r="AD209" i="3"/>
  <c r="AB209" i="3"/>
  <c r="AC209" i="3"/>
  <c r="N209" i="3"/>
  <c r="M209" i="3"/>
  <c r="O209" i="3"/>
  <c r="AE217" i="3"/>
  <c r="AD217" i="3"/>
  <c r="AC217" i="3"/>
  <c r="AB217" i="3"/>
  <c r="N217" i="3"/>
  <c r="M217" i="3"/>
  <c r="O217" i="3"/>
  <c r="AE225" i="3"/>
  <c r="AD225" i="3"/>
  <c r="AC225" i="3"/>
  <c r="AB225" i="3"/>
  <c r="N225" i="3"/>
  <c r="M225" i="3"/>
  <c r="O225" i="3"/>
  <c r="AE233" i="3"/>
  <c r="AC233" i="3"/>
  <c r="AD233" i="3"/>
  <c r="AB233" i="3"/>
  <c r="N233" i="3"/>
  <c r="M233" i="3"/>
  <c r="O233" i="3"/>
  <c r="AE241" i="3"/>
  <c r="AC241" i="3"/>
  <c r="AD241" i="3"/>
  <c r="AB241" i="3"/>
  <c r="N241" i="3"/>
  <c r="M241" i="3"/>
  <c r="O241" i="3"/>
  <c r="AE249" i="3"/>
  <c r="AD249" i="3"/>
  <c r="AC249" i="3"/>
  <c r="AB249" i="3"/>
  <c r="N249" i="3"/>
  <c r="M249" i="3"/>
  <c r="O249" i="3"/>
  <c r="AE257" i="3"/>
  <c r="AD257" i="3"/>
  <c r="AB257" i="3"/>
  <c r="N257" i="3"/>
  <c r="M257" i="3"/>
  <c r="AC257" i="3"/>
  <c r="O257" i="3"/>
  <c r="AE265" i="3"/>
  <c r="AC265" i="3"/>
  <c r="AD265" i="3"/>
  <c r="AB265" i="3"/>
  <c r="N265" i="3"/>
  <c r="M265" i="3"/>
  <c r="O265" i="3"/>
  <c r="AE273" i="3"/>
  <c r="AC273" i="3"/>
  <c r="AD273" i="3"/>
  <c r="N273" i="3"/>
  <c r="AB273" i="3"/>
  <c r="M273" i="3"/>
  <c r="O273" i="3"/>
  <c r="AE281" i="3"/>
  <c r="AD281" i="3"/>
  <c r="AC281" i="3"/>
  <c r="N281" i="3"/>
  <c r="AB281" i="3"/>
  <c r="M281" i="3"/>
  <c r="O281" i="3"/>
  <c r="AE289" i="3"/>
  <c r="AB289" i="3"/>
  <c r="AD289" i="3"/>
  <c r="N289" i="3"/>
  <c r="M289" i="3"/>
  <c r="AC289" i="3"/>
  <c r="O289" i="3"/>
  <c r="AE297" i="3"/>
  <c r="AD297" i="3"/>
  <c r="AC297" i="3"/>
  <c r="AB297" i="3"/>
  <c r="N297" i="3"/>
  <c r="M297" i="3"/>
  <c r="O297" i="3"/>
  <c r="AE305" i="3"/>
  <c r="AD305" i="3"/>
  <c r="AC305" i="3"/>
  <c r="AB305" i="3"/>
  <c r="N305" i="3"/>
  <c r="M305" i="3"/>
  <c r="O305" i="3"/>
  <c r="AE313" i="3"/>
  <c r="AD313" i="3"/>
  <c r="AB313" i="3"/>
  <c r="N313" i="3"/>
  <c r="AC313" i="3"/>
  <c r="M313" i="3"/>
  <c r="O313" i="3"/>
  <c r="AE321" i="3"/>
  <c r="AB321" i="3"/>
  <c r="AC321" i="3"/>
  <c r="N321" i="3"/>
  <c r="AD321" i="3"/>
  <c r="M321" i="3"/>
  <c r="O321" i="3"/>
  <c r="AE329" i="3"/>
  <c r="AD329" i="3"/>
  <c r="AC329" i="3"/>
  <c r="N329" i="3"/>
  <c r="AB329" i="3"/>
  <c r="M329" i="3"/>
  <c r="O329" i="3"/>
  <c r="AE337" i="3"/>
  <c r="AD337" i="3"/>
  <c r="AC337" i="3"/>
  <c r="AB337" i="3"/>
  <c r="N337" i="3"/>
  <c r="M337" i="3"/>
  <c r="O337" i="3"/>
  <c r="AE345" i="3"/>
  <c r="AD345" i="3"/>
  <c r="AB345" i="3"/>
  <c r="AC345" i="3"/>
  <c r="N345" i="3"/>
  <c r="M345" i="3"/>
  <c r="O345" i="3"/>
  <c r="AE353" i="3"/>
  <c r="AD353" i="3"/>
  <c r="AC353" i="3"/>
  <c r="AB353" i="3"/>
  <c r="N353" i="3"/>
  <c r="M353" i="3"/>
  <c r="O353" i="3"/>
  <c r="AE361" i="3"/>
  <c r="AD361" i="3"/>
  <c r="AC361" i="3"/>
  <c r="N361" i="3"/>
  <c r="AB361" i="3"/>
  <c r="M361" i="3"/>
  <c r="O361" i="3"/>
  <c r="AE369" i="3"/>
  <c r="AD369" i="3"/>
  <c r="AC369" i="3"/>
  <c r="AB369" i="3"/>
  <c r="N369" i="3"/>
  <c r="M369" i="3"/>
  <c r="O369" i="3"/>
  <c r="AE377" i="3"/>
  <c r="AD377" i="3"/>
  <c r="AC377" i="3"/>
  <c r="AB377" i="3"/>
  <c r="N377" i="3"/>
  <c r="M377" i="3"/>
  <c r="O377" i="3"/>
  <c r="AE385" i="3"/>
  <c r="AD385" i="3"/>
  <c r="AC385" i="3"/>
  <c r="AB385" i="3"/>
  <c r="N385" i="3"/>
  <c r="M385" i="3"/>
  <c r="O385" i="3"/>
  <c r="AE393" i="3"/>
  <c r="AD393" i="3"/>
  <c r="AC393" i="3"/>
  <c r="N393" i="3"/>
  <c r="AB393" i="3"/>
  <c r="M393" i="3"/>
  <c r="O393" i="3"/>
  <c r="AE401" i="3"/>
  <c r="AD401" i="3"/>
  <c r="AC401" i="3"/>
  <c r="AB401" i="3"/>
  <c r="N401" i="3"/>
  <c r="M401" i="3"/>
  <c r="O401" i="3"/>
  <c r="AE409" i="3"/>
  <c r="AD409" i="3"/>
  <c r="AC409" i="3"/>
  <c r="AB409" i="3"/>
  <c r="N409" i="3"/>
  <c r="M409" i="3"/>
  <c r="O409" i="3"/>
  <c r="AE417" i="3"/>
  <c r="AD417" i="3"/>
  <c r="AC417" i="3"/>
  <c r="AB417" i="3"/>
  <c r="N417" i="3"/>
  <c r="M417" i="3"/>
  <c r="O417" i="3"/>
  <c r="AE425" i="3"/>
  <c r="AD425" i="3"/>
  <c r="AC425" i="3"/>
  <c r="AB425" i="3"/>
  <c r="N425" i="3"/>
  <c r="M425" i="3"/>
  <c r="O425" i="3"/>
  <c r="AE433" i="3"/>
  <c r="AD433" i="3"/>
  <c r="AC433" i="3"/>
  <c r="AB433" i="3"/>
  <c r="N433" i="3"/>
  <c r="M433" i="3"/>
  <c r="O433" i="3"/>
  <c r="AE441" i="3"/>
  <c r="AD441" i="3"/>
  <c r="AC441" i="3"/>
  <c r="AB441" i="3"/>
  <c r="N441" i="3"/>
  <c r="M441" i="3"/>
  <c r="O441" i="3"/>
  <c r="AE449" i="3"/>
  <c r="AD449" i="3"/>
  <c r="AC449" i="3"/>
  <c r="AB449" i="3"/>
  <c r="N449" i="3"/>
  <c r="M449" i="3"/>
  <c r="O449" i="3"/>
  <c r="AE457" i="3"/>
  <c r="AD457" i="3"/>
  <c r="AC457" i="3"/>
  <c r="AB457" i="3"/>
  <c r="N457" i="3"/>
  <c r="M457" i="3"/>
  <c r="O457" i="3"/>
  <c r="AE465" i="3"/>
  <c r="AD465" i="3"/>
  <c r="AC465" i="3"/>
  <c r="AB465" i="3"/>
  <c r="N465" i="3"/>
  <c r="M465" i="3"/>
  <c r="O465" i="3"/>
  <c r="AE473" i="3"/>
  <c r="AD473" i="3"/>
  <c r="AC473" i="3"/>
  <c r="AB473" i="3"/>
  <c r="N473" i="3"/>
  <c r="M473" i="3"/>
  <c r="O473" i="3"/>
  <c r="AE481" i="3"/>
  <c r="AD481" i="3"/>
  <c r="AC481" i="3"/>
  <c r="AB481" i="3"/>
  <c r="N481" i="3"/>
  <c r="M481" i="3"/>
  <c r="O481" i="3"/>
  <c r="AE489" i="3"/>
  <c r="AD489" i="3"/>
  <c r="AC489" i="3"/>
  <c r="N489" i="3"/>
  <c r="AB489" i="3"/>
  <c r="M489" i="3"/>
  <c r="O489" i="3"/>
  <c r="AE497" i="3"/>
  <c r="AD497" i="3"/>
  <c r="AC497" i="3"/>
  <c r="AB497" i="3"/>
  <c r="N497" i="3"/>
  <c r="M497" i="3"/>
  <c r="O497" i="3"/>
  <c r="G33" i="1"/>
  <c r="G41" i="1"/>
  <c r="G49" i="1"/>
  <c r="I36" i="1"/>
  <c r="I44" i="1"/>
  <c r="I52" i="1"/>
  <c r="G34" i="1"/>
  <c r="G42" i="1"/>
  <c r="G50" i="1"/>
  <c r="L11" i="3"/>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Y75" i="3"/>
  <c r="W139" i="3"/>
  <c r="Y195" i="3"/>
  <c r="W251" i="3"/>
  <c r="X299" i="3"/>
  <c r="Q331" i="3"/>
  <c r="Y371" i="3"/>
  <c r="W411" i="3"/>
  <c r="Y459" i="3"/>
  <c r="Y60" i="3"/>
  <c r="W68" i="3"/>
  <c r="AA76" i="3"/>
  <c r="W84" i="3"/>
  <c r="Y92" i="3"/>
  <c r="V100" i="3"/>
  <c r="Z108" i="3"/>
  <c r="W116" i="3"/>
  <c r="Y124" i="3"/>
  <c r="AA132" i="3"/>
  <c r="Z140" i="3"/>
  <c r="Y156" i="3"/>
  <c r="X164" i="3"/>
  <c r="W172" i="3"/>
  <c r="Z180" i="3"/>
  <c r="Y188" i="3"/>
  <c r="W196" i="3"/>
  <c r="X204" i="3"/>
  <c r="Z212" i="3"/>
  <c r="Y220" i="3"/>
  <c r="W228" i="3"/>
  <c r="W236" i="3"/>
  <c r="V244" i="3"/>
  <c r="Z252" i="3"/>
  <c r="W260" i="3"/>
  <c r="AA268" i="3"/>
  <c r="AA284" i="3"/>
  <c r="W292" i="3"/>
  <c r="W300" i="3"/>
  <c r="X308" i="3"/>
  <c r="W324" i="3"/>
  <c r="X332" i="3"/>
  <c r="W340" i="3"/>
  <c r="X356" i="3"/>
  <c r="X364" i="3"/>
  <c r="AA372" i="3"/>
  <c r="V380" i="3"/>
  <c r="Y388" i="3"/>
  <c r="V396" i="3"/>
  <c r="Y404" i="3"/>
  <c r="Y420" i="3"/>
  <c r="V428" i="3"/>
  <c r="V436" i="3"/>
  <c r="V444" i="3"/>
  <c r="Q452" i="3"/>
  <c r="Y460" i="3"/>
  <c r="W492" i="3"/>
  <c r="W500" i="3"/>
  <c r="Q67" i="3"/>
  <c r="Y131" i="3"/>
  <c r="AA187" i="3"/>
  <c r="W243" i="3"/>
  <c r="X283" i="3"/>
  <c r="X339" i="3"/>
  <c r="Y395" i="3"/>
  <c r="AA443" i="3"/>
  <c r="X475" i="3"/>
  <c r="X61" i="3"/>
  <c r="Y69" i="3"/>
  <c r="X77" i="3"/>
  <c r="X85" i="3"/>
  <c r="X93" i="3"/>
  <c r="Z101" i="3"/>
  <c r="Z109" i="3"/>
  <c r="Z117" i="3"/>
  <c r="X125" i="3"/>
  <c r="W141" i="3"/>
  <c r="Y149" i="3"/>
  <c r="Y165" i="3"/>
  <c r="X173" i="3"/>
  <c r="AA181" i="3"/>
  <c r="Y189" i="3"/>
  <c r="X205" i="3"/>
  <c r="Z213" i="3"/>
  <c r="AA221" i="3"/>
  <c r="Y237" i="3"/>
  <c r="Y253" i="3"/>
  <c r="X269" i="3"/>
  <c r="Y277" i="3"/>
  <c r="Y293" i="3"/>
  <c r="Y301" i="3"/>
  <c r="X309" i="3"/>
  <c r="X317" i="3"/>
  <c r="Y325" i="3"/>
  <c r="AA333" i="3"/>
  <c r="Y341" i="3"/>
  <c r="X349" i="3"/>
  <c r="Y357" i="3"/>
  <c r="W365" i="3"/>
  <c r="V381" i="3"/>
  <c r="V389" i="3"/>
  <c r="X397" i="3"/>
  <c r="V405" i="3"/>
  <c r="X413" i="3"/>
  <c r="W453" i="3"/>
  <c r="W461" i="3"/>
  <c r="Y469" i="3"/>
  <c r="Y477" i="3"/>
  <c r="Y107" i="3"/>
  <c r="X155" i="3"/>
  <c r="Y211" i="3"/>
  <c r="X275" i="3"/>
  <c r="W355" i="3"/>
  <c r="W435" i="3"/>
  <c r="X54" i="3"/>
  <c r="Y62" i="3"/>
  <c r="X70" i="3"/>
  <c r="W86" i="3"/>
  <c r="Y110" i="3"/>
  <c r="X118" i="3"/>
  <c r="Y126" i="3"/>
  <c r="V166" i="3"/>
  <c r="Y174" i="3"/>
  <c r="X190" i="3"/>
  <c r="Z198" i="3"/>
  <c r="V230" i="3"/>
  <c r="Y246" i="3"/>
  <c r="X254" i="3"/>
  <c r="V262" i="3"/>
  <c r="X278" i="3"/>
  <c r="V294" i="3"/>
  <c r="X310" i="3"/>
  <c r="V318" i="3"/>
  <c r="Z382" i="3"/>
  <c r="W430" i="3"/>
  <c r="W470" i="3"/>
  <c r="Y494" i="3"/>
  <c r="AE502" i="3"/>
  <c r="AA59" i="3"/>
  <c r="Y115" i="3"/>
  <c r="Q171" i="3"/>
  <c r="X219" i="3"/>
  <c r="Y291" i="3"/>
  <c r="X363" i="3"/>
  <c r="W451" i="3"/>
  <c r="V499" i="3"/>
  <c r="X79" i="3"/>
  <c r="AA87" i="3"/>
  <c r="W143" i="3"/>
  <c r="Y183" i="3"/>
  <c r="AA239" i="3"/>
  <c r="Y287" i="3"/>
  <c r="W303" i="3"/>
  <c r="Y343" i="3"/>
  <c r="Z423" i="3"/>
  <c r="V439" i="3"/>
  <c r="X487" i="3"/>
  <c r="Y83" i="3"/>
  <c r="Y123" i="3"/>
  <c r="W179" i="3"/>
  <c r="Y227" i="3"/>
  <c r="W267" i="3"/>
  <c r="W323" i="3"/>
  <c r="X379" i="3"/>
  <c r="V419" i="3"/>
  <c r="Z483" i="3"/>
  <c r="Y56" i="3"/>
  <c r="AA72" i="3"/>
  <c r="AA88" i="3"/>
  <c r="Y96" i="3"/>
  <c r="W104" i="3"/>
  <c r="Y120" i="3"/>
  <c r="AA128" i="3"/>
  <c r="V144" i="3"/>
  <c r="Y152" i="3"/>
  <c r="Y176" i="3"/>
  <c r="V184" i="3"/>
  <c r="Y192" i="3"/>
  <c r="X216" i="3"/>
  <c r="X232" i="3"/>
  <c r="W248" i="3"/>
  <c r="Y272" i="3"/>
  <c r="W280" i="3"/>
  <c r="AA296" i="3"/>
  <c r="Y304" i="3"/>
  <c r="X320" i="3"/>
  <c r="X328" i="3"/>
  <c r="Z344" i="3"/>
  <c r="W352" i="3"/>
  <c r="V368" i="3"/>
  <c r="V384" i="3"/>
  <c r="Z392" i="3"/>
  <c r="Y432" i="3"/>
  <c r="V488" i="3"/>
  <c r="Y99" i="3"/>
  <c r="W147" i="3"/>
  <c r="AA203" i="3"/>
  <c r="X259" i="3"/>
  <c r="W307" i="3"/>
  <c r="X347" i="3"/>
  <c r="V387" i="3"/>
  <c r="Z427" i="3"/>
  <c r="X467" i="3"/>
  <c r="Q57" i="3"/>
  <c r="Y81" i="3"/>
  <c r="Y97" i="3"/>
  <c r="Q113" i="3"/>
  <c r="AA129" i="3"/>
  <c r="AA145" i="3"/>
  <c r="W153" i="3"/>
  <c r="Y161" i="3"/>
  <c r="Y177" i="3"/>
  <c r="AA185" i="3"/>
  <c r="X193" i="3"/>
  <c r="Z201" i="3"/>
  <c r="Q209" i="3"/>
  <c r="Q217" i="3"/>
  <c r="Y225" i="3"/>
  <c r="AA241" i="3"/>
  <c r="AA249" i="3"/>
  <c r="AA257" i="3"/>
  <c r="W281" i="3"/>
  <c r="Y289" i="3"/>
  <c r="X305" i="3"/>
  <c r="AA313" i="3"/>
  <c r="Y321" i="3"/>
  <c r="Y329" i="3"/>
  <c r="Y345" i="3"/>
  <c r="Y361" i="3"/>
  <c r="Q369" i="3"/>
  <c r="V377" i="3"/>
  <c r="X385" i="3"/>
  <c r="V393" i="3"/>
  <c r="X401" i="3"/>
  <c r="X409" i="3"/>
  <c r="Y417" i="3"/>
  <c r="Y425" i="3"/>
  <c r="Q433" i="3"/>
  <c r="V449" i="3"/>
  <c r="V465" i="3"/>
  <c r="Y481" i="3"/>
  <c r="Y91" i="3"/>
  <c r="Q163" i="3"/>
  <c r="Q235" i="3"/>
  <c r="Q315" i="3"/>
  <c r="Y403" i="3"/>
  <c r="V491" i="3"/>
  <c r="X58" i="3"/>
  <c r="V66" i="3"/>
  <c r="Y74" i="3"/>
  <c r="AA82" i="3"/>
  <c r="Q90" i="3"/>
  <c r="Y98" i="3"/>
  <c r="Y106" i="3"/>
  <c r="W114" i="3"/>
  <c r="Y122" i="3"/>
  <c r="Y130" i="3"/>
  <c r="Y138" i="3"/>
  <c r="W146" i="3"/>
  <c r="W154" i="3"/>
  <c r="V162" i="3"/>
  <c r="X170" i="3"/>
  <c r="W178" i="3"/>
  <c r="Z186" i="3"/>
  <c r="W194" i="3"/>
  <c r="V202" i="3"/>
  <c r="W210" i="3"/>
  <c r="Q218" i="3"/>
  <c r="V226" i="3"/>
  <c r="Y234" i="3"/>
  <c r="W242" i="3"/>
  <c r="Y250" i="3"/>
  <c r="W258" i="3"/>
  <c r="Y266" i="3"/>
  <c r="W274" i="3"/>
  <c r="Q282" i="3"/>
  <c r="W290" i="3"/>
  <c r="Z298" i="3"/>
  <c r="Z306" i="3"/>
  <c r="Y314" i="3"/>
  <c r="X322" i="3"/>
  <c r="X330" i="3"/>
  <c r="X338" i="3"/>
  <c r="X346" i="3"/>
  <c r="X354" i="3"/>
  <c r="X362" i="3"/>
  <c r="Y370" i="3"/>
  <c r="Y386" i="3"/>
  <c r="W402" i="3"/>
  <c r="Q418" i="3"/>
  <c r="W442" i="3"/>
  <c r="Z450" i="3"/>
  <c r="W458" i="3"/>
  <c r="Y466" i="3"/>
  <c r="W474" i="3"/>
  <c r="AA482" i="3"/>
  <c r="W498" i="3"/>
  <c r="G8" i="3"/>
  <c r="H9" i="3"/>
  <c r="I10" i="3"/>
  <c r="J11" i="3"/>
  <c r="L9" i="3"/>
  <c r="G7" i="3"/>
  <c r="H8" i="3"/>
  <c r="I9" i="3"/>
  <c r="J10" i="3"/>
  <c r="K7" i="3"/>
  <c r="L10" i="3"/>
  <c r="H7" i="3"/>
  <c r="I8" i="3"/>
  <c r="J9" i="3"/>
  <c r="D11" i="3"/>
  <c r="K8" i="3"/>
  <c r="I7" i="3"/>
  <c r="J8" i="3"/>
  <c r="D10" i="3"/>
  <c r="K9" i="3"/>
  <c r="J7" i="3"/>
  <c r="D9" i="3"/>
  <c r="K10" i="3"/>
  <c r="D8" i="3"/>
  <c r="G11" i="3"/>
  <c r="K11" i="3"/>
  <c r="D7" i="3"/>
  <c r="G10" i="3"/>
  <c r="H11" i="3"/>
  <c r="L7" i="3"/>
  <c r="G9" i="3"/>
  <c r="H10" i="3"/>
  <c r="I11" i="3"/>
  <c r="L8" i="3"/>
  <c r="G15" i="1"/>
  <c r="G23" i="1"/>
  <c r="I17" i="1"/>
  <c r="I25" i="1"/>
  <c r="Y58" i="3"/>
  <c r="W66" i="3"/>
  <c r="X72" i="3"/>
  <c r="W76" i="3"/>
  <c r="Y82" i="3"/>
  <c r="X90" i="3"/>
  <c r="W100" i="3"/>
  <c r="W107" i="3"/>
  <c r="Y114" i="3"/>
  <c r="V120" i="3"/>
  <c r="X123" i="3"/>
  <c r="W131" i="3"/>
  <c r="W140" i="3"/>
  <c r="X147" i="3"/>
  <c r="Y154" i="3"/>
  <c r="W162" i="3"/>
  <c r="Y170" i="3"/>
  <c r="V180" i="3"/>
  <c r="X186" i="3"/>
  <c r="W202" i="3"/>
  <c r="W211" i="3"/>
  <c r="W218" i="3"/>
  <c r="W226" i="3"/>
  <c r="W235" i="3"/>
  <c r="Y243" i="3"/>
  <c r="X251" i="3"/>
  <c r="Y259" i="3"/>
  <c r="W269" i="3"/>
  <c r="Y275" i="3"/>
  <c r="X284" i="3"/>
  <c r="X292" i="3"/>
  <c r="X301" i="3"/>
  <c r="V308" i="3"/>
  <c r="X315" i="3"/>
  <c r="W368" i="3"/>
  <c r="Y379" i="3"/>
  <c r="X411" i="3"/>
  <c r="X425" i="3"/>
  <c r="V443" i="3"/>
  <c r="X453" i="3"/>
  <c r="W467" i="3"/>
  <c r="V482" i="3"/>
  <c r="Y498" i="3"/>
  <c r="Z66" i="3"/>
  <c r="Z122" i="3"/>
  <c r="Z154" i="3"/>
  <c r="AA194" i="3"/>
  <c r="Z221" i="3"/>
  <c r="AA275" i="3"/>
  <c r="AA385" i="3"/>
  <c r="Z466" i="3"/>
  <c r="Q100" i="3"/>
  <c r="Q347" i="3"/>
  <c r="G16" i="1"/>
  <c r="G24" i="1"/>
  <c r="I10" i="1"/>
  <c r="I18" i="1"/>
  <c r="I26" i="1"/>
  <c r="W59" i="3"/>
  <c r="Y66" i="3"/>
  <c r="Y72" i="3"/>
  <c r="X76" i="3"/>
  <c r="W83" i="3"/>
  <c r="Y90" i="3"/>
  <c r="V98" i="3"/>
  <c r="X101" i="3"/>
  <c r="X107" i="3"/>
  <c r="W115" i="3"/>
  <c r="W120" i="3"/>
  <c r="W124" i="3"/>
  <c r="X131" i="3"/>
  <c r="X140" i="3"/>
  <c r="Y147" i="3"/>
  <c r="W155" i="3"/>
  <c r="W163" i="3"/>
  <c r="W171" i="3"/>
  <c r="W180" i="3"/>
  <c r="Y186" i="3"/>
  <c r="X202" i="3"/>
  <c r="X211" i="3"/>
  <c r="Y218" i="3"/>
  <c r="W227" i="3"/>
  <c r="X235" i="3"/>
  <c r="Y252" i="3"/>
  <c r="Y284" i="3"/>
  <c r="W317" i="3"/>
  <c r="W333" i="3"/>
  <c r="V354" i="3"/>
  <c r="V362" i="3"/>
  <c r="W370" i="3"/>
  <c r="W413" i="3"/>
  <c r="W427" i="3"/>
  <c r="W443" i="3"/>
  <c r="Y482" i="3"/>
  <c r="AA66" i="3"/>
  <c r="AA122" i="3"/>
  <c r="AA171" i="3"/>
  <c r="AA195" i="3"/>
  <c r="Z314" i="3"/>
  <c r="Z467" i="3"/>
  <c r="Q162" i="3"/>
  <c r="Q354" i="3"/>
  <c r="G17" i="1"/>
  <c r="G25" i="1"/>
  <c r="I11" i="1"/>
  <c r="I19" i="1"/>
  <c r="I27" i="1"/>
  <c r="V56" i="3"/>
  <c r="X59" i="3"/>
  <c r="W67" i="3"/>
  <c r="V74" i="3"/>
  <c r="Y76" i="3"/>
  <c r="X83" i="3"/>
  <c r="W91" i="3"/>
  <c r="W98" i="3"/>
  <c r="Y101" i="3"/>
  <c r="W108" i="3"/>
  <c r="X115" i="3"/>
  <c r="X124" i="3"/>
  <c r="Y140" i="3"/>
  <c r="X149" i="3"/>
  <c r="X163" i="3"/>
  <c r="X171" i="3"/>
  <c r="X180" i="3"/>
  <c r="W187" i="3"/>
  <c r="W195" i="3"/>
  <c r="Y202" i="3"/>
  <c r="W219" i="3"/>
  <c r="X227" i="3"/>
  <c r="W253" i="3"/>
  <c r="V266" i="3"/>
  <c r="V272" i="3"/>
  <c r="W298" i="3"/>
  <c r="V338" i="3"/>
  <c r="V346" i="3"/>
  <c r="W354" i="3"/>
  <c r="X443" i="3"/>
  <c r="X459" i="3"/>
  <c r="AA67" i="3"/>
  <c r="AA90" i="3"/>
  <c r="AA123" i="3"/>
  <c r="AA173" i="3"/>
  <c r="AA202" i="3"/>
  <c r="AA226" i="3"/>
  <c r="Z290" i="3"/>
  <c r="Z320" i="3"/>
  <c r="Z418" i="3"/>
  <c r="AA475" i="3"/>
  <c r="Q364" i="3"/>
  <c r="G10" i="1"/>
  <c r="G18" i="1"/>
  <c r="G26" i="1"/>
  <c r="I12" i="1"/>
  <c r="I20" i="1"/>
  <c r="I28" i="1"/>
  <c r="W56" i="3"/>
  <c r="W60" i="3"/>
  <c r="X67" i="3"/>
  <c r="W74" i="3"/>
  <c r="W77" i="3"/>
  <c r="X91" i="3"/>
  <c r="X108" i="3"/>
  <c r="V122" i="3"/>
  <c r="W132" i="3"/>
  <c r="W156" i="3"/>
  <c r="X181" i="3"/>
  <c r="X187" i="3"/>
  <c r="X195" i="3"/>
  <c r="W204" i="3"/>
  <c r="X213" i="3"/>
  <c r="X237" i="3"/>
  <c r="V250" i="3"/>
  <c r="W266" i="3"/>
  <c r="V282" i="3"/>
  <c r="V290" i="3"/>
  <c r="X298" i="3"/>
  <c r="W305" i="3"/>
  <c r="V314" i="3"/>
  <c r="W320" i="3"/>
  <c r="W338" i="3"/>
  <c r="W346" i="3"/>
  <c r="W363" i="3"/>
  <c r="V371" i="3"/>
  <c r="W395" i="3"/>
  <c r="V404" i="3"/>
  <c r="V475" i="3"/>
  <c r="AA100" i="3"/>
  <c r="AA178" i="3"/>
  <c r="Z210" i="3"/>
  <c r="AA227" i="3"/>
  <c r="Z330" i="3"/>
  <c r="Q186" i="3"/>
  <c r="G11" i="1"/>
  <c r="G19" i="1"/>
  <c r="G27" i="1"/>
  <c r="I13" i="1"/>
  <c r="I21" i="1"/>
  <c r="X60" i="3"/>
  <c r="Y67" i="3"/>
  <c r="X74" i="3"/>
  <c r="V84" i="3"/>
  <c r="X92" i="3"/>
  <c r="W99" i="3"/>
  <c r="V106" i="3"/>
  <c r="X109" i="3"/>
  <c r="V116" i="3"/>
  <c r="W122" i="3"/>
  <c r="W125" i="3"/>
  <c r="V138" i="3"/>
  <c r="X152" i="3"/>
  <c r="X156" i="3"/>
  <c r="X165" i="3"/>
  <c r="Y213" i="3"/>
  <c r="X220" i="3"/>
  <c r="W250" i="3"/>
  <c r="W257" i="3"/>
  <c r="X266" i="3"/>
  <c r="V274" i="3"/>
  <c r="W282" i="3"/>
  <c r="Y298" i="3"/>
  <c r="Y305" i="3"/>
  <c r="W314" i="3"/>
  <c r="V330" i="3"/>
  <c r="W356" i="3"/>
  <c r="X395" i="3"/>
  <c r="Y418" i="3"/>
  <c r="V433" i="3"/>
  <c r="W449" i="3"/>
  <c r="V492" i="3"/>
  <c r="AA74" i="3"/>
  <c r="AA107" i="3"/>
  <c r="Z130" i="3"/>
  <c r="AA210" i="3"/>
  <c r="Z443" i="3"/>
  <c r="Q409" i="3"/>
  <c r="G12" i="1"/>
  <c r="G20" i="1"/>
  <c r="G28" i="1"/>
  <c r="I14" i="1"/>
  <c r="I22" i="1"/>
  <c r="I44" i="3"/>
  <c r="V58" i="3"/>
  <c r="X99" i="3"/>
  <c r="W106" i="3"/>
  <c r="X113" i="3"/>
  <c r="X122" i="3"/>
  <c r="V130" i="3"/>
  <c r="W138" i="3"/>
  <c r="V146" i="3"/>
  <c r="V178" i="3"/>
  <c r="W189" i="3"/>
  <c r="V196" i="3"/>
  <c r="W216" i="3"/>
  <c r="W234" i="3"/>
  <c r="W241" i="3"/>
  <c r="X250" i="3"/>
  <c r="Y282" i="3"/>
  <c r="W291" i="3"/>
  <c r="W299" i="3"/>
  <c r="V306" i="3"/>
  <c r="X314" i="3"/>
  <c r="V322" i="3"/>
  <c r="W339" i="3"/>
  <c r="W347" i="3"/>
  <c r="W386" i="3"/>
  <c r="V420" i="3"/>
  <c r="W450" i="3"/>
  <c r="X477" i="3"/>
  <c r="AA75" i="3"/>
  <c r="Z305" i="3"/>
  <c r="Z491" i="3"/>
  <c r="Q227" i="3"/>
  <c r="G13" i="1"/>
  <c r="G21" i="1"/>
  <c r="I15" i="1"/>
  <c r="I23" i="1"/>
  <c r="W58" i="3"/>
  <c r="W61" i="3"/>
  <c r="X69" i="3"/>
  <c r="W75" i="3"/>
  <c r="V82" i="3"/>
  <c r="V90" i="3"/>
  <c r="W93" i="3"/>
  <c r="X106" i="3"/>
  <c r="V114" i="3"/>
  <c r="X117" i="3"/>
  <c r="W130" i="3"/>
  <c r="X138" i="3"/>
  <c r="V154" i="3"/>
  <c r="X161" i="3"/>
  <c r="W170" i="3"/>
  <c r="V186" i="3"/>
  <c r="X189" i="3"/>
  <c r="V210" i="3"/>
  <c r="X234" i="3"/>
  <c r="V242" i="3"/>
  <c r="W259" i="3"/>
  <c r="W268" i="3"/>
  <c r="W275" i="3"/>
  <c r="W283" i="3"/>
  <c r="X291" i="3"/>
  <c r="W306" i="3"/>
  <c r="W322" i="3"/>
  <c r="W331" i="3"/>
  <c r="X357" i="3"/>
  <c r="W379" i="3"/>
  <c r="Y450" i="3"/>
  <c r="V498" i="3"/>
  <c r="AA58" i="3"/>
  <c r="AA186" i="3"/>
  <c r="AA259" i="3"/>
  <c r="AA305" i="3"/>
  <c r="AA357" i="3"/>
  <c r="Q75" i="3"/>
  <c r="Q442" i="3"/>
  <c r="G14" i="1"/>
  <c r="G22" i="1"/>
  <c r="I16" i="1"/>
  <c r="I24" i="1"/>
  <c r="X75" i="3"/>
  <c r="W82" i="3"/>
  <c r="W90" i="3"/>
  <c r="Y117" i="3"/>
  <c r="W123" i="3"/>
  <c r="Y179" i="3"/>
  <c r="W186" i="3"/>
  <c r="V218" i="3"/>
  <c r="X268" i="3"/>
  <c r="Y307" i="3"/>
  <c r="W315" i="3"/>
  <c r="X331" i="3"/>
  <c r="W425" i="3"/>
  <c r="V467" i="3"/>
  <c r="Z61" i="3"/>
  <c r="AA218" i="3"/>
  <c r="Z451" i="3"/>
  <c r="E78" i="3"/>
  <c r="Q78" i="3"/>
  <c r="AA78" i="3"/>
  <c r="Z78" i="3"/>
  <c r="W78" i="3"/>
  <c r="V78" i="3"/>
  <c r="E134" i="3"/>
  <c r="Q134" i="3"/>
  <c r="Z134" i="3"/>
  <c r="Q182" i="3"/>
  <c r="AA182" i="3"/>
  <c r="Z182" i="3"/>
  <c r="W182" i="3"/>
  <c r="V182" i="3"/>
  <c r="I238" i="3"/>
  <c r="Q238" i="3"/>
  <c r="AA238" i="3"/>
  <c r="W238" i="3"/>
  <c r="V238" i="3"/>
  <c r="Z238" i="3"/>
  <c r="X238" i="3"/>
  <c r="H286" i="3"/>
  <c r="Q286" i="3"/>
  <c r="AA286" i="3"/>
  <c r="W286" i="3"/>
  <c r="V286" i="3"/>
  <c r="Z286" i="3"/>
  <c r="Q350" i="3"/>
  <c r="AA350" i="3"/>
  <c r="Z350" i="3"/>
  <c r="Y350" i="3"/>
  <c r="X350" i="3"/>
  <c r="W350" i="3"/>
  <c r="Q398" i="3"/>
  <c r="AA398" i="3"/>
  <c r="X398" i="3"/>
  <c r="Z398" i="3"/>
  <c r="Y398" i="3"/>
  <c r="W398" i="3"/>
  <c r="V398" i="3"/>
  <c r="Q438" i="3"/>
  <c r="AA438" i="3"/>
  <c r="X438" i="3"/>
  <c r="Z438" i="3"/>
  <c r="V438" i="3"/>
  <c r="W438" i="3"/>
  <c r="Q502" i="3"/>
  <c r="X502" i="3"/>
  <c r="V502" i="3"/>
  <c r="W502" i="3"/>
  <c r="Z502" i="3"/>
  <c r="AA502" i="3"/>
  <c r="Y502" i="3"/>
  <c r="V134" i="3"/>
  <c r="X246" i="3"/>
  <c r="H15" i="3"/>
  <c r="H23" i="3"/>
  <c r="H31" i="3"/>
  <c r="H39" i="3"/>
  <c r="H47" i="3"/>
  <c r="H55" i="3"/>
  <c r="Z55" i="3"/>
  <c r="Q55" i="3"/>
  <c r="V55" i="3"/>
  <c r="X55" i="3"/>
  <c r="W55" i="3"/>
  <c r="H63" i="3"/>
  <c r="Q63" i="3"/>
  <c r="Z63" i="3"/>
  <c r="AA63" i="3"/>
  <c r="V63" i="3"/>
  <c r="H71" i="3"/>
  <c r="Q71" i="3"/>
  <c r="Z71" i="3"/>
  <c r="V71" i="3"/>
  <c r="AA71" i="3"/>
  <c r="X71" i="3"/>
  <c r="W71" i="3"/>
  <c r="H79" i="3"/>
  <c r="Z79" i="3"/>
  <c r="AA79" i="3"/>
  <c r="V79" i="3"/>
  <c r="Q79" i="3"/>
  <c r="H87" i="3"/>
  <c r="Z87" i="3"/>
  <c r="Q87" i="3"/>
  <c r="V87" i="3"/>
  <c r="X87" i="3"/>
  <c r="W87" i="3"/>
  <c r="H95" i="3"/>
  <c r="Q95" i="3"/>
  <c r="Z95" i="3"/>
  <c r="V95" i="3"/>
  <c r="H103" i="3"/>
  <c r="Z103" i="3"/>
  <c r="Q103" i="3"/>
  <c r="V103" i="3"/>
  <c r="AA103" i="3"/>
  <c r="X103" i="3"/>
  <c r="W103" i="3"/>
  <c r="H111" i="3"/>
  <c r="Z111" i="3"/>
  <c r="Q111" i="3"/>
  <c r="V111" i="3"/>
  <c r="AA111" i="3"/>
  <c r="H119" i="3"/>
  <c r="Z119" i="3"/>
  <c r="V119" i="3"/>
  <c r="AA119" i="3"/>
  <c r="X119" i="3"/>
  <c r="W119" i="3"/>
  <c r="Q119" i="3"/>
  <c r="H127" i="3"/>
  <c r="Q127" i="3"/>
  <c r="Z127" i="3"/>
  <c r="V127" i="3"/>
  <c r="AA127" i="3"/>
  <c r="H135" i="3"/>
  <c r="Z135" i="3"/>
  <c r="V135" i="3"/>
  <c r="X135" i="3"/>
  <c r="W135" i="3"/>
  <c r="AA135" i="3"/>
  <c r="J143" i="3"/>
  <c r="Z143" i="3"/>
  <c r="V143" i="3"/>
  <c r="Q143" i="3"/>
  <c r="D151" i="3"/>
  <c r="Z151" i="3"/>
  <c r="V151" i="3"/>
  <c r="Q151" i="3"/>
  <c r="AA151" i="3"/>
  <c r="X151" i="3"/>
  <c r="W151" i="3"/>
  <c r="Y151" i="3"/>
  <c r="I159" i="3"/>
  <c r="Q159" i="3"/>
  <c r="Z159" i="3"/>
  <c r="V159" i="3"/>
  <c r="J167" i="3"/>
  <c r="Z167" i="3"/>
  <c r="V167" i="3"/>
  <c r="AA167" i="3"/>
  <c r="Q167" i="3"/>
  <c r="X167" i="3"/>
  <c r="W167" i="3"/>
  <c r="J175" i="3"/>
  <c r="Q175" i="3"/>
  <c r="Z175" i="3"/>
  <c r="V175" i="3"/>
  <c r="AA175" i="3"/>
  <c r="Y175" i="3"/>
  <c r="X175" i="3"/>
  <c r="J183" i="3"/>
  <c r="Z183" i="3"/>
  <c r="AA183" i="3"/>
  <c r="V183" i="3"/>
  <c r="X183" i="3"/>
  <c r="W183" i="3"/>
  <c r="Q183" i="3"/>
  <c r="Q191" i="3"/>
  <c r="Z191" i="3"/>
  <c r="V191" i="3"/>
  <c r="AA191" i="3"/>
  <c r="X191" i="3"/>
  <c r="W191" i="3"/>
  <c r="J199" i="3"/>
  <c r="Z199" i="3"/>
  <c r="Q199" i="3"/>
  <c r="AA199" i="3"/>
  <c r="V199" i="3"/>
  <c r="X199" i="3"/>
  <c r="W199" i="3"/>
  <c r="J207" i="3"/>
  <c r="Z207" i="3"/>
  <c r="Q207" i="3"/>
  <c r="V207" i="3"/>
  <c r="AA207" i="3"/>
  <c r="J215" i="3"/>
  <c r="Z215" i="3"/>
  <c r="V215" i="3"/>
  <c r="Q215" i="3"/>
  <c r="X215" i="3"/>
  <c r="W215" i="3"/>
  <c r="Y215" i="3"/>
  <c r="AA215" i="3"/>
  <c r="Q223" i="3"/>
  <c r="Z223" i="3"/>
  <c r="V223" i="3"/>
  <c r="AA223" i="3"/>
  <c r="W223" i="3"/>
  <c r="J231" i="3"/>
  <c r="Z231" i="3"/>
  <c r="AA231" i="3"/>
  <c r="V231" i="3"/>
  <c r="Q231" i="3"/>
  <c r="X231" i="3"/>
  <c r="W231" i="3"/>
  <c r="J239" i="3"/>
  <c r="Z239" i="3"/>
  <c r="V239" i="3"/>
  <c r="Q239" i="3"/>
  <c r="Y239" i="3"/>
  <c r="X239" i="3"/>
  <c r="J247" i="3"/>
  <c r="Z247" i="3"/>
  <c r="Q247" i="3"/>
  <c r="V247" i="3"/>
  <c r="X247" i="3"/>
  <c r="W247" i="3"/>
  <c r="AA247" i="3"/>
  <c r="Y247" i="3"/>
  <c r="Q255" i="3"/>
  <c r="Z255" i="3"/>
  <c r="AA255" i="3"/>
  <c r="V255" i="3"/>
  <c r="X255" i="3"/>
  <c r="W255" i="3"/>
  <c r="J263" i="3"/>
  <c r="Z263" i="3"/>
  <c r="V263" i="3"/>
  <c r="X263" i="3"/>
  <c r="AA263" i="3"/>
  <c r="W263" i="3"/>
  <c r="J271" i="3"/>
  <c r="Z271" i="3"/>
  <c r="V271" i="3"/>
  <c r="Q271" i="3"/>
  <c r="Y271" i="3"/>
  <c r="J279" i="3"/>
  <c r="Q279" i="3"/>
  <c r="Z279" i="3"/>
  <c r="V279" i="3"/>
  <c r="AA279" i="3"/>
  <c r="X279" i="3"/>
  <c r="W279" i="3"/>
  <c r="Y279" i="3"/>
  <c r="Q287" i="3"/>
  <c r="Z287" i="3"/>
  <c r="V287" i="3"/>
  <c r="W287" i="3"/>
  <c r="J295" i="3"/>
  <c r="Z295" i="3"/>
  <c r="V295" i="3"/>
  <c r="Q295" i="3"/>
  <c r="AA295" i="3"/>
  <c r="X295" i="3"/>
  <c r="W295" i="3"/>
  <c r="J303" i="3"/>
  <c r="Z303" i="3"/>
  <c r="V303" i="3"/>
  <c r="Q303" i="3"/>
  <c r="AA303" i="3"/>
  <c r="Y303" i="3"/>
  <c r="X303" i="3"/>
  <c r="Z311" i="3"/>
  <c r="Q311" i="3"/>
  <c r="V311" i="3"/>
  <c r="X311" i="3"/>
  <c r="W311" i="3"/>
  <c r="AA311" i="3"/>
  <c r="Y311" i="3"/>
  <c r="J319" i="3"/>
  <c r="Q319" i="3"/>
  <c r="Z319" i="3"/>
  <c r="V319" i="3"/>
  <c r="AA319" i="3"/>
  <c r="Y319" i="3"/>
  <c r="X319" i="3"/>
  <c r="AA327" i="3"/>
  <c r="Z327" i="3"/>
  <c r="Q327" i="3"/>
  <c r="V327" i="3"/>
  <c r="X327" i="3"/>
  <c r="W327" i="3"/>
  <c r="AA335" i="3"/>
  <c r="Z335" i="3"/>
  <c r="Q335" i="3"/>
  <c r="V335" i="3"/>
  <c r="Y335" i="3"/>
  <c r="AA343" i="3"/>
  <c r="Z343" i="3"/>
  <c r="V343" i="3"/>
  <c r="Q343" i="3"/>
  <c r="W343" i="3"/>
  <c r="K351" i="3"/>
  <c r="AA351" i="3"/>
  <c r="Q351" i="3"/>
  <c r="Z351" i="3"/>
  <c r="V351" i="3"/>
  <c r="Y351" i="3"/>
  <c r="X351" i="3"/>
  <c r="J359" i="3"/>
  <c r="AA359" i="3"/>
  <c r="Z359" i="3"/>
  <c r="Q359" i="3"/>
  <c r="V359" i="3"/>
  <c r="X359" i="3"/>
  <c r="W359" i="3"/>
  <c r="AA367" i="3"/>
  <c r="Z367" i="3"/>
  <c r="V367" i="3"/>
  <c r="Q367" i="3"/>
  <c r="Y367" i="3"/>
  <c r="AA375" i="3"/>
  <c r="Z375" i="3"/>
  <c r="Y375" i="3"/>
  <c r="X375" i="3"/>
  <c r="W375" i="3"/>
  <c r="Q375" i="3"/>
  <c r="AA383" i="3"/>
  <c r="Q383" i="3"/>
  <c r="Z383" i="3"/>
  <c r="V383" i="3"/>
  <c r="Y383" i="3"/>
  <c r="AA391" i="3"/>
  <c r="Z391" i="3"/>
  <c r="Q391" i="3"/>
  <c r="Y391" i="3"/>
  <c r="V391" i="3"/>
  <c r="AA399" i="3"/>
  <c r="Z399" i="3"/>
  <c r="Q399" i="3"/>
  <c r="V399" i="3"/>
  <c r="Y399" i="3"/>
  <c r="D407" i="3"/>
  <c r="AA407" i="3"/>
  <c r="Z407" i="3"/>
  <c r="Q407" i="3"/>
  <c r="Y407" i="3"/>
  <c r="V407" i="3"/>
  <c r="AA415" i="3"/>
  <c r="Q415" i="3"/>
  <c r="Z415" i="3"/>
  <c r="V415" i="3"/>
  <c r="X415" i="3"/>
  <c r="W415" i="3"/>
  <c r="Q423" i="3"/>
  <c r="AA423" i="3"/>
  <c r="Y423" i="3"/>
  <c r="W423" i="3"/>
  <c r="X423" i="3"/>
  <c r="V423" i="3"/>
  <c r="AA431" i="3"/>
  <c r="Z431" i="3"/>
  <c r="Q431" i="3"/>
  <c r="W431" i="3"/>
  <c r="Y431" i="3"/>
  <c r="X431" i="3"/>
  <c r="V431" i="3"/>
  <c r="X439" i="3"/>
  <c r="W439" i="3"/>
  <c r="Z439" i="3"/>
  <c r="Q439" i="3"/>
  <c r="Y439" i="3"/>
  <c r="AA447" i="3"/>
  <c r="Q447" i="3"/>
  <c r="Z447" i="3"/>
  <c r="W447" i="3"/>
  <c r="X447" i="3"/>
  <c r="V447" i="3"/>
  <c r="Y447" i="3"/>
  <c r="Z455" i="3"/>
  <c r="W455" i="3"/>
  <c r="Q455" i="3"/>
  <c r="V455" i="3"/>
  <c r="Y455" i="3"/>
  <c r="AA455" i="3"/>
  <c r="X455" i="3"/>
  <c r="AA463" i="3"/>
  <c r="Z463" i="3"/>
  <c r="Q463" i="3"/>
  <c r="W463" i="3"/>
  <c r="V463" i="3"/>
  <c r="Y463" i="3"/>
  <c r="X463" i="3"/>
  <c r="AA471" i="3"/>
  <c r="Z471" i="3"/>
  <c r="V471" i="3"/>
  <c r="Q471" i="3"/>
  <c r="Y471" i="3"/>
  <c r="W471" i="3"/>
  <c r="AA479" i="3"/>
  <c r="Q479" i="3"/>
  <c r="Z479" i="3"/>
  <c r="W479" i="3"/>
  <c r="Y479" i="3"/>
  <c r="V479" i="3"/>
  <c r="X479" i="3"/>
  <c r="AA487" i="3"/>
  <c r="Q487" i="3"/>
  <c r="W487" i="3"/>
  <c r="V487" i="3"/>
  <c r="Y487" i="3"/>
  <c r="G495" i="3"/>
  <c r="AA495" i="3"/>
  <c r="Z495" i="3"/>
  <c r="Q495" i="3"/>
  <c r="W495" i="3"/>
  <c r="Y495" i="3"/>
  <c r="X495" i="3"/>
  <c r="W63" i="3"/>
  <c r="Y79" i="3"/>
  <c r="W97" i="3"/>
  <c r="Y103" i="3"/>
  <c r="X110" i="3"/>
  <c r="Y113" i="3"/>
  <c r="W127" i="3"/>
  <c r="W134" i="3"/>
  <c r="X143" i="3"/>
  <c r="W193" i="3"/>
  <c r="V198" i="3"/>
  <c r="W207" i="3"/>
  <c r="Y231" i="3"/>
  <c r="Y241" i="3"/>
  <c r="X257" i="3"/>
  <c r="W262" i="3"/>
  <c r="W278" i="3"/>
  <c r="X289" i="3"/>
  <c r="Y327" i="3"/>
  <c r="V350" i="3"/>
  <c r="V375" i="3"/>
  <c r="W383" i="3"/>
  <c r="Z54" i="3"/>
  <c r="AA153" i="3"/>
  <c r="AA271" i="3"/>
  <c r="AA439" i="3"/>
  <c r="E86" i="3"/>
  <c r="Q86" i="3"/>
  <c r="Y86" i="3"/>
  <c r="AA86" i="3"/>
  <c r="H142" i="3"/>
  <c r="Q142" i="3"/>
  <c r="AA142" i="3"/>
  <c r="Z142" i="3"/>
  <c r="W142" i="3"/>
  <c r="V142" i="3"/>
  <c r="Y142" i="3"/>
  <c r="X142" i="3"/>
  <c r="I198" i="3"/>
  <c r="Q198" i="3"/>
  <c r="AA198" i="3"/>
  <c r="Q246" i="3"/>
  <c r="AA246" i="3"/>
  <c r="Z246" i="3"/>
  <c r="W246" i="3"/>
  <c r="V246" i="3"/>
  <c r="I302" i="3"/>
  <c r="Q302" i="3"/>
  <c r="AA302" i="3"/>
  <c r="Z302" i="3"/>
  <c r="W302" i="3"/>
  <c r="V302" i="3"/>
  <c r="X302" i="3"/>
  <c r="Q358" i="3"/>
  <c r="AA358" i="3"/>
  <c r="Y358" i="3"/>
  <c r="X358" i="3"/>
  <c r="W358" i="3"/>
  <c r="V358" i="3"/>
  <c r="Q414" i="3"/>
  <c r="AA414" i="3"/>
  <c r="X414" i="3"/>
  <c r="Y414" i="3"/>
  <c r="Z414" i="3"/>
  <c r="W414" i="3"/>
  <c r="V414" i="3"/>
  <c r="Q478" i="3"/>
  <c r="AA478" i="3"/>
  <c r="X478" i="3"/>
  <c r="Y478" i="3"/>
  <c r="W478" i="3"/>
  <c r="Z478" i="3"/>
  <c r="V478" i="3"/>
  <c r="J16" i="3"/>
  <c r="J24" i="3"/>
  <c r="J32" i="3"/>
  <c r="J40" i="3"/>
  <c r="J48" i="3"/>
  <c r="J56" i="3"/>
  <c r="Q56" i="3"/>
  <c r="Z56" i="3"/>
  <c r="AA56" i="3"/>
  <c r="J64" i="3"/>
  <c r="Q64" i="3"/>
  <c r="AA64" i="3"/>
  <c r="Z64" i="3"/>
  <c r="X64" i="3"/>
  <c r="W64" i="3"/>
  <c r="V64" i="3"/>
  <c r="J72" i="3"/>
  <c r="Q72" i="3"/>
  <c r="Z72" i="3"/>
  <c r="J80" i="3"/>
  <c r="Q80" i="3"/>
  <c r="X80" i="3"/>
  <c r="W80" i="3"/>
  <c r="AA80" i="3"/>
  <c r="V80" i="3"/>
  <c r="J88" i="3"/>
  <c r="Q88" i="3"/>
  <c r="Z88" i="3"/>
  <c r="J96" i="3"/>
  <c r="Q96" i="3"/>
  <c r="AA96" i="3"/>
  <c r="X96" i="3"/>
  <c r="W96" i="3"/>
  <c r="V96" i="3"/>
  <c r="J104" i="3"/>
  <c r="Q104" i="3"/>
  <c r="AA104" i="3"/>
  <c r="Z104" i="3"/>
  <c r="J112" i="3"/>
  <c r="Q112" i="3"/>
  <c r="AA112" i="3"/>
  <c r="X112" i="3"/>
  <c r="W112" i="3"/>
  <c r="V112" i="3"/>
  <c r="J120" i="3"/>
  <c r="Z120" i="3"/>
  <c r="Q120" i="3"/>
  <c r="AA120" i="3"/>
  <c r="J128" i="3"/>
  <c r="Q128" i="3"/>
  <c r="E128" i="3"/>
  <c r="Z128" i="3"/>
  <c r="X128" i="3"/>
  <c r="W128" i="3"/>
  <c r="V128" i="3"/>
  <c r="J136" i="3"/>
  <c r="Q136" i="3"/>
  <c r="AA136" i="3"/>
  <c r="Z136" i="3"/>
  <c r="X136" i="3"/>
  <c r="W136" i="3"/>
  <c r="V136" i="3"/>
  <c r="F144" i="3"/>
  <c r="AA144" i="3"/>
  <c r="X144" i="3"/>
  <c r="Q144" i="3"/>
  <c r="W144" i="3"/>
  <c r="Z144" i="3"/>
  <c r="J152" i="3"/>
  <c r="Q152" i="3"/>
  <c r="Z152" i="3"/>
  <c r="AA152" i="3"/>
  <c r="V152" i="3"/>
  <c r="G160" i="3"/>
  <c r="Q160" i="3"/>
  <c r="Z160" i="3"/>
  <c r="X160" i="3"/>
  <c r="W160" i="3"/>
  <c r="Y160" i="3"/>
  <c r="V160" i="3"/>
  <c r="E168" i="3"/>
  <c r="Q168" i="3"/>
  <c r="Z168" i="3"/>
  <c r="E176" i="3"/>
  <c r="Q176" i="3"/>
  <c r="Z176" i="3"/>
  <c r="X176" i="3"/>
  <c r="W176" i="3"/>
  <c r="V176" i="3"/>
  <c r="AA176" i="3"/>
  <c r="J184" i="3"/>
  <c r="Z184" i="3"/>
  <c r="Q184" i="3"/>
  <c r="AA184" i="3"/>
  <c r="Y184" i="3"/>
  <c r="X184" i="3"/>
  <c r="Q192" i="3"/>
  <c r="Z192" i="3"/>
  <c r="X192" i="3"/>
  <c r="W192" i="3"/>
  <c r="AA192" i="3"/>
  <c r="J200" i="3"/>
  <c r="Q200" i="3"/>
  <c r="AA200" i="3"/>
  <c r="Z200" i="3"/>
  <c r="X200" i="3"/>
  <c r="W200" i="3"/>
  <c r="V200" i="3"/>
  <c r="J208" i="3"/>
  <c r="Q208" i="3"/>
  <c r="AA208" i="3"/>
  <c r="X208" i="3"/>
  <c r="Z208" i="3"/>
  <c r="W208" i="3"/>
  <c r="J216" i="3"/>
  <c r="Z216" i="3"/>
  <c r="Q216" i="3"/>
  <c r="AA216" i="3"/>
  <c r="V216" i="3"/>
  <c r="Q224" i="3"/>
  <c r="AA224" i="3"/>
  <c r="X224" i="3"/>
  <c r="Z224" i="3"/>
  <c r="W224" i="3"/>
  <c r="Y224" i="3"/>
  <c r="V224" i="3"/>
  <c r="J232" i="3"/>
  <c r="Q232" i="3"/>
  <c r="Z232" i="3"/>
  <c r="AA232" i="3"/>
  <c r="W232" i="3"/>
  <c r="J240" i="3"/>
  <c r="Q240" i="3"/>
  <c r="AA240" i="3"/>
  <c r="Z240" i="3"/>
  <c r="X240" i="3"/>
  <c r="W240" i="3"/>
  <c r="V240" i="3"/>
  <c r="J248" i="3"/>
  <c r="Q248" i="3"/>
  <c r="AA248" i="3"/>
  <c r="Z248" i="3"/>
  <c r="Y248" i="3"/>
  <c r="X248" i="3"/>
  <c r="Q256" i="3"/>
  <c r="AA256" i="3"/>
  <c r="X256" i="3"/>
  <c r="W256" i="3"/>
  <c r="Z256" i="3"/>
  <c r="Y256" i="3"/>
  <c r="J264" i="3"/>
  <c r="Q264" i="3"/>
  <c r="AA264" i="3"/>
  <c r="Z264" i="3"/>
  <c r="X264" i="3"/>
  <c r="W264" i="3"/>
  <c r="V264" i="3"/>
  <c r="J272" i="3"/>
  <c r="AA272" i="3"/>
  <c r="Q272" i="3"/>
  <c r="X272" i="3"/>
  <c r="Z272" i="3"/>
  <c r="W272" i="3"/>
  <c r="J280" i="3"/>
  <c r="Q280" i="3"/>
  <c r="Z280" i="3"/>
  <c r="AA280" i="3"/>
  <c r="V280" i="3"/>
  <c r="Y280" i="3"/>
  <c r="Q288" i="3"/>
  <c r="AA288" i="3"/>
  <c r="X288" i="3"/>
  <c r="W288" i="3"/>
  <c r="Y288" i="3"/>
  <c r="V288" i="3"/>
  <c r="J296" i="3"/>
  <c r="Q296" i="3"/>
  <c r="Z296" i="3"/>
  <c r="W296" i="3"/>
  <c r="J304" i="3"/>
  <c r="AA304" i="3"/>
  <c r="Q304" i="3"/>
  <c r="Z304" i="3"/>
  <c r="X304" i="3"/>
  <c r="W304" i="3"/>
  <c r="V304" i="3"/>
  <c r="E312" i="3"/>
  <c r="Q312" i="3"/>
  <c r="AA312" i="3"/>
  <c r="Z312" i="3"/>
  <c r="Y312" i="3"/>
  <c r="X312" i="3"/>
  <c r="D320" i="3"/>
  <c r="Q320" i="3"/>
  <c r="AA320" i="3"/>
  <c r="Y320" i="3"/>
  <c r="V320" i="3"/>
  <c r="I328" i="3"/>
  <c r="Q328" i="3"/>
  <c r="Z328" i="3"/>
  <c r="Y328" i="3"/>
  <c r="AA328" i="3"/>
  <c r="W328" i="3"/>
  <c r="D336" i="3"/>
  <c r="AA336" i="3"/>
  <c r="Z336" i="3"/>
  <c r="Q336" i="3"/>
  <c r="Y336" i="3"/>
  <c r="X336" i="3"/>
  <c r="H344" i="3"/>
  <c r="Q344" i="3"/>
  <c r="Y344" i="3"/>
  <c r="X344" i="3"/>
  <c r="W344" i="3"/>
  <c r="V344" i="3"/>
  <c r="Q352" i="3"/>
  <c r="Z352" i="3"/>
  <c r="Y352" i="3"/>
  <c r="AA352" i="3"/>
  <c r="V352" i="3"/>
  <c r="F360" i="3"/>
  <c r="Q360" i="3"/>
  <c r="AA360" i="3"/>
  <c r="Z360" i="3"/>
  <c r="Y360" i="3"/>
  <c r="W360" i="3"/>
  <c r="AA368" i="3"/>
  <c r="Z368" i="3"/>
  <c r="X368" i="3"/>
  <c r="Q368" i="3"/>
  <c r="Y368" i="3"/>
  <c r="X376" i="3"/>
  <c r="V376" i="3"/>
  <c r="AA376" i="3"/>
  <c r="Q376" i="3"/>
  <c r="Z376" i="3"/>
  <c r="W376" i="3"/>
  <c r="Q384" i="3"/>
  <c r="X384" i="3"/>
  <c r="AA384" i="3"/>
  <c r="Y384" i="3"/>
  <c r="Z384" i="3"/>
  <c r="W384" i="3"/>
  <c r="Q392" i="3"/>
  <c r="X392" i="3"/>
  <c r="V392" i="3"/>
  <c r="W392" i="3"/>
  <c r="E400" i="3"/>
  <c r="AA400" i="3"/>
  <c r="Z400" i="3"/>
  <c r="X400" i="3"/>
  <c r="V400" i="3"/>
  <c r="Q400" i="3"/>
  <c r="W400" i="3"/>
  <c r="X408" i="3"/>
  <c r="V408" i="3"/>
  <c r="Q408" i="3"/>
  <c r="W408" i="3"/>
  <c r="AA416" i="3"/>
  <c r="Z416" i="3"/>
  <c r="Q416" i="3"/>
  <c r="X416" i="3"/>
  <c r="W416" i="3"/>
  <c r="AA424" i="3"/>
  <c r="Z424" i="3"/>
  <c r="Q424" i="3"/>
  <c r="X424" i="3"/>
  <c r="V424" i="3"/>
  <c r="Y424" i="3"/>
  <c r="W424" i="3"/>
  <c r="AA432" i="3"/>
  <c r="Z432" i="3"/>
  <c r="X432" i="3"/>
  <c r="Q432" i="3"/>
  <c r="W432" i="3"/>
  <c r="AA440" i="3"/>
  <c r="Z440" i="3"/>
  <c r="X440" i="3"/>
  <c r="W440" i="3"/>
  <c r="Q440" i="3"/>
  <c r="Y440" i="3"/>
  <c r="V440" i="3"/>
  <c r="AA448" i="3"/>
  <c r="Z448" i="3"/>
  <c r="Q448" i="3"/>
  <c r="X448" i="3"/>
  <c r="Y448" i="3"/>
  <c r="W448" i="3"/>
  <c r="AA456" i="3"/>
  <c r="Z456" i="3"/>
  <c r="Q456" i="3"/>
  <c r="X456" i="3"/>
  <c r="W456" i="3"/>
  <c r="Y456" i="3"/>
  <c r="AA464" i="3"/>
  <c r="Z464" i="3"/>
  <c r="Q464" i="3"/>
  <c r="X464" i="3"/>
  <c r="Y464" i="3"/>
  <c r="AA472" i="3"/>
  <c r="Z472" i="3"/>
  <c r="X472" i="3"/>
  <c r="Q472" i="3"/>
  <c r="W472" i="3"/>
  <c r="Y472" i="3"/>
  <c r="AA480" i="3"/>
  <c r="Z480" i="3"/>
  <c r="Q480" i="3"/>
  <c r="X480" i="3"/>
  <c r="V480" i="3"/>
  <c r="W480" i="3"/>
  <c r="AA488" i="3"/>
  <c r="Z488" i="3"/>
  <c r="Q488" i="3"/>
  <c r="X488" i="3"/>
  <c r="W488" i="3"/>
  <c r="AA496" i="3"/>
  <c r="Z496" i="3"/>
  <c r="X496" i="3"/>
  <c r="Q496" i="3"/>
  <c r="Y496" i="3"/>
  <c r="V496" i="3"/>
  <c r="W496" i="3"/>
  <c r="H6" i="3"/>
  <c r="E63" i="3"/>
  <c r="X56" i="3"/>
  <c r="X63" i="3"/>
  <c r="V70" i="3"/>
  <c r="Y80" i="3"/>
  <c r="X86" i="3"/>
  <c r="X97" i="3"/>
  <c r="V104" i="3"/>
  <c r="X120" i="3"/>
  <c r="X127" i="3"/>
  <c r="X134" i="3"/>
  <c r="Y143" i="3"/>
  <c r="W175" i="3"/>
  <c r="W184" i="3"/>
  <c r="W198" i="3"/>
  <c r="X207" i="3"/>
  <c r="Y216" i="3"/>
  <c r="V232" i="3"/>
  <c r="V248" i="3"/>
  <c r="Y262" i="3"/>
  <c r="V328" i="3"/>
  <c r="W351" i="3"/>
  <c r="Y376" i="3"/>
  <c r="X383" i="3"/>
  <c r="W391" i="3"/>
  <c r="V432" i="3"/>
  <c r="Y480" i="3"/>
  <c r="Y488" i="3"/>
  <c r="AA55" i="3"/>
  <c r="Z112" i="3"/>
  <c r="E102" i="3"/>
  <c r="Q102" i="3"/>
  <c r="AA102" i="3"/>
  <c r="Z102" i="3"/>
  <c r="Y102" i="3"/>
  <c r="H166" i="3"/>
  <c r="Q166" i="3"/>
  <c r="AA166" i="3"/>
  <c r="Z166" i="3"/>
  <c r="Y166" i="3"/>
  <c r="X166" i="3"/>
  <c r="W166" i="3"/>
  <c r="H222" i="3"/>
  <c r="Q222" i="3"/>
  <c r="AA222" i="3"/>
  <c r="W222" i="3"/>
  <c r="V222" i="3"/>
  <c r="Z222" i="3"/>
  <c r="Q278" i="3"/>
  <c r="AA278" i="3"/>
  <c r="Z278" i="3"/>
  <c r="Y278" i="3"/>
  <c r="V278" i="3"/>
  <c r="Q334" i="3"/>
  <c r="AA334" i="3"/>
  <c r="Y334" i="3"/>
  <c r="X334" i="3"/>
  <c r="Z334" i="3"/>
  <c r="W334" i="3"/>
  <c r="V334" i="3"/>
  <c r="I382" i="3"/>
  <c r="Q382" i="3"/>
  <c r="AA382" i="3"/>
  <c r="X382" i="3"/>
  <c r="Y382" i="3"/>
  <c r="W382" i="3"/>
  <c r="V382" i="3"/>
  <c r="Q454" i="3"/>
  <c r="X454" i="3"/>
  <c r="AA454" i="3"/>
  <c r="V454" i="3"/>
  <c r="Z454" i="3"/>
  <c r="W454" i="3"/>
  <c r="D129" i="3"/>
  <c r="Z129" i="3"/>
  <c r="V129" i="3"/>
  <c r="E62" i="3"/>
  <c r="Q62" i="3"/>
  <c r="AA62" i="3"/>
  <c r="W62" i="3"/>
  <c r="V62" i="3"/>
  <c r="E110" i="3"/>
  <c r="Q110" i="3"/>
  <c r="AA110" i="3"/>
  <c r="Z110" i="3"/>
  <c r="W110" i="3"/>
  <c r="V110" i="3"/>
  <c r="Q158" i="3"/>
  <c r="AA158" i="3"/>
  <c r="W158" i="3"/>
  <c r="Z158" i="3"/>
  <c r="V158" i="3"/>
  <c r="Q214" i="3"/>
  <c r="AA214" i="3"/>
  <c r="Z214" i="3"/>
  <c r="Y214" i="3"/>
  <c r="I270" i="3"/>
  <c r="Q270" i="3"/>
  <c r="AA270" i="3"/>
  <c r="Z270" i="3"/>
  <c r="W270" i="3"/>
  <c r="V270" i="3"/>
  <c r="Y270" i="3"/>
  <c r="X270" i="3"/>
  <c r="Q326" i="3"/>
  <c r="AA326" i="3"/>
  <c r="Y326" i="3"/>
  <c r="Z326" i="3"/>
  <c r="X326" i="3"/>
  <c r="W326" i="3"/>
  <c r="V326" i="3"/>
  <c r="Q374" i="3"/>
  <c r="AA374" i="3"/>
  <c r="Z374" i="3"/>
  <c r="X374" i="3"/>
  <c r="W374" i="3"/>
  <c r="V374" i="3"/>
  <c r="Q430" i="3"/>
  <c r="AA430" i="3"/>
  <c r="X430" i="3"/>
  <c r="Y430" i="3"/>
  <c r="Z430" i="3"/>
  <c r="V430" i="3"/>
  <c r="Q486" i="3"/>
  <c r="X486" i="3"/>
  <c r="V486" i="3"/>
  <c r="AA486" i="3"/>
  <c r="Y486" i="3"/>
  <c r="Z486" i="3"/>
  <c r="W486" i="3"/>
  <c r="X102" i="3"/>
  <c r="E94" i="3"/>
  <c r="Q94" i="3"/>
  <c r="AA94" i="3"/>
  <c r="Z94" i="3"/>
  <c r="W94" i="3"/>
  <c r="V94" i="3"/>
  <c r="H150" i="3"/>
  <c r="Q150" i="3"/>
  <c r="Z150" i="3"/>
  <c r="AA150" i="3"/>
  <c r="Y150" i="3"/>
  <c r="I150" i="3"/>
  <c r="I206" i="3"/>
  <c r="Q206" i="3"/>
  <c r="AA206" i="3"/>
  <c r="W206" i="3"/>
  <c r="V206" i="3"/>
  <c r="Y206" i="3"/>
  <c r="X206" i="3"/>
  <c r="I262" i="3"/>
  <c r="Q262" i="3"/>
  <c r="AA262" i="3"/>
  <c r="Z262" i="3"/>
  <c r="X262" i="3"/>
  <c r="Q310" i="3"/>
  <c r="AA310" i="3"/>
  <c r="Z310" i="3"/>
  <c r="W310" i="3"/>
  <c r="V310" i="3"/>
  <c r="G366" i="3"/>
  <c r="Q366" i="3"/>
  <c r="AA366" i="3"/>
  <c r="Y366" i="3"/>
  <c r="X366" i="3"/>
  <c r="Z366" i="3"/>
  <c r="W366" i="3"/>
  <c r="V366" i="3"/>
  <c r="Q422" i="3"/>
  <c r="Z422" i="3"/>
  <c r="X422" i="3"/>
  <c r="AA422" i="3"/>
  <c r="V422" i="3"/>
  <c r="Q470" i="3"/>
  <c r="X470" i="3"/>
  <c r="Z470" i="3"/>
  <c r="V470" i="3"/>
  <c r="Y470" i="3"/>
  <c r="AA470" i="3"/>
  <c r="D25" i="3"/>
  <c r="Q25" i="3" s="1"/>
  <c r="D49" i="3"/>
  <c r="D65" i="3"/>
  <c r="Q65" i="3"/>
  <c r="Z65" i="3"/>
  <c r="V65" i="3"/>
  <c r="AA65" i="3"/>
  <c r="D89" i="3"/>
  <c r="Q89" i="3"/>
  <c r="AA89" i="3"/>
  <c r="V89" i="3"/>
  <c r="Z89" i="3"/>
  <c r="Y89" i="3"/>
  <c r="X89" i="3"/>
  <c r="W89" i="3"/>
  <c r="D113" i="3"/>
  <c r="V113" i="3"/>
  <c r="Z113" i="3"/>
  <c r="AA113" i="3"/>
  <c r="H145" i="3"/>
  <c r="V145" i="3"/>
  <c r="Q145" i="3"/>
  <c r="Y145" i="3"/>
  <c r="X145" i="3"/>
  <c r="W145" i="3"/>
  <c r="F169" i="3"/>
  <c r="Q169" i="3"/>
  <c r="V169" i="3"/>
  <c r="Y169" i="3"/>
  <c r="X169" i="3"/>
  <c r="W169" i="3"/>
  <c r="AA169" i="3"/>
  <c r="D193" i="3"/>
  <c r="Q193" i="3"/>
  <c r="Z193" i="3"/>
  <c r="V193" i="3"/>
  <c r="AA193" i="3"/>
  <c r="Y193" i="3"/>
  <c r="D217" i="3"/>
  <c r="V217" i="3"/>
  <c r="AA217" i="3"/>
  <c r="Z217" i="3"/>
  <c r="Y217" i="3"/>
  <c r="X217" i="3"/>
  <c r="D241" i="3"/>
  <c r="Q241" i="3"/>
  <c r="V241" i="3"/>
  <c r="Z241" i="3"/>
  <c r="X241" i="3"/>
  <c r="D265" i="3"/>
  <c r="Q265" i="3"/>
  <c r="V265" i="3"/>
  <c r="Y265" i="3"/>
  <c r="X265" i="3"/>
  <c r="Z265" i="3"/>
  <c r="D297" i="3"/>
  <c r="Q297" i="3"/>
  <c r="AA297" i="3"/>
  <c r="V297" i="3"/>
  <c r="Z297" i="3"/>
  <c r="Y297" i="3"/>
  <c r="X297" i="3"/>
  <c r="W297" i="3"/>
  <c r="Y63" i="3"/>
  <c r="W70" i="3"/>
  <c r="W81" i="3"/>
  <c r="Y87" i="3"/>
  <c r="X94" i="3"/>
  <c r="W111" i="3"/>
  <c r="Y127" i="3"/>
  <c r="Y134" i="3"/>
  <c r="X158" i="3"/>
  <c r="Y167" i="3"/>
  <c r="X198" i="3"/>
  <c r="Y207" i="3"/>
  <c r="W217" i="3"/>
  <c r="X222" i="3"/>
  <c r="Y263" i="3"/>
  <c r="Y295" i="3"/>
  <c r="Y310" i="3"/>
  <c r="W335" i="3"/>
  <c r="X391" i="3"/>
  <c r="W399" i="3"/>
  <c r="W422" i="3"/>
  <c r="X471" i="3"/>
  <c r="AA95" i="3"/>
  <c r="AA159" i="3"/>
  <c r="Z281" i="3"/>
  <c r="Z487" i="3"/>
  <c r="V54" i="3"/>
  <c r="Y64" i="3"/>
  <c r="X81" i="3"/>
  <c r="V88" i="3"/>
  <c r="Y94" i="3"/>
  <c r="X104" i="3"/>
  <c r="X111" i="3"/>
  <c r="V118" i="3"/>
  <c r="Y128" i="3"/>
  <c r="Y135" i="3"/>
  <c r="Y144" i="3"/>
  <c r="V150" i="3"/>
  <c r="Y158" i="3"/>
  <c r="V168" i="3"/>
  <c r="W177" i="3"/>
  <c r="Y198" i="3"/>
  <c r="V208" i="3"/>
  <c r="Y222" i="3"/>
  <c r="Y232" i="3"/>
  <c r="Y264" i="3"/>
  <c r="X280" i="3"/>
  <c r="V296" i="3"/>
  <c r="V312" i="3"/>
  <c r="X335" i="3"/>
  <c r="X352" i="3"/>
  <c r="Y359" i="3"/>
  <c r="Y392" i="3"/>
  <c r="X399" i="3"/>
  <c r="W407" i="3"/>
  <c r="Y415" i="3"/>
  <c r="Y422" i="3"/>
  <c r="V464" i="3"/>
  <c r="V472" i="3"/>
  <c r="Z96" i="3"/>
  <c r="Z118" i="3"/>
  <c r="AA134" i="3"/>
  <c r="AA160" i="3"/>
  <c r="Z206" i="3"/>
  <c r="Z257" i="3"/>
  <c r="AA344" i="3"/>
  <c r="AA392" i="3"/>
  <c r="Q135" i="3"/>
  <c r="Q263" i="3"/>
  <c r="L54" i="3"/>
  <c r="W54" i="3"/>
  <c r="W65" i="3"/>
  <c r="Y71" i="3"/>
  <c r="X78" i="3"/>
  <c r="W88" i="3"/>
  <c r="W95" i="3"/>
  <c r="Y104" i="3"/>
  <c r="Y111" i="3"/>
  <c r="W118" i="3"/>
  <c r="W129" i="3"/>
  <c r="Y136" i="3"/>
  <c r="W150" i="3"/>
  <c r="W159" i="3"/>
  <c r="W168" i="3"/>
  <c r="X177" i="3"/>
  <c r="Y199" i="3"/>
  <c r="Y208" i="3"/>
  <c r="V214" i="3"/>
  <c r="X223" i="3"/>
  <c r="Y238" i="3"/>
  <c r="W265" i="3"/>
  <c r="X286" i="3"/>
  <c r="X296" i="3"/>
  <c r="W312" i="3"/>
  <c r="V336" i="3"/>
  <c r="V360" i="3"/>
  <c r="Y400" i="3"/>
  <c r="X407" i="3"/>
  <c r="V416" i="3"/>
  <c r="Y454" i="3"/>
  <c r="W464" i="3"/>
  <c r="Z62" i="3"/>
  <c r="Z80" i="3"/>
  <c r="AA168" i="3"/>
  <c r="AA287" i="3"/>
  <c r="Z408" i="3"/>
  <c r="E70" i="3"/>
  <c r="Q70" i="3"/>
  <c r="AA70" i="3"/>
  <c r="Z70" i="3"/>
  <c r="Y70" i="3"/>
  <c r="E126" i="3"/>
  <c r="Q126" i="3"/>
  <c r="Z126" i="3"/>
  <c r="AA126" i="3"/>
  <c r="W126" i="3"/>
  <c r="V126" i="3"/>
  <c r="H190" i="3"/>
  <c r="Q190" i="3"/>
  <c r="W190" i="3"/>
  <c r="AA190" i="3"/>
  <c r="V190" i="3"/>
  <c r="Z190" i="3"/>
  <c r="Y190" i="3"/>
  <c r="I230" i="3"/>
  <c r="Q230" i="3"/>
  <c r="AA230" i="3"/>
  <c r="Z230" i="3"/>
  <c r="Y230" i="3"/>
  <c r="X230" i="3"/>
  <c r="W230" i="3"/>
  <c r="I294" i="3"/>
  <c r="Q294" i="3"/>
  <c r="AA294" i="3"/>
  <c r="Y294" i="3"/>
  <c r="Z294" i="3"/>
  <c r="X294" i="3"/>
  <c r="W294" i="3"/>
  <c r="Q342" i="3"/>
  <c r="AA342" i="3"/>
  <c r="Z342" i="3"/>
  <c r="Y342" i="3"/>
  <c r="X342" i="3"/>
  <c r="W342" i="3"/>
  <c r="Q406" i="3"/>
  <c r="AA406" i="3"/>
  <c r="Z406" i="3"/>
  <c r="X406" i="3"/>
  <c r="W406" i="3"/>
  <c r="V406" i="3"/>
  <c r="Y406" i="3"/>
  <c r="Q446" i="3"/>
  <c r="AA446" i="3"/>
  <c r="Z446" i="3"/>
  <c r="X446" i="3"/>
  <c r="W446" i="3"/>
  <c r="V446" i="3"/>
  <c r="Q494" i="3"/>
  <c r="AA494" i="3"/>
  <c r="X494" i="3"/>
  <c r="W494" i="3"/>
  <c r="V494" i="3"/>
  <c r="Z494" i="3"/>
  <c r="V86" i="3"/>
  <c r="Y374" i="3"/>
  <c r="D17" i="3"/>
  <c r="D41" i="3"/>
  <c r="D57" i="3"/>
  <c r="V57" i="3"/>
  <c r="AA57" i="3"/>
  <c r="Z57" i="3"/>
  <c r="Y57" i="3"/>
  <c r="X57" i="3"/>
  <c r="W57" i="3"/>
  <c r="D81" i="3"/>
  <c r="Q81" i="3"/>
  <c r="V81" i="3"/>
  <c r="AA81" i="3"/>
  <c r="Z81" i="3"/>
  <c r="D105" i="3"/>
  <c r="Q105" i="3"/>
  <c r="Z105" i="3"/>
  <c r="V105" i="3"/>
  <c r="AA105" i="3"/>
  <c r="Y105" i="3"/>
  <c r="X105" i="3"/>
  <c r="W105" i="3"/>
  <c r="D137" i="3"/>
  <c r="Q137" i="3"/>
  <c r="V137" i="3"/>
  <c r="Y137" i="3"/>
  <c r="X137" i="3"/>
  <c r="AA137" i="3"/>
  <c r="Z137" i="3"/>
  <c r="H161" i="3"/>
  <c r="Z161" i="3"/>
  <c r="Q161" i="3"/>
  <c r="V161" i="3"/>
  <c r="W161" i="3"/>
  <c r="AA161" i="3"/>
  <c r="D185" i="3"/>
  <c r="Q185" i="3"/>
  <c r="V185" i="3"/>
  <c r="Y185" i="3"/>
  <c r="X185" i="3"/>
  <c r="W185" i="3"/>
  <c r="Z185" i="3"/>
  <c r="D209" i="3"/>
  <c r="AA209" i="3"/>
  <c r="V209" i="3"/>
  <c r="Z209" i="3"/>
  <c r="Y209" i="3"/>
  <c r="X209" i="3"/>
  <c r="W209" i="3"/>
  <c r="D233" i="3"/>
  <c r="Q233" i="3"/>
  <c r="V233" i="3"/>
  <c r="AA233" i="3"/>
  <c r="Y233" i="3"/>
  <c r="Z233" i="3"/>
  <c r="X233" i="3"/>
  <c r="W233" i="3"/>
  <c r="D257" i="3"/>
  <c r="V257" i="3"/>
  <c r="Y257" i="3"/>
  <c r="D273" i="3"/>
  <c r="Q273" i="3"/>
  <c r="AA273" i="3"/>
  <c r="V273" i="3"/>
  <c r="Z273" i="3"/>
  <c r="Y273" i="3"/>
  <c r="X273" i="3"/>
  <c r="W273" i="3"/>
  <c r="D289" i="3"/>
  <c r="Q289" i="3"/>
  <c r="V289" i="3"/>
  <c r="Z289" i="3"/>
  <c r="AA289" i="3"/>
  <c r="W289" i="3"/>
  <c r="Q345" i="3"/>
  <c r="Z345" i="3"/>
  <c r="V345" i="3"/>
  <c r="X345" i="3"/>
  <c r="W345" i="3"/>
  <c r="AA345" i="3"/>
  <c r="Q129" i="3"/>
  <c r="D12" i="3"/>
  <c r="F12" i="3" s="1"/>
  <c r="AA12" i="3" s="1"/>
  <c r="D20" i="3"/>
  <c r="Q20" i="3" s="1"/>
  <c r="D28" i="3"/>
  <c r="Q28" i="3" s="1"/>
  <c r="D36" i="3"/>
  <c r="Q36" i="3" s="1"/>
  <c r="D44" i="3"/>
  <c r="Q44" i="3" s="1"/>
  <c r="D52" i="3"/>
  <c r="Q52" i="3"/>
  <c r="D60" i="3"/>
  <c r="Q60" i="3"/>
  <c r="AA60" i="3"/>
  <c r="Z60" i="3"/>
  <c r="V60" i="3"/>
  <c r="D68" i="3"/>
  <c r="Q68" i="3"/>
  <c r="AA68" i="3"/>
  <c r="Z68" i="3"/>
  <c r="Y68" i="3"/>
  <c r="X68" i="3"/>
  <c r="D76" i="3"/>
  <c r="Z76" i="3"/>
  <c r="V76" i="3"/>
  <c r="Q76" i="3"/>
  <c r="D84" i="3"/>
  <c r="Q84" i="3"/>
  <c r="AA84" i="3"/>
  <c r="Z84" i="3"/>
  <c r="Y84" i="3"/>
  <c r="X84" i="3"/>
  <c r="D92" i="3"/>
  <c r="Q92" i="3"/>
  <c r="AA92" i="3"/>
  <c r="Z92" i="3"/>
  <c r="V92" i="3"/>
  <c r="D100" i="3"/>
  <c r="Z100" i="3"/>
  <c r="Y100" i="3"/>
  <c r="X100" i="3"/>
  <c r="D108" i="3"/>
  <c r="Q108" i="3"/>
  <c r="V108" i="3"/>
  <c r="AA108" i="3"/>
  <c r="D116" i="3"/>
  <c r="Q116" i="3"/>
  <c r="Z116" i="3"/>
  <c r="AA116" i="3"/>
  <c r="Y116" i="3"/>
  <c r="X116" i="3"/>
  <c r="D124" i="3"/>
  <c r="Q124" i="3"/>
  <c r="AA124" i="3"/>
  <c r="Z124" i="3"/>
  <c r="V124" i="3"/>
  <c r="D132" i="3"/>
  <c r="Y132" i="3"/>
  <c r="Q132" i="3"/>
  <c r="Z132" i="3"/>
  <c r="X132" i="3"/>
  <c r="D140" i="3"/>
  <c r="Q140" i="3"/>
  <c r="V140" i="3"/>
  <c r="AA140" i="3"/>
  <c r="J148" i="3"/>
  <c r="Q148" i="3"/>
  <c r="Y148" i="3"/>
  <c r="Z148" i="3"/>
  <c r="X148" i="3"/>
  <c r="W148" i="3"/>
  <c r="AA148" i="3"/>
  <c r="V148" i="3"/>
  <c r="I156" i="3"/>
  <c r="Q156" i="3"/>
  <c r="AA156" i="3"/>
  <c r="V156" i="3"/>
  <c r="Z156" i="3"/>
  <c r="G164" i="3"/>
  <c r="Y164" i="3"/>
  <c r="Z164" i="3"/>
  <c r="Q164" i="3"/>
  <c r="AA164" i="3"/>
  <c r="V164" i="3"/>
  <c r="I172" i="3"/>
  <c r="Q172" i="3"/>
  <c r="AA172" i="3"/>
  <c r="V172" i="3"/>
  <c r="Z172" i="3"/>
  <c r="Y172" i="3"/>
  <c r="X172" i="3"/>
  <c r="F180" i="3"/>
  <c r="Q180" i="3"/>
  <c r="Y180" i="3"/>
  <c r="AA180" i="3"/>
  <c r="G188" i="3"/>
  <c r="Q188" i="3"/>
  <c r="AA188" i="3"/>
  <c r="Z188" i="3"/>
  <c r="V188" i="3"/>
  <c r="X188" i="3"/>
  <c r="W188" i="3"/>
  <c r="Q196" i="3"/>
  <c r="AA196" i="3"/>
  <c r="Y196" i="3"/>
  <c r="X196" i="3"/>
  <c r="Z196" i="3"/>
  <c r="F204" i="3"/>
  <c r="AA204" i="3"/>
  <c r="Z204" i="3"/>
  <c r="V204" i="3"/>
  <c r="Q204" i="3"/>
  <c r="F212" i="3"/>
  <c r="Q212" i="3"/>
  <c r="AA212" i="3"/>
  <c r="Y212" i="3"/>
  <c r="X212" i="3"/>
  <c r="W212" i="3"/>
  <c r="V212" i="3"/>
  <c r="G220" i="3"/>
  <c r="Q220" i="3"/>
  <c r="AA220" i="3"/>
  <c r="Z220" i="3"/>
  <c r="V220" i="3"/>
  <c r="W220" i="3"/>
  <c r="Z228" i="3"/>
  <c r="Y228" i="3"/>
  <c r="Q228" i="3"/>
  <c r="V228" i="3"/>
  <c r="AA228" i="3"/>
  <c r="F236" i="3"/>
  <c r="AA236" i="3"/>
  <c r="V236" i="3"/>
  <c r="Q236" i="3"/>
  <c r="Y236" i="3"/>
  <c r="X236" i="3"/>
  <c r="F244" i="3"/>
  <c r="Q244" i="3"/>
  <c r="AA244" i="3"/>
  <c r="Z244" i="3"/>
  <c r="Y244" i="3"/>
  <c r="W244" i="3"/>
  <c r="G252" i="3"/>
  <c r="Q252" i="3"/>
  <c r="AA252" i="3"/>
  <c r="V252" i="3"/>
  <c r="X252" i="3"/>
  <c r="W252" i="3"/>
  <c r="AA260" i="3"/>
  <c r="Q260" i="3"/>
  <c r="Y260" i="3"/>
  <c r="Z260" i="3"/>
  <c r="X260" i="3"/>
  <c r="F268" i="3"/>
  <c r="Q268" i="3"/>
  <c r="Z268" i="3"/>
  <c r="V268" i="3"/>
  <c r="Y268" i="3"/>
  <c r="F276" i="3"/>
  <c r="Q276" i="3"/>
  <c r="AA276" i="3"/>
  <c r="Y276" i="3"/>
  <c r="X276" i="3"/>
  <c r="W276" i="3"/>
  <c r="Z276" i="3"/>
  <c r="V276" i="3"/>
  <c r="G284" i="3"/>
  <c r="Q284" i="3"/>
  <c r="Z284" i="3"/>
  <c r="V284" i="3"/>
  <c r="W284" i="3"/>
  <c r="Q292" i="3"/>
  <c r="Z292" i="3"/>
  <c r="AA292" i="3"/>
  <c r="Y292" i="3"/>
  <c r="V292" i="3"/>
  <c r="F300" i="3"/>
  <c r="V300" i="3"/>
  <c r="Z300" i="3"/>
  <c r="Y300" i="3"/>
  <c r="X300" i="3"/>
  <c r="AA300" i="3"/>
  <c r="F308" i="3"/>
  <c r="Q308" i="3"/>
  <c r="Y308" i="3"/>
  <c r="AA308" i="3"/>
  <c r="Z308" i="3"/>
  <c r="W308" i="3"/>
  <c r="Q316" i="3"/>
  <c r="AA316" i="3"/>
  <c r="Z316" i="3"/>
  <c r="Y316" i="3"/>
  <c r="V316" i="3"/>
  <c r="X316" i="3"/>
  <c r="W316" i="3"/>
  <c r="Z324" i="3"/>
  <c r="Q324" i="3"/>
  <c r="Y324" i="3"/>
  <c r="AA324" i="3"/>
  <c r="V324" i="3"/>
  <c r="AA332" i="3"/>
  <c r="Q332" i="3"/>
  <c r="Z332" i="3"/>
  <c r="Y332" i="3"/>
  <c r="V332" i="3"/>
  <c r="W332" i="3"/>
  <c r="Q340" i="3"/>
  <c r="AA340" i="3"/>
  <c r="Y340" i="3"/>
  <c r="V340" i="3"/>
  <c r="X340" i="3"/>
  <c r="Z340" i="3"/>
  <c r="Q348" i="3"/>
  <c r="AA348" i="3"/>
  <c r="Y348" i="3"/>
  <c r="V348" i="3"/>
  <c r="Z348" i="3"/>
  <c r="X348" i="3"/>
  <c r="W348" i="3"/>
  <c r="J356" i="3"/>
  <c r="Z356" i="3"/>
  <c r="Q356" i="3"/>
  <c r="Y356" i="3"/>
  <c r="V356" i="3"/>
  <c r="AA356" i="3"/>
  <c r="Y364" i="3"/>
  <c r="V364" i="3"/>
  <c r="AA364" i="3"/>
  <c r="Z364" i="3"/>
  <c r="W364" i="3"/>
  <c r="E372" i="3"/>
  <c r="Q372" i="3"/>
  <c r="X372" i="3"/>
  <c r="Z372" i="3"/>
  <c r="Y372" i="3"/>
  <c r="W372" i="3"/>
  <c r="Q380" i="3"/>
  <c r="AA380" i="3"/>
  <c r="X380" i="3"/>
  <c r="Y380" i="3"/>
  <c r="Z380" i="3"/>
  <c r="W380" i="3"/>
  <c r="F388" i="3"/>
  <c r="Z388" i="3"/>
  <c r="AA388" i="3"/>
  <c r="X388" i="3"/>
  <c r="Q388" i="3"/>
  <c r="V388" i="3"/>
  <c r="W388" i="3"/>
  <c r="Q396" i="3"/>
  <c r="AA396" i="3"/>
  <c r="X396" i="3"/>
  <c r="Y396" i="3"/>
  <c r="W396" i="3"/>
  <c r="Z396" i="3"/>
  <c r="Q404" i="3"/>
  <c r="AA404" i="3"/>
  <c r="X404" i="3"/>
  <c r="Z404" i="3"/>
  <c r="W404" i="3"/>
  <c r="G412" i="3"/>
  <c r="Q412" i="3"/>
  <c r="AA412" i="3"/>
  <c r="X412" i="3"/>
  <c r="Y412" i="3"/>
  <c r="W412" i="3"/>
  <c r="V412" i="3"/>
  <c r="Z412" i="3"/>
  <c r="AA420" i="3"/>
  <c r="Z420" i="3"/>
  <c r="X420" i="3"/>
  <c r="Q420" i="3"/>
  <c r="W420" i="3"/>
  <c r="AA428" i="3"/>
  <c r="Z428" i="3"/>
  <c r="X428" i="3"/>
  <c r="Q428" i="3"/>
  <c r="Y428" i="3"/>
  <c r="W428" i="3"/>
  <c r="AA436" i="3"/>
  <c r="Z436" i="3"/>
  <c r="Q436" i="3"/>
  <c r="X436" i="3"/>
  <c r="Y436" i="3"/>
  <c r="AA444" i="3"/>
  <c r="Z444" i="3"/>
  <c r="Q444" i="3"/>
  <c r="X444" i="3"/>
  <c r="Y444" i="3"/>
  <c r="W444" i="3"/>
  <c r="G452" i="3"/>
  <c r="AA452" i="3"/>
  <c r="Z452" i="3"/>
  <c r="X452" i="3"/>
  <c r="Y452" i="3"/>
  <c r="W452" i="3"/>
  <c r="V452" i="3"/>
  <c r="AA460" i="3"/>
  <c r="Z460" i="3"/>
  <c r="X460" i="3"/>
  <c r="W460" i="3"/>
  <c r="V460" i="3"/>
  <c r="Q460" i="3"/>
  <c r="AA468" i="3"/>
  <c r="Z468" i="3"/>
  <c r="Q468" i="3"/>
  <c r="X468" i="3"/>
  <c r="W468" i="3"/>
  <c r="V468" i="3"/>
  <c r="Y468" i="3"/>
  <c r="AA476" i="3"/>
  <c r="Z476" i="3"/>
  <c r="Q476" i="3"/>
  <c r="X476" i="3"/>
  <c r="V476" i="3"/>
  <c r="Y476" i="3"/>
  <c r="W476" i="3"/>
  <c r="AA484" i="3"/>
  <c r="Z484" i="3"/>
  <c r="X484" i="3"/>
  <c r="V484" i="3"/>
  <c r="Q484" i="3"/>
  <c r="Y484" i="3"/>
  <c r="D492" i="3"/>
  <c r="AA492" i="3"/>
  <c r="Z492" i="3"/>
  <c r="X492" i="3"/>
  <c r="Q492" i="3"/>
  <c r="Y492" i="3"/>
  <c r="AA500" i="3"/>
  <c r="Z500" i="3"/>
  <c r="Q500" i="3"/>
  <c r="X500" i="3"/>
  <c r="Y500" i="3"/>
  <c r="V500" i="3"/>
  <c r="X65" i="3"/>
  <c r="V68" i="3"/>
  <c r="V72" i="3"/>
  <c r="Y78" i="3"/>
  <c r="X88" i="3"/>
  <c r="W92" i="3"/>
  <c r="X95" i="3"/>
  <c r="V102" i="3"/>
  <c r="Y108" i="3"/>
  <c r="Y112" i="3"/>
  <c r="X129" i="3"/>
  <c r="V132" i="3"/>
  <c r="W137" i="3"/>
  <c r="X150" i="3"/>
  <c r="X159" i="3"/>
  <c r="W164" i="3"/>
  <c r="X168" i="3"/>
  <c r="X182" i="3"/>
  <c r="Y191" i="3"/>
  <c r="Y200" i="3"/>
  <c r="Y204" i="3"/>
  <c r="W214" i="3"/>
  <c r="Y223" i="3"/>
  <c r="X228" i="3"/>
  <c r="W239" i="3"/>
  <c r="X244" i="3"/>
  <c r="Y255" i="3"/>
  <c r="V260" i="3"/>
  <c r="W271" i="3"/>
  <c r="Y286" i="3"/>
  <c r="Y296" i="3"/>
  <c r="X324" i="3"/>
  <c r="W336" i="3"/>
  <c r="V342" i="3"/>
  <c r="X360" i="3"/>
  <c r="W367" i="3"/>
  <c r="V372" i="3"/>
  <c r="Y408" i="3"/>
  <c r="Y416" i="3"/>
  <c r="W436" i="3"/>
  <c r="Y446" i="3"/>
  <c r="V456" i="3"/>
  <c r="W484" i="3"/>
  <c r="V495" i="3"/>
  <c r="AA143" i="3"/>
  <c r="Z169" i="3"/>
  <c r="Z236" i="3"/>
  <c r="Z288" i="3"/>
  <c r="Z358" i="3"/>
  <c r="AA408" i="3"/>
  <c r="Q300" i="3"/>
  <c r="E54" i="3"/>
  <c r="Q54" i="3"/>
  <c r="AA54" i="3"/>
  <c r="Y54" i="3"/>
  <c r="E118" i="3"/>
  <c r="Q118" i="3"/>
  <c r="AA118" i="3"/>
  <c r="Y118" i="3"/>
  <c r="Q174" i="3"/>
  <c r="AA174" i="3"/>
  <c r="W174" i="3"/>
  <c r="Z174" i="3"/>
  <c r="V174" i="3"/>
  <c r="H254" i="3"/>
  <c r="Q254" i="3"/>
  <c r="AA254" i="3"/>
  <c r="Z254" i="3"/>
  <c r="W254" i="3"/>
  <c r="V254" i="3"/>
  <c r="Y254" i="3"/>
  <c r="I318" i="3"/>
  <c r="Q318" i="3"/>
  <c r="AA318" i="3"/>
  <c r="Y318" i="3"/>
  <c r="X318" i="3"/>
  <c r="W318" i="3"/>
  <c r="Z318" i="3"/>
  <c r="Q390" i="3"/>
  <c r="AA390" i="3"/>
  <c r="X390" i="3"/>
  <c r="Z390" i="3"/>
  <c r="Y390" i="3"/>
  <c r="W390" i="3"/>
  <c r="V390" i="3"/>
  <c r="Q462" i="3"/>
  <c r="AA462" i="3"/>
  <c r="X462" i="3"/>
  <c r="Z462" i="3"/>
  <c r="Y462" i="3"/>
  <c r="W462" i="3"/>
  <c r="V462" i="3"/>
  <c r="X174" i="3"/>
  <c r="D33" i="3"/>
  <c r="D73" i="3"/>
  <c r="Q73" i="3"/>
  <c r="AA73" i="3"/>
  <c r="V73" i="3"/>
  <c r="Z73" i="3"/>
  <c r="Y73" i="3"/>
  <c r="X73" i="3"/>
  <c r="W73" i="3"/>
  <c r="D97" i="3"/>
  <c r="Z97" i="3"/>
  <c r="Q97" i="3"/>
  <c r="V97" i="3"/>
  <c r="AA97" i="3"/>
  <c r="D121" i="3"/>
  <c r="Q121" i="3"/>
  <c r="Z121" i="3"/>
  <c r="V121" i="3"/>
  <c r="Y121" i="3"/>
  <c r="X121" i="3"/>
  <c r="W121" i="3"/>
  <c r="AA121" i="3"/>
  <c r="H153" i="3"/>
  <c r="Q153" i="3"/>
  <c r="V153" i="3"/>
  <c r="Y153" i="3"/>
  <c r="X153" i="3"/>
  <c r="Z153" i="3"/>
  <c r="D177" i="3"/>
  <c r="Q177" i="3"/>
  <c r="V177" i="3"/>
  <c r="AA177" i="3"/>
  <c r="Z177" i="3"/>
  <c r="D201" i="3"/>
  <c r="Q201" i="3"/>
  <c r="V201" i="3"/>
  <c r="AA201" i="3"/>
  <c r="Y201" i="3"/>
  <c r="X201" i="3"/>
  <c r="D225" i="3"/>
  <c r="Q225" i="3"/>
  <c r="Z225" i="3"/>
  <c r="AA225" i="3"/>
  <c r="V225" i="3"/>
  <c r="W225" i="3"/>
  <c r="D249" i="3"/>
  <c r="Q249" i="3"/>
  <c r="Z249" i="3"/>
  <c r="V249" i="3"/>
  <c r="Y249" i="3"/>
  <c r="X249" i="3"/>
  <c r="W249" i="3"/>
  <c r="D281" i="3"/>
  <c r="V281" i="3"/>
  <c r="Y281" i="3"/>
  <c r="AA281" i="3"/>
  <c r="X281" i="3"/>
  <c r="Q281" i="3"/>
  <c r="Z353" i="3"/>
  <c r="V353" i="3"/>
  <c r="Q353" i="3"/>
  <c r="AA353" i="3"/>
  <c r="X353" i="3"/>
  <c r="W353" i="3"/>
  <c r="Y353" i="3"/>
  <c r="Q257" i="3"/>
  <c r="H21" i="3"/>
  <c r="G29" i="3"/>
  <c r="H45" i="3"/>
  <c r="G53" i="3"/>
  <c r="F61" i="3"/>
  <c r="Q61" i="3"/>
  <c r="V61" i="3"/>
  <c r="AA61" i="3"/>
  <c r="Y61" i="3"/>
  <c r="H69" i="3"/>
  <c r="Q69" i="3"/>
  <c r="AA69" i="3"/>
  <c r="V69" i="3"/>
  <c r="Z69" i="3"/>
  <c r="W69" i="3"/>
  <c r="G77" i="3"/>
  <c r="Q77" i="3"/>
  <c r="V77" i="3"/>
  <c r="AA77" i="3"/>
  <c r="Z77" i="3"/>
  <c r="Y77" i="3"/>
  <c r="F85" i="3"/>
  <c r="Q85" i="3"/>
  <c r="V85" i="3"/>
  <c r="AA85" i="3"/>
  <c r="Z85" i="3"/>
  <c r="W85" i="3"/>
  <c r="H93" i="3"/>
  <c r="Q93" i="3"/>
  <c r="V93" i="3"/>
  <c r="AA93" i="3"/>
  <c r="Z93" i="3"/>
  <c r="Y93" i="3"/>
  <c r="G101" i="3"/>
  <c r="Q101" i="3"/>
  <c r="AA101" i="3"/>
  <c r="V101" i="3"/>
  <c r="W101" i="3"/>
  <c r="H109" i="3"/>
  <c r="Q109" i="3"/>
  <c r="V109" i="3"/>
  <c r="AA109" i="3"/>
  <c r="Y109" i="3"/>
  <c r="F117" i="3"/>
  <c r="Q117" i="3"/>
  <c r="V117" i="3"/>
  <c r="AA117" i="3"/>
  <c r="W117" i="3"/>
  <c r="G125" i="3"/>
  <c r="Q125" i="3"/>
  <c r="V125" i="3"/>
  <c r="AA125" i="3"/>
  <c r="Z125" i="3"/>
  <c r="Y125" i="3"/>
  <c r="H133" i="3"/>
  <c r="Q133" i="3"/>
  <c r="AA133" i="3"/>
  <c r="V133" i="3"/>
  <c r="W133" i="3"/>
  <c r="Z133" i="3"/>
  <c r="Y133" i="3"/>
  <c r="X133" i="3"/>
  <c r="H141" i="3"/>
  <c r="Q141" i="3"/>
  <c r="AA141" i="3"/>
  <c r="V141" i="3"/>
  <c r="Z141" i="3"/>
  <c r="Y141" i="3"/>
  <c r="H149" i="3"/>
  <c r="Q149" i="3"/>
  <c r="V149" i="3"/>
  <c r="AA149" i="3"/>
  <c r="W149" i="3"/>
  <c r="Z149" i="3"/>
  <c r="J157" i="3"/>
  <c r="Q157" i="3"/>
  <c r="AA157" i="3"/>
  <c r="V157" i="3"/>
  <c r="Z157" i="3"/>
  <c r="Y157" i="3"/>
  <c r="X157" i="3"/>
  <c r="W157" i="3"/>
  <c r="Q165" i="3"/>
  <c r="AA165" i="3"/>
  <c r="V165" i="3"/>
  <c r="Z165" i="3"/>
  <c r="W165" i="3"/>
  <c r="J173" i="3"/>
  <c r="Q173" i="3"/>
  <c r="Z173" i="3"/>
  <c r="V173" i="3"/>
  <c r="W173" i="3"/>
  <c r="H181" i="3"/>
  <c r="Q181" i="3"/>
  <c r="V181" i="3"/>
  <c r="Z181" i="3"/>
  <c r="W181" i="3"/>
  <c r="Y181" i="3"/>
  <c r="H189" i="3"/>
  <c r="Q189" i="3"/>
  <c r="Z189" i="3"/>
  <c r="V189" i="3"/>
  <c r="AA189" i="3"/>
  <c r="H197" i="3"/>
  <c r="Q197" i="3"/>
  <c r="AA197" i="3"/>
  <c r="V197" i="3"/>
  <c r="W197" i="3"/>
  <c r="Z197" i="3"/>
  <c r="Y197" i="3"/>
  <c r="X197" i="3"/>
  <c r="G205" i="3"/>
  <c r="Q205" i="3"/>
  <c r="V205" i="3"/>
  <c r="AA205" i="3"/>
  <c r="Z205" i="3"/>
  <c r="Y205" i="3"/>
  <c r="H213" i="3"/>
  <c r="Q213" i="3"/>
  <c r="V213" i="3"/>
  <c r="W213" i="3"/>
  <c r="AA213" i="3"/>
  <c r="H221" i="3"/>
  <c r="Q221" i="3"/>
  <c r="V221" i="3"/>
  <c r="Y221" i="3"/>
  <c r="X221" i="3"/>
  <c r="W221" i="3"/>
  <c r="H229" i="3"/>
  <c r="Q229" i="3"/>
  <c r="AA229" i="3"/>
  <c r="V229" i="3"/>
  <c r="W229" i="3"/>
  <c r="Z229" i="3"/>
  <c r="X229" i="3"/>
  <c r="H237" i="3"/>
  <c r="Q237" i="3"/>
  <c r="Z237" i="3"/>
  <c r="V237" i="3"/>
  <c r="W237" i="3"/>
  <c r="H245" i="3"/>
  <c r="Q245" i="3"/>
  <c r="AA245" i="3"/>
  <c r="V245" i="3"/>
  <c r="W245" i="3"/>
  <c r="Z245" i="3"/>
  <c r="Y245" i="3"/>
  <c r="H253" i="3"/>
  <c r="Q253" i="3"/>
  <c r="V253" i="3"/>
  <c r="AA253" i="3"/>
  <c r="Z253" i="3"/>
  <c r="X253" i="3"/>
  <c r="H261" i="3"/>
  <c r="Q261" i="3"/>
  <c r="AA261" i="3"/>
  <c r="Z261" i="3"/>
  <c r="V261" i="3"/>
  <c r="W261" i="3"/>
  <c r="Y261" i="3"/>
  <c r="X261" i="3"/>
  <c r="Q269" i="3"/>
  <c r="V269" i="3"/>
  <c r="AA269" i="3"/>
  <c r="Y269" i="3"/>
  <c r="Z269" i="3"/>
  <c r="H277" i="3"/>
  <c r="Q277" i="3"/>
  <c r="AA277" i="3"/>
  <c r="V277" i="3"/>
  <c r="W277" i="3"/>
  <c r="Z277" i="3"/>
  <c r="H285" i="3"/>
  <c r="Q285" i="3"/>
  <c r="AA285" i="3"/>
  <c r="V285" i="3"/>
  <c r="Z285" i="3"/>
  <c r="Y285" i="3"/>
  <c r="X285" i="3"/>
  <c r="W285" i="3"/>
  <c r="H293" i="3"/>
  <c r="Q293" i="3"/>
  <c r="AA293" i="3"/>
  <c r="V293" i="3"/>
  <c r="Z293" i="3"/>
  <c r="W293" i="3"/>
  <c r="X293" i="3"/>
  <c r="G301" i="3"/>
  <c r="Q301" i="3"/>
  <c r="V301" i="3"/>
  <c r="Z301" i="3"/>
  <c r="AA301" i="3"/>
  <c r="W301" i="3"/>
  <c r="H309" i="3"/>
  <c r="Q309" i="3"/>
  <c r="AA309" i="3"/>
  <c r="V309" i="3"/>
  <c r="Z309" i="3"/>
  <c r="W309" i="3"/>
  <c r="Y309" i="3"/>
  <c r="G317" i="3"/>
  <c r="Q317" i="3"/>
  <c r="V317" i="3"/>
  <c r="Z317" i="3"/>
  <c r="Y317" i="3"/>
  <c r="I325" i="3"/>
  <c r="Q325" i="3"/>
  <c r="V325" i="3"/>
  <c r="AA325" i="3"/>
  <c r="Z325" i="3"/>
  <c r="W325" i="3"/>
  <c r="J333" i="3"/>
  <c r="Q333" i="3"/>
  <c r="V333" i="3"/>
  <c r="Z333" i="3"/>
  <c r="Y333" i="3"/>
  <c r="X333" i="3"/>
  <c r="Q341" i="3"/>
  <c r="AA341" i="3"/>
  <c r="Z341" i="3"/>
  <c r="V341" i="3"/>
  <c r="X341" i="3"/>
  <c r="W341" i="3"/>
  <c r="F349" i="3"/>
  <c r="Q349" i="3"/>
  <c r="Z349" i="3"/>
  <c r="V349" i="3"/>
  <c r="AA349" i="3"/>
  <c r="Y349" i="3"/>
  <c r="F357" i="3"/>
  <c r="Q357" i="3"/>
  <c r="V357" i="3"/>
  <c r="Z357" i="3"/>
  <c r="W357" i="3"/>
  <c r="Q365" i="3"/>
  <c r="V365" i="3"/>
  <c r="AA365" i="3"/>
  <c r="Y365" i="3"/>
  <c r="X365" i="3"/>
  <c r="Q373" i="3"/>
  <c r="AA373" i="3"/>
  <c r="Y373" i="3"/>
  <c r="X373" i="3"/>
  <c r="Z373" i="3"/>
  <c r="W373" i="3"/>
  <c r="Q381" i="3"/>
  <c r="Z381" i="3"/>
  <c r="AA381" i="3"/>
  <c r="Y381" i="3"/>
  <c r="X381" i="3"/>
  <c r="W381" i="3"/>
  <c r="Q389" i="3"/>
  <c r="Y389" i="3"/>
  <c r="AA389" i="3"/>
  <c r="X389" i="3"/>
  <c r="W389" i="3"/>
  <c r="Z389" i="3"/>
  <c r="Q397" i="3"/>
  <c r="W397" i="3"/>
  <c r="AA397" i="3"/>
  <c r="V397" i="3"/>
  <c r="Z397" i="3"/>
  <c r="Y397" i="3"/>
  <c r="Q405" i="3"/>
  <c r="AA405" i="3"/>
  <c r="Y405" i="3"/>
  <c r="X405" i="3"/>
  <c r="Z405" i="3"/>
  <c r="W405" i="3"/>
  <c r="G413" i="3"/>
  <c r="Q413" i="3"/>
  <c r="Z413" i="3"/>
  <c r="AA413" i="3"/>
  <c r="Y413" i="3"/>
  <c r="V413" i="3"/>
  <c r="Q421" i="3"/>
  <c r="AA421" i="3"/>
  <c r="Z421" i="3"/>
  <c r="Y421" i="3"/>
  <c r="X421" i="3"/>
  <c r="W421" i="3"/>
  <c r="V421" i="3"/>
  <c r="Q429" i="3"/>
  <c r="AA429" i="3"/>
  <c r="Z429" i="3"/>
  <c r="V429" i="3"/>
  <c r="W429" i="3"/>
  <c r="Y429" i="3"/>
  <c r="X429" i="3"/>
  <c r="Q437" i="3"/>
  <c r="AA437" i="3"/>
  <c r="Z437" i="3"/>
  <c r="V437" i="3"/>
  <c r="Y437" i="3"/>
  <c r="W437" i="3"/>
  <c r="X437" i="3"/>
  <c r="Q445" i="3"/>
  <c r="AA445" i="3"/>
  <c r="V445" i="3"/>
  <c r="Z445" i="3"/>
  <c r="X445" i="3"/>
  <c r="W445" i="3"/>
  <c r="Y445" i="3"/>
  <c r="Q453" i="3"/>
  <c r="AA453" i="3"/>
  <c r="Z453" i="3"/>
  <c r="V453" i="3"/>
  <c r="Y453" i="3"/>
  <c r="Q461" i="3"/>
  <c r="V461" i="3"/>
  <c r="Z461" i="3"/>
  <c r="X461" i="3"/>
  <c r="AA461" i="3"/>
  <c r="Y461" i="3"/>
  <c r="Q469" i="3"/>
  <c r="AA469" i="3"/>
  <c r="Z469" i="3"/>
  <c r="X469" i="3"/>
  <c r="W469" i="3"/>
  <c r="V469" i="3"/>
  <c r="H477" i="3"/>
  <c r="Q477" i="3"/>
  <c r="V477" i="3"/>
  <c r="AA477" i="3"/>
  <c r="Z477" i="3"/>
  <c r="W477" i="3"/>
  <c r="Q485" i="3"/>
  <c r="AA485" i="3"/>
  <c r="Z485" i="3"/>
  <c r="X485" i="3"/>
  <c r="W485" i="3"/>
  <c r="V485" i="3"/>
  <c r="K493" i="3"/>
  <c r="Q493" i="3"/>
  <c r="Z493" i="3"/>
  <c r="V493" i="3"/>
  <c r="AA493" i="3"/>
  <c r="Y493" i="3"/>
  <c r="X493" i="3"/>
  <c r="W493" i="3"/>
  <c r="Q501" i="3"/>
  <c r="AA501" i="3"/>
  <c r="Z501" i="3"/>
  <c r="Y501" i="3"/>
  <c r="V501" i="3"/>
  <c r="X501" i="3"/>
  <c r="W501" i="3"/>
  <c r="Y55" i="3"/>
  <c r="X62" i="3"/>
  <c r="Y65" i="3"/>
  <c r="W72" i="3"/>
  <c r="W79" i="3"/>
  <c r="Y85" i="3"/>
  <c r="Y88" i="3"/>
  <c r="Y95" i="3"/>
  <c r="W102" i="3"/>
  <c r="W109" i="3"/>
  <c r="W113" i="3"/>
  <c r="Y119" i="3"/>
  <c r="X126" i="3"/>
  <c r="Y129" i="3"/>
  <c r="X141" i="3"/>
  <c r="W152" i="3"/>
  <c r="Y159" i="3"/>
  <c r="Y168" i="3"/>
  <c r="Y173" i="3"/>
  <c r="Y182" i="3"/>
  <c r="V192" i="3"/>
  <c r="W201" i="3"/>
  <c r="W205" i="3"/>
  <c r="X214" i="3"/>
  <c r="X225" i="3"/>
  <c r="Y229" i="3"/>
  <c r="Y240" i="3"/>
  <c r="X245" i="3"/>
  <c r="V256" i="3"/>
  <c r="X271" i="3"/>
  <c r="X277" i="3"/>
  <c r="X287" i="3"/>
  <c r="Y302" i="3"/>
  <c r="W319" i="3"/>
  <c r="X325" i="3"/>
  <c r="X343" i="3"/>
  <c r="W349" i="3"/>
  <c r="X367" i="3"/>
  <c r="V373" i="3"/>
  <c r="Y438" i="3"/>
  <c r="V448" i="3"/>
  <c r="Y485" i="3"/>
  <c r="Z86" i="3"/>
  <c r="Z145" i="3"/>
  <c r="AA237" i="3"/>
  <c r="AA265" i="3"/>
  <c r="AA317" i="3"/>
  <c r="Z365" i="3"/>
  <c r="D305" i="3"/>
  <c r="V305" i="3"/>
  <c r="G313" i="3"/>
  <c r="Q313" i="3"/>
  <c r="V313" i="3"/>
  <c r="Z313" i="3"/>
  <c r="Y313" i="3"/>
  <c r="X313" i="3"/>
  <c r="F321" i="3"/>
  <c r="V321" i="3"/>
  <c r="AA321" i="3"/>
  <c r="X321" i="3"/>
  <c r="Z321" i="3"/>
  <c r="W321" i="3"/>
  <c r="Q329" i="3"/>
  <c r="AA329" i="3"/>
  <c r="Z329" i="3"/>
  <c r="V329" i="3"/>
  <c r="X329" i="3"/>
  <c r="W329" i="3"/>
  <c r="H337" i="3"/>
  <c r="Z337" i="3"/>
  <c r="Q337" i="3"/>
  <c r="V337" i="3"/>
  <c r="AA337" i="3"/>
  <c r="X337" i="3"/>
  <c r="W337" i="3"/>
  <c r="Q361" i="3"/>
  <c r="AA361" i="3"/>
  <c r="Z361" i="3"/>
  <c r="V361" i="3"/>
  <c r="X361" i="3"/>
  <c r="W361" i="3"/>
  <c r="G369" i="3"/>
  <c r="W369" i="3"/>
  <c r="AA369" i="3"/>
  <c r="V369" i="3"/>
  <c r="Z369" i="3"/>
  <c r="Y369" i="3"/>
  <c r="X369" i="3"/>
  <c r="Q377" i="3"/>
  <c r="AA377" i="3"/>
  <c r="Q385" i="3"/>
  <c r="W385" i="3"/>
  <c r="V385" i="3"/>
  <c r="Z385" i="3"/>
  <c r="Q393" i="3"/>
  <c r="AA393" i="3"/>
  <c r="Z393" i="3"/>
  <c r="Y393" i="3"/>
  <c r="X393" i="3"/>
  <c r="D401" i="3"/>
  <c r="Q401" i="3"/>
  <c r="Z401" i="3"/>
  <c r="W401" i="3"/>
  <c r="V401" i="3"/>
  <c r="AA401" i="3"/>
  <c r="AA409" i="3"/>
  <c r="Z409" i="3"/>
  <c r="W409" i="3"/>
  <c r="V409" i="3"/>
  <c r="W417" i="3"/>
  <c r="V417" i="3"/>
  <c r="Q417" i="3"/>
  <c r="Z417" i="3"/>
  <c r="AA417" i="3"/>
  <c r="X417" i="3"/>
  <c r="F425" i="3"/>
  <c r="Q425" i="3"/>
  <c r="AA425" i="3"/>
  <c r="X433" i="3"/>
  <c r="AA433" i="3"/>
  <c r="W433" i="3"/>
  <c r="AA441" i="3"/>
  <c r="Y441" i="3"/>
  <c r="Q441" i="3"/>
  <c r="Z441" i="3"/>
  <c r="X441" i="3"/>
  <c r="W441" i="3"/>
  <c r="Q449" i="3"/>
  <c r="Z449" i="3"/>
  <c r="X449" i="3"/>
  <c r="AA449" i="3"/>
  <c r="Y449" i="3"/>
  <c r="Q457" i="3"/>
  <c r="AA457" i="3"/>
  <c r="Y457" i="3"/>
  <c r="X457" i="3"/>
  <c r="Z457" i="3"/>
  <c r="Z465" i="3"/>
  <c r="X465" i="3"/>
  <c r="Y465" i="3"/>
  <c r="W465" i="3"/>
  <c r="AA473" i="3"/>
  <c r="Q473" i="3"/>
  <c r="X473" i="3"/>
  <c r="Z473" i="3"/>
  <c r="W473" i="3"/>
  <c r="V473" i="3"/>
  <c r="AA481" i="3"/>
  <c r="Q481" i="3"/>
  <c r="Z481" i="3"/>
  <c r="X481" i="3"/>
  <c r="W481" i="3"/>
  <c r="V481" i="3"/>
  <c r="Q489" i="3"/>
  <c r="AA489" i="3"/>
  <c r="Z489" i="3"/>
  <c r="W489" i="3"/>
  <c r="V489" i="3"/>
  <c r="X489" i="3"/>
  <c r="Q497" i="3"/>
  <c r="AA497" i="3"/>
  <c r="X497" i="3"/>
  <c r="V497" i="3"/>
  <c r="Y497" i="3"/>
  <c r="Z497" i="3"/>
  <c r="W497" i="3"/>
  <c r="W377" i="3"/>
  <c r="Y385" i="3"/>
  <c r="W393" i="3"/>
  <c r="Y401" i="3"/>
  <c r="Y409" i="3"/>
  <c r="Y433" i="3"/>
  <c r="Y473" i="3"/>
  <c r="Y489" i="3"/>
  <c r="Z425" i="3"/>
  <c r="Q305" i="3"/>
  <c r="H18" i="3"/>
  <c r="H26" i="3"/>
  <c r="I34" i="3"/>
  <c r="H42" i="3"/>
  <c r="D58" i="3"/>
  <c r="Z58" i="3"/>
  <c r="Q58" i="3"/>
  <c r="H66" i="3"/>
  <c r="Q66" i="3"/>
  <c r="H74" i="3"/>
  <c r="Q74" i="3"/>
  <c r="Z74" i="3"/>
  <c r="H82" i="3"/>
  <c r="Q82" i="3"/>
  <c r="Z82" i="3"/>
  <c r="H90" i="3"/>
  <c r="Z90" i="3"/>
  <c r="H98" i="3"/>
  <c r="AA98" i="3"/>
  <c r="Q98" i="3"/>
  <c r="Z98" i="3"/>
  <c r="H106" i="3"/>
  <c r="Q106" i="3"/>
  <c r="Z106" i="3"/>
  <c r="AA106" i="3"/>
  <c r="H114" i="3"/>
  <c r="Q114" i="3"/>
  <c r="AA114" i="3"/>
  <c r="H122" i="3"/>
  <c r="Q122" i="3"/>
  <c r="H130" i="3"/>
  <c r="Q130" i="3"/>
  <c r="AA130" i="3"/>
  <c r="H138" i="3"/>
  <c r="Q138" i="3"/>
  <c r="Z138" i="3"/>
  <c r="AA138" i="3"/>
  <c r="H146" i="3"/>
  <c r="Q146" i="3"/>
  <c r="AA146" i="3"/>
  <c r="Z146" i="3"/>
  <c r="Y146" i="3"/>
  <c r="X146" i="3"/>
  <c r="I154" i="3"/>
  <c r="Q154" i="3"/>
  <c r="AA154" i="3"/>
  <c r="AA162" i="3"/>
  <c r="Z162" i="3"/>
  <c r="Y162" i="3"/>
  <c r="X162" i="3"/>
  <c r="D170" i="3"/>
  <c r="Q170" i="3"/>
  <c r="Z170" i="3"/>
  <c r="AA170" i="3"/>
  <c r="Q178" i="3"/>
  <c r="Z178" i="3"/>
  <c r="Y178" i="3"/>
  <c r="X178" i="3"/>
  <c r="D194" i="3"/>
  <c r="Z194" i="3"/>
  <c r="Y194" i="3"/>
  <c r="Q194" i="3"/>
  <c r="X194" i="3"/>
  <c r="E202" i="3"/>
  <c r="Q202" i="3"/>
  <c r="Z202" i="3"/>
  <c r="Q210" i="3"/>
  <c r="Y210" i="3"/>
  <c r="X210" i="3"/>
  <c r="D226" i="3"/>
  <c r="Q226" i="3"/>
  <c r="Z226" i="3"/>
  <c r="Y226" i="3"/>
  <c r="X226" i="3"/>
  <c r="E234" i="3"/>
  <c r="Q234" i="3"/>
  <c r="AA234" i="3"/>
  <c r="Z234" i="3"/>
  <c r="Q242" i="3"/>
  <c r="AA242" i="3"/>
  <c r="Z242" i="3"/>
  <c r="Y242" i="3"/>
  <c r="X242" i="3"/>
  <c r="AA250" i="3"/>
  <c r="Q250" i="3"/>
  <c r="Z250" i="3"/>
  <c r="D258" i="3"/>
  <c r="Q258" i="3"/>
  <c r="AA258" i="3"/>
  <c r="Z258" i="3"/>
  <c r="Y258" i="3"/>
  <c r="X258" i="3"/>
  <c r="E266" i="3"/>
  <c r="Q266" i="3"/>
  <c r="AA266" i="3"/>
  <c r="Z266" i="3"/>
  <c r="Q274" i="3"/>
  <c r="AA274" i="3"/>
  <c r="Z274" i="3"/>
  <c r="Y274" i="3"/>
  <c r="X274" i="3"/>
  <c r="AA282" i="3"/>
  <c r="Z282" i="3"/>
  <c r="D290" i="3"/>
  <c r="AA290" i="3"/>
  <c r="Q290" i="3"/>
  <c r="Y290" i="3"/>
  <c r="X290" i="3"/>
  <c r="E298" i="3"/>
  <c r="Q298" i="3"/>
  <c r="AA298" i="3"/>
  <c r="Q306" i="3"/>
  <c r="AA306" i="3"/>
  <c r="Y306" i="3"/>
  <c r="X306" i="3"/>
  <c r="AA314" i="3"/>
  <c r="Q314" i="3"/>
  <c r="H322" i="3"/>
  <c r="AA322" i="3"/>
  <c r="Z322" i="3"/>
  <c r="Y322" i="3"/>
  <c r="Q322" i="3"/>
  <c r="F330" i="3"/>
  <c r="Q330" i="3"/>
  <c r="AA330" i="3"/>
  <c r="Y330" i="3"/>
  <c r="Q338" i="3"/>
  <c r="AA338" i="3"/>
  <c r="Y338" i="3"/>
  <c r="Z338" i="3"/>
  <c r="H346" i="3"/>
  <c r="AA346" i="3"/>
  <c r="Y346" i="3"/>
  <c r="Z346" i="3"/>
  <c r="Q346" i="3"/>
  <c r="E354" i="3"/>
  <c r="AA354" i="3"/>
  <c r="Z354" i="3"/>
  <c r="Y354" i="3"/>
  <c r="Q362" i="3"/>
  <c r="AA362" i="3"/>
  <c r="Z362" i="3"/>
  <c r="Y362" i="3"/>
  <c r="Q370" i="3"/>
  <c r="AA370" i="3"/>
  <c r="Z370" i="3"/>
  <c r="X370" i="3"/>
  <c r="AA378" i="3"/>
  <c r="Q378" i="3"/>
  <c r="Z378" i="3"/>
  <c r="X378" i="3"/>
  <c r="W378" i="3"/>
  <c r="V378" i="3"/>
  <c r="Y378" i="3"/>
  <c r="AA386" i="3"/>
  <c r="Z386" i="3"/>
  <c r="X386" i="3"/>
  <c r="Q386" i="3"/>
  <c r="Q394" i="3"/>
  <c r="AA394" i="3"/>
  <c r="X394" i="3"/>
  <c r="W394" i="3"/>
  <c r="V394" i="3"/>
  <c r="Z394" i="3"/>
  <c r="Q402" i="3"/>
  <c r="AA402" i="3"/>
  <c r="X402" i="3"/>
  <c r="Y402" i="3"/>
  <c r="AA410" i="3"/>
  <c r="Q410" i="3"/>
  <c r="X410" i="3"/>
  <c r="W410" i="3"/>
  <c r="V410" i="3"/>
  <c r="Z410" i="3"/>
  <c r="X418" i="3"/>
  <c r="AA418" i="3"/>
  <c r="W418" i="3"/>
  <c r="V418" i="3"/>
  <c r="Q426" i="3"/>
  <c r="AA426" i="3"/>
  <c r="Z426" i="3"/>
  <c r="X426" i="3"/>
  <c r="Y426" i="3"/>
  <c r="W426" i="3"/>
  <c r="V426" i="3"/>
  <c r="G434" i="3"/>
  <c r="Q434" i="3"/>
  <c r="X434" i="3"/>
  <c r="AA434" i="3"/>
  <c r="Z434" i="3"/>
  <c r="W434" i="3"/>
  <c r="V434" i="3"/>
  <c r="Y434" i="3"/>
  <c r="D442" i="3"/>
  <c r="AA442" i="3"/>
  <c r="Z442" i="3"/>
  <c r="X442" i="3"/>
  <c r="Y442" i="3"/>
  <c r="V442" i="3"/>
  <c r="X450" i="3"/>
  <c r="Q450" i="3"/>
  <c r="V450" i="3"/>
  <c r="AA450" i="3"/>
  <c r="Q458" i="3"/>
  <c r="AA458" i="3"/>
  <c r="Z458" i="3"/>
  <c r="X458" i="3"/>
  <c r="Y458" i="3"/>
  <c r="V458" i="3"/>
  <c r="Q466" i="3"/>
  <c r="X466" i="3"/>
  <c r="AA466" i="3"/>
  <c r="W466" i="3"/>
  <c r="V466" i="3"/>
  <c r="AA474" i="3"/>
  <c r="Z474" i="3"/>
  <c r="X474" i="3"/>
  <c r="Y474" i="3"/>
  <c r="Q474" i="3"/>
  <c r="Q482" i="3"/>
  <c r="X482" i="3"/>
  <c r="Z482" i="3"/>
  <c r="W482" i="3"/>
  <c r="Q490" i="3"/>
  <c r="AA490" i="3"/>
  <c r="Z490" i="3"/>
  <c r="X490" i="3"/>
  <c r="Y490" i="3"/>
  <c r="W490" i="3"/>
  <c r="V490" i="3"/>
  <c r="Q498" i="3"/>
  <c r="Z498" i="3"/>
  <c r="X498" i="3"/>
  <c r="AA498" i="3"/>
  <c r="Y59" i="3"/>
  <c r="X66" i="3"/>
  <c r="X82" i="3"/>
  <c r="X98" i="3"/>
  <c r="X114" i="3"/>
  <c r="X130" i="3"/>
  <c r="X154" i="3"/>
  <c r="Y163" i="3"/>
  <c r="V170" i="3"/>
  <c r="V194" i="3"/>
  <c r="W203" i="3"/>
  <c r="X218" i="3"/>
  <c r="V234" i="3"/>
  <c r="V258" i="3"/>
  <c r="X282" i="3"/>
  <c r="V298" i="3"/>
  <c r="W330" i="3"/>
  <c r="Y337" i="3"/>
  <c r="W362" i="3"/>
  <c r="V370" i="3"/>
  <c r="X377" i="3"/>
  <c r="V386" i="3"/>
  <c r="Y394" i="3"/>
  <c r="V402" i="3"/>
  <c r="Y410" i="3"/>
  <c r="V457" i="3"/>
  <c r="V474" i="3"/>
  <c r="Z114" i="3"/>
  <c r="AA163" i="3"/>
  <c r="Z218" i="3"/>
  <c r="Z402" i="3"/>
  <c r="AA465" i="3"/>
  <c r="Q465" i="3"/>
  <c r="H19" i="3"/>
  <c r="H27" i="3"/>
  <c r="H35" i="3"/>
  <c r="H43" i="3"/>
  <c r="H51" i="3"/>
  <c r="H59" i="3"/>
  <c r="Z59" i="3"/>
  <c r="Q59" i="3"/>
  <c r="V59" i="3"/>
  <c r="H67" i="3"/>
  <c r="Z67" i="3"/>
  <c r="V67" i="3"/>
  <c r="H75" i="3"/>
  <c r="Z75" i="3"/>
  <c r="V75" i="3"/>
  <c r="H83" i="3"/>
  <c r="Q83" i="3"/>
  <c r="Z83" i="3"/>
  <c r="AA83" i="3"/>
  <c r="V83" i="3"/>
  <c r="H91" i="3"/>
  <c r="Z91" i="3"/>
  <c r="V91" i="3"/>
  <c r="Q91" i="3"/>
  <c r="AA91" i="3"/>
  <c r="H99" i="3"/>
  <c r="Z99" i="3"/>
  <c r="V99" i="3"/>
  <c r="AA99" i="3"/>
  <c r="Q99" i="3"/>
  <c r="H107" i="3"/>
  <c r="Q107" i="3"/>
  <c r="Z107" i="3"/>
  <c r="V107" i="3"/>
  <c r="H115" i="3"/>
  <c r="Q115" i="3"/>
  <c r="Z115" i="3"/>
  <c r="AA115" i="3"/>
  <c r="V115" i="3"/>
  <c r="H123" i="3"/>
  <c r="Z123" i="3"/>
  <c r="Q123" i="3"/>
  <c r="V123" i="3"/>
  <c r="H131" i="3"/>
  <c r="Z131" i="3"/>
  <c r="Q131" i="3"/>
  <c r="AA131" i="3"/>
  <c r="V131" i="3"/>
  <c r="H139" i="3"/>
  <c r="Z139" i="3"/>
  <c r="Q139" i="3"/>
  <c r="V139" i="3"/>
  <c r="AA139" i="3"/>
  <c r="Y139" i="3"/>
  <c r="E147" i="3"/>
  <c r="Q147" i="3"/>
  <c r="Z147" i="3"/>
  <c r="AA147" i="3"/>
  <c r="V147" i="3"/>
  <c r="F155" i="3"/>
  <c r="Q155" i="3"/>
  <c r="Z155" i="3"/>
  <c r="V155" i="3"/>
  <c r="Y155" i="3"/>
  <c r="AA155" i="3"/>
  <c r="H163" i="3"/>
  <c r="Z163" i="3"/>
  <c r="V163" i="3"/>
  <c r="Z171" i="3"/>
  <c r="V171" i="3"/>
  <c r="Y171" i="3"/>
  <c r="F179" i="3"/>
  <c r="Q179" i="3"/>
  <c r="Z179" i="3"/>
  <c r="AA179" i="3"/>
  <c r="V179" i="3"/>
  <c r="Z187" i="3"/>
  <c r="Q187" i="3"/>
  <c r="V187" i="3"/>
  <c r="Y187" i="3"/>
  <c r="E195" i="3"/>
  <c r="Z195" i="3"/>
  <c r="V195" i="3"/>
  <c r="Q195" i="3"/>
  <c r="Z203" i="3"/>
  <c r="V203" i="3"/>
  <c r="Q203" i="3"/>
  <c r="Y203" i="3"/>
  <c r="F211" i="3"/>
  <c r="Q211" i="3"/>
  <c r="Z211" i="3"/>
  <c r="AA211" i="3"/>
  <c r="V211" i="3"/>
  <c r="Z219" i="3"/>
  <c r="Q219" i="3"/>
  <c r="V219" i="3"/>
  <c r="AA219" i="3"/>
  <c r="Y219" i="3"/>
  <c r="E227" i="3"/>
  <c r="Z227" i="3"/>
  <c r="V227" i="3"/>
  <c r="E235" i="3"/>
  <c r="Z235" i="3"/>
  <c r="AA235" i="3"/>
  <c r="V235" i="3"/>
  <c r="Y235" i="3"/>
  <c r="F243" i="3"/>
  <c r="Q243" i="3"/>
  <c r="Z243" i="3"/>
  <c r="AA243" i="3"/>
  <c r="V243" i="3"/>
  <c r="Z251" i="3"/>
  <c r="AA251" i="3"/>
  <c r="V251" i="3"/>
  <c r="Y251" i="3"/>
  <c r="E259" i="3"/>
  <c r="Q259" i="3"/>
  <c r="Z259" i="3"/>
  <c r="V259" i="3"/>
  <c r="Z267" i="3"/>
  <c r="Q267" i="3"/>
  <c r="AA267" i="3"/>
  <c r="V267" i="3"/>
  <c r="Y267" i="3"/>
  <c r="F275" i="3"/>
  <c r="Q275" i="3"/>
  <c r="Z275" i="3"/>
  <c r="V275" i="3"/>
  <c r="Z283" i="3"/>
  <c r="AA283" i="3"/>
  <c r="V283" i="3"/>
  <c r="Q283" i="3"/>
  <c r="Y283" i="3"/>
  <c r="E291" i="3"/>
  <c r="Z291" i="3"/>
  <c r="Q291" i="3"/>
  <c r="V291" i="3"/>
  <c r="AA291" i="3"/>
  <c r="Z299" i="3"/>
  <c r="AA299" i="3"/>
  <c r="V299" i="3"/>
  <c r="Q299" i="3"/>
  <c r="Y299" i="3"/>
  <c r="F307" i="3"/>
  <c r="Q307" i="3"/>
  <c r="Z307" i="3"/>
  <c r="V307" i="3"/>
  <c r="AA307" i="3"/>
  <c r="Z315" i="3"/>
  <c r="AA315" i="3"/>
  <c r="V315" i="3"/>
  <c r="Y315" i="3"/>
  <c r="AA323" i="3"/>
  <c r="Z323" i="3"/>
  <c r="V323" i="3"/>
  <c r="Y323" i="3"/>
  <c r="Q323" i="3"/>
  <c r="J331" i="3"/>
  <c r="AA331" i="3"/>
  <c r="Z331" i="3"/>
  <c r="V331" i="3"/>
  <c r="Y331" i="3"/>
  <c r="H339" i="3"/>
  <c r="AA339" i="3"/>
  <c r="Q339" i="3"/>
  <c r="Z339" i="3"/>
  <c r="V339" i="3"/>
  <c r="Y339" i="3"/>
  <c r="AA347" i="3"/>
  <c r="Z347" i="3"/>
  <c r="V347" i="3"/>
  <c r="Y347" i="3"/>
  <c r="AA355" i="3"/>
  <c r="Z355" i="3"/>
  <c r="Q355" i="3"/>
  <c r="V355" i="3"/>
  <c r="Y355" i="3"/>
  <c r="AA363" i="3"/>
  <c r="Z363" i="3"/>
  <c r="Q363" i="3"/>
  <c r="V363" i="3"/>
  <c r="Y363" i="3"/>
  <c r="AA371" i="3"/>
  <c r="Q371" i="3"/>
  <c r="Z371" i="3"/>
  <c r="X371" i="3"/>
  <c r="W371" i="3"/>
  <c r="AA379" i="3"/>
  <c r="Z379" i="3"/>
  <c r="Q379" i="3"/>
  <c r="V379" i="3"/>
  <c r="AA387" i="3"/>
  <c r="Z387" i="3"/>
  <c r="X387" i="3"/>
  <c r="W387" i="3"/>
  <c r="Q387" i="3"/>
  <c r="Y387" i="3"/>
  <c r="AA395" i="3"/>
  <c r="Z395" i="3"/>
  <c r="Q395" i="3"/>
  <c r="AA403" i="3"/>
  <c r="Q403" i="3"/>
  <c r="Z403" i="3"/>
  <c r="X403" i="3"/>
  <c r="W403" i="3"/>
  <c r="V403" i="3"/>
  <c r="AA411" i="3"/>
  <c r="Z411" i="3"/>
  <c r="Q411" i="3"/>
  <c r="Y411" i="3"/>
  <c r="AA419" i="3"/>
  <c r="Z419" i="3"/>
  <c r="X419" i="3"/>
  <c r="W419" i="3"/>
  <c r="Q419" i="3"/>
  <c r="Q427" i="3"/>
  <c r="AA427" i="3"/>
  <c r="Y427" i="3"/>
  <c r="X427" i="3"/>
  <c r="V427" i="3"/>
  <c r="Q435" i="3"/>
  <c r="AA435" i="3"/>
  <c r="Y435" i="3"/>
  <c r="V435" i="3"/>
  <c r="Z435" i="3"/>
  <c r="Q443" i="3"/>
  <c r="Y443" i="3"/>
  <c r="AA451" i="3"/>
  <c r="Q451" i="3"/>
  <c r="Y451" i="3"/>
  <c r="X451" i="3"/>
  <c r="V451" i="3"/>
  <c r="Z459" i="3"/>
  <c r="Q459" i="3"/>
  <c r="AA459" i="3"/>
  <c r="W459" i="3"/>
  <c r="V459" i="3"/>
  <c r="Q467" i="3"/>
  <c r="AA467" i="3"/>
  <c r="Y467" i="3"/>
  <c r="Z475" i="3"/>
  <c r="Y475" i="3"/>
  <c r="W475" i="3"/>
  <c r="AA483" i="3"/>
  <c r="Y483" i="3"/>
  <c r="X483" i="3"/>
  <c r="W483" i="3"/>
  <c r="Q483" i="3"/>
  <c r="V483" i="3"/>
  <c r="Y491" i="3"/>
  <c r="X491" i="3"/>
  <c r="Q491" i="3"/>
  <c r="AA491" i="3"/>
  <c r="Q499" i="3"/>
  <c r="AA499" i="3"/>
  <c r="Y499" i="3"/>
  <c r="Z499" i="3"/>
  <c r="X499" i="3"/>
  <c r="W499" i="3"/>
  <c r="X139" i="3"/>
  <c r="X179" i="3"/>
  <c r="X203" i="3"/>
  <c r="X243" i="3"/>
  <c r="X267" i="3"/>
  <c r="X307" i="3"/>
  <c r="W313" i="3"/>
  <c r="X323" i="3"/>
  <c r="X355" i="3"/>
  <c r="Y377" i="3"/>
  <c r="V395" i="3"/>
  <c r="V411" i="3"/>
  <c r="Y419" i="3"/>
  <c r="V425" i="3"/>
  <c r="X435" i="3"/>
  <c r="V441" i="3"/>
  <c r="W457" i="3"/>
  <c r="W491" i="3"/>
  <c r="Z377" i="3"/>
  <c r="Z433" i="3"/>
  <c r="Q251" i="3"/>
  <c r="Q321" i="3"/>
  <c r="Q475" i="3"/>
  <c r="E64" i="3"/>
  <c r="D159" i="3"/>
  <c r="I84" i="3"/>
  <c r="E87" i="3"/>
  <c r="I20" i="3"/>
  <c r="E104" i="3"/>
  <c r="I108" i="3"/>
  <c r="I295" i="3"/>
  <c r="E127" i="3"/>
  <c r="I68" i="3"/>
  <c r="E88" i="3"/>
  <c r="E111" i="3"/>
  <c r="I132" i="3"/>
  <c r="J159" i="3"/>
  <c r="I231" i="3"/>
  <c r="I28" i="3"/>
  <c r="E71" i="3"/>
  <c r="I92" i="3"/>
  <c r="E112" i="3"/>
  <c r="E135" i="3"/>
  <c r="I166" i="3"/>
  <c r="H318" i="3"/>
  <c r="I52" i="3"/>
  <c r="E72" i="3"/>
  <c r="E95" i="3"/>
  <c r="I116" i="3"/>
  <c r="E136" i="3"/>
  <c r="I12" i="3"/>
  <c r="E55" i="3"/>
  <c r="I76" i="3"/>
  <c r="E96" i="3"/>
  <c r="E119" i="3"/>
  <c r="J140" i="3"/>
  <c r="H262" i="3"/>
  <c r="I36" i="3"/>
  <c r="E56" i="3"/>
  <c r="E79" i="3"/>
  <c r="I100" i="3"/>
  <c r="E120" i="3"/>
  <c r="D145" i="3"/>
  <c r="I60" i="3"/>
  <c r="E80" i="3"/>
  <c r="E103" i="3"/>
  <c r="I124" i="3"/>
  <c r="D150" i="3"/>
  <c r="I199" i="3"/>
  <c r="H5" i="3"/>
  <c r="J12" i="3"/>
  <c r="J20" i="3"/>
  <c r="J28" i="3"/>
  <c r="J36" i="3"/>
  <c r="J44" i="3"/>
  <c r="J52" i="3"/>
  <c r="F56" i="3"/>
  <c r="J60" i="3"/>
  <c r="F64" i="3"/>
  <c r="J68" i="3"/>
  <c r="F72" i="3"/>
  <c r="J76" i="3"/>
  <c r="F80" i="3"/>
  <c r="J84" i="3"/>
  <c r="F88" i="3"/>
  <c r="J92" i="3"/>
  <c r="F96" i="3"/>
  <c r="J100" i="3"/>
  <c r="F104" i="3"/>
  <c r="J108" i="3"/>
  <c r="F112" i="3"/>
  <c r="J116" i="3"/>
  <c r="F120" i="3"/>
  <c r="J124" i="3"/>
  <c r="F128" i="3"/>
  <c r="J132" i="3"/>
  <c r="F136" i="3"/>
  <c r="E142" i="3"/>
  <c r="F145" i="3"/>
  <c r="E152" i="3"/>
  <c r="F161" i="3"/>
  <c r="G172" i="3"/>
  <c r="I303" i="3"/>
  <c r="K13" i="3"/>
  <c r="T247" i="3"/>
  <c r="I5" i="3"/>
  <c r="J13" i="3"/>
  <c r="H16" i="3"/>
  <c r="J21" i="3"/>
  <c r="H24" i="3"/>
  <c r="J29" i="3"/>
  <c r="H32" i="3"/>
  <c r="J37" i="3"/>
  <c r="H40" i="3"/>
  <c r="J45" i="3"/>
  <c r="H48" i="3"/>
  <c r="J53" i="3"/>
  <c r="H56" i="3"/>
  <c r="J61" i="3"/>
  <c r="H64" i="3"/>
  <c r="J69" i="3"/>
  <c r="H72" i="3"/>
  <c r="J77" i="3"/>
  <c r="H80" i="3"/>
  <c r="J85" i="3"/>
  <c r="H88" i="3"/>
  <c r="J93" i="3"/>
  <c r="H96" i="3"/>
  <c r="J101" i="3"/>
  <c r="H104" i="3"/>
  <c r="J109" i="3"/>
  <c r="H112" i="3"/>
  <c r="J117" i="3"/>
  <c r="H120" i="3"/>
  <c r="J125" i="3"/>
  <c r="H128" i="3"/>
  <c r="J133" i="3"/>
  <c r="H136" i="3"/>
  <c r="F142" i="3"/>
  <c r="G152" i="3"/>
  <c r="I271" i="3"/>
  <c r="K159" i="3"/>
  <c r="D6" i="3"/>
  <c r="D14" i="3"/>
  <c r="Q14" i="3" s="1"/>
  <c r="D22" i="3"/>
  <c r="Q22" i="3" s="1"/>
  <c r="D30" i="3"/>
  <c r="Q30" i="3" s="1"/>
  <c r="D38" i="3"/>
  <c r="Q38" i="3" s="1"/>
  <c r="D46" i="3"/>
  <c r="D54" i="3"/>
  <c r="F57" i="3"/>
  <c r="D62" i="3"/>
  <c r="F65" i="3"/>
  <c r="D70" i="3"/>
  <c r="F73" i="3"/>
  <c r="D78" i="3"/>
  <c r="F81" i="3"/>
  <c r="D86" i="3"/>
  <c r="F89" i="3"/>
  <c r="D94" i="3"/>
  <c r="F97" i="3"/>
  <c r="D102" i="3"/>
  <c r="F105" i="3"/>
  <c r="D110" i="3"/>
  <c r="F113" i="3"/>
  <c r="D118" i="3"/>
  <c r="F121" i="3"/>
  <c r="D126" i="3"/>
  <c r="F129" i="3"/>
  <c r="D134" i="3"/>
  <c r="F137" i="3"/>
  <c r="I142" i="3"/>
  <c r="F148" i="3"/>
  <c r="D153" i="3"/>
  <c r="I175" i="3"/>
  <c r="I239" i="3"/>
  <c r="D369" i="3"/>
  <c r="G17" i="3"/>
  <c r="G25" i="3"/>
  <c r="G33" i="3"/>
  <c r="G41" i="3"/>
  <c r="G49" i="3"/>
  <c r="F54" i="3"/>
  <c r="G57" i="3"/>
  <c r="F62" i="3"/>
  <c r="G65" i="3"/>
  <c r="F70" i="3"/>
  <c r="G73" i="3"/>
  <c r="F78" i="3"/>
  <c r="G81" i="3"/>
  <c r="F86" i="3"/>
  <c r="G89" i="3"/>
  <c r="F94" i="3"/>
  <c r="G97" i="3"/>
  <c r="F102" i="3"/>
  <c r="G105" i="3"/>
  <c r="F110" i="3"/>
  <c r="G113" i="3"/>
  <c r="F118" i="3"/>
  <c r="G121" i="3"/>
  <c r="F126" i="3"/>
  <c r="G129" i="3"/>
  <c r="F134" i="3"/>
  <c r="G137" i="3"/>
  <c r="G143" i="3"/>
  <c r="G148" i="3"/>
  <c r="I207" i="3"/>
  <c r="D15" i="3"/>
  <c r="I17" i="3"/>
  <c r="D23" i="3"/>
  <c r="I25" i="3"/>
  <c r="D31" i="3"/>
  <c r="I33" i="3"/>
  <c r="D39" i="3"/>
  <c r="Q39" i="3" s="1"/>
  <c r="I41" i="3"/>
  <c r="D47" i="3"/>
  <c r="Q47" i="3" s="1"/>
  <c r="I49" i="3"/>
  <c r="D55" i="3"/>
  <c r="I57" i="3"/>
  <c r="D63" i="3"/>
  <c r="I65" i="3"/>
  <c r="D71" i="3"/>
  <c r="I73" i="3"/>
  <c r="D79" i="3"/>
  <c r="I81" i="3"/>
  <c r="D87" i="3"/>
  <c r="I89" i="3"/>
  <c r="D95" i="3"/>
  <c r="I97" i="3"/>
  <c r="D103" i="3"/>
  <c r="I105" i="3"/>
  <c r="D111" i="3"/>
  <c r="I113" i="3"/>
  <c r="D119" i="3"/>
  <c r="I121" i="3"/>
  <c r="D127" i="3"/>
  <c r="I129" i="3"/>
  <c r="D135" i="3"/>
  <c r="I137" i="3"/>
  <c r="I143" i="3"/>
  <c r="J176" i="3"/>
  <c r="H294" i="3"/>
  <c r="G337" i="3"/>
  <c r="D144" i="3"/>
  <c r="F313" i="3"/>
  <c r="G15" i="3"/>
  <c r="G23" i="3"/>
  <c r="G31" i="3"/>
  <c r="G39" i="3"/>
  <c r="G47" i="3"/>
  <c r="G55" i="3"/>
  <c r="G63" i="3"/>
  <c r="G71" i="3"/>
  <c r="G79" i="3"/>
  <c r="G87" i="3"/>
  <c r="G95" i="3"/>
  <c r="G103" i="3"/>
  <c r="G111" i="3"/>
  <c r="G119" i="3"/>
  <c r="G127" i="3"/>
  <c r="G135" i="3"/>
  <c r="J144" i="3"/>
  <c r="E150" i="3"/>
  <c r="F159" i="3"/>
  <c r="I167" i="3"/>
  <c r="H198" i="3"/>
  <c r="H230" i="3"/>
  <c r="I263" i="3"/>
  <c r="G18" i="3"/>
  <c r="G26" i="3"/>
  <c r="G34" i="3"/>
  <c r="G42" i="3"/>
  <c r="G50" i="3"/>
  <c r="G58" i="3"/>
  <c r="G66" i="3"/>
  <c r="G74" i="3"/>
  <c r="G82" i="3"/>
  <c r="G90" i="3"/>
  <c r="G98" i="3"/>
  <c r="G106" i="3"/>
  <c r="G114" i="3"/>
  <c r="G122" i="3"/>
  <c r="G130" i="3"/>
  <c r="G138" i="3"/>
  <c r="G146" i="3"/>
  <c r="G154" i="3"/>
  <c r="K19" i="3"/>
  <c r="L19" i="3"/>
  <c r="K27" i="3"/>
  <c r="L27" i="3"/>
  <c r="K35" i="3"/>
  <c r="L35" i="3"/>
  <c r="K43" i="3"/>
  <c r="L43" i="3"/>
  <c r="K51" i="3"/>
  <c r="L51" i="3"/>
  <c r="U59" i="3"/>
  <c r="T59" i="3"/>
  <c r="S59" i="3"/>
  <c r="R59" i="3"/>
  <c r="K59" i="3"/>
  <c r="L59" i="3"/>
  <c r="U67" i="3"/>
  <c r="T67" i="3"/>
  <c r="S67" i="3"/>
  <c r="R67" i="3"/>
  <c r="K67" i="3"/>
  <c r="L67" i="3"/>
  <c r="U75" i="3"/>
  <c r="T75" i="3"/>
  <c r="S75" i="3"/>
  <c r="R75" i="3"/>
  <c r="L75" i="3"/>
  <c r="K75" i="3"/>
  <c r="U83" i="3"/>
  <c r="T83" i="3"/>
  <c r="S83" i="3"/>
  <c r="R83" i="3"/>
  <c r="L83" i="3"/>
  <c r="K83" i="3"/>
  <c r="U91" i="3"/>
  <c r="T91" i="3"/>
  <c r="S91" i="3"/>
  <c r="R91" i="3"/>
  <c r="L91" i="3"/>
  <c r="K91" i="3"/>
  <c r="U99" i="3"/>
  <c r="T99" i="3"/>
  <c r="S99" i="3"/>
  <c r="R99" i="3"/>
  <c r="L99" i="3"/>
  <c r="K99" i="3"/>
  <c r="U107" i="3"/>
  <c r="T107" i="3"/>
  <c r="S107" i="3"/>
  <c r="R107" i="3"/>
  <c r="L107" i="3"/>
  <c r="K107" i="3"/>
  <c r="U115" i="3"/>
  <c r="T115" i="3"/>
  <c r="S115" i="3"/>
  <c r="R115" i="3"/>
  <c r="L115" i="3"/>
  <c r="K115" i="3"/>
  <c r="U123" i="3"/>
  <c r="T123" i="3"/>
  <c r="S123" i="3"/>
  <c r="R123" i="3"/>
  <c r="L123" i="3"/>
  <c r="K123" i="3"/>
  <c r="U131" i="3"/>
  <c r="T131" i="3"/>
  <c r="S131" i="3"/>
  <c r="R131" i="3"/>
  <c r="L131" i="3"/>
  <c r="K131" i="3"/>
  <c r="U139" i="3"/>
  <c r="T139" i="3"/>
  <c r="S139" i="3"/>
  <c r="R139" i="3"/>
  <c r="L139" i="3"/>
  <c r="K139" i="3"/>
  <c r="U147" i="3"/>
  <c r="T147" i="3"/>
  <c r="S147" i="3"/>
  <c r="R147" i="3"/>
  <c r="L147" i="3"/>
  <c r="K147" i="3"/>
  <c r="D147" i="3"/>
  <c r="G147" i="3"/>
  <c r="U155" i="3"/>
  <c r="T155" i="3"/>
  <c r="S155" i="3"/>
  <c r="R155" i="3"/>
  <c r="L155" i="3"/>
  <c r="K155" i="3"/>
  <c r="D155" i="3"/>
  <c r="I155" i="3"/>
  <c r="G155" i="3"/>
  <c r="U163" i="3"/>
  <c r="T163" i="3"/>
  <c r="S163" i="3"/>
  <c r="R163" i="3"/>
  <c r="L163" i="3"/>
  <c r="K163" i="3"/>
  <c r="D163" i="3"/>
  <c r="I163" i="3"/>
  <c r="G163" i="3"/>
  <c r="U171" i="3"/>
  <c r="T171" i="3"/>
  <c r="S171" i="3"/>
  <c r="R171" i="3"/>
  <c r="L171" i="3"/>
  <c r="K171" i="3"/>
  <c r="D171" i="3"/>
  <c r="J171" i="3"/>
  <c r="I171" i="3"/>
  <c r="G171" i="3"/>
  <c r="U179" i="3"/>
  <c r="T179" i="3"/>
  <c r="S179" i="3"/>
  <c r="R179" i="3"/>
  <c r="L179" i="3"/>
  <c r="K179" i="3"/>
  <c r="D179" i="3"/>
  <c r="J179" i="3"/>
  <c r="I179" i="3"/>
  <c r="H179" i="3"/>
  <c r="G179" i="3"/>
  <c r="U187" i="3"/>
  <c r="T187" i="3"/>
  <c r="S187" i="3"/>
  <c r="R187" i="3"/>
  <c r="L187" i="3"/>
  <c r="K187" i="3"/>
  <c r="D187" i="3"/>
  <c r="J187" i="3"/>
  <c r="I187" i="3"/>
  <c r="H187" i="3"/>
  <c r="G187" i="3"/>
  <c r="U195" i="3"/>
  <c r="T195" i="3"/>
  <c r="S195" i="3"/>
  <c r="R195" i="3"/>
  <c r="L195" i="3"/>
  <c r="K195" i="3"/>
  <c r="D195" i="3"/>
  <c r="J195" i="3"/>
  <c r="I195" i="3"/>
  <c r="H195" i="3"/>
  <c r="G195" i="3"/>
  <c r="U203" i="3"/>
  <c r="T203" i="3"/>
  <c r="S203" i="3"/>
  <c r="R203" i="3"/>
  <c r="L203" i="3"/>
  <c r="K203" i="3"/>
  <c r="D203" i="3"/>
  <c r="J203" i="3"/>
  <c r="I203" i="3"/>
  <c r="H203" i="3"/>
  <c r="G203" i="3"/>
  <c r="U211" i="3"/>
  <c r="T211" i="3"/>
  <c r="S211" i="3"/>
  <c r="R211" i="3"/>
  <c r="K211" i="3"/>
  <c r="L211" i="3"/>
  <c r="D211" i="3"/>
  <c r="J211" i="3"/>
  <c r="I211" i="3"/>
  <c r="H211" i="3"/>
  <c r="G211" i="3"/>
  <c r="U219" i="3"/>
  <c r="T219" i="3"/>
  <c r="S219" i="3"/>
  <c r="R219" i="3"/>
  <c r="K219" i="3"/>
  <c r="L219" i="3"/>
  <c r="D219" i="3"/>
  <c r="J219" i="3"/>
  <c r="I219" i="3"/>
  <c r="H219" i="3"/>
  <c r="G219" i="3"/>
  <c r="U227" i="3"/>
  <c r="T227" i="3"/>
  <c r="S227" i="3"/>
  <c r="R227" i="3"/>
  <c r="L227" i="3"/>
  <c r="K227" i="3"/>
  <c r="D227" i="3"/>
  <c r="J227" i="3"/>
  <c r="I227" i="3"/>
  <c r="H227" i="3"/>
  <c r="G227" i="3"/>
  <c r="U243" i="3"/>
  <c r="T243" i="3"/>
  <c r="S243" i="3"/>
  <c r="R243" i="3"/>
  <c r="K243" i="3"/>
  <c r="L243" i="3"/>
  <c r="D243" i="3"/>
  <c r="J243" i="3"/>
  <c r="I243" i="3"/>
  <c r="H243" i="3"/>
  <c r="G243" i="3"/>
  <c r="U251" i="3"/>
  <c r="T251" i="3"/>
  <c r="S251" i="3"/>
  <c r="R251" i="3"/>
  <c r="K251" i="3"/>
  <c r="L251" i="3"/>
  <c r="D251" i="3"/>
  <c r="J251" i="3"/>
  <c r="I251" i="3"/>
  <c r="H251" i="3"/>
  <c r="G251" i="3"/>
  <c r="U259" i="3"/>
  <c r="T259" i="3"/>
  <c r="S259" i="3"/>
  <c r="R259" i="3"/>
  <c r="L259" i="3"/>
  <c r="K259" i="3"/>
  <c r="D259" i="3"/>
  <c r="J259" i="3"/>
  <c r="I259" i="3"/>
  <c r="H259" i="3"/>
  <c r="G259" i="3"/>
  <c r="U267" i="3"/>
  <c r="T267" i="3"/>
  <c r="R267" i="3"/>
  <c r="K267" i="3"/>
  <c r="L267" i="3"/>
  <c r="D267" i="3"/>
  <c r="J267" i="3"/>
  <c r="S267" i="3"/>
  <c r="I267" i="3"/>
  <c r="H267" i="3"/>
  <c r="G267" i="3"/>
  <c r="U275" i="3"/>
  <c r="T275" i="3"/>
  <c r="S275" i="3"/>
  <c r="R275" i="3"/>
  <c r="L275" i="3"/>
  <c r="K275" i="3"/>
  <c r="D275" i="3"/>
  <c r="J275" i="3"/>
  <c r="I275" i="3"/>
  <c r="H275" i="3"/>
  <c r="G275" i="3"/>
  <c r="U283" i="3"/>
  <c r="T283" i="3"/>
  <c r="S283" i="3"/>
  <c r="R283" i="3"/>
  <c r="L283" i="3"/>
  <c r="K283" i="3"/>
  <c r="D283" i="3"/>
  <c r="J283" i="3"/>
  <c r="I283" i="3"/>
  <c r="H283" i="3"/>
  <c r="G283" i="3"/>
  <c r="U291" i="3"/>
  <c r="T291" i="3"/>
  <c r="R291" i="3"/>
  <c r="K291" i="3"/>
  <c r="S291" i="3"/>
  <c r="D291" i="3"/>
  <c r="J291" i="3"/>
  <c r="I291" i="3"/>
  <c r="H291" i="3"/>
  <c r="G291" i="3"/>
  <c r="U299" i="3"/>
  <c r="T299" i="3"/>
  <c r="S299" i="3"/>
  <c r="R299" i="3"/>
  <c r="L299" i="3"/>
  <c r="K299" i="3"/>
  <c r="D299" i="3"/>
  <c r="J299" i="3"/>
  <c r="I299" i="3"/>
  <c r="H299" i="3"/>
  <c r="G299" i="3"/>
  <c r="U307" i="3"/>
  <c r="T307" i="3"/>
  <c r="S307" i="3"/>
  <c r="R307" i="3"/>
  <c r="K307" i="3"/>
  <c r="L307" i="3"/>
  <c r="D307" i="3"/>
  <c r="J307" i="3"/>
  <c r="I307" i="3"/>
  <c r="H307" i="3"/>
  <c r="G307" i="3"/>
  <c r="U315" i="3"/>
  <c r="T315" i="3"/>
  <c r="S315" i="3"/>
  <c r="R315" i="3"/>
  <c r="L315" i="3"/>
  <c r="K315" i="3"/>
  <c r="I315" i="3"/>
  <c r="H315" i="3"/>
  <c r="G315" i="3"/>
  <c r="F315" i="3"/>
  <c r="E315" i="3"/>
  <c r="D315" i="3"/>
  <c r="U323" i="3"/>
  <c r="T323" i="3"/>
  <c r="L323" i="3"/>
  <c r="R323" i="3"/>
  <c r="K323" i="3"/>
  <c r="S323" i="3"/>
  <c r="F323" i="3"/>
  <c r="I323" i="3"/>
  <c r="H323" i="3"/>
  <c r="G323" i="3"/>
  <c r="E323" i="3"/>
  <c r="D323" i="3"/>
  <c r="T331" i="3"/>
  <c r="U331" i="3"/>
  <c r="S331" i="3"/>
  <c r="L331" i="3"/>
  <c r="R331" i="3"/>
  <c r="K331" i="3"/>
  <c r="F331" i="3"/>
  <c r="E331" i="3"/>
  <c r="I331" i="3"/>
  <c r="H331" i="3"/>
  <c r="G331" i="3"/>
  <c r="D331" i="3"/>
  <c r="T339" i="3"/>
  <c r="U339" i="3"/>
  <c r="S339" i="3"/>
  <c r="R339" i="3"/>
  <c r="L339" i="3"/>
  <c r="K339" i="3"/>
  <c r="J339" i="3"/>
  <c r="G339" i="3"/>
  <c r="F339" i="3"/>
  <c r="E339" i="3"/>
  <c r="D339" i="3"/>
  <c r="T347" i="3"/>
  <c r="U347" i="3"/>
  <c r="R347" i="3"/>
  <c r="L347" i="3"/>
  <c r="K347" i="3"/>
  <c r="J347" i="3"/>
  <c r="S347" i="3"/>
  <c r="G347" i="3"/>
  <c r="D347" i="3"/>
  <c r="I347" i="3"/>
  <c r="H347" i="3"/>
  <c r="F347" i="3"/>
  <c r="T355" i="3"/>
  <c r="U355" i="3"/>
  <c r="S355" i="3"/>
  <c r="L355" i="3"/>
  <c r="R355" i="3"/>
  <c r="K355" i="3"/>
  <c r="J355" i="3"/>
  <c r="G355" i="3"/>
  <c r="H355" i="3"/>
  <c r="E355" i="3"/>
  <c r="I355" i="3"/>
  <c r="F355" i="3"/>
  <c r="D355" i="3"/>
  <c r="T363" i="3"/>
  <c r="U363" i="3"/>
  <c r="L363" i="3"/>
  <c r="R363" i="3"/>
  <c r="S363" i="3"/>
  <c r="K363" i="3"/>
  <c r="J363" i="3"/>
  <c r="G363" i="3"/>
  <c r="E363" i="3"/>
  <c r="I363" i="3"/>
  <c r="H363" i="3"/>
  <c r="T371" i="3"/>
  <c r="U371" i="3"/>
  <c r="S371" i="3"/>
  <c r="R371" i="3"/>
  <c r="L371" i="3"/>
  <c r="K371" i="3"/>
  <c r="J371" i="3"/>
  <c r="G371" i="3"/>
  <c r="F371" i="3"/>
  <c r="E371" i="3"/>
  <c r="I371" i="3"/>
  <c r="H371" i="3"/>
  <c r="D371" i="3"/>
  <c r="T379" i="3"/>
  <c r="U379" i="3"/>
  <c r="S379" i="3"/>
  <c r="R379" i="3"/>
  <c r="L379" i="3"/>
  <c r="K379" i="3"/>
  <c r="D379" i="3"/>
  <c r="J379" i="3"/>
  <c r="I379" i="3"/>
  <c r="G379" i="3"/>
  <c r="F379" i="3"/>
  <c r="H379" i="3"/>
  <c r="E379" i="3"/>
  <c r="T387" i="3"/>
  <c r="U387" i="3"/>
  <c r="S387" i="3"/>
  <c r="R387" i="3"/>
  <c r="L387" i="3"/>
  <c r="K387" i="3"/>
  <c r="D387" i="3"/>
  <c r="J387" i="3"/>
  <c r="I387" i="3"/>
  <c r="G387" i="3"/>
  <c r="H387" i="3"/>
  <c r="F387" i="3"/>
  <c r="E387" i="3"/>
  <c r="T395" i="3"/>
  <c r="U395" i="3"/>
  <c r="L395" i="3"/>
  <c r="R395" i="3"/>
  <c r="S395" i="3"/>
  <c r="K395" i="3"/>
  <c r="D395" i="3"/>
  <c r="J395" i="3"/>
  <c r="I395" i="3"/>
  <c r="G395" i="3"/>
  <c r="H395" i="3"/>
  <c r="F395" i="3"/>
  <c r="T403" i="3"/>
  <c r="U403" i="3"/>
  <c r="S403" i="3"/>
  <c r="R403" i="3"/>
  <c r="L403" i="3"/>
  <c r="K403" i="3"/>
  <c r="D403" i="3"/>
  <c r="J403" i="3"/>
  <c r="I403" i="3"/>
  <c r="G403" i="3"/>
  <c r="H403" i="3"/>
  <c r="E403" i="3"/>
  <c r="F403" i="3"/>
  <c r="T411" i="3"/>
  <c r="U411" i="3"/>
  <c r="S411" i="3"/>
  <c r="L411" i="3"/>
  <c r="K411" i="3"/>
  <c r="D411" i="3"/>
  <c r="R411" i="3"/>
  <c r="J411" i="3"/>
  <c r="I411" i="3"/>
  <c r="G411" i="3"/>
  <c r="E411" i="3"/>
  <c r="H411" i="3"/>
  <c r="F411" i="3"/>
  <c r="T419" i="3"/>
  <c r="U419" i="3"/>
  <c r="S419" i="3"/>
  <c r="R419" i="3"/>
  <c r="L419" i="3"/>
  <c r="K419" i="3"/>
  <c r="D419" i="3"/>
  <c r="J419" i="3"/>
  <c r="I419" i="3"/>
  <c r="G419" i="3"/>
  <c r="E419" i="3"/>
  <c r="H419" i="3"/>
  <c r="T427" i="3"/>
  <c r="U427" i="3"/>
  <c r="S427" i="3"/>
  <c r="L427" i="3"/>
  <c r="R427" i="3"/>
  <c r="K427" i="3"/>
  <c r="D427" i="3"/>
  <c r="J427" i="3"/>
  <c r="I427" i="3"/>
  <c r="G427" i="3"/>
  <c r="H427" i="3"/>
  <c r="F427" i="3"/>
  <c r="E427" i="3"/>
  <c r="T435" i="3"/>
  <c r="U435" i="3"/>
  <c r="S435" i="3"/>
  <c r="R435" i="3"/>
  <c r="L435" i="3"/>
  <c r="K435" i="3"/>
  <c r="D435" i="3"/>
  <c r="J435" i="3"/>
  <c r="I435" i="3"/>
  <c r="G435" i="3"/>
  <c r="F435" i="3"/>
  <c r="E435" i="3"/>
  <c r="H435" i="3"/>
  <c r="T443" i="3"/>
  <c r="U443" i="3"/>
  <c r="S443" i="3"/>
  <c r="R443" i="3"/>
  <c r="L443" i="3"/>
  <c r="K443" i="3"/>
  <c r="D443" i="3"/>
  <c r="J443" i="3"/>
  <c r="I443" i="3"/>
  <c r="G443" i="3"/>
  <c r="F443" i="3"/>
  <c r="E443" i="3"/>
  <c r="H443" i="3"/>
  <c r="T451" i="3"/>
  <c r="U451" i="3"/>
  <c r="S451" i="3"/>
  <c r="R451" i="3"/>
  <c r="L451" i="3"/>
  <c r="K451" i="3"/>
  <c r="D451" i="3"/>
  <c r="J451" i="3"/>
  <c r="I451" i="3"/>
  <c r="H451" i="3"/>
  <c r="G451" i="3"/>
  <c r="F451" i="3"/>
  <c r="E451" i="3"/>
  <c r="T459" i="3"/>
  <c r="U459" i="3"/>
  <c r="S459" i="3"/>
  <c r="L459" i="3"/>
  <c r="R459" i="3"/>
  <c r="K459" i="3"/>
  <c r="D459" i="3"/>
  <c r="J459" i="3"/>
  <c r="I459" i="3"/>
  <c r="H459" i="3"/>
  <c r="G459" i="3"/>
  <c r="F459" i="3"/>
  <c r="E459" i="3"/>
  <c r="T467" i="3"/>
  <c r="U467" i="3"/>
  <c r="S467" i="3"/>
  <c r="R467" i="3"/>
  <c r="L467" i="3"/>
  <c r="K467" i="3"/>
  <c r="D467" i="3"/>
  <c r="J467" i="3"/>
  <c r="I467" i="3"/>
  <c r="H467" i="3"/>
  <c r="G467" i="3"/>
  <c r="F467" i="3"/>
  <c r="E467" i="3"/>
  <c r="T475" i="3"/>
  <c r="U475" i="3"/>
  <c r="S475" i="3"/>
  <c r="R475" i="3"/>
  <c r="L475" i="3"/>
  <c r="K475" i="3"/>
  <c r="D475" i="3"/>
  <c r="J475" i="3"/>
  <c r="I475" i="3"/>
  <c r="H475" i="3"/>
  <c r="G475" i="3"/>
  <c r="E475" i="3"/>
  <c r="F475" i="3"/>
  <c r="T483" i="3"/>
  <c r="U483" i="3"/>
  <c r="S483" i="3"/>
  <c r="R483" i="3"/>
  <c r="L483" i="3"/>
  <c r="G483" i="3"/>
  <c r="K483" i="3"/>
  <c r="D483" i="3"/>
  <c r="J483" i="3"/>
  <c r="I483" i="3"/>
  <c r="H483" i="3"/>
  <c r="F483" i="3"/>
  <c r="E483" i="3"/>
  <c r="T491" i="3"/>
  <c r="U491" i="3"/>
  <c r="S491" i="3"/>
  <c r="L491" i="3"/>
  <c r="R491" i="3"/>
  <c r="I491" i="3"/>
  <c r="G491" i="3"/>
  <c r="K491" i="3"/>
  <c r="D491" i="3"/>
  <c r="H491" i="3"/>
  <c r="F491" i="3"/>
  <c r="E491" i="3"/>
  <c r="J491" i="3"/>
  <c r="T499" i="3"/>
  <c r="U499" i="3"/>
  <c r="S499" i="3"/>
  <c r="L499" i="3"/>
  <c r="I499" i="3"/>
  <c r="R499" i="3"/>
  <c r="G499" i="3"/>
  <c r="K499" i="3"/>
  <c r="F499" i="3"/>
  <c r="D499" i="3"/>
  <c r="J499" i="3"/>
  <c r="H499" i="3"/>
  <c r="E499" i="3"/>
  <c r="I19" i="3"/>
  <c r="I27" i="3"/>
  <c r="H34" i="3"/>
  <c r="I35" i="3"/>
  <c r="I43" i="3"/>
  <c r="H50" i="3"/>
  <c r="I51" i="3"/>
  <c r="H58" i="3"/>
  <c r="I59" i="3"/>
  <c r="I67" i="3"/>
  <c r="I75" i="3"/>
  <c r="I83" i="3"/>
  <c r="I91" i="3"/>
  <c r="I99" i="3"/>
  <c r="I107" i="3"/>
  <c r="I115" i="3"/>
  <c r="I123" i="3"/>
  <c r="I131" i="3"/>
  <c r="I139" i="3"/>
  <c r="D141" i="3"/>
  <c r="D157" i="3"/>
  <c r="J163" i="3"/>
  <c r="G189" i="3"/>
  <c r="E203" i="3"/>
  <c r="G221" i="3"/>
  <c r="G253" i="3"/>
  <c r="E267" i="3"/>
  <c r="G285" i="3"/>
  <c r="E299" i="3"/>
  <c r="J323" i="3"/>
  <c r="L18" i="3"/>
  <c r="K18" i="3"/>
  <c r="L26" i="3"/>
  <c r="K26" i="3"/>
  <c r="L42" i="3"/>
  <c r="K42" i="3"/>
  <c r="U66" i="3"/>
  <c r="T66" i="3"/>
  <c r="S66" i="3"/>
  <c r="R66" i="3"/>
  <c r="L66" i="3"/>
  <c r="K66" i="3"/>
  <c r="U74" i="3"/>
  <c r="T74" i="3"/>
  <c r="R74" i="3"/>
  <c r="S74" i="3"/>
  <c r="L74" i="3"/>
  <c r="K74" i="3"/>
  <c r="U82" i="3"/>
  <c r="T82" i="3"/>
  <c r="R82" i="3"/>
  <c r="S82" i="3"/>
  <c r="L82" i="3"/>
  <c r="K82" i="3"/>
  <c r="U90" i="3"/>
  <c r="T90" i="3"/>
  <c r="S90" i="3"/>
  <c r="R90" i="3"/>
  <c r="L90" i="3"/>
  <c r="K90" i="3"/>
  <c r="U98" i="3"/>
  <c r="T98" i="3"/>
  <c r="R98" i="3"/>
  <c r="S98" i="3"/>
  <c r="L98" i="3"/>
  <c r="K98" i="3"/>
  <c r="U106" i="3"/>
  <c r="T106" i="3"/>
  <c r="S106" i="3"/>
  <c r="R106" i="3"/>
  <c r="L106" i="3"/>
  <c r="K106" i="3"/>
  <c r="U114" i="3"/>
  <c r="T114" i="3"/>
  <c r="R114" i="3"/>
  <c r="L114" i="3"/>
  <c r="S114" i="3"/>
  <c r="K114" i="3"/>
  <c r="U122" i="3"/>
  <c r="T122" i="3"/>
  <c r="R122" i="3"/>
  <c r="S122" i="3"/>
  <c r="L122" i="3"/>
  <c r="K122" i="3"/>
  <c r="U130" i="3"/>
  <c r="T130" i="3"/>
  <c r="S130" i="3"/>
  <c r="R130" i="3"/>
  <c r="L130" i="3"/>
  <c r="K130" i="3"/>
  <c r="U138" i="3"/>
  <c r="T138" i="3"/>
  <c r="R138" i="3"/>
  <c r="S138" i="3"/>
  <c r="L138" i="3"/>
  <c r="K138" i="3"/>
  <c r="U146" i="3"/>
  <c r="T146" i="3"/>
  <c r="R146" i="3"/>
  <c r="S146" i="3"/>
  <c r="L146" i="3"/>
  <c r="K146" i="3"/>
  <c r="J146" i="3"/>
  <c r="F146" i="3"/>
  <c r="U154" i="3"/>
  <c r="T154" i="3"/>
  <c r="S154" i="3"/>
  <c r="R154" i="3"/>
  <c r="L154" i="3"/>
  <c r="K154" i="3"/>
  <c r="J154" i="3"/>
  <c r="H154" i="3"/>
  <c r="F154" i="3"/>
  <c r="U162" i="3"/>
  <c r="T162" i="3"/>
  <c r="R162" i="3"/>
  <c r="S162" i="3"/>
  <c r="L162" i="3"/>
  <c r="K162" i="3"/>
  <c r="J162" i="3"/>
  <c r="H162" i="3"/>
  <c r="F162" i="3"/>
  <c r="U170" i="3"/>
  <c r="T170" i="3"/>
  <c r="S170" i="3"/>
  <c r="R170" i="3"/>
  <c r="L170" i="3"/>
  <c r="K170" i="3"/>
  <c r="J170" i="3"/>
  <c r="I170" i="3"/>
  <c r="H170" i="3"/>
  <c r="F170" i="3"/>
  <c r="U178" i="3"/>
  <c r="T178" i="3"/>
  <c r="R178" i="3"/>
  <c r="S178" i="3"/>
  <c r="L178" i="3"/>
  <c r="K178" i="3"/>
  <c r="J178" i="3"/>
  <c r="I178" i="3"/>
  <c r="H178" i="3"/>
  <c r="G178" i="3"/>
  <c r="F178" i="3"/>
  <c r="U186" i="3"/>
  <c r="T186" i="3"/>
  <c r="R186" i="3"/>
  <c r="S186" i="3"/>
  <c r="L186" i="3"/>
  <c r="K186" i="3"/>
  <c r="J186" i="3"/>
  <c r="I186" i="3"/>
  <c r="H186" i="3"/>
  <c r="G186" i="3"/>
  <c r="F186" i="3"/>
  <c r="U194" i="3"/>
  <c r="T194" i="3"/>
  <c r="S194" i="3"/>
  <c r="R194" i="3"/>
  <c r="L194" i="3"/>
  <c r="K194" i="3"/>
  <c r="J194" i="3"/>
  <c r="I194" i="3"/>
  <c r="H194" i="3"/>
  <c r="G194" i="3"/>
  <c r="F194" i="3"/>
  <c r="U202" i="3"/>
  <c r="T202" i="3"/>
  <c r="R202" i="3"/>
  <c r="S202" i="3"/>
  <c r="L202" i="3"/>
  <c r="K202" i="3"/>
  <c r="J202" i="3"/>
  <c r="I202" i="3"/>
  <c r="H202" i="3"/>
  <c r="G202" i="3"/>
  <c r="F202" i="3"/>
  <c r="U210" i="3"/>
  <c r="T210" i="3"/>
  <c r="R210" i="3"/>
  <c r="S210" i="3"/>
  <c r="L210" i="3"/>
  <c r="K210" i="3"/>
  <c r="J210" i="3"/>
  <c r="I210" i="3"/>
  <c r="H210" i="3"/>
  <c r="G210" i="3"/>
  <c r="F210" i="3"/>
  <c r="U218" i="3"/>
  <c r="T218" i="3"/>
  <c r="S218" i="3"/>
  <c r="R218" i="3"/>
  <c r="K218" i="3"/>
  <c r="L218" i="3"/>
  <c r="J218" i="3"/>
  <c r="I218" i="3"/>
  <c r="H218" i="3"/>
  <c r="G218" i="3"/>
  <c r="F218" i="3"/>
  <c r="U226" i="3"/>
  <c r="T226" i="3"/>
  <c r="R226" i="3"/>
  <c r="S226" i="3"/>
  <c r="L226" i="3"/>
  <c r="K226" i="3"/>
  <c r="J226" i="3"/>
  <c r="I226" i="3"/>
  <c r="H226" i="3"/>
  <c r="G226" i="3"/>
  <c r="F226" i="3"/>
  <c r="U234" i="3"/>
  <c r="T234" i="3"/>
  <c r="S234" i="3"/>
  <c r="R234" i="3"/>
  <c r="L234" i="3"/>
  <c r="K234" i="3"/>
  <c r="J234" i="3"/>
  <c r="I234" i="3"/>
  <c r="H234" i="3"/>
  <c r="G234" i="3"/>
  <c r="F234" i="3"/>
  <c r="U242" i="3"/>
  <c r="T242" i="3"/>
  <c r="R242" i="3"/>
  <c r="S242" i="3"/>
  <c r="L242" i="3"/>
  <c r="K242" i="3"/>
  <c r="J242" i="3"/>
  <c r="I242" i="3"/>
  <c r="H242" i="3"/>
  <c r="G242" i="3"/>
  <c r="F242" i="3"/>
  <c r="U250" i="3"/>
  <c r="T250" i="3"/>
  <c r="R250" i="3"/>
  <c r="S250" i="3"/>
  <c r="L250" i="3"/>
  <c r="K250" i="3"/>
  <c r="J250" i="3"/>
  <c r="I250" i="3"/>
  <c r="H250" i="3"/>
  <c r="G250" i="3"/>
  <c r="F250" i="3"/>
  <c r="U258" i="3"/>
  <c r="T258" i="3"/>
  <c r="S258" i="3"/>
  <c r="R258" i="3"/>
  <c r="L258" i="3"/>
  <c r="K258" i="3"/>
  <c r="J258" i="3"/>
  <c r="I258" i="3"/>
  <c r="H258" i="3"/>
  <c r="G258" i="3"/>
  <c r="F258" i="3"/>
  <c r="U266" i="3"/>
  <c r="T266" i="3"/>
  <c r="S266" i="3"/>
  <c r="R266" i="3"/>
  <c r="L266" i="3"/>
  <c r="K266" i="3"/>
  <c r="J266" i="3"/>
  <c r="I266" i="3"/>
  <c r="H266" i="3"/>
  <c r="G266" i="3"/>
  <c r="F266" i="3"/>
  <c r="U274" i="3"/>
  <c r="T274" i="3"/>
  <c r="R274" i="3"/>
  <c r="L274" i="3"/>
  <c r="S274" i="3"/>
  <c r="K274" i="3"/>
  <c r="J274" i="3"/>
  <c r="I274" i="3"/>
  <c r="H274" i="3"/>
  <c r="G274" i="3"/>
  <c r="F274" i="3"/>
  <c r="U282" i="3"/>
  <c r="T282" i="3"/>
  <c r="S282" i="3"/>
  <c r="R282" i="3"/>
  <c r="L282" i="3"/>
  <c r="K282" i="3"/>
  <c r="J282" i="3"/>
  <c r="I282" i="3"/>
  <c r="H282" i="3"/>
  <c r="G282" i="3"/>
  <c r="F282" i="3"/>
  <c r="U290" i="3"/>
  <c r="T290" i="3"/>
  <c r="S290" i="3"/>
  <c r="R290" i="3"/>
  <c r="L290" i="3"/>
  <c r="K290" i="3"/>
  <c r="J290" i="3"/>
  <c r="I290" i="3"/>
  <c r="H290" i="3"/>
  <c r="G290" i="3"/>
  <c r="F290" i="3"/>
  <c r="U298" i="3"/>
  <c r="T298" i="3"/>
  <c r="S298" i="3"/>
  <c r="R298" i="3"/>
  <c r="L298" i="3"/>
  <c r="K298" i="3"/>
  <c r="J298" i="3"/>
  <c r="I298" i="3"/>
  <c r="H298" i="3"/>
  <c r="G298" i="3"/>
  <c r="F298" i="3"/>
  <c r="U306" i="3"/>
  <c r="T306" i="3"/>
  <c r="S306" i="3"/>
  <c r="R306" i="3"/>
  <c r="L306" i="3"/>
  <c r="K306" i="3"/>
  <c r="J306" i="3"/>
  <c r="I306" i="3"/>
  <c r="H306" i="3"/>
  <c r="G306" i="3"/>
  <c r="F306" i="3"/>
  <c r="U314" i="3"/>
  <c r="T314" i="3"/>
  <c r="S314" i="3"/>
  <c r="L314" i="3"/>
  <c r="R314" i="3"/>
  <c r="K314" i="3"/>
  <c r="J314" i="3"/>
  <c r="G314" i="3"/>
  <c r="F314" i="3"/>
  <c r="E314" i="3"/>
  <c r="D314" i="3"/>
  <c r="U322" i="3"/>
  <c r="T322" i="3"/>
  <c r="S322" i="3"/>
  <c r="R322" i="3"/>
  <c r="L322" i="3"/>
  <c r="K322" i="3"/>
  <c r="J322" i="3"/>
  <c r="F322" i="3"/>
  <c r="E322" i="3"/>
  <c r="D322" i="3"/>
  <c r="I322" i="3"/>
  <c r="T330" i="3"/>
  <c r="U330" i="3"/>
  <c r="S330" i="3"/>
  <c r="L330" i="3"/>
  <c r="R330" i="3"/>
  <c r="K330" i="3"/>
  <c r="J330" i="3"/>
  <c r="E330" i="3"/>
  <c r="D330" i="3"/>
  <c r="I330" i="3"/>
  <c r="H330" i="3"/>
  <c r="T338" i="3"/>
  <c r="U338" i="3"/>
  <c r="S338" i="3"/>
  <c r="R338" i="3"/>
  <c r="L338" i="3"/>
  <c r="K338" i="3"/>
  <c r="J338" i="3"/>
  <c r="E338" i="3"/>
  <c r="D338" i="3"/>
  <c r="I338" i="3"/>
  <c r="H338" i="3"/>
  <c r="G338" i="3"/>
  <c r="F338" i="3"/>
  <c r="T346" i="3"/>
  <c r="U346" i="3"/>
  <c r="S346" i="3"/>
  <c r="R346" i="3"/>
  <c r="L346" i="3"/>
  <c r="K346" i="3"/>
  <c r="I346" i="3"/>
  <c r="F346" i="3"/>
  <c r="G346" i="3"/>
  <c r="J346" i="3"/>
  <c r="E346" i="3"/>
  <c r="D346" i="3"/>
  <c r="T354" i="3"/>
  <c r="U354" i="3"/>
  <c r="S354" i="3"/>
  <c r="R354" i="3"/>
  <c r="L354" i="3"/>
  <c r="I354" i="3"/>
  <c r="K354" i="3"/>
  <c r="F354" i="3"/>
  <c r="D354" i="3"/>
  <c r="H354" i="3"/>
  <c r="G354" i="3"/>
  <c r="J354" i="3"/>
  <c r="T362" i="3"/>
  <c r="U362" i="3"/>
  <c r="S362" i="3"/>
  <c r="R362" i="3"/>
  <c r="L362" i="3"/>
  <c r="K362" i="3"/>
  <c r="I362" i="3"/>
  <c r="F362" i="3"/>
  <c r="J362" i="3"/>
  <c r="E362" i="3"/>
  <c r="D362" i="3"/>
  <c r="H362" i="3"/>
  <c r="G362" i="3"/>
  <c r="T370" i="3"/>
  <c r="U370" i="3"/>
  <c r="S370" i="3"/>
  <c r="R370" i="3"/>
  <c r="L370" i="3"/>
  <c r="I370" i="3"/>
  <c r="K370" i="3"/>
  <c r="F370" i="3"/>
  <c r="J370" i="3"/>
  <c r="G370" i="3"/>
  <c r="H370" i="3"/>
  <c r="E370" i="3"/>
  <c r="D370" i="3"/>
  <c r="T378" i="3"/>
  <c r="U378" i="3"/>
  <c r="S378" i="3"/>
  <c r="L378" i="3"/>
  <c r="R378" i="3"/>
  <c r="K378" i="3"/>
  <c r="J378" i="3"/>
  <c r="I378" i="3"/>
  <c r="H378" i="3"/>
  <c r="F378" i="3"/>
  <c r="G378" i="3"/>
  <c r="E378" i="3"/>
  <c r="D378" i="3"/>
  <c r="T386" i="3"/>
  <c r="U386" i="3"/>
  <c r="S386" i="3"/>
  <c r="R386" i="3"/>
  <c r="L386" i="3"/>
  <c r="J386" i="3"/>
  <c r="I386" i="3"/>
  <c r="H386" i="3"/>
  <c r="K386" i="3"/>
  <c r="F386" i="3"/>
  <c r="G386" i="3"/>
  <c r="E386" i="3"/>
  <c r="D386" i="3"/>
  <c r="T394" i="3"/>
  <c r="U394" i="3"/>
  <c r="S394" i="3"/>
  <c r="R394" i="3"/>
  <c r="L394" i="3"/>
  <c r="K394" i="3"/>
  <c r="J394" i="3"/>
  <c r="I394" i="3"/>
  <c r="H394" i="3"/>
  <c r="F394" i="3"/>
  <c r="G394" i="3"/>
  <c r="D394" i="3"/>
  <c r="T402" i="3"/>
  <c r="U402" i="3"/>
  <c r="S402" i="3"/>
  <c r="R402" i="3"/>
  <c r="L402" i="3"/>
  <c r="J402" i="3"/>
  <c r="I402" i="3"/>
  <c r="H402" i="3"/>
  <c r="K402" i="3"/>
  <c r="F402" i="3"/>
  <c r="D402" i="3"/>
  <c r="G402" i="3"/>
  <c r="E402" i="3"/>
  <c r="T410" i="3"/>
  <c r="U410" i="3"/>
  <c r="S410" i="3"/>
  <c r="R410" i="3"/>
  <c r="L410" i="3"/>
  <c r="K410" i="3"/>
  <c r="J410" i="3"/>
  <c r="I410" i="3"/>
  <c r="H410" i="3"/>
  <c r="F410" i="3"/>
  <c r="D410" i="3"/>
  <c r="G410" i="3"/>
  <c r="E410" i="3"/>
  <c r="T418" i="3"/>
  <c r="U418" i="3"/>
  <c r="S418" i="3"/>
  <c r="R418" i="3"/>
  <c r="L418" i="3"/>
  <c r="J418" i="3"/>
  <c r="I418" i="3"/>
  <c r="H418" i="3"/>
  <c r="K418" i="3"/>
  <c r="F418" i="3"/>
  <c r="E418" i="3"/>
  <c r="D418" i="3"/>
  <c r="T426" i="3"/>
  <c r="U426" i="3"/>
  <c r="S426" i="3"/>
  <c r="R426" i="3"/>
  <c r="L426" i="3"/>
  <c r="K426" i="3"/>
  <c r="J426" i="3"/>
  <c r="I426" i="3"/>
  <c r="H426" i="3"/>
  <c r="F426" i="3"/>
  <c r="E426" i="3"/>
  <c r="D426" i="3"/>
  <c r="T434" i="3"/>
  <c r="U434" i="3"/>
  <c r="S434" i="3"/>
  <c r="R434" i="3"/>
  <c r="L434" i="3"/>
  <c r="J434" i="3"/>
  <c r="I434" i="3"/>
  <c r="H434" i="3"/>
  <c r="K434" i="3"/>
  <c r="F434" i="3"/>
  <c r="E434" i="3"/>
  <c r="D434" i="3"/>
  <c r="T442" i="3"/>
  <c r="U442" i="3"/>
  <c r="S442" i="3"/>
  <c r="R442" i="3"/>
  <c r="L442" i="3"/>
  <c r="K442" i="3"/>
  <c r="J442" i="3"/>
  <c r="I442" i="3"/>
  <c r="H442" i="3"/>
  <c r="F442" i="3"/>
  <c r="G442" i="3"/>
  <c r="T450" i="3"/>
  <c r="U450" i="3"/>
  <c r="S450" i="3"/>
  <c r="R450" i="3"/>
  <c r="L450" i="3"/>
  <c r="J450" i="3"/>
  <c r="I450" i="3"/>
  <c r="H450" i="3"/>
  <c r="K450" i="3"/>
  <c r="G450" i="3"/>
  <c r="F450" i="3"/>
  <c r="E450" i="3"/>
  <c r="D450" i="3"/>
  <c r="T458" i="3"/>
  <c r="U458" i="3"/>
  <c r="S458" i="3"/>
  <c r="R458" i="3"/>
  <c r="L458" i="3"/>
  <c r="K458" i="3"/>
  <c r="J458" i="3"/>
  <c r="I458" i="3"/>
  <c r="H458" i="3"/>
  <c r="G458" i="3"/>
  <c r="F458" i="3"/>
  <c r="E458" i="3"/>
  <c r="D458" i="3"/>
  <c r="T466" i="3"/>
  <c r="U466" i="3"/>
  <c r="S466" i="3"/>
  <c r="R466" i="3"/>
  <c r="L466" i="3"/>
  <c r="J466" i="3"/>
  <c r="I466" i="3"/>
  <c r="H466" i="3"/>
  <c r="K466" i="3"/>
  <c r="G466" i="3"/>
  <c r="F466" i="3"/>
  <c r="D466" i="3"/>
  <c r="T474" i="3"/>
  <c r="U474" i="3"/>
  <c r="S474" i="3"/>
  <c r="L474" i="3"/>
  <c r="R474" i="3"/>
  <c r="K474" i="3"/>
  <c r="J474" i="3"/>
  <c r="I474" i="3"/>
  <c r="H474" i="3"/>
  <c r="G474" i="3"/>
  <c r="F474" i="3"/>
  <c r="E474" i="3"/>
  <c r="D474" i="3"/>
  <c r="T482" i="3"/>
  <c r="U482" i="3"/>
  <c r="S482" i="3"/>
  <c r="R482" i="3"/>
  <c r="L482" i="3"/>
  <c r="J482" i="3"/>
  <c r="I482" i="3"/>
  <c r="H482" i="3"/>
  <c r="K482" i="3"/>
  <c r="G482" i="3"/>
  <c r="F482" i="3"/>
  <c r="E482" i="3"/>
  <c r="D482" i="3"/>
  <c r="T490" i="3"/>
  <c r="U490" i="3"/>
  <c r="S490" i="3"/>
  <c r="R490" i="3"/>
  <c r="L490" i="3"/>
  <c r="H490" i="3"/>
  <c r="F490" i="3"/>
  <c r="K490" i="3"/>
  <c r="J490" i="3"/>
  <c r="I490" i="3"/>
  <c r="G490" i="3"/>
  <c r="E490" i="3"/>
  <c r="D490" i="3"/>
  <c r="T498" i="3"/>
  <c r="U498" i="3"/>
  <c r="S498" i="3"/>
  <c r="R498" i="3"/>
  <c r="L498" i="3"/>
  <c r="H498" i="3"/>
  <c r="F498" i="3"/>
  <c r="E498" i="3"/>
  <c r="J498" i="3"/>
  <c r="K498" i="3"/>
  <c r="I498" i="3"/>
  <c r="G498" i="3"/>
  <c r="D498" i="3"/>
  <c r="U235" i="3"/>
  <c r="T235" i="3"/>
  <c r="S235" i="3"/>
  <c r="R235" i="3"/>
  <c r="L235" i="3"/>
  <c r="K235" i="3"/>
  <c r="D235" i="3"/>
  <c r="J235" i="3"/>
  <c r="I235" i="3"/>
  <c r="H235" i="3"/>
  <c r="G235" i="3"/>
  <c r="L12" i="3"/>
  <c r="K12" i="3"/>
  <c r="L20" i="3"/>
  <c r="K20" i="3"/>
  <c r="L28" i="3"/>
  <c r="K28" i="3"/>
  <c r="L36" i="3"/>
  <c r="K36" i="3"/>
  <c r="L44" i="3"/>
  <c r="K44" i="3"/>
  <c r="L52" i="3"/>
  <c r="K52" i="3"/>
  <c r="V52" i="3" s="1"/>
  <c r="U60" i="3"/>
  <c r="T60" i="3"/>
  <c r="S60" i="3"/>
  <c r="R60" i="3"/>
  <c r="L60" i="3"/>
  <c r="K60" i="3"/>
  <c r="U68" i="3"/>
  <c r="T68" i="3"/>
  <c r="S68" i="3"/>
  <c r="R68" i="3"/>
  <c r="L68" i="3"/>
  <c r="K68" i="3"/>
  <c r="U76" i="3"/>
  <c r="T76" i="3"/>
  <c r="S76" i="3"/>
  <c r="R76" i="3"/>
  <c r="L76" i="3"/>
  <c r="K76" i="3"/>
  <c r="U84" i="3"/>
  <c r="T84" i="3"/>
  <c r="S84" i="3"/>
  <c r="R84" i="3"/>
  <c r="L84" i="3"/>
  <c r="K84" i="3"/>
  <c r="U92" i="3"/>
  <c r="T92" i="3"/>
  <c r="S92" i="3"/>
  <c r="R92" i="3"/>
  <c r="L92" i="3"/>
  <c r="K92" i="3"/>
  <c r="U100" i="3"/>
  <c r="T100" i="3"/>
  <c r="S100" i="3"/>
  <c r="R100" i="3"/>
  <c r="L100" i="3"/>
  <c r="K100" i="3"/>
  <c r="U108" i="3"/>
  <c r="T108" i="3"/>
  <c r="S108" i="3"/>
  <c r="R108" i="3"/>
  <c r="L108" i="3"/>
  <c r="K108" i="3"/>
  <c r="U116" i="3"/>
  <c r="T116" i="3"/>
  <c r="S116" i="3"/>
  <c r="R116" i="3"/>
  <c r="L116" i="3"/>
  <c r="K116" i="3"/>
  <c r="U124" i="3"/>
  <c r="T124" i="3"/>
  <c r="S124" i="3"/>
  <c r="R124" i="3"/>
  <c r="L124" i="3"/>
  <c r="K124" i="3"/>
  <c r="U132" i="3"/>
  <c r="T132" i="3"/>
  <c r="S132" i="3"/>
  <c r="R132" i="3"/>
  <c r="L132" i="3"/>
  <c r="K132" i="3"/>
  <c r="U140" i="3"/>
  <c r="T140" i="3"/>
  <c r="S140" i="3"/>
  <c r="R140" i="3"/>
  <c r="L140" i="3"/>
  <c r="K140" i="3"/>
  <c r="E140" i="3"/>
  <c r="U148" i="3"/>
  <c r="T148" i="3"/>
  <c r="S148" i="3"/>
  <c r="R148" i="3"/>
  <c r="L148" i="3"/>
  <c r="K148" i="3"/>
  <c r="E148" i="3"/>
  <c r="D148" i="3"/>
  <c r="H148" i="3"/>
  <c r="U156" i="3"/>
  <c r="T156" i="3"/>
  <c r="S156" i="3"/>
  <c r="R156" i="3"/>
  <c r="L156" i="3"/>
  <c r="K156" i="3"/>
  <c r="E156" i="3"/>
  <c r="D156" i="3"/>
  <c r="J156" i="3"/>
  <c r="H156" i="3"/>
  <c r="U164" i="3"/>
  <c r="T164" i="3"/>
  <c r="S164" i="3"/>
  <c r="R164" i="3"/>
  <c r="L164" i="3"/>
  <c r="K164" i="3"/>
  <c r="E164" i="3"/>
  <c r="D164" i="3"/>
  <c r="J164" i="3"/>
  <c r="H164" i="3"/>
  <c r="U172" i="3"/>
  <c r="T172" i="3"/>
  <c r="S172" i="3"/>
  <c r="R172" i="3"/>
  <c r="L172" i="3"/>
  <c r="K172" i="3"/>
  <c r="E172" i="3"/>
  <c r="D172" i="3"/>
  <c r="J172" i="3"/>
  <c r="H172" i="3"/>
  <c r="U180" i="3"/>
  <c r="T180" i="3"/>
  <c r="S180" i="3"/>
  <c r="R180" i="3"/>
  <c r="L180" i="3"/>
  <c r="K180" i="3"/>
  <c r="E180" i="3"/>
  <c r="D180" i="3"/>
  <c r="J180" i="3"/>
  <c r="I180" i="3"/>
  <c r="H180" i="3"/>
  <c r="U188" i="3"/>
  <c r="T188" i="3"/>
  <c r="S188" i="3"/>
  <c r="R188" i="3"/>
  <c r="L188" i="3"/>
  <c r="K188" i="3"/>
  <c r="E188" i="3"/>
  <c r="D188" i="3"/>
  <c r="J188" i="3"/>
  <c r="I188" i="3"/>
  <c r="H188" i="3"/>
  <c r="U196" i="3"/>
  <c r="T196" i="3"/>
  <c r="S196" i="3"/>
  <c r="R196" i="3"/>
  <c r="L196" i="3"/>
  <c r="K196" i="3"/>
  <c r="E196" i="3"/>
  <c r="D196" i="3"/>
  <c r="J196" i="3"/>
  <c r="I196" i="3"/>
  <c r="H196" i="3"/>
  <c r="U204" i="3"/>
  <c r="T204" i="3"/>
  <c r="S204" i="3"/>
  <c r="R204" i="3"/>
  <c r="L204" i="3"/>
  <c r="K204" i="3"/>
  <c r="E204" i="3"/>
  <c r="D204" i="3"/>
  <c r="J204" i="3"/>
  <c r="I204" i="3"/>
  <c r="H204" i="3"/>
  <c r="U212" i="3"/>
  <c r="T212" i="3"/>
  <c r="S212" i="3"/>
  <c r="R212" i="3"/>
  <c r="K212" i="3"/>
  <c r="L212" i="3"/>
  <c r="E212" i="3"/>
  <c r="D212" i="3"/>
  <c r="J212" i="3"/>
  <c r="I212" i="3"/>
  <c r="H212" i="3"/>
  <c r="U220" i="3"/>
  <c r="T220" i="3"/>
  <c r="S220" i="3"/>
  <c r="R220" i="3"/>
  <c r="K220" i="3"/>
  <c r="L220" i="3"/>
  <c r="E220" i="3"/>
  <c r="D220" i="3"/>
  <c r="J220" i="3"/>
  <c r="I220" i="3"/>
  <c r="H220" i="3"/>
  <c r="U228" i="3"/>
  <c r="T228" i="3"/>
  <c r="S228" i="3"/>
  <c r="R228" i="3"/>
  <c r="K228" i="3"/>
  <c r="E228" i="3"/>
  <c r="L228" i="3"/>
  <c r="D228" i="3"/>
  <c r="J228" i="3"/>
  <c r="I228" i="3"/>
  <c r="H228" i="3"/>
  <c r="U236" i="3"/>
  <c r="T236" i="3"/>
  <c r="S236" i="3"/>
  <c r="R236" i="3"/>
  <c r="L236" i="3"/>
  <c r="K236" i="3"/>
  <c r="E236" i="3"/>
  <c r="D236" i="3"/>
  <c r="J236" i="3"/>
  <c r="I236" i="3"/>
  <c r="H236" i="3"/>
  <c r="U244" i="3"/>
  <c r="T244" i="3"/>
  <c r="S244" i="3"/>
  <c r="R244" i="3"/>
  <c r="K244" i="3"/>
  <c r="L244" i="3"/>
  <c r="E244" i="3"/>
  <c r="D244" i="3"/>
  <c r="J244" i="3"/>
  <c r="I244" i="3"/>
  <c r="H244" i="3"/>
  <c r="U252" i="3"/>
  <c r="T252" i="3"/>
  <c r="S252" i="3"/>
  <c r="R252" i="3"/>
  <c r="K252" i="3"/>
  <c r="L252" i="3"/>
  <c r="E252" i="3"/>
  <c r="D252" i="3"/>
  <c r="J252" i="3"/>
  <c r="I252" i="3"/>
  <c r="H252" i="3"/>
  <c r="U260" i="3"/>
  <c r="T260" i="3"/>
  <c r="S260" i="3"/>
  <c r="R260" i="3"/>
  <c r="L260" i="3"/>
  <c r="K260" i="3"/>
  <c r="E260" i="3"/>
  <c r="D260" i="3"/>
  <c r="J260" i="3"/>
  <c r="I260" i="3"/>
  <c r="H260" i="3"/>
  <c r="U268" i="3"/>
  <c r="T268" i="3"/>
  <c r="S268" i="3"/>
  <c r="R268" i="3"/>
  <c r="K268" i="3"/>
  <c r="L268" i="3"/>
  <c r="E268" i="3"/>
  <c r="D268" i="3"/>
  <c r="J268" i="3"/>
  <c r="I268" i="3"/>
  <c r="H268" i="3"/>
  <c r="U276" i="3"/>
  <c r="T276" i="3"/>
  <c r="R276" i="3"/>
  <c r="S276" i="3"/>
  <c r="K276" i="3"/>
  <c r="L276" i="3"/>
  <c r="E276" i="3"/>
  <c r="D276" i="3"/>
  <c r="J276" i="3"/>
  <c r="I276" i="3"/>
  <c r="H276" i="3"/>
  <c r="U284" i="3"/>
  <c r="T284" i="3"/>
  <c r="S284" i="3"/>
  <c r="R284" i="3"/>
  <c r="L284" i="3"/>
  <c r="K284" i="3"/>
  <c r="E284" i="3"/>
  <c r="D284" i="3"/>
  <c r="J284" i="3"/>
  <c r="I284" i="3"/>
  <c r="H284" i="3"/>
  <c r="U292" i="3"/>
  <c r="T292" i="3"/>
  <c r="R292" i="3"/>
  <c r="S292" i="3"/>
  <c r="K292" i="3"/>
  <c r="L292" i="3"/>
  <c r="E292" i="3"/>
  <c r="D292" i="3"/>
  <c r="J292" i="3"/>
  <c r="I292" i="3"/>
  <c r="H292" i="3"/>
  <c r="U300" i="3"/>
  <c r="T300" i="3"/>
  <c r="R300" i="3"/>
  <c r="S300" i="3"/>
  <c r="L300" i="3"/>
  <c r="K300" i="3"/>
  <c r="E300" i="3"/>
  <c r="D300" i="3"/>
  <c r="J300" i="3"/>
  <c r="I300" i="3"/>
  <c r="H300" i="3"/>
  <c r="U308" i="3"/>
  <c r="T308" i="3"/>
  <c r="S308" i="3"/>
  <c r="R308" i="3"/>
  <c r="K308" i="3"/>
  <c r="L308" i="3"/>
  <c r="E308" i="3"/>
  <c r="D308" i="3"/>
  <c r="J308" i="3"/>
  <c r="I308" i="3"/>
  <c r="H308" i="3"/>
  <c r="U316" i="3"/>
  <c r="T316" i="3"/>
  <c r="S316" i="3"/>
  <c r="R316" i="3"/>
  <c r="K316" i="3"/>
  <c r="L316" i="3"/>
  <c r="D316" i="3"/>
  <c r="J316" i="3"/>
  <c r="I316" i="3"/>
  <c r="H316" i="3"/>
  <c r="G316" i="3"/>
  <c r="F316" i="3"/>
  <c r="U324" i="3"/>
  <c r="T324" i="3"/>
  <c r="S324" i="3"/>
  <c r="R324" i="3"/>
  <c r="K324" i="3"/>
  <c r="D324" i="3"/>
  <c r="L324" i="3"/>
  <c r="G324" i="3"/>
  <c r="J324" i="3"/>
  <c r="I324" i="3"/>
  <c r="H324" i="3"/>
  <c r="F324" i="3"/>
  <c r="U332" i="3"/>
  <c r="S332" i="3"/>
  <c r="T332" i="3"/>
  <c r="R332" i="3"/>
  <c r="L332" i="3"/>
  <c r="K332" i="3"/>
  <c r="D332" i="3"/>
  <c r="G332" i="3"/>
  <c r="F332" i="3"/>
  <c r="J332" i="3"/>
  <c r="I332" i="3"/>
  <c r="H332" i="3"/>
  <c r="U340" i="3"/>
  <c r="S340" i="3"/>
  <c r="T340" i="3"/>
  <c r="K340" i="3"/>
  <c r="R340" i="3"/>
  <c r="L340" i="3"/>
  <c r="H340" i="3"/>
  <c r="F340" i="3"/>
  <c r="J340" i="3"/>
  <c r="I340" i="3"/>
  <c r="G340" i="3"/>
  <c r="E340" i="3"/>
  <c r="D340" i="3"/>
  <c r="U348" i="3"/>
  <c r="T348" i="3"/>
  <c r="S348" i="3"/>
  <c r="R348" i="3"/>
  <c r="K348" i="3"/>
  <c r="L348" i="3"/>
  <c r="H348" i="3"/>
  <c r="D348" i="3"/>
  <c r="G348" i="3"/>
  <c r="F348" i="3"/>
  <c r="J348" i="3"/>
  <c r="I348" i="3"/>
  <c r="E348" i="3"/>
  <c r="U356" i="3"/>
  <c r="S356" i="3"/>
  <c r="T356" i="3"/>
  <c r="R356" i="3"/>
  <c r="L356" i="3"/>
  <c r="K356" i="3"/>
  <c r="H356" i="3"/>
  <c r="I356" i="3"/>
  <c r="E356" i="3"/>
  <c r="D356" i="3"/>
  <c r="G356" i="3"/>
  <c r="F356" i="3"/>
  <c r="U364" i="3"/>
  <c r="S364" i="3"/>
  <c r="T364" i="3"/>
  <c r="R364" i="3"/>
  <c r="K364" i="3"/>
  <c r="L364" i="3"/>
  <c r="H364" i="3"/>
  <c r="I364" i="3"/>
  <c r="F364" i="3"/>
  <c r="J364" i="3"/>
  <c r="G364" i="3"/>
  <c r="E364" i="3"/>
  <c r="D364" i="3"/>
  <c r="U372" i="3"/>
  <c r="T372" i="3"/>
  <c r="S372" i="3"/>
  <c r="R372" i="3"/>
  <c r="L372" i="3"/>
  <c r="K372" i="3"/>
  <c r="H372" i="3"/>
  <c r="F372" i="3"/>
  <c r="D372" i="3"/>
  <c r="J372" i="3"/>
  <c r="I372" i="3"/>
  <c r="U380" i="3"/>
  <c r="S380" i="3"/>
  <c r="T380" i="3"/>
  <c r="R380" i="3"/>
  <c r="K380" i="3"/>
  <c r="L380" i="3"/>
  <c r="E380" i="3"/>
  <c r="D380" i="3"/>
  <c r="J380" i="3"/>
  <c r="H380" i="3"/>
  <c r="G380" i="3"/>
  <c r="F380" i="3"/>
  <c r="I380" i="3"/>
  <c r="U388" i="3"/>
  <c r="T388" i="3"/>
  <c r="S388" i="3"/>
  <c r="R388" i="3"/>
  <c r="K388" i="3"/>
  <c r="E388" i="3"/>
  <c r="D388" i="3"/>
  <c r="J388" i="3"/>
  <c r="H388" i="3"/>
  <c r="G388" i="3"/>
  <c r="U396" i="3"/>
  <c r="S396" i="3"/>
  <c r="T396" i="3"/>
  <c r="R396" i="3"/>
  <c r="L396" i="3"/>
  <c r="K396" i="3"/>
  <c r="E396" i="3"/>
  <c r="D396" i="3"/>
  <c r="J396" i="3"/>
  <c r="H396" i="3"/>
  <c r="I396" i="3"/>
  <c r="G396" i="3"/>
  <c r="F396" i="3"/>
  <c r="U404" i="3"/>
  <c r="S404" i="3"/>
  <c r="T404" i="3"/>
  <c r="R404" i="3"/>
  <c r="K404" i="3"/>
  <c r="E404" i="3"/>
  <c r="D404" i="3"/>
  <c r="J404" i="3"/>
  <c r="L404" i="3"/>
  <c r="H404" i="3"/>
  <c r="I404" i="3"/>
  <c r="G404" i="3"/>
  <c r="F404" i="3"/>
  <c r="U412" i="3"/>
  <c r="T412" i="3"/>
  <c r="S412" i="3"/>
  <c r="R412" i="3"/>
  <c r="K412" i="3"/>
  <c r="L412" i="3"/>
  <c r="E412" i="3"/>
  <c r="D412" i="3"/>
  <c r="J412" i="3"/>
  <c r="H412" i="3"/>
  <c r="I412" i="3"/>
  <c r="F412" i="3"/>
  <c r="U420" i="3"/>
  <c r="S420" i="3"/>
  <c r="T420" i="3"/>
  <c r="R420" i="3"/>
  <c r="L420" i="3"/>
  <c r="K420" i="3"/>
  <c r="E420" i="3"/>
  <c r="D420" i="3"/>
  <c r="J420" i="3"/>
  <c r="H420" i="3"/>
  <c r="F420" i="3"/>
  <c r="I420" i="3"/>
  <c r="G420" i="3"/>
  <c r="U428" i="3"/>
  <c r="T428" i="3"/>
  <c r="S428" i="3"/>
  <c r="R428" i="3"/>
  <c r="K428" i="3"/>
  <c r="L428" i="3"/>
  <c r="E428" i="3"/>
  <c r="D428" i="3"/>
  <c r="J428" i="3"/>
  <c r="H428" i="3"/>
  <c r="F428" i="3"/>
  <c r="I428" i="3"/>
  <c r="G428" i="3"/>
  <c r="U436" i="3"/>
  <c r="S436" i="3"/>
  <c r="T436" i="3"/>
  <c r="R436" i="3"/>
  <c r="L436" i="3"/>
  <c r="K436" i="3"/>
  <c r="E436" i="3"/>
  <c r="D436" i="3"/>
  <c r="J436" i="3"/>
  <c r="H436" i="3"/>
  <c r="I436" i="3"/>
  <c r="G436" i="3"/>
  <c r="F436" i="3"/>
  <c r="U444" i="3"/>
  <c r="T444" i="3"/>
  <c r="S444" i="3"/>
  <c r="R444" i="3"/>
  <c r="K444" i="3"/>
  <c r="E444" i="3"/>
  <c r="D444" i="3"/>
  <c r="J444" i="3"/>
  <c r="I444" i="3"/>
  <c r="H444" i="3"/>
  <c r="G444" i="3"/>
  <c r="L444" i="3"/>
  <c r="F444" i="3"/>
  <c r="U452" i="3"/>
  <c r="S452" i="3"/>
  <c r="R452" i="3"/>
  <c r="T452" i="3"/>
  <c r="K452" i="3"/>
  <c r="E452" i="3"/>
  <c r="D452" i="3"/>
  <c r="J452" i="3"/>
  <c r="I452" i="3"/>
  <c r="L452" i="3"/>
  <c r="H452" i="3"/>
  <c r="F452" i="3"/>
  <c r="U460" i="3"/>
  <c r="S460" i="3"/>
  <c r="T460" i="3"/>
  <c r="R460" i="3"/>
  <c r="L460" i="3"/>
  <c r="K460" i="3"/>
  <c r="E460" i="3"/>
  <c r="D460" i="3"/>
  <c r="J460" i="3"/>
  <c r="I460" i="3"/>
  <c r="H460" i="3"/>
  <c r="G460" i="3"/>
  <c r="F460" i="3"/>
  <c r="U468" i="3"/>
  <c r="T468" i="3"/>
  <c r="S468" i="3"/>
  <c r="R468" i="3"/>
  <c r="K468" i="3"/>
  <c r="E468" i="3"/>
  <c r="D468" i="3"/>
  <c r="L468" i="3"/>
  <c r="J468" i="3"/>
  <c r="I468" i="3"/>
  <c r="H468" i="3"/>
  <c r="G468" i="3"/>
  <c r="F468" i="3"/>
  <c r="U476" i="3"/>
  <c r="S476" i="3"/>
  <c r="T476" i="3"/>
  <c r="R476" i="3"/>
  <c r="K476" i="3"/>
  <c r="L476" i="3"/>
  <c r="E476" i="3"/>
  <c r="D476" i="3"/>
  <c r="J476" i="3"/>
  <c r="I476" i="3"/>
  <c r="H476" i="3"/>
  <c r="G476" i="3"/>
  <c r="F476" i="3"/>
  <c r="U484" i="3"/>
  <c r="S484" i="3"/>
  <c r="R484" i="3"/>
  <c r="T484" i="3"/>
  <c r="L484" i="3"/>
  <c r="K484" i="3"/>
  <c r="H484" i="3"/>
  <c r="E484" i="3"/>
  <c r="G484" i="3"/>
  <c r="F484" i="3"/>
  <c r="D484" i="3"/>
  <c r="I484" i="3"/>
  <c r="J484" i="3"/>
  <c r="U492" i="3"/>
  <c r="S492" i="3"/>
  <c r="T492" i="3"/>
  <c r="R492" i="3"/>
  <c r="J492" i="3"/>
  <c r="K492" i="3"/>
  <c r="H492" i="3"/>
  <c r="L492" i="3"/>
  <c r="E492" i="3"/>
  <c r="I492" i="3"/>
  <c r="G492" i="3"/>
  <c r="F492" i="3"/>
  <c r="U500" i="3"/>
  <c r="T500" i="3"/>
  <c r="S500" i="3"/>
  <c r="R500" i="3"/>
  <c r="J500" i="3"/>
  <c r="L500" i="3"/>
  <c r="K500" i="3"/>
  <c r="H500" i="3"/>
  <c r="G500" i="3"/>
  <c r="E500" i="3"/>
  <c r="I500" i="3"/>
  <c r="D500" i="3"/>
  <c r="F500" i="3"/>
  <c r="J5" i="3"/>
  <c r="D13" i="3"/>
  <c r="Q13" i="3" s="1"/>
  <c r="G16" i="3"/>
  <c r="H17" i="3"/>
  <c r="I18" i="3"/>
  <c r="J19" i="3"/>
  <c r="D21" i="3"/>
  <c r="G24" i="3"/>
  <c r="H25" i="3"/>
  <c r="I26" i="3"/>
  <c r="J27" i="3"/>
  <c r="D29" i="3"/>
  <c r="Q29" i="3" s="1"/>
  <c r="G32" i="3"/>
  <c r="H33" i="3"/>
  <c r="J35" i="3"/>
  <c r="D37" i="3"/>
  <c r="G40" i="3"/>
  <c r="H41" i="3"/>
  <c r="I42" i="3"/>
  <c r="J43" i="3"/>
  <c r="D45" i="3"/>
  <c r="Q45" i="3" s="1"/>
  <c r="G48" i="3"/>
  <c r="H49" i="3"/>
  <c r="I50" i="3"/>
  <c r="J51" i="3"/>
  <c r="D53" i="3"/>
  <c r="F55" i="3"/>
  <c r="G56" i="3"/>
  <c r="H57" i="3"/>
  <c r="I58" i="3"/>
  <c r="J59" i="3"/>
  <c r="D61" i="3"/>
  <c r="F63" i="3"/>
  <c r="G64" i="3"/>
  <c r="H65" i="3"/>
  <c r="I66" i="3"/>
  <c r="J67" i="3"/>
  <c r="D69" i="3"/>
  <c r="F71" i="3"/>
  <c r="G72" i="3"/>
  <c r="H73" i="3"/>
  <c r="I74" i="3"/>
  <c r="J75" i="3"/>
  <c r="D77" i="3"/>
  <c r="F79" i="3"/>
  <c r="G80" i="3"/>
  <c r="H81" i="3"/>
  <c r="I82" i="3"/>
  <c r="J83" i="3"/>
  <c r="D85" i="3"/>
  <c r="F87" i="3"/>
  <c r="G88" i="3"/>
  <c r="H89" i="3"/>
  <c r="I90" i="3"/>
  <c r="J91" i="3"/>
  <c r="D93" i="3"/>
  <c r="F95" i="3"/>
  <c r="G96" i="3"/>
  <c r="H97" i="3"/>
  <c r="I98" i="3"/>
  <c r="J99" i="3"/>
  <c r="D101" i="3"/>
  <c r="F103" i="3"/>
  <c r="G104" i="3"/>
  <c r="H105" i="3"/>
  <c r="I106" i="3"/>
  <c r="J107" i="3"/>
  <c r="D109" i="3"/>
  <c r="F111" i="3"/>
  <c r="G112" i="3"/>
  <c r="H113" i="3"/>
  <c r="I114" i="3"/>
  <c r="J115" i="3"/>
  <c r="D117" i="3"/>
  <c r="F119" i="3"/>
  <c r="G120" i="3"/>
  <c r="H121" i="3"/>
  <c r="I122" i="3"/>
  <c r="J123" i="3"/>
  <c r="D125" i="3"/>
  <c r="F127" i="3"/>
  <c r="G128" i="3"/>
  <c r="H129" i="3"/>
  <c r="I130" i="3"/>
  <c r="J131" i="3"/>
  <c r="D133" i="3"/>
  <c r="F135" i="3"/>
  <c r="G136" i="3"/>
  <c r="H137" i="3"/>
  <c r="I138" i="3"/>
  <c r="J139" i="3"/>
  <c r="E141" i="3"/>
  <c r="E145" i="3"/>
  <c r="I146" i="3"/>
  <c r="I148" i="3"/>
  <c r="E155" i="3"/>
  <c r="G157" i="3"/>
  <c r="D162" i="3"/>
  <c r="F164" i="3"/>
  <c r="D167" i="3"/>
  <c r="E170" i="3"/>
  <c r="G173" i="3"/>
  <c r="G180" i="3"/>
  <c r="E194" i="3"/>
  <c r="F203" i="3"/>
  <c r="G212" i="3"/>
  <c r="E226" i="3"/>
  <c r="F235" i="3"/>
  <c r="G244" i="3"/>
  <c r="E258" i="3"/>
  <c r="F267" i="3"/>
  <c r="G276" i="3"/>
  <c r="E290" i="3"/>
  <c r="F299" i="3"/>
  <c r="G308" i="3"/>
  <c r="E324" i="3"/>
  <c r="G330" i="3"/>
  <c r="E347" i="3"/>
  <c r="I388" i="3"/>
  <c r="E442" i="3"/>
  <c r="K173" i="3"/>
  <c r="J50" i="3"/>
  <c r="J74" i="3"/>
  <c r="E77" i="3"/>
  <c r="E101" i="3"/>
  <c r="G141" i="3"/>
  <c r="E162" i="3"/>
  <c r="G170" i="3"/>
  <c r="H173" i="3"/>
  <c r="G181" i="3"/>
  <c r="D218" i="3"/>
  <c r="G245" i="3"/>
  <c r="G277" i="3"/>
  <c r="D282" i="3"/>
  <c r="G309" i="3"/>
  <c r="H314" i="3"/>
  <c r="G325" i="3"/>
  <c r="E349" i="3"/>
  <c r="E394" i="3"/>
  <c r="G418" i="3"/>
  <c r="K333" i="3"/>
  <c r="K14" i="3"/>
  <c r="L14" i="3"/>
  <c r="K22" i="3"/>
  <c r="L22" i="3"/>
  <c r="K30" i="3"/>
  <c r="L30" i="3"/>
  <c r="K38" i="3"/>
  <c r="L38" i="3"/>
  <c r="K46" i="3"/>
  <c r="L46" i="3"/>
  <c r="U54" i="3"/>
  <c r="S54" i="3"/>
  <c r="T54" i="3"/>
  <c r="K54" i="3"/>
  <c r="R54" i="3"/>
  <c r="U62" i="3"/>
  <c r="S62" i="3"/>
  <c r="T62" i="3"/>
  <c r="K62" i="3"/>
  <c r="R62" i="3"/>
  <c r="L62" i="3"/>
  <c r="U70" i="3"/>
  <c r="S70" i="3"/>
  <c r="T70" i="3"/>
  <c r="R70" i="3"/>
  <c r="K70" i="3"/>
  <c r="L70" i="3"/>
  <c r="U78" i="3"/>
  <c r="S78" i="3"/>
  <c r="T78" i="3"/>
  <c r="K78" i="3"/>
  <c r="R78" i="3"/>
  <c r="L78" i="3"/>
  <c r="U86" i="3"/>
  <c r="S86" i="3"/>
  <c r="T86" i="3"/>
  <c r="R86" i="3"/>
  <c r="K86" i="3"/>
  <c r="L86" i="3"/>
  <c r="U94" i="3"/>
  <c r="S94" i="3"/>
  <c r="T94" i="3"/>
  <c r="R94" i="3"/>
  <c r="K94" i="3"/>
  <c r="L94" i="3"/>
  <c r="U102" i="3"/>
  <c r="S102" i="3"/>
  <c r="T102" i="3"/>
  <c r="R102" i="3"/>
  <c r="K102" i="3"/>
  <c r="L102" i="3"/>
  <c r="U110" i="3"/>
  <c r="S110" i="3"/>
  <c r="T110" i="3"/>
  <c r="R110" i="3"/>
  <c r="K110" i="3"/>
  <c r="L110" i="3"/>
  <c r="U118" i="3"/>
  <c r="S118" i="3"/>
  <c r="T118" i="3"/>
  <c r="K118" i="3"/>
  <c r="L118" i="3"/>
  <c r="R118" i="3"/>
  <c r="U126" i="3"/>
  <c r="S126" i="3"/>
  <c r="T126" i="3"/>
  <c r="K126" i="3"/>
  <c r="R126" i="3"/>
  <c r="L126" i="3"/>
  <c r="U134" i="3"/>
  <c r="S134" i="3"/>
  <c r="T134" i="3"/>
  <c r="R134" i="3"/>
  <c r="K134" i="3"/>
  <c r="L134" i="3"/>
  <c r="U142" i="3"/>
  <c r="S142" i="3"/>
  <c r="T142" i="3"/>
  <c r="R142" i="3"/>
  <c r="K142" i="3"/>
  <c r="L142" i="3"/>
  <c r="G142" i="3"/>
  <c r="U150" i="3"/>
  <c r="S150" i="3"/>
  <c r="T150" i="3"/>
  <c r="R150" i="3"/>
  <c r="K150" i="3"/>
  <c r="L150" i="3"/>
  <c r="G150" i="3"/>
  <c r="F150" i="3"/>
  <c r="J150" i="3"/>
  <c r="U158" i="3"/>
  <c r="S158" i="3"/>
  <c r="T158" i="3"/>
  <c r="R158" i="3"/>
  <c r="K158" i="3"/>
  <c r="L158" i="3"/>
  <c r="G158" i="3"/>
  <c r="F158" i="3"/>
  <c r="D158" i="3"/>
  <c r="J158" i="3"/>
  <c r="U166" i="3"/>
  <c r="S166" i="3"/>
  <c r="T166" i="3"/>
  <c r="R166" i="3"/>
  <c r="K166" i="3"/>
  <c r="L166" i="3"/>
  <c r="G166" i="3"/>
  <c r="F166" i="3"/>
  <c r="E166" i="3"/>
  <c r="D166" i="3"/>
  <c r="J166" i="3"/>
  <c r="U174" i="3"/>
  <c r="S174" i="3"/>
  <c r="T174" i="3"/>
  <c r="R174" i="3"/>
  <c r="K174" i="3"/>
  <c r="G174" i="3"/>
  <c r="F174" i="3"/>
  <c r="E174" i="3"/>
  <c r="L174" i="3"/>
  <c r="D174" i="3"/>
  <c r="J174" i="3"/>
  <c r="U182" i="3"/>
  <c r="S182" i="3"/>
  <c r="T182" i="3"/>
  <c r="K182" i="3"/>
  <c r="R182" i="3"/>
  <c r="L182" i="3"/>
  <c r="G182" i="3"/>
  <c r="F182" i="3"/>
  <c r="E182" i="3"/>
  <c r="D182" i="3"/>
  <c r="J182" i="3"/>
  <c r="U190" i="3"/>
  <c r="S190" i="3"/>
  <c r="T190" i="3"/>
  <c r="K190" i="3"/>
  <c r="R190" i="3"/>
  <c r="L190" i="3"/>
  <c r="G190" i="3"/>
  <c r="F190" i="3"/>
  <c r="E190" i="3"/>
  <c r="D190" i="3"/>
  <c r="J190" i="3"/>
  <c r="U198" i="3"/>
  <c r="S198" i="3"/>
  <c r="T198" i="3"/>
  <c r="R198" i="3"/>
  <c r="K198" i="3"/>
  <c r="L198" i="3"/>
  <c r="G198" i="3"/>
  <c r="F198" i="3"/>
  <c r="E198" i="3"/>
  <c r="D198" i="3"/>
  <c r="J198" i="3"/>
  <c r="U206" i="3"/>
  <c r="S206" i="3"/>
  <c r="L206" i="3"/>
  <c r="T206" i="3"/>
  <c r="K206" i="3"/>
  <c r="R206" i="3"/>
  <c r="G206" i="3"/>
  <c r="F206" i="3"/>
  <c r="E206" i="3"/>
  <c r="D206" i="3"/>
  <c r="J206" i="3"/>
  <c r="U214" i="3"/>
  <c r="S214" i="3"/>
  <c r="T214" i="3"/>
  <c r="R214" i="3"/>
  <c r="L214" i="3"/>
  <c r="K214" i="3"/>
  <c r="G214" i="3"/>
  <c r="F214" i="3"/>
  <c r="E214" i="3"/>
  <c r="D214" i="3"/>
  <c r="J214" i="3"/>
  <c r="U222" i="3"/>
  <c r="S222" i="3"/>
  <c r="T222" i="3"/>
  <c r="R222" i="3"/>
  <c r="L222" i="3"/>
  <c r="K222" i="3"/>
  <c r="G222" i="3"/>
  <c r="F222" i="3"/>
  <c r="E222" i="3"/>
  <c r="D222" i="3"/>
  <c r="J222" i="3"/>
  <c r="U230" i="3"/>
  <c r="S230" i="3"/>
  <c r="T230" i="3"/>
  <c r="R230" i="3"/>
  <c r="L230" i="3"/>
  <c r="K230" i="3"/>
  <c r="G230" i="3"/>
  <c r="F230" i="3"/>
  <c r="E230" i="3"/>
  <c r="D230" i="3"/>
  <c r="J230" i="3"/>
  <c r="U238" i="3"/>
  <c r="S238" i="3"/>
  <c r="T238" i="3"/>
  <c r="R238" i="3"/>
  <c r="L238" i="3"/>
  <c r="K238" i="3"/>
  <c r="G238" i="3"/>
  <c r="F238" i="3"/>
  <c r="E238" i="3"/>
  <c r="D238" i="3"/>
  <c r="J238" i="3"/>
  <c r="U246" i="3"/>
  <c r="S246" i="3"/>
  <c r="T246" i="3"/>
  <c r="L246" i="3"/>
  <c r="K246" i="3"/>
  <c r="R246" i="3"/>
  <c r="G246" i="3"/>
  <c r="F246" i="3"/>
  <c r="E246" i="3"/>
  <c r="D246" i="3"/>
  <c r="J246" i="3"/>
  <c r="U254" i="3"/>
  <c r="S254" i="3"/>
  <c r="T254" i="3"/>
  <c r="L254" i="3"/>
  <c r="R254" i="3"/>
  <c r="K254" i="3"/>
  <c r="G254" i="3"/>
  <c r="F254" i="3"/>
  <c r="E254" i="3"/>
  <c r="D254" i="3"/>
  <c r="J254" i="3"/>
  <c r="U262" i="3"/>
  <c r="S262" i="3"/>
  <c r="T262" i="3"/>
  <c r="R262" i="3"/>
  <c r="L262" i="3"/>
  <c r="K262" i="3"/>
  <c r="G262" i="3"/>
  <c r="F262" i="3"/>
  <c r="E262" i="3"/>
  <c r="D262" i="3"/>
  <c r="J262" i="3"/>
  <c r="U270" i="3"/>
  <c r="S270" i="3"/>
  <c r="T270" i="3"/>
  <c r="L270" i="3"/>
  <c r="K270" i="3"/>
  <c r="G270" i="3"/>
  <c r="F270" i="3"/>
  <c r="R270" i="3"/>
  <c r="E270" i="3"/>
  <c r="D270" i="3"/>
  <c r="J270" i="3"/>
  <c r="U278" i="3"/>
  <c r="S278" i="3"/>
  <c r="T278" i="3"/>
  <c r="R278" i="3"/>
  <c r="L278" i="3"/>
  <c r="K278" i="3"/>
  <c r="G278" i="3"/>
  <c r="F278" i="3"/>
  <c r="E278" i="3"/>
  <c r="D278" i="3"/>
  <c r="J278" i="3"/>
  <c r="U286" i="3"/>
  <c r="S286" i="3"/>
  <c r="T286" i="3"/>
  <c r="R286" i="3"/>
  <c r="L286" i="3"/>
  <c r="K286" i="3"/>
  <c r="G286" i="3"/>
  <c r="F286" i="3"/>
  <c r="E286" i="3"/>
  <c r="D286" i="3"/>
  <c r="J286" i="3"/>
  <c r="U294" i="3"/>
  <c r="S294" i="3"/>
  <c r="T294" i="3"/>
  <c r="R294" i="3"/>
  <c r="L294" i="3"/>
  <c r="K294" i="3"/>
  <c r="G294" i="3"/>
  <c r="F294" i="3"/>
  <c r="E294" i="3"/>
  <c r="D294" i="3"/>
  <c r="J294" i="3"/>
  <c r="U302" i="3"/>
  <c r="S302" i="3"/>
  <c r="T302" i="3"/>
  <c r="R302" i="3"/>
  <c r="L302" i="3"/>
  <c r="K302" i="3"/>
  <c r="G302" i="3"/>
  <c r="F302" i="3"/>
  <c r="E302" i="3"/>
  <c r="D302" i="3"/>
  <c r="J302" i="3"/>
  <c r="U310" i="3"/>
  <c r="S310" i="3"/>
  <c r="T310" i="3"/>
  <c r="R310" i="3"/>
  <c r="L310" i="3"/>
  <c r="K310" i="3"/>
  <c r="F310" i="3"/>
  <c r="H310" i="3"/>
  <c r="G310" i="3"/>
  <c r="E310" i="3"/>
  <c r="D310" i="3"/>
  <c r="U318" i="3"/>
  <c r="S318" i="3"/>
  <c r="T318" i="3"/>
  <c r="R318" i="3"/>
  <c r="L318" i="3"/>
  <c r="K318" i="3"/>
  <c r="F318" i="3"/>
  <c r="G318" i="3"/>
  <c r="E318" i="3"/>
  <c r="D318" i="3"/>
  <c r="J318" i="3"/>
  <c r="U326" i="3"/>
  <c r="S326" i="3"/>
  <c r="T326" i="3"/>
  <c r="R326" i="3"/>
  <c r="L326" i="3"/>
  <c r="K326" i="3"/>
  <c r="F326" i="3"/>
  <c r="I326" i="3"/>
  <c r="J326" i="3"/>
  <c r="H326" i="3"/>
  <c r="G326" i="3"/>
  <c r="E326" i="3"/>
  <c r="D326" i="3"/>
  <c r="U334" i="3"/>
  <c r="S334" i="3"/>
  <c r="T334" i="3"/>
  <c r="R334" i="3"/>
  <c r="L334" i="3"/>
  <c r="K334" i="3"/>
  <c r="F334" i="3"/>
  <c r="I334" i="3"/>
  <c r="H334" i="3"/>
  <c r="J334" i="3"/>
  <c r="G334" i="3"/>
  <c r="E334" i="3"/>
  <c r="U342" i="3"/>
  <c r="S342" i="3"/>
  <c r="T342" i="3"/>
  <c r="R342" i="3"/>
  <c r="L342" i="3"/>
  <c r="K342" i="3"/>
  <c r="E342" i="3"/>
  <c r="J342" i="3"/>
  <c r="G342" i="3"/>
  <c r="F342" i="3"/>
  <c r="I342" i="3"/>
  <c r="H342" i="3"/>
  <c r="U350" i="3"/>
  <c r="S350" i="3"/>
  <c r="T350" i="3"/>
  <c r="L350" i="3"/>
  <c r="K350" i="3"/>
  <c r="E350" i="3"/>
  <c r="R350" i="3"/>
  <c r="J350" i="3"/>
  <c r="D350" i="3"/>
  <c r="I350" i="3"/>
  <c r="H350" i="3"/>
  <c r="G350" i="3"/>
  <c r="F350" i="3"/>
  <c r="U358" i="3"/>
  <c r="S358" i="3"/>
  <c r="T358" i="3"/>
  <c r="R358" i="3"/>
  <c r="L358" i="3"/>
  <c r="K358" i="3"/>
  <c r="E358" i="3"/>
  <c r="J358" i="3"/>
  <c r="H358" i="3"/>
  <c r="F358" i="3"/>
  <c r="I358" i="3"/>
  <c r="G358" i="3"/>
  <c r="D358" i="3"/>
  <c r="U366" i="3"/>
  <c r="S366" i="3"/>
  <c r="T366" i="3"/>
  <c r="R366" i="3"/>
  <c r="L366" i="3"/>
  <c r="K366" i="3"/>
  <c r="E366" i="3"/>
  <c r="J366" i="3"/>
  <c r="F366" i="3"/>
  <c r="I366" i="3"/>
  <c r="H366" i="3"/>
  <c r="U374" i="3"/>
  <c r="T374" i="3"/>
  <c r="S374" i="3"/>
  <c r="R374" i="3"/>
  <c r="L374" i="3"/>
  <c r="K374" i="3"/>
  <c r="G374" i="3"/>
  <c r="E374" i="3"/>
  <c r="J374" i="3"/>
  <c r="D374" i="3"/>
  <c r="I374" i="3"/>
  <c r="H374" i="3"/>
  <c r="F374" i="3"/>
  <c r="U382" i="3"/>
  <c r="S382" i="3"/>
  <c r="T382" i="3"/>
  <c r="R382" i="3"/>
  <c r="L382" i="3"/>
  <c r="K382" i="3"/>
  <c r="G382" i="3"/>
  <c r="F382" i="3"/>
  <c r="E382" i="3"/>
  <c r="D382" i="3"/>
  <c r="J382" i="3"/>
  <c r="H382" i="3"/>
  <c r="U390" i="3"/>
  <c r="S390" i="3"/>
  <c r="T390" i="3"/>
  <c r="R390" i="3"/>
  <c r="L390" i="3"/>
  <c r="K390" i="3"/>
  <c r="G390" i="3"/>
  <c r="F390" i="3"/>
  <c r="E390" i="3"/>
  <c r="D390" i="3"/>
  <c r="J390" i="3"/>
  <c r="I390" i="3"/>
  <c r="H390" i="3"/>
  <c r="U398" i="3"/>
  <c r="S398" i="3"/>
  <c r="T398" i="3"/>
  <c r="R398" i="3"/>
  <c r="L398" i="3"/>
  <c r="K398" i="3"/>
  <c r="G398" i="3"/>
  <c r="F398" i="3"/>
  <c r="E398" i="3"/>
  <c r="D398" i="3"/>
  <c r="J398" i="3"/>
  <c r="I398" i="3"/>
  <c r="H398" i="3"/>
  <c r="U406" i="3"/>
  <c r="T406" i="3"/>
  <c r="S406" i="3"/>
  <c r="L406" i="3"/>
  <c r="R406" i="3"/>
  <c r="K406" i="3"/>
  <c r="G406" i="3"/>
  <c r="F406" i="3"/>
  <c r="E406" i="3"/>
  <c r="D406" i="3"/>
  <c r="J406" i="3"/>
  <c r="I406" i="3"/>
  <c r="U414" i="3"/>
  <c r="T414" i="3"/>
  <c r="S414" i="3"/>
  <c r="R414" i="3"/>
  <c r="L414" i="3"/>
  <c r="K414" i="3"/>
  <c r="G414" i="3"/>
  <c r="F414" i="3"/>
  <c r="E414" i="3"/>
  <c r="D414" i="3"/>
  <c r="J414" i="3"/>
  <c r="I414" i="3"/>
  <c r="H414" i="3"/>
  <c r="U422" i="3"/>
  <c r="T422" i="3"/>
  <c r="S422" i="3"/>
  <c r="L422" i="3"/>
  <c r="K422" i="3"/>
  <c r="G422" i="3"/>
  <c r="R422" i="3"/>
  <c r="F422" i="3"/>
  <c r="E422" i="3"/>
  <c r="D422" i="3"/>
  <c r="J422" i="3"/>
  <c r="I422" i="3"/>
  <c r="H422" i="3"/>
  <c r="U430" i="3"/>
  <c r="T430" i="3"/>
  <c r="S430" i="3"/>
  <c r="R430" i="3"/>
  <c r="L430" i="3"/>
  <c r="K430" i="3"/>
  <c r="G430" i="3"/>
  <c r="F430" i="3"/>
  <c r="E430" i="3"/>
  <c r="D430" i="3"/>
  <c r="J430" i="3"/>
  <c r="I430" i="3"/>
  <c r="H430" i="3"/>
  <c r="U438" i="3"/>
  <c r="T438" i="3"/>
  <c r="S438" i="3"/>
  <c r="R438" i="3"/>
  <c r="L438" i="3"/>
  <c r="K438" i="3"/>
  <c r="G438" i="3"/>
  <c r="F438" i="3"/>
  <c r="E438" i="3"/>
  <c r="D438" i="3"/>
  <c r="J438" i="3"/>
  <c r="H438" i="3"/>
  <c r="I438" i="3"/>
  <c r="U446" i="3"/>
  <c r="T446" i="3"/>
  <c r="S446" i="3"/>
  <c r="R446" i="3"/>
  <c r="L446" i="3"/>
  <c r="K446" i="3"/>
  <c r="G446" i="3"/>
  <c r="F446" i="3"/>
  <c r="E446" i="3"/>
  <c r="D446" i="3"/>
  <c r="J446" i="3"/>
  <c r="I446" i="3"/>
  <c r="H446" i="3"/>
  <c r="U454" i="3"/>
  <c r="T454" i="3"/>
  <c r="S454" i="3"/>
  <c r="L454" i="3"/>
  <c r="K454" i="3"/>
  <c r="R454" i="3"/>
  <c r="G454" i="3"/>
  <c r="F454" i="3"/>
  <c r="E454" i="3"/>
  <c r="D454" i="3"/>
  <c r="J454" i="3"/>
  <c r="I454" i="3"/>
  <c r="U462" i="3"/>
  <c r="T462" i="3"/>
  <c r="S462" i="3"/>
  <c r="R462" i="3"/>
  <c r="L462" i="3"/>
  <c r="K462" i="3"/>
  <c r="G462" i="3"/>
  <c r="F462" i="3"/>
  <c r="E462" i="3"/>
  <c r="D462" i="3"/>
  <c r="J462" i="3"/>
  <c r="I462" i="3"/>
  <c r="H462" i="3"/>
  <c r="U470" i="3"/>
  <c r="T470" i="3"/>
  <c r="S470" i="3"/>
  <c r="R470" i="3"/>
  <c r="L470" i="3"/>
  <c r="K470" i="3"/>
  <c r="G470" i="3"/>
  <c r="F470" i="3"/>
  <c r="E470" i="3"/>
  <c r="D470" i="3"/>
  <c r="J470" i="3"/>
  <c r="H470" i="3"/>
  <c r="I470" i="3"/>
  <c r="U478" i="3"/>
  <c r="T478" i="3"/>
  <c r="S478" i="3"/>
  <c r="R478" i="3"/>
  <c r="L478" i="3"/>
  <c r="K478" i="3"/>
  <c r="G478" i="3"/>
  <c r="F478" i="3"/>
  <c r="E478" i="3"/>
  <c r="D478" i="3"/>
  <c r="J478" i="3"/>
  <c r="I478" i="3"/>
  <c r="H478" i="3"/>
  <c r="U486" i="3"/>
  <c r="T486" i="3"/>
  <c r="S486" i="3"/>
  <c r="R486" i="3"/>
  <c r="L486" i="3"/>
  <c r="K486" i="3"/>
  <c r="D486" i="3"/>
  <c r="J486" i="3"/>
  <c r="G486" i="3"/>
  <c r="E486" i="3"/>
  <c r="I486" i="3"/>
  <c r="H486" i="3"/>
  <c r="F486" i="3"/>
  <c r="U494" i="3"/>
  <c r="T494" i="3"/>
  <c r="S494" i="3"/>
  <c r="R494" i="3"/>
  <c r="L494" i="3"/>
  <c r="K494" i="3"/>
  <c r="D494" i="3"/>
  <c r="J494" i="3"/>
  <c r="G494" i="3"/>
  <c r="I494" i="3"/>
  <c r="H494" i="3"/>
  <c r="F494" i="3"/>
  <c r="E494" i="3"/>
  <c r="U502" i="3"/>
  <c r="T502" i="3"/>
  <c r="S502" i="3"/>
  <c r="R502" i="3"/>
  <c r="L502" i="3"/>
  <c r="K502" i="3"/>
  <c r="D502" i="3"/>
  <c r="J502" i="3"/>
  <c r="I502" i="3"/>
  <c r="G502" i="3"/>
  <c r="E502" i="3"/>
  <c r="H502" i="3"/>
  <c r="F502" i="3"/>
  <c r="D5" i="3"/>
  <c r="G6" i="3"/>
  <c r="G14" i="3"/>
  <c r="I16" i="3"/>
  <c r="J17" i="3"/>
  <c r="D19" i="3"/>
  <c r="Q19" i="3" s="1"/>
  <c r="G22" i="3"/>
  <c r="I24" i="3"/>
  <c r="J25" i="3"/>
  <c r="D27" i="3"/>
  <c r="G30" i="3"/>
  <c r="I32" i="3"/>
  <c r="J33" i="3"/>
  <c r="D35" i="3"/>
  <c r="G38" i="3"/>
  <c r="R38" i="3" s="1"/>
  <c r="I40" i="3"/>
  <c r="J41" i="3"/>
  <c r="D43" i="3"/>
  <c r="G46" i="3"/>
  <c r="I48" i="3"/>
  <c r="J49" i="3"/>
  <c r="D51" i="3"/>
  <c r="G54" i="3"/>
  <c r="I56" i="3"/>
  <c r="J57" i="3"/>
  <c r="D59" i="3"/>
  <c r="E60" i="3"/>
  <c r="G62" i="3"/>
  <c r="I64" i="3"/>
  <c r="J65" i="3"/>
  <c r="D67" i="3"/>
  <c r="E68" i="3"/>
  <c r="F69" i="3"/>
  <c r="G70" i="3"/>
  <c r="I72" i="3"/>
  <c r="J73" i="3"/>
  <c r="D75" i="3"/>
  <c r="E76" i="3"/>
  <c r="F77" i="3"/>
  <c r="G78" i="3"/>
  <c r="I80" i="3"/>
  <c r="J81" i="3"/>
  <c r="D83" i="3"/>
  <c r="E84" i="3"/>
  <c r="G86" i="3"/>
  <c r="I88" i="3"/>
  <c r="J89" i="3"/>
  <c r="D91" i="3"/>
  <c r="E92" i="3"/>
  <c r="F93" i="3"/>
  <c r="G94" i="3"/>
  <c r="I96" i="3"/>
  <c r="J97" i="3"/>
  <c r="D99" i="3"/>
  <c r="E100" i="3"/>
  <c r="F101" i="3"/>
  <c r="G102" i="3"/>
  <c r="I104" i="3"/>
  <c r="J105" i="3"/>
  <c r="D107" i="3"/>
  <c r="E108" i="3"/>
  <c r="F109" i="3"/>
  <c r="G110" i="3"/>
  <c r="I112" i="3"/>
  <c r="J113" i="3"/>
  <c r="D115" i="3"/>
  <c r="E116" i="3"/>
  <c r="G118" i="3"/>
  <c r="I120" i="3"/>
  <c r="J121" i="3"/>
  <c r="D123" i="3"/>
  <c r="E124" i="3"/>
  <c r="F125" i="3"/>
  <c r="G126" i="3"/>
  <c r="I128" i="3"/>
  <c r="J129" i="3"/>
  <c r="D131" i="3"/>
  <c r="E132" i="3"/>
  <c r="F133" i="3"/>
  <c r="G134" i="3"/>
  <c r="I136" i="3"/>
  <c r="J137" i="3"/>
  <c r="D139" i="3"/>
  <c r="F140" i="3"/>
  <c r="J142" i="3"/>
  <c r="E144" i="3"/>
  <c r="G145" i="3"/>
  <c r="F147" i="3"/>
  <c r="D149" i="3"/>
  <c r="F153" i="3"/>
  <c r="H155" i="3"/>
  <c r="E160" i="3"/>
  <c r="G162" i="3"/>
  <c r="I164" i="3"/>
  <c r="E171" i="3"/>
  <c r="E186" i="3"/>
  <c r="I190" i="3"/>
  <c r="F195" i="3"/>
  <c r="G204" i="3"/>
  <c r="E218" i="3"/>
  <c r="I222" i="3"/>
  <c r="F227" i="3"/>
  <c r="G236" i="3"/>
  <c r="E250" i="3"/>
  <c r="I254" i="3"/>
  <c r="F259" i="3"/>
  <c r="G268" i="3"/>
  <c r="E282" i="3"/>
  <c r="I286" i="3"/>
  <c r="F291" i="3"/>
  <c r="G300" i="3"/>
  <c r="I314" i="3"/>
  <c r="E332" i="3"/>
  <c r="I339" i="3"/>
  <c r="G372" i="3"/>
  <c r="E395" i="3"/>
  <c r="F419" i="3"/>
  <c r="H454" i="3"/>
  <c r="L88" i="3"/>
  <c r="L34" i="3"/>
  <c r="X34" i="3"/>
  <c r="K34" i="3"/>
  <c r="L13" i="3"/>
  <c r="K37" i="3"/>
  <c r="L37" i="3"/>
  <c r="W37" i="3" s="1"/>
  <c r="U61" i="3"/>
  <c r="S61" i="3"/>
  <c r="T61" i="3"/>
  <c r="R61" i="3"/>
  <c r="L61" i="3"/>
  <c r="K61" i="3"/>
  <c r="U85" i="3"/>
  <c r="T85" i="3"/>
  <c r="S85" i="3"/>
  <c r="R85" i="3"/>
  <c r="L85" i="3"/>
  <c r="K85" i="3"/>
  <c r="U117" i="3"/>
  <c r="T117" i="3"/>
  <c r="S117" i="3"/>
  <c r="R117" i="3"/>
  <c r="K117" i="3"/>
  <c r="L117" i="3"/>
  <c r="U141" i="3"/>
  <c r="T141" i="3"/>
  <c r="S141" i="3"/>
  <c r="R141" i="3"/>
  <c r="L141" i="3"/>
  <c r="K141" i="3"/>
  <c r="F141" i="3"/>
  <c r="U165" i="3"/>
  <c r="T165" i="3"/>
  <c r="S165" i="3"/>
  <c r="R165" i="3"/>
  <c r="L165" i="3"/>
  <c r="K165" i="3"/>
  <c r="F165" i="3"/>
  <c r="E165" i="3"/>
  <c r="D165" i="3"/>
  <c r="I165" i="3"/>
  <c r="U189" i="3"/>
  <c r="T189" i="3"/>
  <c r="S189" i="3"/>
  <c r="R189" i="3"/>
  <c r="L189" i="3"/>
  <c r="K189" i="3"/>
  <c r="F189" i="3"/>
  <c r="E189" i="3"/>
  <c r="D189" i="3"/>
  <c r="J189" i="3"/>
  <c r="I189" i="3"/>
  <c r="U221" i="3"/>
  <c r="T221" i="3"/>
  <c r="S221" i="3"/>
  <c r="R221" i="3"/>
  <c r="L221" i="3"/>
  <c r="K221" i="3"/>
  <c r="F221" i="3"/>
  <c r="E221" i="3"/>
  <c r="D221" i="3"/>
  <c r="J221" i="3"/>
  <c r="I221" i="3"/>
  <c r="U245" i="3"/>
  <c r="T245" i="3"/>
  <c r="S245" i="3"/>
  <c r="R245" i="3"/>
  <c r="L245" i="3"/>
  <c r="K245" i="3"/>
  <c r="F245" i="3"/>
  <c r="E245" i="3"/>
  <c r="D245" i="3"/>
  <c r="J245" i="3"/>
  <c r="I245" i="3"/>
  <c r="U269" i="3"/>
  <c r="T269" i="3"/>
  <c r="S269" i="3"/>
  <c r="L269" i="3"/>
  <c r="R269" i="3"/>
  <c r="F269" i="3"/>
  <c r="E269" i="3"/>
  <c r="K269" i="3"/>
  <c r="D269" i="3"/>
  <c r="J269" i="3"/>
  <c r="I269" i="3"/>
  <c r="U293" i="3"/>
  <c r="T293" i="3"/>
  <c r="S293" i="3"/>
  <c r="R293" i="3"/>
  <c r="K293" i="3"/>
  <c r="L293" i="3"/>
  <c r="F293" i="3"/>
  <c r="E293" i="3"/>
  <c r="D293" i="3"/>
  <c r="J293" i="3"/>
  <c r="I293" i="3"/>
  <c r="U317" i="3"/>
  <c r="S317" i="3"/>
  <c r="T317" i="3"/>
  <c r="R317" i="3"/>
  <c r="L317" i="3"/>
  <c r="E317" i="3"/>
  <c r="K317" i="3"/>
  <c r="D317" i="3"/>
  <c r="J317" i="3"/>
  <c r="I317" i="3"/>
  <c r="H317" i="3"/>
  <c r="U341" i="3"/>
  <c r="S341" i="3"/>
  <c r="T341" i="3"/>
  <c r="R341" i="3"/>
  <c r="L341" i="3"/>
  <c r="D341" i="3"/>
  <c r="K341" i="3"/>
  <c r="I341" i="3"/>
  <c r="J341" i="3"/>
  <c r="G341" i="3"/>
  <c r="F341" i="3"/>
  <c r="E341" i="3"/>
  <c r="U373" i="3"/>
  <c r="T373" i="3"/>
  <c r="S373" i="3"/>
  <c r="R373" i="3"/>
  <c r="L373" i="3"/>
  <c r="F373" i="3"/>
  <c r="D373" i="3"/>
  <c r="K373" i="3"/>
  <c r="I373" i="3"/>
  <c r="H373" i="3"/>
  <c r="J373" i="3"/>
  <c r="G373" i="3"/>
  <c r="E373" i="3"/>
  <c r="U397" i="3"/>
  <c r="S397" i="3"/>
  <c r="T397" i="3"/>
  <c r="R397" i="3"/>
  <c r="L397" i="3"/>
  <c r="F397" i="3"/>
  <c r="E397" i="3"/>
  <c r="D397" i="3"/>
  <c r="I397" i="3"/>
  <c r="H397" i="3"/>
  <c r="J397" i="3"/>
  <c r="G397" i="3"/>
  <c r="K397" i="3"/>
  <c r="U421" i="3"/>
  <c r="S421" i="3"/>
  <c r="T421" i="3"/>
  <c r="R421" i="3"/>
  <c r="F421" i="3"/>
  <c r="E421" i="3"/>
  <c r="L421" i="3"/>
  <c r="D421" i="3"/>
  <c r="K421" i="3"/>
  <c r="I421" i="3"/>
  <c r="J421" i="3"/>
  <c r="G421" i="3"/>
  <c r="H421" i="3"/>
  <c r="U445" i="3"/>
  <c r="T445" i="3"/>
  <c r="S445" i="3"/>
  <c r="R445" i="3"/>
  <c r="F445" i="3"/>
  <c r="E445" i="3"/>
  <c r="D445" i="3"/>
  <c r="J445" i="3"/>
  <c r="I445" i="3"/>
  <c r="K445" i="3"/>
  <c r="L445" i="3"/>
  <c r="H445" i="3"/>
  <c r="G445" i="3"/>
  <c r="U485" i="3"/>
  <c r="S485" i="3"/>
  <c r="T485" i="3"/>
  <c r="R485" i="3"/>
  <c r="I485" i="3"/>
  <c r="F485" i="3"/>
  <c r="L485" i="3"/>
  <c r="J485" i="3"/>
  <c r="H485" i="3"/>
  <c r="K485" i="3"/>
  <c r="G485" i="3"/>
  <c r="E485" i="3"/>
  <c r="D485" i="3"/>
  <c r="J34" i="3"/>
  <c r="J42" i="3"/>
  <c r="E69" i="3"/>
  <c r="E133" i="3"/>
  <c r="L15" i="3"/>
  <c r="K15" i="3"/>
  <c r="L23" i="3"/>
  <c r="K23" i="3"/>
  <c r="L31" i="3"/>
  <c r="K31" i="3"/>
  <c r="L39" i="3"/>
  <c r="K39" i="3"/>
  <c r="L47" i="3"/>
  <c r="K47" i="3"/>
  <c r="U55" i="3"/>
  <c r="T55" i="3"/>
  <c r="R55" i="3"/>
  <c r="S55" i="3"/>
  <c r="L55" i="3"/>
  <c r="K55" i="3"/>
  <c r="U63" i="3"/>
  <c r="T63" i="3"/>
  <c r="S63" i="3"/>
  <c r="R63" i="3"/>
  <c r="L63" i="3"/>
  <c r="K63" i="3"/>
  <c r="U71" i="3"/>
  <c r="T71" i="3"/>
  <c r="S71" i="3"/>
  <c r="R71" i="3"/>
  <c r="L71" i="3"/>
  <c r="K71" i="3"/>
  <c r="U79" i="3"/>
  <c r="S79" i="3"/>
  <c r="R79" i="3"/>
  <c r="T79" i="3"/>
  <c r="L79" i="3"/>
  <c r="K79" i="3"/>
  <c r="U87" i="3"/>
  <c r="S87" i="3"/>
  <c r="R87" i="3"/>
  <c r="T87" i="3"/>
  <c r="L87" i="3"/>
  <c r="K87" i="3"/>
  <c r="U95" i="3"/>
  <c r="T95" i="3"/>
  <c r="R95" i="3"/>
  <c r="S95" i="3"/>
  <c r="L95" i="3"/>
  <c r="K95" i="3"/>
  <c r="U103" i="3"/>
  <c r="T103" i="3"/>
  <c r="R103" i="3"/>
  <c r="S103" i="3"/>
  <c r="L103" i="3"/>
  <c r="K103" i="3"/>
  <c r="U111" i="3"/>
  <c r="S111" i="3"/>
  <c r="R111" i="3"/>
  <c r="T111" i="3"/>
  <c r="L111" i="3"/>
  <c r="K111" i="3"/>
  <c r="U119" i="3"/>
  <c r="T119" i="3"/>
  <c r="R119" i="3"/>
  <c r="S119" i="3"/>
  <c r="L119" i="3"/>
  <c r="K119" i="3"/>
  <c r="T127" i="3"/>
  <c r="S127" i="3"/>
  <c r="R127" i="3"/>
  <c r="U127" i="3"/>
  <c r="L127" i="3"/>
  <c r="K127" i="3"/>
  <c r="U135" i="3"/>
  <c r="T135" i="3"/>
  <c r="S135" i="3"/>
  <c r="R135" i="3"/>
  <c r="L135" i="3"/>
  <c r="K135" i="3"/>
  <c r="U143" i="3"/>
  <c r="T143" i="3"/>
  <c r="S143" i="3"/>
  <c r="R143" i="3"/>
  <c r="L143" i="3"/>
  <c r="K143" i="3"/>
  <c r="H143" i="3"/>
  <c r="U151" i="3"/>
  <c r="T151" i="3"/>
  <c r="S151" i="3"/>
  <c r="R151" i="3"/>
  <c r="L151" i="3"/>
  <c r="K151" i="3"/>
  <c r="H151" i="3"/>
  <c r="G151" i="3"/>
  <c r="E151" i="3"/>
  <c r="T159" i="3"/>
  <c r="R159" i="3"/>
  <c r="U159" i="3"/>
  <c r="S159" i="3"/>
  <c r="L159" i="3"/>
  <c r="H159" i="3"/>
  <c r="G159" i="3"/>
  <c r="E159" i="3"/>
  <c r="U167" i="3"/>
  <c r="T167" i="3"/>
  <c r="R167" i="3"/>
  <c r="L167" i="3"/>
  <c r="K167" i="3"/>
  <c r="S167" i="3"/>
  <c r="H167" i="3"/>
  <c r="G167" i="3"/>
  <c r="F167" i="3"/>
  <c r="E167" i="3"/>
  <c r="U175" i="3"/>
  <c r="S175" i="3"/>
  <c r="R175" i="3"/>
  <c r="T175" i="3"/>
  <c r="L175" i="3"/>
  <c r="K175" i="3"/>
  <c r="H175" i="3"/>
  <c r="G175" i="3"/>
  <c r="F175" i="3"/>
  <c r="E175" i="3"/>
  <c r="U183" i="3"/>
  <c r="T183" i="3"/>
  <c r="R183" i="3"/>
  <c r="S183" i="3"/>
  <c r="L183" i="3"/>
  <c r="K183" i="3"/>
  <c r="H183" i="3"/>
  <c r="G183" i="3"/>
  <c r="F183" i="3"/>
  <c r="E183" i="3"/>
  <c r="D183" i="3"/>
  <c r="U191" i="3"/>
  <c r="T191" i="3"/>
  <c r="S191" i="3"/>
  <c r="R191" i="3"/>
  <c r="L191" i="3"/>
  <c r="K191" i="3"/>
  <c r="H191" i="3"/>
  <c r="G191" i="3"/>
  <c r="F191" i="3"/>
  <c r="E191" i="3"/>
  <c r="D191" i="3"/>
  <c r="U199" i="3"/>
  <c r="T199" i="3"/>
  <c r="S199" i="3"/>
  <c r="R199" i="3"/>
  <c r="L199" i="3"/>
  <c r="K199" i="3"/>
  <c r="H199" i="3"/>
  <c r="G199" i="3"/>
  <c r="F199" i="3"/>
  <c r="E199" i="3"/>
  <c r="D199" i="3"/>
  <c r="U207" i="3"/>
  <c r="T207" i="3"/>
  <c r="S207" i="3"/>
  <c r="R207" i="3"/>
  <c r="L207" i="3"/>
  <c r="K207" i="3"/>
  <c r="H207" i="3"/>
  <c r="G207" i="3"/>
  <c r="F207" i="3"/>
  <c r="E207" i="3"/>
  <c r="D207" i="3"/>
  <c r="U215" i="3"/>
  <c r="T215" i="3"/>
  <c r="S215" i="3"/>
  <c r="R215" i="3"/>
  <c r="L215" i="3"/>
  <c r="K215" i="3"/>
  <c r="H215" i="3"/>
  <c r="G215" i="3"/>
  <c r="F215" i="3"/>
  <c r="E215" i="3"/>
  <c r="D215" i="3"/>
  <c r="U223" i="3"/>
  <c r="T223" i="3"/>
  <c r="R223" i="3"/>
  <c r="S223" i="3"/>
  <c r="L223" i="3"/>
  <c r="H223" i="3"/>
  <c r="G223" i="3"/>
  <c r="F223" i="3"/>
  <c r="E223" i="3"/>
  <c r="K223" i="3"/>
  <c r="D223" i="3"/>
  <c r="U231" i="3"/>
  <c r="T231" i="3"/>
  <c r="R231" i="3"/>
  <c r="S231" i="3"/>
  <c r="L231" i="3"/>
  <c r="K231" i="3"/>
  <c r="H231" i="3"/>
  <c r="G231" i="3"/>
  <c r="F231" i="3"/>
  <c r="E231" i="3"/>
  <c r="D231" i="3"/>
  <c r="U239" i="3"/>
  <c r="T239" i="3"/>
  <c r="S239" i="3"/>
  <c r="R239" i="3"/>
  <c r="L239" i="3"/>
  <c r="K239" i="3"/>
  <c r="H239" i="3"/>
  <c r="G239" i="3"/>
  <c r="F239" i="3"/>
  <c r="E239" i="3"/>
  <c r="D239" i="3"/>
  <c r="U247" i="3"/>
  <c r="R247" i="3"/>
  <c r="S247" i="3"/>
  <c r="L247" i="3"/>
  <c r="K247" i="3"/>
  <c r="H247" i="3"/>
  <c r="G247" i="3"/>
  <c r="F247" i="3"/>
  <c r="E247" i="3"/>
  <c r="D247" i="3"/>
  <c r="T255" i="3"/>
  <c r="S255" i="3"/>
  <c r="R255" i="3"/>
  <c r="U255" i="3"/>
  <c r="K255" i="3"/>
  <c r="L255" i="3"/>
  <c r="H255" i="3"/>
  <c r="G255" i="3"/>
  <c r="F255" i="3"/>
  <c r="E255" i="3"/>
  <c r="D255" i="3"/>
  <c r="U263" i="3"/>
  <c r="T263" i="3"/>
  <c r="S263" i="3"/>
  <c r="R263" i="3"/>
  <c r="K263" i="3"/>
  <c r="L263" i="3"/>
  <c r="H263" i="3"/>
  <c r="G263" i="3"/>
  <c r="F263" i="3"/>
  <c r="E263" i="3"/>
  <c r="D263" i="3"/>
  <c r="U271" i="3"/>
  <c r="S271" i="3"/>
  <c r="T271" i="3"/>
  <c r="R271" i="3"/>
  <c r="L271" i="3"/>
  <c r="K271" i="3"/>
  <c r="H271" i="3"/>
  <c r="G271" i="3"/>
  <c r="F271" i="3"/>
  <c r="E271" i="3"/>
  <c r="D271" i="3"/>
  <c r="U279" i="3"/>
  <c r="S279" i="3"/>
  <c r="R279" i="3"/>
  <c r="L279" i="3"/>
  <c r="K279" i="3"/>
  <c r="T279" i="3"/>
  <c r="H279" i="3"/>
  <c r="G279" i="3"/>
  <c r="F279" i="3"/>
  <c r="E279" i="3"/>
  <c r="D279" i="3"/>
  <c r="T287" i="3"/>
  <c r="S287" i="3"/>
  <c r="U287" i="3"/>
  <c r="R287" i="3"/>
  <c r="L287" i="3"/>
  <c r="H287" i="3"/>
  <c r="K287" i="3"/>
  <c r="G287" i="3"/>
  <c r="F287" i="3"/>
  <c r="E287" i="3"/>
  <c r="D287" i="3"/>
  <c r="U295" i="3"/>
  <c r="T295" i="3"/>
  <c r="S295" i="3"/>
  <c r="R295" i="3"/>
  <c r="L295" i="3"/>
  <c r="K295" i="3"/>
  <c r="H295" i="3"/>
  <c r="G295" i="3"/>
  <c r="F295" i="3"/>
  <c r="E295" i="3"/>
  <c r="D295" i="3"/>
  <c r="U303" i="3"/>
  <c r="S303" i="3"/>
  <c r="T303" i="3"/>
  <c r="R303" i="3"/>
  <c r="L303" i="3"/>
  <c r="K303" i="3"/>
  <c r="H303" i="3"/>
  <c r="G303" i="3"/>
  <c r="F303" i="3"/>
  <c r="E303" i="3"/>
  <c r="D303" i="3"/>
  <c r="U311" i="3"/>
  <c r="S311" i="3"/>
  <c r="T311" i="3"/>
  <c r="R311" i="3"/>
  <c r="L311" i="3"/>
  <c r="K311" i="3"/>
  <c r="G311" i="3"/>
  <c r="J311" i="3"/>
  <c r="I311" i="3"/>
  <c r="H311" i="3"/>
  <c r="F311" i="3"/>
  <c r="E311" i="3"/>
  <c r="D311" i="3"/>
  <c r="S319" i="3"/>
  <c r="U319" i="3"/>
  <c r="T319" i="3"/>
  <c r="R319" i="3"/>
  <c r="L319" i="3"/>
  <c r="K319" i="3"/>
  <c r="G319" i="3"/>
  <c r="I319" i="3"/>
  <c r="H319" i="3"/>
  <c r="F319" i="3"/>
  <c r="E319" i="3"/>
  <c r="D319" i="3"/>
  <c r="U327" i="3"/>
  <c r="T327" i="3"/>
  <c r="S327" i="3"/>
  <c r="R327" i="3"/>
  <c r="L327" i="3"/>
  <c r="K327" i="3"/>
  <c r="G327" i="3"/>
  <c r="J327" i="3"/>
  <c r="I327" i="3"/>
  <c r="H327" i="3"/>
  <c r="F327" i="3"/>
  <c r="T335" i="3"/>
  <c r="U335" i="3"/>
  <c r="S335" i="3"/>
  <c r="R335" i="3"/>
  <c r="G335" i="3"/>
  <c r="L335" i="3"/>
  <c r="J335" i="3"/>
  <c r="K335" i="3"/>
  <c r="I335" i="3"/>
  <c r="F335" i="3"/>
  <c r="E335" i="3"/>
  <c r="D335" i="3"/>
  <c r="T343" i="3"/>
  <c r="U343" i="3"/>
  <c r="S343" i="3"/>
  <c r="R343" i="3"/>
  <c r="K343" i="3"/>
  <c r="F343" i="3"/>
  <c r="L343" i="3"/>
  <c r="G343" i="3"/>
  <c r="J343" i="3"/>
  <c r="I343" i="3"/>
  <c r="H343" i="3"/>
  <c r="E343" i="3"/>
  <c r="D343" i="3"/>
  <c r="U351" i="3"/>
  <c r="T351" i="3"/>
  <c r="S351" i="3"/>
  <c r="R351" i="3"/>
  <c r="L351" i="3"/>
  <c r="F351" i="3"/>
  <c r="D351" i="3"/>
  <c r="H351" i="3"/>
  <c r="G351" i="3"/>
  <c r="E351" i="3"/>
  <c r="T359" i="3"/>
  <c r="U359" i="3"/>
  <c r="S359" i="3"/>
  <c r="R359" i="3"/>
  <c r="L359" i="3"/>
  <c r="K359" i="3"/>
  <c r="F359" i="3"/>
  <c r="I359" i="3"/>
  <c r="E359" i="3"/>
  <c r="D359" i="3"/>
  <c r="H359" i="3"/>
  <c r="G359" i="3"/>
  <c r="U367" i="3"/>
  <c r="T367" i="3"/>
  <c r="S367" i="3"/>
  <c r="R367" i="3"/>
  <c r="L367" i="3"/>
  <c r="F367" i="3"/>
  <c r="I367" i="3"/>
  <c r="K367" i="3"/>
  <c r="G367" i="3"/>
  <c r="J367" i="3"/>
  <c r="H367" i="3"/>
  <c r="E367" i="3"/>
  <c r="D367" i="3"/>
  <c r="U375" i="3"/>
  <c r="T375" i="3"/>
  <c r="S375" i="3"/>
  <c r="L375" i="3"/>
  <c r="R375" i="3"/>
  <c r="H375" i="3"/>
  <c r="K375" i="3"/>
  <c r="F375" i="3"/>
  <c r="E375" i="3"/>
  <c r="I375" i="3"/>
  <c r="G375" i="3"/>
  <c r="D375" i="3"/>
  <c r="T383" i="3"/>
  <c r="S383" i="3"/>
  <c r="U383" i="3"/>
  <c r="R383" i="3"/>
  <c r="L383" i="3"/>
  <c r="H383" i="3"/>
  <c r="G383" i="3"/>
  <c r="F383" i="3"/>
  <c r="E383" i="3"/>
  <c r="K383" i="3"/>
  <c r="I383" i="3"/>
  <c r="D383" i="3"/>
  <c r="J383" i="3"/>
  <c r="U391" i="3"/>
  <c r="S391" i="3"/>
  <c r="R391" i="3"/>
  <c r="T391" i="3"/>
  <c r="L391" i="3"/>
  <c r="H391" i="3"/>
  <c r="G391" i="3"/>
  <c r="K391" i="3"/>
  <c r="F391" i="3"/>
  <c r="E391" i="3"/>
  <c r="I391" i="3"/>
  <c r="J391" i="3"/>
  <c r="D391" i="3"/>
  <c r="T399" i="3"/>
  <c r="U399" i="3"/>
  <c r="R399" i="3"/>
  <c r="S399" i="3"/>
  <c r="H399" i="3"/>
  <c r="G399" i="3"/>
  <c r="F399" i="3"/>
  <c r="E399" i="3"/>
  <c r="L399" i="3"/>
  <c r="J399" i="3"/>
  <c r="K399" i="3"/>
  <c r="I399" i="3"/>
  <c r="D399" i="3"/>
  <c r="T407" i="3"/>
  <c r="U407" i="3"/>
  <c r="S407" i="3"/>
  <c r="R407" i="3"/>
  <c r="H407" i="3"/>
  <c r="G407" i="3"/>
  <c r="K407" i="3"/>
  <c r="F407" i="3"/>
  <c r="L407" i="3"/>
  <c r="E407" i="3"/>
  <c r="J407" i="3"/>
  <c r="I407" i="3"/>
  <c r="T415" i="3"/>
  <c r="R415" i="3"/>
  <c r="U415" i="3"/>
  <c r="S415" i="3"/>
  <c r="L415" i="3"/>
  <c r="H415" i="3"/>
  <c r="G415" i="3"/>
  <c r="F415" i="3"/>
  <c r="E415" i="3"/>
  <c r="J415" i="3"/>
  <c r="D415" i="3"/>
  <c r="K415" i="3"/>
  <c r="I415" i="3"/>
  <c r="U423" i="3"/>
  <c r="T423" i="3"/>
  <c r="R423" i="3"/>
  <c r="S423" i="3"/>
  <c r="H423" i="3"/>
  <c r="L423" i="3"/>
  <c r="G423" i="3"/>
  <c r="K423" i="3"/>
  <c r="F423" i="3"/>
  <c r="E423" i="3"/>
  <c r="D423" i="3"/>
  <c r="J423" i="3"/>
  <c r="I423" i="3"/>
  <c r="T431" i="3"/>
  <c r="U431" i="3"/>
  <c r="S431" i="3"/>
  <c r="R431" i="3"/>
  <c r="L431" i="3"/>
  <c r="H431" i="3"/>
  <c r="G431" i="3"/>
  <c r="F431" i="3"/>
  <c r="E431" i="3"/>
  <c r="D431" i="3"/>
  <c r="K431" i="3"/>
  <c r="J431" i="3"/>
  <c r="I431" i="3"/>
  <c r="T439" i="3"/>
  <c r="U439" i="3"/>
  <c r="R439" i="3"/>
  <c r="S439" i="3"/>
  <c r="L439" i="3"/>
  <c r="H439" i="3"/>
  <c r="G439" i="3"/>
  <c r="K439" i="3"/>
  <c r="F439" i="3"/>
  <c r="E439" i="3"/>
  <c r="J439" i="3"/>
  <c r="I439" i="3"/>
  <c r="D439" i="3"/>
  <c r="T447" i="3"/>
  <c r="U447" i="3"/>
  <c r="R447" i="3"/>
  <c r="S447" i="3"/>
  <c r="L447" i="3"/>
  <c r="H447" i="3"/>
  <c r="G447" i="3"/>
  <c r="F447" i="3"/>
  <c r="E447" i="3"/>
  <c r="D447" i="3"/>
  <c r="K447" i="3"/>
  <c r="I447" i="3"/>
  <c r="J447" i="3"/>
  <c r="U455" i="3"/>
  <c r="T455" i="3"/>
  <c r="S455" i="3"/>
  <c r="R455" i="3"/>
  <c r="L455" i="3"/>
  <c r="H455" i="3"/>
  <c r="G455" i="3"/>
  <c r="K455" i="3"/>
  <c r="F455" i="3"/>
  <c r="E455" i="3"/>
  <c r="D455" i="3"/>
  <c r="J455" i="3"/>
  <c r="I455" i="3"/>
  <c r="T463" i="3"/>
  <c r="U463" i="3"/>
  <c r="R463" i="3"/>
  <c r="S463" i="3"/>
  <c r="H463" i="3"/>
  <c r="G463" i="3"/>
  <c r="F463" i="3"/>
  <c r="E463" i="3"/>
  <c r="L463" i="3"/>
  <c r="D463" i="3"/>
  <c r="K463" i="3"/>
  <c r="I463" i="3"/>
  <c r="T471" i="3"/>
  <c r="U471" i="3"/>
  <c r="S471" i="3"/>
  <c r="R471" i="3"/>
  <c r="H471" i="3"/>
  <c r="G471" i="3"/>
  <c r="L471" i="3"/>
  <c r="K471" i="3"/>
  <c r="F471" i="3"/>
  <c r="E471" i="3"/>
  <c r="D471" i="3"/>
  <c r="J471" i="3"/>
  <c r="I471" i="3"/>
  <c r="T479" i="3"/>
  <c r="U479" i="3"/>
  <c r="R479" i="3"/>
  <c r="S479" i="3"/>
  <c r="L479" i="3"/>
  <c r="H479" i="3"/>
  <c r="G479" i="3"/>
  <c r="F479" i="3"/>
  <c r="E479" i="3"/>
  <c r="D479" i="3"/>
  <c r="I479" i="3"/>
  <c r="K479" i="3"/>
  <c r="J479" i="3"/>
  <c r="T487" i="3"/>
  <c r="U487" i="3"/>
  <c r="R487" i="3"/>
  <c r="S487" i="3"/>
  <c r="E487" i="3"/>
  <c r="H487" i="3"/>
  <c r="L487" i="3"/>
  <c r="J487" i="3"/>
  <c r="I487" i="3"/>
  <c r="K487" i="3"/>
  <c r="G487" i="3"/>
  <c r="F487" i="3"/>
  <c r="D487" i="3"/>
  <c r="T495" i="3"/>
  <c r="U495" i="3"/>
  <c r="S495" i="3"/>
  <c r="R495" i="3"/>
  <c r="E495" i="3"/>
  <c r="L495" i="3"/>
  <c r="J495" i="3"/>
  <c r="H495" i="3"/>
  <c r="F495" i="3"/>
  <c r="D495" i="3"/>
  <c r="K495" i="3"/>
  <c r="I495" i="3"/>
  <c r="G13" i="3"/>
  <c r="H14" i="3"/>
  <c r="I15" i="3"/>
  <c r="D18" i="3"/>
  <c r="G21" i="3"/>
  <c r="H22" i="3"/>
  <c r="I23" i="3"/>
  <c r="D26" i="3"/>
  <c r="Q26" i="3" s="1"/>
  <c r="H30" i="3"/>
  <c r="I31" i="3"/>
  <c r="D34" i="3"/>
  <c r="G37" i="3"/>
  <c r="H38" i="3"/>
  <c r="I39" i="3"/>
  <c r="T39" i="3" s="1"/>
  <c r="D42" i="3"/>
  <c r="G45" i="3"/>
  <c r="H46" i="3"/>
  <c r="I47" i="3"/>
  <c r="D50" i="3"/>
  <c r="H54" i="3"/>
  <c r="I55" i="3"/>
  <c r="E59" i="3"/>
  <c r="F60" i="3"/>
  <c r="G61" i="3"/>
  <c r="H62" i="3"/>
  <c r="I63" i="3"/>
  <c r="D66" i="3"/>
  <c r="E67" i="3"/>
  <c r="F68" i="3"/>
  <c r="G69" i="3"/>
  <c r="H70" i="3"/>
  <c r="I71" i="3"/>
  <c r="D74" i="3"/>
  <c r="E75" i="3"/>
  <c r="F76" i="3"/>
  <c r="H78" i="3"/>
  <c r="I79" i="3"/>
  <c r="D82" i="3"/>
  <c r="E83" i="3"/>
  <c r="F84" i="3"/>
  <c r="G85" i="3"/>
  <c r="H86" i="3"/>
  <c r="I87" i="3"/>
  <c r="D90" i="3"/>
  <c r="E91" i="3"/>
  <c r="F92" i="3"/>
  <c r="G93" i="3"/>
  <c r="H94" i="3"/>
  <c r="I95" i="3"/>
  <c r="D98" i="3"/>
  <c r="E99" i="3"/>
  <c r="F100" i="3"/>
  <c r="H102" i="3"/>
  <c r="I103" i="3"/>
  <c r="D106" i="3"/>
  <c r="E107" i="3"/>
  <c r="F108" i="3"/>
  <c r="G109" i="3"/>
  <c r="H110" i="3"/>
  <c r="I111" i="3"/>
  <c r="D114" i="3"/>
  <c r="E115" i="3"/>
  <c r="F116" i="3"/>
  <c r="G117" i="3"/>
  <c r="H118" i="3"/>
  <c r="I119" i="3"/>
  <c r="D122" i="3"/>
  <c r="E123" i="3"/>
  <c r="F124" i="3"/>
  <c r="H126" i="3"/>
  <c r="I127" i="3"/>
  <c r="D130" i="3"/>
  <c r="E131" i="3"/>
  <c r="F132" i="3"/>
  <c r="G133" i="3"/>
  <c r="H134" i="3"/>
  <c r="I135" i="3"/>
  <c r="D138" i="3"/>
  <c r="E139" i="3"/>
  <c r="G140" i="3"/>
  <c r="I141" i="3"/>
  <c r="D143" i="3"/>
  <c r="H147" i="3"/>
  <c r="G149" i="3"/>
  <c r="F151" i="3"/>
  <c r="J155" i="3"/>
  <c r="E158" i="3"/>
  <c r="I162" i="3"/>
  <c r="G165" i="3"/>
  <c r="F171" i="3"/>
  <c r="H174" i="3"/>
  <c r="D178" i="3"/>
  <c r="H182" i="3"/>
  <c r="E187" i="3"/>
  <c r="I191" i="3"/>
  <c r="F196" i="3"/>
  <c r="D210" i="3"/>
  <c r="H214" i="3"/>
  <c r="E219" i="3"/>
  <c r="I223" i="3"/>
  <c r="F228" i="3"/>
  <c r="G237" i="3"/>
  <c r="D242" i="3"/>
  <c r="H246" i="3"/>
  <c r="E251" i="3"/>
  <c r="I255" i="3"/>
  <c r="F260" i="3"/>
  <c r="G269" i="3"/>
  <c r="D274" i="3"/>
  <c r="H278" i="3"/>
  <c r="E283" i="3"/>
  <c r="I287" i="3"/>
  <c r="F292" i="3"/>
  <c r="D306" i="3"/>
  <c r="I310" i="3"/>
  <c r="J315" i="3"/>
  <c r="E321" i="3"/>
  <c r="D327" i="3"/>
  <c r="H341" i="3"/>
  <c r="I351" i="3"/>
  <c r="D363" i="3"/>
  <c r="J375" i="3"/>
  <c r="J463" i="3"/>
  <c r="L291" i="3"/>
  <c r="U58" i="3"/>
  <c r="T58" i="3"/>
  <c r="R58" i="3"/>
  <c r="S58" i="3"/>
  <c r="L58" i="3"/>
  <c r="K58" i="3"/>
  <c r="L29" i="3"/>
  <c r="K29" i="3"/>
  <c r="X53" i="3"/>
  <c r="K53" i="3"/>
  <c r="L53" i="3"/>
  <c r="U77" i="3"/>
  <c r="T77" i="3"/>
  <c r="S77" i="3"/>
  <c r="R77" i="3"/>
  <c r="L77" i="3"/>
  <c r="K77" i="3"/>
  <c r="U101" i="3"/>
  <c r="T101" i="3"/>
  <c r="S101" i="3"/>
  <c r="R101" i="3"/>
  <c r="L101" i="3"/>
  <c r="K101" i="3"/>
  <c r="U125" i="3"/>
  <c r="T125" i="3"/>
  <c r="S125" i="3"/>
  <c r="R125" i="3"/>
  <c r="L125" i="3"/>
  <c r="K125" i="3"/>
  <c r="U157" i="3"/>
  <c r="T157" i="3"/>
  <c r="S157" i="3"/>
  <c r="R157" i="3"/>
  <c r="L157" i="3"/>
  <c r="K157" i="3"/>
  <c r="F157" i="3"/>
  <c r="E157" i="3"/>
  <c r="I157" i="3"/>
  <c r="U181" i="3"/>
  <c r="T181" i="3"/>
  <c r="S181" i="3"/>
  <c r="R181" i="3"/>
  <c r="K181" i="3"/>
  <c r="L181" i="3"/>
  <c r="F181" i="3"/>
  <c r="E181" i="3"/>
  <c r="D181" i="3"/>
  <c r="J181" i="3"/>
  <c r="I181" i="3"/>
  <c r="U205" i="3"/>
  <c r="T205" i="3"/>
  <c r="S205" i="3"/>
  <c r="R205" i="3"/>
  <c r="L205" i="3"/>
  <c r="F205" i="3"/>
  <c r="E205" i="3"/>
  <c r="D205" i="3"/>
  <c r="J205" i="3"/>
  <c r="K205" i="3"/>
  <c r="I205" i="3"/>
  <c r="U229" i="3"/>
  <c r="T229" i="3"/>
  <c r="S229" i="3"/>
  <c r="R229" i="3"/>
  <c r="K229" i="3"/>
  <c r="L229" i="3"/>
  <c r="F229" i="3"/>
  <c r="E229" i="3"/>
  <c r="D229" i="3"/>
  <c r="J229" i="3"/>
  <c r="I229" i="3"/>
  <c r="U253" i="3"/>
  <c r="T253" i="3"/>
  <c r="S253" i="3"/>
  <c r="R253" i="3"/>
  <c r="L253" i="3"/>
  <c r="K253" i="3"/>
  <c r="F253" i="3"/>
  <c r="E253" i="3"/>
  <c r="D253" i="3"/>
  <c r="J253" i="3"/>
  <c r="I253" i="3"/>
  <c r="U277" i="3"/>
  <c r="T277" i="3"/>
  <c r="S277" i="3"/>
  <c r="R277" i="3"/>
  <c r="L277" i="3"/>
  <c r="K277" i="3"/>
  <c r="F277" i="3"/>
  <c r="E277" i="3"/>
  <c r="D277" i="3"/>
  <c r="J277" i="3"/>
  <c r="I277" i="3"/>
  <c r="U301" i="3"/>
  <c r="T301" i="3"/>
  <c r="S301" i="3"/>
  <c r="R301" i="3"/>
  <c r="L301" i="3"/>
  <c r="K301" i="3"/>
  <c r="F301" i="3"/>
  <c r="E301" i="3"/>
  <c r="D301" i="3"/>
  <c r="J301" i="3"/>
  <c r="I301" i="3"/>
  <c r="U325" i="3"/>
  <c r="S325" i="3"/>
  <c r="T325" i="3"/>
  <c r="R325" i="3"/>
  <c r="L325" i="3"/>
  <c r="K325" i="3"/>
  <c r="E325" i="3"/>
  <c r="H325" i="3"/>
  <c r="F325" i="3"/>
  <c r="D325" i="3"/>
  <c r="J325" i="3"/>
  <c r="U357" i="3"/>
  <c r="S357" i="3"/>
  <c r="T357" i="3"/>
  <c r="R357" i="3"/>
  <c r="D357" i="3"/>
  <c r="L357" i="3"/>
  <c r="K357" i="3"/>
  <c r="I357" i="3"/>
  <c r="E357" i="3"/>
  <c r="H357" i="3"/>
  <c r="G357" i="3"/>
  <c r="J357" i="3"/>
  <c r="U381" i="3"/>
  <c r="S381" i="3"/>
  <c r="T381" i="3"/>
  <c r="R381" i="3"/>
  <c r="F381" i="3"/>
  <c r="E381" i="3"/>
  <c r="D381" i="3"/>
  <c r="I381" i="3"/>
  <c r="L381" i="3"/>
  <c r="K381" i="3"/>
  <c r="H381" i="3"/>
  <c r="G381" i="3"/>
  <c r="U405" i="3"/>
  <c r="S405" i="3"/>
  <c r="T405" i="3"/>
  <c r="R405" i="3"/>
  <c r="L405" i="3"/>
  <c r="F405" i="3"/>
  <c r="E405" i="3"/>
  <c r="D405" i="3"/>
  <c r="K405" i="3"/>
  <c r="I405" i="3"/>
  <c r="J405" i="3"/>
  <c r="H405" i="3"/>
  <c r="G405" i="3"/>
  <c r="U429" i="3"/>
  <c r="T429" i="3"/>
  <c r="S429" i="3"/>
  <c r="R429" i="3"/>
  <c r="L429" i="3"/>
  <c r="F429" i="3"/>
  <c r="E429" i="3"/>
  <c r="D429" i="3"/>
  <c r="I429" i="3"/>
  <c r="G429" i="3"/>
  <c r="K429" i="3"/>
  <c r="J429" i="3"/>
  <c r="H429" i="3"/>
  <c r="U453" i="3"/>
  <c r="S453" i="3"/>
  <c r="T453" i="3"/>
  <c r="L453" i="3"/>
  <c r="R453" i="3"/>
  <c r="F453" i="3"/>
  <c r="E453" i="3"/>
  <c r="D453" i="3"/>
  <c r="K453" i="3"/>
  <c r="J453" i="3"/>
  <c r="I453" i="3"/>
  <c r="H453" i="3"/>
  <c r="G453" i="3"/>
  <c r="U469" i="3"/>
  <c r="T469" i="3"/>
  <c r="S469" i="3"/>
  <c r="R469" i="3"/>
  <c r="L469" i="3"/>
  <c r="F469" i="3"/>
  <c r="E469" i="3"/>
  <c r="D469" i="3"/>
  <c r="K469" i="3"/>
  <c r="J469" i="3"/>
  <c r="I469" i="3"/>
  <c r="H469" i="3"/>
  <c r="G469" i="3"/>
  <c r="U501" i="3"/>
  <c r="T501" i="3"/>
  <c r="S501" i="3"/>
  <c r="R501" i="3"/>
  <c r="L501" i="3"/>
  <c r="I501" i="3"/>
  <c r="H501" i="3"/>
  <c r="F501" i="3"/>
  <c r="J501" i="3"/>
  <c r="G501" i="3"/>
  <c r="K501" i="3"/>
  <c r="E501" i="3"/>
  <c r="D501" i="3"/>
  <c r="J58" i="3"/>
  <c r="E61" i="3"/>
  <c r="J66" i="3"/>
  <c r="J98" i="3"/>
  <c r="J130" i="3"/>
  <c r="J138" i="3"/>
  <c r="H157" i="3"/>
  <c r="D186" i="3"/>
  <c r="L16" i="3"/>
  <c r="K16" i="3"/>
  <c r="K24" i="3"/>
  <c r="L24" i="3"/>
  <c r="L32" i="3"/>
  <c r="K32" i="3"/>
  <c r="K40" i="3"/>
  <c r="L40" i="3"/>
  <c r="L48" i="3"/>
  <c r="K48" i="3"/>
  <c r="T56" i="3"/>
  <c r="U56" i="3"/>
  <c r="S56" i="3"/>
  <c r="K56" i="3"/>
  <c r="R56" i="3"/>
  <c r="L56" i="3"/>
  <c r="U64" i="3"/>
  <c r="T64" i="3"/>
  <c r="S64" i="3"/>
  <c r="R64" i="3"/>
  <c r="L64" i="3"/>
  <c r="K64" i="3"/>
  <c r="U72" i="3"/>
  <c r="T72" i="3"/>
  <c r="R72" i="3"/>
  <c r="S72" i="3"/>
  <c r="K72" i="3"/>
  <c r="L72" i="3"/>
  <c r="U80" i="3"/>
  <c r="T80" i="3"/>
  <c r="S80" i="3"/>
  <c r="R80" i="3"/>
  <c r="L80" i="3"/>
  <c r="K80" i="3"/>
  <c r="T88" i="3"/>
  <c r="U88" i="3"/>
  <c r="S88" i="3"/>
  <c r="R88" i="3"/>
  <c r="K88" i="3"/>
  <c r="U96" i="3"/>
  <c r="T96" i="3"/>
  <c r="S96" i="3"/>
  <c r="R96" i="3"/>
  <c r="L96" i="3"/>
  <c r="K96" i="3"/>
  <c r="U104" i="3"/>
  <c r="T104" i="3"/>
  <c r="S104" i="3"/>
  <c r="R104" i="3"/>
  <c r="L104" i="3"/>
  <c r="K104" i="3"/>
  <c r="U112" i="3"/>
  <c r="T112" i="3"/>
  <c r="S112" i="3"/>
  <c r="R112" i="3"/>
  <c r="K112" i="3"/>
  <c r="L112" i="3"/>
  <c r="T120" i="3"/>
  <c r="U120" i="3"/>
  <c r="S120" i="3"/>
  <c r="R120" i="3"/>
  <c r="K120" i="3"/>
  <c r="L120" i="3"/>
  <c r="U128" i="3"/>
  <c r="T128" i="3"/>
  <c r="S128" i="3"/>
  <c r="R128" i="3"/>
  <c r="L128" i="3"/>
  <c r="K128" i="3"/>
  <c r="U136" i="3"/>
  <c r="T136" i="3"/>
  <c r="R136" i="3"/>
  <c r="S136" i="3"/>
  <c r="K136" i="3"/>
  <c r="L136" i="3"/>
  <c r="U144" i="3"/>
  <c r="T144" i="3"/>
  <c r="R144" i="3"/>
  <c r="S144" i="3"/>
  <c r="L144" i="3"/>
  <c r="K144" i="3"/>
  <c r="I144" i="3"/>
  <c r="T152" i="3"/>
  <c r="U152" i="3"/>
  <c r="S152" i="3"/>
  <c r="R152" i="3"/>
  <c r="K152" i="3"/>
  <c r="L152" i="3"/>
  <c r="I152" i="3"/>
  <c r="H152" i="3"/>
  <c r="F152" i="3"/>
  <c r="D152" i="3"/>
  <c r="U160" i="3"/>
  <c r="T160" i="3"/>
  <c r="S160" i="3"/>
  <c r="L160" i="3"/>
  <c r="R160" i="3"/>
  <c r="K160" i="3"/>
  <c r="I160" i="3"/>
  <c r="H160" i="3"/>
  <c r="F160" i="3"/>
  <c r="D160" i="3"/>
  <c r="U168" i="3"/>
  <c r="T168" i="3"/>
  <c r="S168" i="3"/>
  <c r="L168" i="3"/>
  <c r="K168" i="3"/>
  <c r="R168" i="3"/>
  <c r="I168" i="3"/>
  <c r="H168" i="3"/>
  <c r="G168" i="3"/>
  <c r="F168" i="3"/>
  <c r="D168" i="3"/>
  <c r="U176" i="3"/>
  <c r="T176" i="3"/>
  <c r="S176" i="3"/>
  <c r="R176" i="3"/>
  <c r="K176" i="3"/>
  <c r="I176" i="3"/>
  <c r="H176" i="3"/>
  <c r="L176" i="3"/>
  <c r="G176" i="3"/>
  <c r="F176" i="3"/>
  <c r="D176" i="3"/>
  <c r="T184" i="3"/>
  <c r="U184" i="3"/>
  <c r="S184" i="3"/>
  <c r="R184" i="3"/>
  <c r="K184" i="3"/>
  <c r="L184" i="3"/>
  <c r="I184" i="3"/>
  <c r="H184" i="3"/>
  <c r="G184" i="3"/>
  <c r="F184" i="3"/>
  <c r="E184" i="3"/>
  <c r="D184" i="3"/>
  <c r="U192" i="3"/>
  <c r="T192" i="3"/>
  <c r="S192" i="3"/>
  <c r="R192" i="3"/>
  <c r="L192" i="3"/>
  <c r="K192" i="3"/>
  <c r="I192" i="3"/>
  <c r="H192" i="3"/>
  <c r="G192" i="3"/>
  <c r="F192" i="3"/>
  <c r="E192" i="3"/>
  <c r="D192" i="3"/>
  <c r="U200" i="3"/>
  <c r="T200" i="3"/>
  <c r="S200" i="3"/>
  <c r="R200" i="3"/>
  <c r="K200" i="3"/>
  <c r="L200" i="3"/>
  <c r="I200" i="3"/>
  <c r="H200" i="3"/>
  <c r="G200" i="3"/>
  <c r="F200" i="3"/>
  <c r="E200" i="3"/>
  <c r="D200" i="3"/>
  <c r="U208" i="3"/>
  <c r="T208" i="3"/>
  <c r="R208" i="3"/>
  <c r="S208" i="3"/>
  <c r="L208" i="3"/>
  <c r="K208" i="3"/>
  <c r="I208" i="3"/>
  <c r="H208" i="3"/>
  <c r="G208" i="3"/>
  <c r="F208" i="3"/>
  <c r="E208" i="3"/>
  <c r="D208" i="3"/>
  <c r="T216" i="3"/>
  <c r="U216" i="3"/>
  <c r="S216" i="3"/>
  <c r="R216" i="3"/>
  <c r="L216" i="3"/>
  <c r="K216" i="3"/>
  <c r="I216" i="3"/>
  <c r="H216" i="3"/>
  <c r="G216" i="3"/>
  <c r="F216" i="3"/>
  <c r="E216" i="3"/>
  <c r="D216" i="3"/>
  <c r="U224" i="3"/>
  <c r="T224" i="3"/>
  <c r="S224" i="3"/>
  <c r="L224" i="3"/>
  <c r="R224" i="3"/>
  <c r="K224" i="3"/>
  <c r="I224" i="3"/>
  <c r="H224" i="3"/>
  <c r="G224" i="3"/>
  <c r="F224" i="3"/>
  <c r="E224" i="3"/>
  <c r="D224" i="3"/>
  <c r="U232" i="3"/>
  <c r="T232" i="3"/>
  <c r="S232" i="3"/>
  <c r="R232" i="3"/>
  <c r="K232" i="3"/>
  <c r="L232" i="3"/>
  <c r="I232" i="3"/>
  <c r="H232" i="3"/>
  <c r="G232" i="3"/>
  <c r="F232" i="3"/>
  <c r="E232" i="3"/>
  <c r="D232" i="3"/>
  <c r="U240" i="3"/>
  <c r="T240" i="3"/>
  <c r="S240" i="3"/>
  <c r="R240" i="3"/>
  <c r="L240" i="3"/>
  <c r="K240" i="3"/>
  <c r="I240" i="3"/>
  <c r="H240" i="3"/>
  <c r="G240" i="3"/>
  <c r="F240" i="3"/>
  <c r="E240" i="3"/>
  <c r="D240" i="3"/>
  <c r="T248" i="3"/>
  <c r="U248" i="3"/>
  <c r="S248" i="3"/>
  <c r="L248" i="3"/>
  <c r="R248" i="3"/>
  <c r="K248" i="3"/>
  <c r="I248" i="3"/>
  <c r="H248" i="3"/>
  <c r="G248" i="3"/>
  <c r="F248" i="3"/>
  <c r="E248" i="3"/>
  <c r="D248" i="3"/>
  <c r="U256" i="3"/>
  <c r="T256" i="3"/>
  <c r="S256" i="3"/>
  <c r="R256" i="3"/>
  <c r="L256" i="3"/>
  <c r="K256" i="3"/>
  <c r="I256" i="3"/>
  <c r="H256" i="3"/>
  <c r="G256" i="3"/>
  <c r="F256" i="3"/>
  <c r="E256" i="3"/>
  <c r="D256" i="3"/>
  <c r="U264" i="3"/>
  <c r="T264" i="3"/>
  <c r="S264" i="3"/>
  <c r="R264" i="3"/>
  <c r="K264" i="3"/>
  <c r="L264" i="3"/>
  <c r="I264" i="3"/>
  <c r="H264" i="3"/>
  <c r="G264" i="3"/>
  <c r="F264" i="3"/>
  <c r="E264" i="3"/>
  <c r="D264" i="3"/>
  <c r="U272" i="3"/>
  <c r="T272" i="3"/>
  <c r="S272" i="3"/>
  <c r="R272" i="3"/>
  <c r="L272" i="3"/>
  <c r="K272" i="3"/>
  <c r="I272" i="3"/>
  <c r="H272" i="3"/>
  <c r="G272" i="3"/>
  <c r="F272" i="3"/>
  <c r="E272" i="3"/>
  <c r="D272" i="3"/>
  <c r="T280" i="3"/>
  <c r="S280" i="3"/>
  <c r="U280" i="3"/>
  <c r="R280" i="3"/>
  <c r="L280" i="3"/>
  <c r="K280" i="3"/>
  <c r="I280" i="3"/>
  <c r="H280" i="3"/>
  <c r="G280" i="3"/>
  <c r="F280" i="3"/>
  <c r="E280" i="3"/>
  <c r="D280" i="3"/>
  <c r="U288" i="3"/>
  <c r="T288" i="3"/>
  <c r="S288" i="3"/>
  <c r="K288" i="3"/>
  <c r="L288" i="3"/>
  <c r="I288" i="3"/>
  <c r="R288" i="3"/>
  <c r="H288" i="3"/>
  <c r="G288" i="3"/>
  <c r="F288" i="3"/>
  <c r="E288" i="3"/>
  <c r="D288" i="3"/>
  <c r="U296" i="3"/>
  <c r="T296" i="3"/>
  <c r="S296" i="3"/>
  <c r="R296" i="3"/>
  <c r="L296" i="3"/>
  <c r="K296" i="3"/>
  <c r="I296" i="3"/>
  <c r="H296" i="3"/>
  <c r="G296" i="3"/>
  <c r="F296" i="3"/>
  <c r="E296" i="3"/>
  <c r="D296" i="3"/>
  <c r="U304" i="3"/>
  <c r="T304" i="3"/>
  <c r="S304" i="3"/>
  <c r="R304" i="3"/>
  <c r="L304" i="3"/>
  <c r="K304" i="3"/>
  <c r="I304" i="3"/>
  <c r="H304" i="3"/>
  <c r="G304" i="3"/>
  <c r="F304" i="3"/>
  <c r="E304" i="3"/>
  <c r="D304" i="3"/>
  <c r="T312" i="3"/>
  <c r="U312" i="3"/>
  <c r="S312" i="3"/>
  <c r="R312" i="3"/>
  <c r="L312" i="3"/>
  <c r="K312" i="3"/>
  <c r="H312" i="3"/>
  <c r="J312" i="3"/>
  <c r="I312" i="3"/>
  <c r="G312" i="3"/>
  <c r="F312" i="3"/>
  <c r="U320" i="3"/>
  <c r="T320" i="3"/>
  <c r="S320" i="3"/>
  <c r="L320" i="3"/>
  <c r="R320" i="3"/>
  <c r="K320" i="3"/>
  <c r="H320" i="3"/>
  <c r="J320" i="3"/>
  <c r="I320" i="3"/>
  <c r="G320" i="3"/>
  <c r="F320" i="3"/>
  <c r="E320" i="3"/>
  <c r="U328" i="3"/>
  <c r="T328" i="3"/>
  <c r="R328" i="3"/>
  <c r="S328" i="3"/>
  <c r="L328" i="3"/>
  <c r="K328" i="3"/>
  <c r="H328" i="3"/>
  <c r="F328" i="3"/>
  <c r="E328" i="3"/>
  <c r="D328" i="3"/>
  <c r="J328" i="3"/>
  <c r="U336" i="3"/>
  <c r="T336" i="3"/>
  <c r="R336" i="3"/>
  <c r="S336" i="3"/>
  <c r="L336" i="3"/>
  <c r="K336" i="3"/>
  <c r="H336" i="3"/>
  <c r="J336" i="3"/>
  <c r="I336" i="3"/>
  <c r="G336" i="3"/>
  <c r="F336" i="3"/>
  <c r="E336" i="3"/>
  <c r="T344" i="3"/>
  <c r="S344" i="3"/>
  <c r="U344" i="3"/>
  <c r="R344" i="3"/>
  <c r="L344" i="3"/>
  <c r="K344" i="3"/>
  <c r="G344" i="3"/>
  <c r="D344" i="3"/>
  <c r="J344" i="3"/>
  <c r="E344" i="3"/>
  <c r="I344" i="3"/>
  <c r="U352" i="3"/>
  <c r="R352" i="3"/>
  <c r="T352" i="3"/>
  <c r="L352" i="3"/>
  <c r="S352" i="3"/>
  <c r="G352" i="3"/>
  <c r="K352" i="3"/>
  <c r="D352" i="3"/>
  <c r="H352" i="3"/>
  <c r="J352" i="3"/>
  <c r="I352" i="3"/>
  <c r="F352" i="3"/>
  <c r="E352" i="3"/>
  <c r="T360" i="3"/>
  <c r="U360" i="3"/>
  <c r="S360" i="3"/>
  <c r="R360" i="3"/>
  <c r="L360" i="3"/>
  <c r="K360" i="3"/>
  <c r="G360" i="3"/>
  <c r="D360" i="3"/>
  <c r="E360" i="3"/>
  <c r="I360" i="3"/>
  <c r="H360" i="3"/>
  <c r="J360" i="3"/>
  <c r="U368" i="3"/>
  <c r="T368" i="3"/>
  <c r="R368" i="3"/>
  <c r="S368" i="3"/>
  <c r="L368" i="3"/>
  <c r="G368" i="3"/>
  <c r="K368" i="3"/>
  <c r="D368" i="3"/>
  <c r="J368" i="3"/>
  <c r="F368" i="3"/>
  <c r="E368" i="3"/>
  <c r="I368" i="3"/>
  <c r="H368" i="3"/>
  <c r="S376" i="3"/>
  <c r="T376" i="3"/>
  <c r="R376" i="3"/>
  <c r="U376" i="3"/>
  <c r="L376" i="3"/>
  <c r="I376" i="3"/>
  <c r="K376" i="3"/>
  <c r="H376" i="3"/>
  <c r="G376" i="3"/>
  <c r="F376" i="3"/>
  <c r="D376" i="3"/>
  <c r="E376" i="3"/>
  <c r="T384" i="3"/>
  <c r="U384" i="3"/>
  <c r="R384" i="3"/>
  <c r="S384" i="3"/>
  <c r="L384" i="3"/>
  <c r="I384" i="3"/>
  <c r="H384" i="3"/>
  <c r="G384" i="3"/>
  <c r="F384" i="3"/>
  <c r="K384" i="3"/>
  <c r="D384" i="3"/>
  <c r="J384" i="3"/>
  <c r="E384" i="3"/>
  <c r="U392" i="3"/>
  <c r="T392" i="3"/>
  <c r="S392" i="3"/>
  <c r="R392" i="3"/>
  <c r="L392" i="3"/>
  <c r="I392" i="3"/>
  <c r="K392" i="3"/>
  <c r="H392" i="3"/>
  <c r="G392" i="3"/>
  <c r="F392" i="3"/>
  <c r="D392" i="3"/>
  <c r="J392" i="3"/>
  <c r="E392" i="3"/>
  <c r="U400" i="3"/>
  <c r="T400" i="3"/>
  <c r="R400" i="3"/>
  <c r="S400" i="3"/>
  <c r="L400" i="3"/>
  <c r="I400" i="3"/>
  <c r="H400" i="3"/>
  <c r="G400" i="3"/>
  <c r="F400" i="3"/>
  <c r="K400" i="3"/>
  <c r="D400" i="3"/>
  <c r="J400" i="3"/>
  <c r="T408" i="3"/>
  <c r="S408" i="3"/>
  <c r="R408" i="3"/>
  <c r="U408" i="3"/>
  <c r="L408" i="3"/>
  <c r="I408" i="3"/>
  <c r="K408" i="3"/>
  <c r="H408" i="3"/>
  <c r="G408" i="3"/>
  <c r="F408" i="3"/>
  <c r="D408" i="3"/>
  <c r="J408" i="3"/>
  <c r="E408" i="3"/>
  <c r="U416" i="3"/>
  <c r="T416" i="3"/>
  <c r="R416" i="3"/>
  <c r="S416" i="3"/>
  <c r="L416" i="3"/>
  <c r="I416" i="3"/>
  <c r="H416" i="3"/>
  <c r="G416" i="3"/>
  <c r="F416" i="3"/>
  <c r="K416" i="3"/>
  <c r="D416" i="3"/>
  <c r="J416" i="3"/>
  <c r="E416" i="3"/>
  <c r="U424" i="3"/>
  <c r="T424" i="3"/>
  <c r="R424" i="3"/>
  <c r="S424" i="3"/>
  <c r="L424" i="3"/>
  <c r="I424" i="3"/>
  <c r="K424" i="3"/>
  <c r="H424" i="3"/>
  <c r="G424" i="3"/>
  <c r="F424" i="3"/>
  <c r="D424" i="3"/>
  <c r="J424" i="3"/>
  <c r="E424" i="3"/>
  <c r="U432" i="3"/>
  <c r="T432" i="3"/>
  <c r="S432" i="3"/>
  <c r="R432" i="3"/>
  <c r="L432" i="3"/>
  <c r="I432" i="3"/>
  <c r="H432" i="3"/>
  <c r="G432" i="3"/>
  <c r="F432" i="3"/>
  <c r="K432" i="3"/>
  <c r="D432" i="3"/>
  <c r="E432" i="3"/>
  <c r="J432" i="3"/>
  <c r="T440" i="3"/>
  <c r="R440" i="3"/>
  <c r="U440" i="3"/>
  <c r="S440" i="3"/>
  <c r="L440" i="3"/>
  <c r="I440" i="3"/>
  <c r="K440" i="3"/>
  <c r="H440" i="3"/>
  <c r="G440" i="3"/>
  <c r="F440" i="3"/>
  <c r="D440" i="3"/>
  <c r="E440" i="3"/>
  <c r="J440" i="3"/>
  <c r="U448" i="3"/>
  <c r="T448" i="3"/>
  <c r="R448" i="3"/>
  <c r="S448" i="3"/>
  <c r="L448" i="3"/>
  <c r="I448" i="3"/>
  <c r="H448" i="3"/>
  <c r="G448" i="3"/>
  <c r="F448" i="3"/>
  <c r="E448" i="3"/>
  <c r="K448" i="3"/>
  <c r="D448" i="3"/>
  <c r="J448" i="3"/>
  <c r="T456" i="3"/>
  <c r="U456" i="3"/>
  <c r="R456" i="3"/>
  <c r="L456" i="3"/>
  <c r="S456" i="3"/>
  <c r="I456" i="3"/>
  <c r="K456" i="3"/>
  <c r="H456" i="3"/>
  <c r="G456" i="3"/>
  <c r="F456" i="3"/>
  <c r="E456" i="3"/>
  <c r="D456" i="3"/>
  <c r="J456" i="3"/>
  <c r="T464" i="3"/>
  <c r="U464" i="3"/>
  <c r="R464" i="3"/>
  <c r="L464" i="3"/>
  <c r="S464" i="3"/>
  <c r="I464" i="3"/>
  <c r="H464" i="3"/>
  <c r="G464" i="3"/>
  <c r="F464" i="3"/>
  <c r="E464" i="3"/>
  <c r="K464" i="3"/>
  <c r="D464" i="3"/>
  <c r="J464" i="3"/>
  <c r="T472" i="3"/>
  <c r="U472" i="3"/>
  <c r="S472" i="3"/>
  <c r="R472" i="3"/>
  <c r="L472" i="3"/>
  <c r="I472" i="3"/>
  <c r="K472" i="3"/>
  <c r="H472" i="3"/>
  <c r="G472" i="3"/>
  <c r="F472" i="3"/>
  <c r="E472" i="3"/>
  <c r="D472" i="3"/>
  <c r="J472" i="3"/>
  <c r="T480" i="3"/>
  <c r="U480" i="3"/>
  <c r="R480" i="3"/>
  <c r="S480" i="3"/>
  <c r="L480" i="3"/>
  <c r="I480" i="3"/>
  <c r="H480" i="3"/>
  <c r="G480" i="3"/>
  <c r="F480" i="3"/>
  <c r="E480" i="3"/>
  <c r="K480" i="3"/>
  <c r="D480" i="3"/>
  <c r="J480" i="3"/>
  <c r="T488" i="3"/>
  <c r="U488" i="3"/>
  <c r="R488" i="3"/>
  <c r="S488" i="3"/>
  <c r="L488" i="3"/>
  <c r="F488" i="3"/>
  <c r="D488" i="3"/>
  <c r="I488" i="3"/>
  <c r="K488" i="3"/>
  <c r="J488" i="3"/>
  <c r="H488" i="3"/>
  <c r="G488" i="3"/>
  <c r="E488" i="3"/>
  <c r="T496" i="3"/>
  <c r="U496" i="3"/>
  <c r="S496" i="3"/>
  <c r="R496" i="3"/>
  <c r="L496" i="3"/>
  <c r="F496" i="3"/>
  <c r="D496" i="3"/>
  <c r="I496" i="3"/>
  <c r="J496" i="3"/>
  <c r="H496" i="3"/>
  <c r="G496" i="3"/>
  <c r="K496" i="3"/>
  <c r="E496" i="3"/>
  <c r="K6" i="3"/>
  <c r="L6" i="3"/>
  <c r="L5" i="3"/>
  <c r="K5" i="3"/>
  <c r="I6" i="3"/>
  <c r="G12" i="3"/>
  <c r="H13" i="3"/>
  <c r="I14" i="3"/>
  <c r="J15" i="3"/>
  <c r="U15" i="3" s="1"/>
  <c r="G20" i="3"/>
  <c r="I22" i="3"/>
  <c r="J23" i="3"/>
  <c r="G28" i="3"/>
  <c r="H29" i="3"/>
  <c r="I30" i="3"/>
  <c r="J31" i="3"/>
  <c r="G36" i="3"/>
  <c r="H37" i="3"/>
  <c r="I38" i="3"/>
  <c r="J39" i="3"/>
  <c r="G44" i="3"/>
  <c r="I46" i="3"/>
  <c r="T46" i="3" s="1"/>
  <c r="J47" i="3"/>
  <c r="G52" i="3"/>
  <c r="R52" i="3" s="1"/>
  <c r="H53" i="3"/>
  <c r="I54" i="3"/>
  <c r="J55" i="3"/>
  <c r="E58" i="3"/>
  <c r="F59" i="3"/>
  <c r="G60" i="3"/>
  <c r="H61" i="3"/>
  <c r="I62" i="3"/>
  <c r="J63" i="3"/>
  <c r="E66" i="3"/>
  <c r="F67" i="3"/>
  <c r="G68" i="3"/>
  <c r="I70" i="3"/>
  <c r="J71" i="3"/>
  <c r="E74" i="3"/>
  <c r="F75" i="3"/>
  <c r="G76" i="3"/>
  <c r="H77" i="3"/>
  <c r="I78" i="3"/>
  <c r="J79" i="3"/>
  <c r="E82" i="3"/>
  <c r="F83" i="3"/>
  <c r="G84" i="3"/>
  <c r="H85" i="3"/>
  <c r="I86" i="3"/>
  <c r="J87" i="3"/>
  <c r="E90" i="3"/>
  <c r="F91" i="3"/>
  <c r="G92" i="3"/>
  <c r="I94" i="3"/>
  <c r="J95" i="3"/>
  <c r="E98" i="3"/>
  <c r="F99" i="3"/>
  <c r="G100" i="3"/>
  <c r="H101" i="3"/>
  <c r="I102" i="3"/>
  <c r="J103" i="3"/>
  <c r="E106" i="3"/>
  <c r="F107" i="3"/>
  <c r="G108" i="3"/>
  <c r="I110" i="3"/>
  <c r="J111" i="3"/>
  <c r="E114" i="3"/>
  <c r="F115" i="3"/>
  <c r="G116" i="3"/>
  <c r="H117" i="3"/>
  <c r="I118" i="3"/>
  <c r="J119" i="3"/>
  <c r="E122" i="3"/>
  <c r="F123" i="3"/>
  <c r="G124" i="3"/>
  <c r="H125" i="3"/>
  <c r="I126" i="3"/>
  <c r="J127" i="3"/>
  <c r="E130" i="3"/>
  <c r="F131" i="3"/>
  <c r="G132" i="3"/>
  <c r="I134" i="3"/>
  <c r="J135" i="3"/>
  <c r="E138" i="3"/>
  <c r="F139" i="3"/>
  <c r="H140" i="3"/>
  <c r="J141" i="3"/>
  <c r="E143" i="3"/>
  <c r="G144" i="3"/>
  <c r="D146" i="3"/>
  <c r="I147" i="3"/>
  <c r="I151" i="3"/>
  <c r="D154" i="3"/>
  <c r="F156" i="3"/>
  <c r="H158" i="3"/>
  <c r="J160" i="3"/>
  <c r="E163" i="3"/>
  <c r="H165" i="3"/>
  <c r="J168" i="3"/>
  <c r="H171" i="3"/>
  <c r="I174" i="3"/>
  <c r="E178" i="3"/>
  <c r="I182" i="3"/>
  <c r="F187" i="3"/>
  <c r="J191" i="3"/>
  <c r="G196" i="3"/>
  <c r="H205" i="3"/>
  <c r="E210" i="3"/>
  <c r="I214" i="3"/>
  <c r="F219" i="3"/>
  <c r="J223" i="3"/>
  <c r="G228" i="3"/>
  <c r="E242" i="3"/>
  <c r="I246" i="3"/>
  <c r="F251" i="3"/>
  <c r="J255" i="3"/>
  <c r="G260" i="3"/>
  <c r="H269" i="3"/>
  <c r="E274" i="3"/>
  <c r="I278" i="3"/>
  <c r="F283" i="3"/>
  <c r="J287" i="3"/>
  <c r="G292" i="3"/>
  <c r="H301" i="3"/>
  <c r="E306" i="3"/>
  <c r="J310" i="3"/>
  <c r="E316" i="3"/>
  <c r="E327" i="3"/>
  <c r="D334" i="3"/>
  <c r="D342" i="3"/>
  <c r="J351" i="3"/>
  <c r="F363" i="3"/>
  <c r="J376" i="3"/>
  <c r="G426" i="3"/>
  <c r="E466" i="3"/>
  <c r="L388" i="3"/>
  <c r="L50" i="3"/>
  <c r="K50" i="3"/>
  <c r="K21" i="3"/>
  <c r="L21" i="3"/>
  <c r="L45" i="3"/>
  <c r="K45" i="3"/>
  <c r="U69" i="3"/>
  <c r="S69" i="3"/>
  <c r="T69" i="3"/>
  <c r="R69" i="3"/>
  <c r="K69" i="3"/>
  <c r="L69" i="3"/>
  <c r="U93" i="3"/>
  <c r="T93" i="3"/>
  <c r="S93" i="3"/>
  <c r="R93" i="3"/>
  <c r="K93" i="3"/>
  <c r="L93" i="3"/>
  <c r="U109" i="3"/>
  <c r="T109" i="3"/>
  <c r="S109" i="3"/>
  <c r="R109" i="3"/>
  <c r="L109" i="3"/>
  <c r="K109" i="3"/>
  <c r="U133" i="3"/>
  <c r="T133" i="3"/>
  <c r="S133" i="3"/>
  <c r="R133" i="3"/>
  <c r="K133" i="3"/>
  <c r="L133" i="3"/>
  <c r="U149" i="3"/>
  <c r="T149" i="3"/>
  <c r="S149" i="3"/>
  <c r="L149" i="3"/>
  <c r="K149" i="3"/>
  <c r="R149" i="3"/>
  <c r="F149" i="3"/>
  <c r="E149" i="3"/>
  <c r="I149" i="3"/>
  <c r="U173" i="3"/>
  <c r="T173" i="3"/>
  <c r="S173" i="3"/>
  <c r="R173" i="3"/>
  <c r="L173" i="3"/>
  <c r="F173" i="3"/>
  <c r="E173" i="3"/>
  <c r="D173" i="3"/>
  <c r="I173" i="3"/>
  <c r="U197" i="3"/>
  <c r="T197" i="3"/>
  <c r="S197" i="3"/>
  <c r="R197" i="3"/>
  <c r="K197" i="3"/>
  <c r="L197" i="3"/>
  <c r="F197" i="3"/>
  <c r="E197" i="3"/>
  <c r="D197" i="3"/>
  <c r="J197" i="3"/>
  <c r="I197" i="3"/>
  <c r="U213" i="3"/>
  <c r="T213" i="3"/>
  <c r="S213" i="3"/>
  <c r="L213" i="3"/>
  <c r="R213" i="3"/>
  <c r="K213" i="3"/>
  <c r="F213" i="3"/>
  <c r="E213" i="3"/>
  <c r="D213" i="3"/>
  <c r="J213" i="3"/>
  <c r="I213" i="3"/>
  <c r="U237" i="3"/>
  <c r="T237" i="3"/>
  <c r="S237" i="3"/>
  <c r="R237" i="3"/>
  <c r="L237" i="3"/>
  <c r="F237" i="3"/>
  <c r="E237" i="3"/>
  <c r="D237" i="3"/>
  <c r="K237" i="3"/>
  <c r="J237" i="3"/>
  <c r="I237" i="3"/>
  <c r="U261" i="3"/>
  <c r="T261" i="3"/>
  <c r="S261" i="3"/>
  <c r="R261" i="3"/>
  <c r="L261" i="3"/>
  <c r="K261" i="3"/>
  <c r="F261" i="3"/>
  <c r="E261" i="3"/>
  <c r="D261" i="3"/>
  <c r="J261" i="3"/>
  <c r="I261" i="3"/>
  <c r="U285" i="3"/>
  <c r="T285" i="3"/>
  <c r="S285" i="3"/>
  <c r="R285" i="3"/>
  <c r="L285" i="3"/>
  <c r="K285" i="3"/>
  <c r="F285" i="3"/>
  <c r="E285" i="3"/>
  <c r="D285" i="3"/>
  <c r="J285" i="3"/>
  <c r="I285" i="3"/>
  <c r="U309" i="3"/>
  <c r="T309" i="3"/>
  <c r="R309" i="3"/>
  <c r="S309" i="3"/>
  <c r="L309" i="3"/>
  <c r="K309" i="3"/>
  <c r="F309" i="3"/>
  <c r="E309" i="3"/>
  <c r="D309" i="3"/>
  <c r="J309" i="3"/>
  <c r="I309" i="3"/>
  <c r="U333" i="3"/>
  <c r="S333" i="3"/>
  <c r="T333" i="3"/>
  <c r="R333" i="3"/>
  <c r="L333" i="3"/>
  <c r="E333" i="3"/>
  <c r="H333" i="3"/>
  <c r="G333" i="3"/>
  <c r="I333" i="3"/>
  <c r="F333" i="3"/>
  <c r="D333" i="3"/>
  <c r="U349" i="3"/>
  <c r="T349" i="3"/>
  <c r="S349" i="3"/>
  <c r="R349" i="3"/>
  <c r="L349" i="3"/>
  <c r="D349" i="3"/>
  <c r="I349" i="3"/>
  <c r="G349" i="3"/>
  <c r="K349" i="3"/>
  <c r="J349" i="3"/>
  <c r="H349" i="3"/>
  <c r="U365" i="3"/>
  <c r="S365" i="3"/>
  <c r="T365" i="3"/>
  <c r="R365" i="3"/>
  <c r="L365" i="3"/>
  <c r="D365" i="3"/>
  <c r="I365" i="3"/>
  <c r="J365" i="3"/>
  <c r="F365" i="3"/>
  <c r="E365" i="3"/>
  <c r="H365" i="3"/>
  <c r="G365" i="3"/>
  <c r="K365" i="3"/>
  <c r="U389" i="3"/>
  <c r="S389" i="3"/>
  <c r="T389" i="3"/>
  <c r="R389" i="3"/>
  <c r="L389" i="3"/>
  <c r="F389" i="3"/>
  <c r="E389" i="3"/>
  <c r="D389" i="3"/>
  <c r="K389" i="3"/>
  <c r="I389" i="3"/>
  <c r="H389" i="3"/>
  <c r="G389" i="3"/>
  <c r="J389" i="3"/>
  <c r="U413" i="3"/>
  <c r="T413" i="3"/>
  <c r="S413" i="3"/>
  <c r="R413" i="3"/>
  <c r="L413" i="3"/>
  <c r="F413" i="3"/>
  <c r="E413" i="3"/>
  <c r="D413" i="3"/>
  <c r="I413" i="3"/>
  <c r="K413" i="3"/>
  <c r="J413" i="3"/>
  <c r="H413" i="3"/>
  <c r="U437" i="3"/>
  <c r="S437" i="3"/>
  <c r="T437" i="3"/>
  <c r="R437" i="3"/>
  <c r="L437" i="3"/>
  <c r="F437" i="3"/>
  <c r="E437" i="3"/>
  <c r="D437" i="3"/>
  <c r="K437" i="3"/>
  <c r="I437" i="3"/>
  <c r="G437" i="3"/>
  <c r="J437" i="3"/>
  <c r="H437" i="3"/>
  <c r="U461" i="3"/>
  <c r="S461" i="3"/>
  <c r="T461" i="3"/>
  <c r="R461" i="3"/>
  <c r="L461" i="3"/>
  <c r="F461" i="3"/>
  <c r="E461" i="3"/>
  <c r="D461" i="3"/>
  <c r="J461" i="3"/>
  <c r="I461" i="3"/>
  <c r="G461" i="3"/>
  <c r="K461" i="3"/>
  <c r="H461" i="3"/>
  <c r="U477" i="3"/>
  <c r="S477" i="3"/>
  <c r="T477" i="3"/>
  <c r="R477" i="3"/>
  <c r="L477" i="3"/>
  <c r="F477" i="3"/>
  <c r="E477" i="3"/>
  <c r="D477" i="3"/>
  <c r="J477" i="3"/>
  <c r="I477" i="3"/>
  <c r="K477" i="3"/>
  <c r="U493" i="3"/>
  <c r="S493" i="3"/>
  <c r="T493" i="3"/>
  <c r="R493" i="3"/>
  <c r="I493" i="3"/>
  <c r="F493" i="3"/>
  <c r="G493" i="3"/>
  <c r="E493" i="3"/>
  <c r="D493" i="3"/>
  <c r="J493" i="3"/>
  <c r="H493" i="3"/>
  <c r="L493" i="3"/>
  <c r="J18" i="3"/>
  <c r="J26" i="3"/>
  <c r="J82" i="3"/>
  <c r="E85" i="3"/>
  <c r="J90" i="3"/>
  <c r="E93" i="3"/>
  <c r="J106" i="3"/>
  <c r="E109" i="3"/>
  <c r="J114" i="3"/>
  <c r="E117" i="3"/>
  <c r="J122" i="3"/>
  <c r="E125" i="3"/>
  <c r="G213" i="3"/>
  <c r="D250" i="3"/>
  <c r="L17" i="3"/>
  <c r="K17" i="3"/>
  <c r="L25" i="3"/>
  <c r="K25" i="3"/>
  <c r="L33" i="3"/>
  <c r="W33" i="3" s="1"/>
  <c r="K33" i="3"/>
  <c r="L41" i="3"/>
  <c r="K41" i="3"/>
  <c r="L49" i="3"/>
  <c r="K49" i="3"/>
  <c r="U57" i="3"/>
  <c r="T57" i="3"/>
  <c r="S57" i="3"/>
  <c r="R57" i="3"/>
  <c r="L57" i="3"/>
  <c r="K57" i="3"/>
  <c r="U65" i="3"/>
  <c r="T65" i="3"/>
  <c r="S65" i="3"/>
  <c r="R65" i="3"/>
  <c r="L65" i="3"/>
  <c r="K65" i="3"/>
  <c r="U73" i="3"/>
  <c r="T73" i="3"/>
  <c r="S73" i="3"/>
  <c r="R73" i="3"/>
  <c r="L73" i="3"/>
  <c r="K73" i="3"/>
  <c r="U81" i="3"/>
  <c r="T81" i="3"/>
  <c r="S81" i="3"/>
  <c r="R81" i="3"/>
  <c r="L81" i="3"/>
  <c r="K81" i="3"/>
  <c r="U89" i="3"/>
  <c r="T89" i="3"/>
  <c r="S89" i="3"/>
  <c r="R89" i="3"/>
  <c r="L89" i="3"/>
  <c r="K89" i="3"/>
  <c r="U97" i="3"/>
  <c r="T97" i="3"/>
  <c r="S97" i="3"/>
  <c r="R97" i="3"/>
  <c r="L97" i="3"/>
  <c r="K97" i="3"/>
  <c r="U105" i="3"/>
  <c r="T105" i="3"/>
  <c r="S105" i="3"/>
  <c r="R105" i="3"/>
  <c r="L105" i="3"/>
  <c r="K105" i="3"/>
  <c r="U113" i="3"/>
  <c r="T113" i="3"/>
  <c r="S113" i="3"/>
  <c r="R113" i="3"/>
  <c r="L113" i="3"/>
  <c r="K113" i="3"/>
  <c r="U121" i="3"/>
  <c r="T121" i="3"/>
  <c r="S121" i="3"/>
  <c r="R121" i="3"/>
  <c r="L121" i="3"/>
  <c r="K121" i="3"/>
  <c r="U129" i="3"/>
  <c r="T129" i="3"/>
  <c r="S129" i="3"/>
  <c r="R129" i="3"/>
  <c r="L129" i="3"/>
  <c r="K129" i="3"/>
  <c r="U137" i="3"/>
  <c r="T137" i="3"/>
  <c r="S137" i="3"/>
  <c r="R137" i="3"/>
  <c r="L137" i="3"/>
  <c r="K137" i="3"/>
  <c r="U145" i="3"/>
  <c r="T145" i="3"/>
  <c r="S145" i="3"/>
  <c r="R145" i="3"/>
  <c r="L145" i="3"/>
  <c r="K145" i="3"/>
  <c r="J145" i="3"/>
  <c r="I145" i="3"/>
  <c r="U153" i="3"/>
  <c r="T153" i="3"/>
  <c r="S153" i="3"/>
  <c r="R153" i="3"/>
  <c r="L153" i="3"/>
  <c r="K153" i="3"/>
  <c r="J153" i="3"/>
  <c r="I153" i="3"/>
  <c r="G153" i="3"/>
  <c r="E153" i="3"/>
  <c r="U161" i="3"/>
  <c r="T161" i="3"/>
  <c r="S161" i="3"/>
  <c r="R161" i="3"/>
  <c r="L161" i="3"/>
  <c r="K161" i="3"/>
  <c r="J161" i="3"/>
  <c r="I161" i="3"/>
  <c r="G161" i="3"/>
  <c r="E161" i="3"/>
  <c r="U169" i="3"/>
  <c r="T169" i="3"/>
  <c r="S169" i="3"/>
  <c r="R169" i="3"/>
  <c r="L169" i="3"/>
  <c r="K169" i="3"/>
  <c r="J169" i="3"/>
  <c r="I169" i="3"/>
  <c r="H169" i="3"/>
  <c r="G169" i="3"/>
  <c r="E169" i="3"/>
  <c r="U177" i="3"/>
  <c r="T177" i="3"/>
  <c r="S177" i="3"/>
  <c r="R177" i="3"/>
  <c r="L177" i="3"/>
  <c r="K177" i="3"/>
  <c r="J177" i="3"/>
  <c r="I177" i="3"/>
  <c r="H177" i="3"/>
  <c r="G177" i="3"/>
  <c r="F177" i="3"/>
  <c r="E177" i="3"/>
  <c r="U185" i="3"/>
  <c r="T185" i="3"/>
  <c r="S185" i="3"/>
  <c r="R185" i="3"/>
  <c r="L185" i="3"/>
  <c r="K185" i="3"/>
  <c r="J185" i="3"/>
  <c r="I185" i="3"/>
  <c r="H185" i="3"/>
  <c r="G185" i="3"/>
  <c r="F185" i="3"/>
  <c r="E185" i="3"/>
  <c r="U193" i="3"/>
  <c r="T193" i="3"/>
  <c r="S193" i="3"/>
  <c r="R193" i="3"/>
  <c r="L193" i="3"/>
  <c r="K193" i="3"/>
  <c r="J193" i="3"/>
  <c r="I193" i="3"/>
  <c r="H193" i="3"/>
  <c r="G193" i="3"/>
  <c r="F193" i="3"/>
  <c r="E193" i="3"/>
  <c r="U201" i="3"/>
  <c r="T201" i="3"/>
  <c r="S201" i="3"/>
  <c r="R201" i="3"/>
  <c r="L201" i="3"/>
  <c r="K201" i="3"/>
  <c r="J201" i="3"/>
  <c r="I201" i="3"/>
  <c r="H201" i="3"/>
  <c r="G201" i="3"/>
  <c r="F201" i="3"/>
  <c r="E201" i="3"/>
  <c r="U209" i="3"/>
  <c r="T209" i="3"/>
  <c r="S209" i="3"/>
  <c r="R209" i="3"/>
  <c r="L209" i="3"/>
  <c r="K209" i="3"/>
  <c r="J209" i="3"/>
  <c r="I209" i="3"/>
  <c r="H209" i="3"/>
  <c r="G209" i="3"/>
  <c r="F209" i="3"/>
  <c r="E209" i="3"/>
  <c r="U217" i="3"/>
  <c r="T217" i="3"/>
  <c r="S217" i="3"/>
  <c r="R217" i="3"/>
  <c r="L217" i="3"/>
  <c r="K217" i="3"/>
  <c r="J217" i="3"/>
  <c r="I217" i="3"/>
  <c r="H217" i="3"/>
  <c r="G217" i="3"/>
  <c r="F217" i="3"/>
  <c r="E217" i="3"/>
  <c r="U225" i="3"/>
  <c r="T225" i="3"/>
  <c r="S225" i="3"/>
  <c r="R225" i="3"/>
  <c r="L225" i="3"/>
  <c r="K225" i="3"/>
  <c r="J225" i="3"/>
  <c r="I225" i="3"/>
  <c r="H225" i="3"/>
  <c r="G225" i="3"/>
  <c r="F225" i="3"/>
  <c r="E225" i="3"/>
  <c r="U233" i="3"/>
  <c r="T233" i="3"/>
  <c r="S233" i="3"/>
  <c r="R233" i="3"/>
  <c r="L233" i="3"/>
  <c r="K233" i="3"/>
  <c r="J233" i="3"/>
  <c r="I233" i="3"/>
  <c r="H233" i="3"/>
  <c r="G233" i="3"/>
  <c r="F233" i="3"/>
  <c r="E233" i="3"/>
  <c r="U241" i="3"/>
  <c r="T241" i="3"/>
  <c r="S241" i="3"/>
  <c r="R241" i="3"/>
  <c r="L241" i="3"/>
  <c r="K241" i="3"/>
  <c r="J241" i="3"/>
  <c r="I241" i="3"/>
  <c r="H241" i="3"/>
  <c r="G241" i="3"/>
  <c r="F241" i="3"/>
  <c r="E241" i="3"/>
  <c r="U249" i="3"/>
  <c r="T249" i="3"/>
  <c r="S249" i="3"/>
  <c r="R249" i="3"/>
  <c r="L249" i="3"/>
  <c r="K249" i="3"/>
  <c r="J249" i="3"/>
  <c r="I249" i="3"/>
  <c r="H249" i="3"/>
  <c r="G249" i="3"/>
  <c r="F249" i="3"/>
  <c r="E249" i="3"/>
  <c r="U257" i="3"/>
  <c r="T257" i="3"/>
  <c r="S257" i="3"/>
  <c r="R257" i="3"/>
  <c r="L257" i="3"/>
  <c r="K257" i="3"/>
  <c r="J257" i="3"/>
  <c r="I257" i="3"/>
  <c r="H257" i="3"/>
  <c r="G257" i="3"/>
  <c r="F257" i="3"/>
  <c r="E257" i="3"/>
  <c r="U265" i="3"/>
  <c r="T265" i="3"/>
  <c r="R265" i="3"/>
  <c r="L265" i="3"/>
  <c r="S265" i="3"/>
  <c r="K265" i="3"/>
  <c r="J265" i="3"/>
  <c r="I265" i="3"/>
  <c r="H265" i="3"/>
  <c r="G265" i="3"/>
  <c r="F265" i="3"/>
  <c r="E265" i="3"/>
  <c r="U273" i="3"/>
  <c r="T273" i="3"/>
  <c r="R273" i="3"/>
  <c r="S273" i="3"/>
  <c r="L273" i="3"/>
  <c r="K273" i="3"/>
  <c r="J273" i="3"/>
  <c r="I273" i="3"/>
  <c r="H273" i="3"/>
  <c r="G273" i="3"/>
  <c r="F273" i="3"/>
  <c r="E273" i="3"/>
  <c r="U281" i="3"/>
  <c r="T281" i="3"/>
  <c r="S281" i="3"/>
  <c r="R281" i="3"/>
  <c r="L281" i="3"/>
  <c r="K281" i="3"/>
  <c r="J281" i="3"/>
  <c r="I281" i="3"/>
  <c r="H281" i="3"/>
  <c r="G281" i="3"/>
  <c r="F281" i="3"/>
  <c r="E281" i="3"/>
  <c r="U289" i="3"/>
  <c r="T289" i="3"/>
  <c r="S289" i="3"/>
  <c r="R289" i="3"/>
  <c r="L289" i="3"/>
  <c r="K289" i="3"/>
  <c r="J289" i="3"/>
  <c r="I289" i="3"/>
  <c r="H289" i="3"/>
  <c r="G289" i="3"/>
  <c r="F289" i="3"/>
  <c r="E289" i="3"/>
  <c r="U297" i="3"/>
  <c r="T297" i="3"/>
  <c r="S297" i="3"/>
  <c r="R297" i="3"/>
  <c r="L297" i="3"/>
  <c r="K297" i="3"/>
  <c r="J297" i="3"/>
  <c r="I297" i="3"/>
  <c r="H297" i="3"/>
  <c r="G297" i="3"/>
  <c r="F297" i="3"/>
  <c r="E297" i="3"/>
  <c r="U305" i="3"/>
  <c r="T305" i="3"/>
  <c r="R305" i="3"/>
  <c r="S305" i="3"/>
  <c r="L305" i="3"/>
  <c r="K305" i="3"/>
  <c r="J305" i="3"/>
  <c r="I305" i="3"/>
  <c r="H305" i="3"/>
  <c r="G305" i="3"/>
  <c r="F305" i="3"/>
  <c r="E305" i="3"/>
  <c r="U313" i="3"/>
  <c r="T313" i="3"/>
  <c r="R313" i="3"/>
  <c r="S313" i="3"/>
  <c r="L313" i="3"/>
  <c r="K313" i="3"/>
  <c r="I313" i="3"/>
  <c r="E313" i="3"/>
  <c r="D313" i="3"/>
  <c r="J313" i="3"/>
  <c r="H313" i="3"/>
  <c r="U321" i="3"/>
  <c r="T321" i="3"/>
  <c r="R321" i="3"/>
  <c r="S321" i="3"/>
  <c r="L321" i="3"/>
  <c r="K321" i="3"/>
  <c r="I321" i="3"/>
  <c r="D321" i="3"/>
  <c r="J321" i="3"/>
  <c r="H321" i="3"/>
  <c r="G321" i="3"/>
  <c r="T329" i="3"/>
  <c r="U329" i="3"/>
  <c r="R329" i="3"/>
  <c r="S329" i="3"/>
  <c r="L329" i="3"/>
  <c r="K329" i="3"/>
  <c r="I329" i="3"/>
  <c r="D329" i="3"/>
  <c r="J329" i="3"/>
  <c r="H329" i="3"/>
  <c r="G329" i="3"/>
  <c r="F329" i="3"/>
  <c r="E329" i="3"/>
  <c r="T337" i="3"/>
  <c r="U337" i="3"/>
  <c r="R337" i="3"/>
  <c r="S337" i="3"/>
  <c r="L337" i="3"/>
  <c r="K337" i="3"/>
  <c r="I337" i="3"/>
  <c r="D337" i="3"/>
  <c r="F337" i="3"/>
  <c r="E337" i="3"/>
  <c r="J337" i="3"/>
  <c r="T345" i="3"/>
  <c r="U345" i="3"/>
  <c r="R345" i="3"/>
  <c r="S345" i="3"/>
  <c r="L345" i="3"/>
  <c r="K345" i="3"/>
  <c r="H345" i="3"/>
  <c r="E345" i="3"/>
  <c r="G345" i="3"/>
  <c r="F345" i="3"/>
  <c r="J345" i="3"/>
  <c r="I345" i="3"/>
  <c r="D345" i="3"/>
  <c r="T353" i="3"/>
  <c r="U353" i="3"/>
  <c r="R353" i="3"/>
  <c r="S353" i="3"/>
  <c r="L353" i="3"/>
  <c r="K353" i="3"/>
  <c r="H353" i="3"/>
  <c r="E353" i="3"/>
  <c r="D353" i="3"/>
  <c r="I353" i="3"/>
  <c r="G353" i="3"/>
  <c r="F353" i="3"/>
  <c r="T361" i="3"/>
  <c r="U361" i="3"/>
  <c r="R361" i="3"/>
  <c r="S361" i="3"/>
  <c r="L361" i="3"/>
  <c r="K361" i="3"/>
  <c r="H361" i="3"/>
  <c r="E361" i="3"/>
  <c r="I361" i="3"/>
  <c r="F361" i="3"/>
  <c r="J361" i="3"/>
  <c r="G361" i="3"/>
  <c r="D361" i="3"/>
  <c r="T369" i="3"/>
  <c r="U369" i="3"/>
  <c r="R369" i="3"/>
  <c r="S369" i="3"/>
  <c r="L369" i="3"/>
  <c r="K369" i="3"/>
  <c r="H369" i="3"/>
  <c r="E369" i="3"/>
  <c r="F369" i="3"/>
  <c r="J369" i="3"/>
  <c r="I369" i="3"/>
  <c r="T377" i="3"/>
  <c r="U377" i="3"/>
  <c r="R377" i="3"/>
  <c r="S377" i="3"/>
  <c r="L377" i="3"/>
  <c r="K377" i="3"/>
  <c r="J377" i="3"/>
  <c r="I377" i="3"/>
  <c r="H377" i="3"/>
  <c r="G377" i="3"/>
  <c r="E377" i="3"/>
  <c r="F377" i="3"/>
  <c r="D377" i="3"/>
  <c r="T385" i="3"/>
  <c r="U385" i="3"/>
  <c r="R385" i="3"/>
  <c r="S385" i="3"/>
  <c r="L385" i="3"/>
  <c r="K385" i="3"/>
  <c r="J385" i="3"/>
  <c r="I385" i="3"/>
  <c r="H385" i="3"/>
  <c r="G385" i="3"/>
  <c r="E385" i="3"/>
  <c r="F385" i="3"/>
  <c r="D385" i="3"/>
  <c r="T393" i="3"/>
  <c r="U393" i="3"/>
  <c r="R393" i="3"/>
  <c r="L393" i="3"/>
  <c r="S393" i="3"/>
  <c r="K393" i="3"/>
  <c r="J393" i="3"/>
  <c r="I393" i="3"/>
  <c r="H393" i="3"/>
  <c r="G393" i="3"/>
  <c r="E393" i="3"/>
  <c r="F393" i="3"/>
  <c r="D393" i="3"/>
  <c r="T401" i="3"/>
  <c r="U401" i="3"/>
  <c r="R401" i="3"/>
  <c r="S401" i="3"/>
  <c r="L401" i="3"/>
  <c r="K401" i="3"/>
  <c r="J401" i="3"/>
  <c r="I401" i="3"/>
  <c r="H401" i="3"/>
  <c r="G401" i="3"/>
  <c r="E401" i="3"/>
  <c r="F401" i="3"/>
  <c r="T409" i="3"/>
  <c r="U409" i="3"/>
  <c r="S409" i="3"/>
  <c r="R409" i="3"/>
  <c r="L409" i="3"/>
  <c r="K409" i="3"/>
  <c r="J409" i="3"/>
  <c r="I409" i="3"/>
  <c r="H409" i="3"/>
  <c r="G409" i="3"/>
  <c r="E409" i="3"/>
  <c r="D409" i="3"/>
  <c r="F409" i="3"/>
  <c r="T417" i="3"/>
  <c r="U417" i="3"/>
  <c r="R417" i="3"/>
  <c r="S417" i="3"/>
  <c r="L417" i="3"/>
  <c r="K417" i="3"/>
  <c r="J417" i="3"/>
  <c r="I417" i="3"/>
  <c r="H417" i="3"/>
  <c r="G417" i="3"/>
  <c r="E417" i="3"/>
  <c r="D417" i="3"/>
  <c r="F417" i="3"/>
  <c r="T425" i="3"/>
  <c r="U425" i="3"/>
  <c r="R425" i="3"/>
  <c r="S425" i="3"/>
  <c r="L425" i="3"/>
  <c r="K425" i="3"/>
  <c r="J425" i="3"/>
  <c r="I425" i="3"/>
  <c r="H425" i="3"/>
  <c r="G425" i="3"/>
  <c r="E425" i="3"/>
  <c r="D425" i="3"/>
  <c r="T433" i="3"/>
  <c r="U433" i="3"/>
  <c r="R433" i="3"/>
  <c r="S433" i="3"/>
  <c r="L433" i="3"/>
  <c r="K433" i="3"/>
  <c r="J433" i="3"/>
  <c r="I433" i="3"/>
  <c r="H433" i="3"/>
  <c r="G433" i="3"/>
  <c r="E433" i="3"/>
  <c r="F433" i="3"/>
  <c r="T441" i="3"/>
  <c r="U441" i="3"/>
  <c r="R441" i="3"/>
  <c r="S441" i="3"/>
  <c r="L441" i="3"/>
  <c r="K441" i="3"/>
  <c r="J441" i="3"/>
  <c r="I441" i="3"/>
  <c r="H441" i="3"/>
  <c r="G441" i="3"/>
  <c r="E441" i="3"/>
  <c r="F441" i="3"/>
  <c r="D441" i="3"/>
  <c r="T449" i="3"/>
  <c r="U449" i="3"/>
  <c r="R449" i="3"/>
  <c r="S449" i="3"/>
  <c r="L449" i="3"/>
  <c r="K449" i="3"/>
  <c r="J449" i="3"/>
  <c r="I449" i="3"/>
  <c r="H449" i="3"/>
  <c r="G449" i="3"/>
  <c r="F449" i="3"/>
  <c r="E449" i="3"/>
  <c r="D449" i="3"/>
  <c r="T457" i="3"/>
  <c r="U457" i="3"/>
  <c r="R457" i="3"/>
  <c r="S457" i="3"/>
  <c r="L457" i="3"/>
  <c r="K457" i="3"/>
  <c r="J457" i="3"/>
  <c r="I457" i="3"/>
  <c r="H457" i="3"/>
  <c r="G457" i="3"/>
  <c r="F457" i="3"/>
  <c r="E457" i="3"/>
  <c r="D457" i="3"/>
  <c r="T465" i="3"/>
  <c r="U465" i="3"/>
  <c r="R465" i="3"/>
  <c r="S465" i="3"/>
  <c r="L465" i="3"/>
  <c r="K465" i="3"/>
  <c r="J465" i="3"/>
  <c r="I465" i="3"/>
  <c r="H465" i="3"/>
  <c r="G465" i="3"/>
  <c r="F465" i="3"/>
  <c r="E465" i="3"/>
  <c r="D465" i="3"/>
  <c r="T473" i="3"/>
  <c r="U473" i="3"/>
  <c r="S473" i="3"/>
  <c r="R473" i="3"/>
  <c r="L473" i="3"/>
  <c r="K473" i="3"/>
  <c r="J473" i="3"/>
  <c r="I473" i="3"/>
  <c r="H473" i="3"/>
  <c r="G473" i="3"/>
  <c r="F473" i="3"/>
  <c r="E473" i="3"/>
  <c r="D473" i="3"/>
  <c r="T481" i="3"/>
  <c r="U481" i="3"/>
  <c r="R481" i="3"/>
  <c r="S481" i="3"/>
  <c r="L481" i="3"/>
  <c r="K481" i="3"/>
  <c r="J481" i="3"/>
  <c r="I481" i="3"/>
  <c r="H481" i="3"/>
  <c r="G481" i="3"/>
  <c r="F481" i="3"/>
  <c r="E481" i="3"/>
  <c r="D481" i="3"/>
  <c r="T489" i="3"/>
  <c r="U489" i="3"/>
  <c r="R489" i="3"/>
  <c r="S489" i="3"/>
  <c r="L489" i="3"/>
  <c r="G489" i="3"/>
  <c r="E489" i="3"/>
  <c r="K489" i="3"/>
  <c r="J489" i="3"/>
  <c r="I489" i="3"/>
  <c r="H489" i="3"/>
  <c r="F489" i="3"/>
  <c r="D489" i="3"/>
  <c r="T497" i="3"/>
  <c r="U497" i="3"/>
  <c r="R497" i="3"/>
  <c r="S497" i="3"/>
  <c r="L497" i="3"/>
  <c r="G497" i="3"/>
  <c r="E497" i="3"/>
  <c r="D497" i="3"/>
  <c r="K497" i="3"/>
  <c r="J497" i="3"/>
  <c r="H497" i="3"/>
  <c r="F497" i="3"/>
  <c r="I497" i="3"/>
  <c r="G5" i="3"/>
  <c r="J6" i="3"/>
  <c r="H12" i="3"/>
  <c r="I13" i="3"/>
  <c r="T13" i="3" s="1"/>
  <c r="J14" i="3"/>
  <c r="U14" i="3" s="1"/>
  <c r="D16" i="3"/>
  <c r="F18" i="3"/>
  <c r="G19" i="3"/>
  <c r="H20" i="3"/>
  <c r="S20" i="3" s="1"/>
  <c r="I21" i="3"/>
  <c r="J22" i="3"/>
  <c r="D24" i="3"/>
  <c r="G27" i="3"/>
  <c r="H28" i="3"/>
  <c r="S28" i="3" s="1"/>
  <c r="I29" i="3"/>
  <c r="T29" i="3" s="1"/>
  <c r="J30" i="3"/>
  <c r="D32" i="3"/>
  <c r="E33" i="3"/>
  <c r="G35" i="3"/>
  <c r="R35" i="3" s="1"/>
  <c r="H36" i="3"/>
  <c r="S36" i="3" s="1"/>
  <c r="I37" i="3"/>
  <c r="J38" i="3"/>
  <c r="D40" i="3"/>
  <c r="G43" i="3"/>
  <c r="H44" i="3"/>
  <c r="S44" i="3" s="1"/>
  <c r="I45" i="3"/>
  <c r="T45" i="3" s="1"/>
  <c r="J46" i="3"/>
  <c r="U46" i="3" s="1"/>
  <c r="D48" i="3"/>
  <c r="G51" i="3"/>
  <c r="H52" i="3"/>
  <c r="S52" i="3" s="1"/>
  <c r="I53" i="3"/>
  <c r="J54" i="3"/>
  <c r="D56" i="3"/>
  <c r="E57" i="3"/>
  <c r="F58" i="3"/>
  <c r="G59" i="3"/>
  <c r="H60" i="3"/>
  <c r="I61" i="3"/>
  <c r="J62" i="3"/>
  <c r="D64" i="3"/>
  <c r="E65" i="3"/>
  <c r="F66" i="3"/>
  <c r="G67" i="3"/>
  <c r="H68" i="3"/>
  <c r="I69" i="3"/>
  <c r="J70" i="3"/>
  <c r="D72" i="3"/>
  <c r="E73" i="3"/>
  <c r="F74" i="3"/>
  <c r="G75" i="3"/>
  <c r="H76" i="3"/>
  <c r="I77" i="3"/>
  <c r="J78" i="3"/>
  <c r="D80" i="3"/>
  <c r="E81" i="3"/>
  <c r="F82" i="3"/>
  <c r="G83" i="3"/>
  <c r="H84" i="3"/>
  <c r="I85" i="3"/>
  <c r="J86" i="3"/>
  <c r="D88" i="3"/>
  <c r="E89" i="3"/>
  <c r="F90" i="3"/>
  <c r="G91" i="3"/>
  <c r="H92" i="3"/>
  <c r="I93" i="3"/>
  <c r="J94" i="3"/>
  <c r="D96" i="3"/>
  <c r="E97" i="3"/>
  <c r="F98" i="3"/>
  <c r="G99" i="3"/>
  <c r="H100" i="3"/>
  <c r="I101" i="3"/>
  <c r="J102" i="3"/>
  <c r="D104" i="3"/>
  <c r="E105" i="3"/>
  <c r="F106" i="3"/>
  <c r="G107" i="3"/>
  <c r="H108" i="3"/>
  <c r="I109" i="3"/>
  <c r="J110" i="3"/>
  <c r="D112" i="3"/>
  <c r="E113" i="3"/>
  <c r="F114" i="3"/>
  <c r="G115" i="3"/>
  <c r="H116" i="3"/>
  <c r="I117" i="3"/>
  <c r="J118" i="3"/>
  <c r="D120" i="3"/>
  <c r="E121" i="3"/>
  <c r="F122" i="3"/>
  <c r="G123" i="3"/>
  <c r="H124" i="3"/>
  <c r="I125" i="3"/>
  <c r="J126" i="3"/>
  <c r="D128" i="3"/>
  <c r="E129" i="3"/>
  <c r="F130" i="3"/>
  <c r="G131" i="3"/>
  <c r="H132" i="3"/>
  <c r="I133" i="3"/>
  <c r="J134" i="3"/>
  <c r="D136" i="3"/>
  <c r="E137" i="3"/>
  <c r="F138" i="3"/>
  <c r="G139" i="3"/>
  <c r="I140" i="3"/>
  <c r="D142" i="3"/>
  <c r="F143" i="3"/>
  <c r="H144" i="3"/>
  <c r="E146" i="3"/>
  <c r="J147" i="3"/>
  <c r="J149" i="3"/>
  <c r="J151" i="3"/>
  <c r="E154" i="3"/>
  <c r="G156" i="3"/>
  <c r="I158" i="3"/>
  <c r="D161" i="3"/>
  <c r="F163" i="3"/>
  <c r="J165" i="3"/>
  <c r="D169" i="3"/>
  <c r="F172" i="3"/>
  <c r="D175" i="3"/>
  <c r="E179" i="3"/>
  <c r="I183" i="3"/>
  <c r="F188" i="3"/>
  <c r="J192" i="3"/>
  <c r="G197" i="3"/>
  <c r="D202" i="3"/>
  <c r="H206" i="3"/>
  <c r="E211" i="3"/>
  <c r="I215" i="3"/>
  <c r="F220" i="3"/>
  <c r="J224" i="3"/>
  <c r="G229" i="3"/>
  <c r="D234" i="3"/>
  <c r="H238" i="3"/>
  <c r="E243" i="3"/>
  <c r="I247" i="3"/>
  <c r="F252" i="3"/>
  <c r="J256" i="3"/>
  <c r="G261" i="3"/>
  <c r="D266" i="3"/>
  <c r="H270" i="3"/>
  <c r="E275" i="3"/>
  <c r="I279" i="3"/>
  <c r="F284" i="3"/>
  <c r="J288" i="3"/>
  <c r="G293" i="3"/>
  <c r="D298" i="3"/>
  <c r="H302" i="3"/>
  <c r="E307" i="3"/>
  <c r="D312" i="3"/>
  <c r="F317" i="3"/>
  <c r="G322" i="3"/>
  <c r="G328" i="3"/>
  <c r="H335" i="3"/>
  <c r="F344" i="3"/>
  <c r="J353" i="3"/>
  <c r="D366" i="3"/>
  <c r="J381" i="3"/>
  <c r="H406" i="3"/>
  <c r="D433" i="3"/>
  <c r="G477" i="3"/>
  <c r="U16" i="3"/>
  <c r="U24" i="3"/>
  <c r="E24" i="3"/>
  <c r="F40" i="3"/>
  <c r="F48" i="3"/>
  <c r="R42" i="3"/>
  <c r="U20" i="3"/>
  <c r="T20" i="3"/>
  <c r="U28" i="3"/>
  <c r="E28" i="3"/>
  <c r="Z28" i="3" s="1"/>
  <c r="U36" i="3"/>
  <c r="E36" i="3"/>
  <c r="Z36" i="3" s="1"/>
  <c r="E44" i="3"/>
  <c r="Z44" i="3" s="1"/>
  <c r="F52" i="3"/>
  <c r="AA52" i="3" s="1"/>
  <c r="T52" i="3"/>
  <c r="U21" i="3"/>
  <c r="E21" i="3"/>
  <c r="U29" i="3"/>
  <c r="E29" i="3"/>
  <c r="F37" i="3"/>
  <c r="E37" i="3"/>
  <c r="F45" i="3"/>
  <c r="E45" i="3"/>
  <c r="F53" i="3"/>
  <c r="E53" i="3"/>
  <c r="Z53" i="3" s="1"/>
  <c r="T32" i="3"/>
  <c r="F14" i="3"/>
  <c r="E14" i="3"/>
  <c r="F22" i="3"/>
  <c r="E22" i="3"/>
  <c r="F30" i="3"/>
  <c r="E30" i="3"/>
  <c r="F38" i="3"/>
  <c r="E38" i="3"/>
  <c r="F46" i="3"/>
  <c r="AA46" i="3" s="1"/>
  <c r="E46" i="3"/>
  <c r="E40" i="3"/>
  <c r="S15" i="3"/>
  <c r="E15" i="3"/>
  <c r="S23" i="3"/>
  <c r="T23" i="3"/>
  <c r="F31" i="3"/>
  <c r="E31" i="3"/>
  <c r="F39" i="3"/>
  <c r="AA39" i="3" s="1"/>
  <c r="E39" i="3"/>
  <c r="F47" i="3"/>
  <c r="E47" i="3"/>
  <c r="E48" i="3"/>
  <c r="A4" i="3"/>
  <c r="K4" i="3" s="1"/>
  <c r="U17" i="3"/>
  <c r="R17" i="3"/>
  <c r="F25" i="3"/>
  <c r="R25" i="3"/>
  <c r="F33" i="3"/>
  <c r="F41" i="3"/>
  <c r="AA41" i="3" s="1"/>
  <c r="U49" i="3"/>
  <c r="R49" i="3"/>
  <c r="S18" i="3"/>
  <c r="R18" i="3"/>
  <c r="S26" i="3"/>
  <c r="E26" i="3"/>
  <c r="F34" i="3"/>
  <c r="E34" i="3"/>
  <c r="U50" i="3"/>
  <c r="R50" i="3"/>
  <c r="S42" i="3"/>
  <c r="S19" i="3"/>
  <c r="E19" i="3"/>
  <c r="F27" i="3"/>
  <c r="E27" i="3"/>
  <c r="S35" i="3"/>
  <c r="E35" i="3"/>
  <c r="F43" i="3"/>
  <c r="T43" i="3"/>
  <c r="F51" i="3"/>
  <c r="E51" i="3"/>
  <c r="T16" i="3"/>
  <c r="G2" i="1"/>
  <c r="I4" i="1"/>
  <c r="I5" i="1"/>
  <c r="G4" i="1"/>
  <c r="I6" i="1"/>
  <c r="G6" i="1"/>
  <c r="I8" i="1"/>
  <c r="G7" i="1"/>
  <c r="G8" i="1"/>
  <c r="G9" i="1"/>
  <c r="G5" i="1"/>
  <c r="I3" i="1"/>
  <c r="G3" i="1"/>
  <c r="I7" i="1"/>
  <c r="I9" i="1"/>
  <c r="I2" i="1"/>
  <c r="E12" i="3" l="1"/>
  <c r="C4" i="3"/>
  <c r="B4" i="3"/>
  <c r="O10" i="3"/>
  <c r="AD4" i="3"/>
  <c r="AB4" i="3"/>
  <c r="AE4" i="3"/>
  <c r="AC4" i="3"/>
  <c r="N4" i="3"/>
  <c r="M4" i="3"/>
  <c r="O11" i="3"/>
  <c r="O6" i="3"/>
  <c r="O5" i="3"/>
  <c r="O12" i="3"/>
  <c r="O7" i="3"/>
  <c r="O13" i="3"/>
  <c r="O8" i="3"/>
  <c r="O9" i="3"/>
  <c r="U13" i="3"/>
  <c r="R33" i="3"/>
  <c r="U44" i="3"/>
  <c r="R41" i="3"/>
  <c r="U32" i="3"/>
  <c r="Y40" i="3"/>
  <c r="Y53" i="3"/>
  <c r="T47" i="3"/>
  <c r="Y31" i="3"/>
  <c r="AA51" i="3"/>
  <c r="R32" i="3"/>
  <c r="X52" i="3"/>
  <c r="V36" i="3"/>
  <c r="W42" i="3"/>
  <c r="F49" i="3"/>
  <c r="AA49" i="3" s="1"/>
  <c r="F50" i="3"/>
  <c r="U38" i="3"/>
  <c r="W49" i="3"/>
  <c r="T41" i="3"/>
  <c r="X45" i="3"/>
  <c r="R44" i="3"/>
  <c r="S46" i="3"/>
  <c r="W39" i="3"/>
  <c r="U43" i="3"/>
  <c r="Y52" i="3"/>
  <c r="W36" i="3"/>
  <c r="X42" i="3"/>
  <c r="V43" i="3"/>
  <c r="Q50" i="3"/>
  <c r="R51" i="3"/>
  <c r="X41" i="3"/>
  <c r="T37" i="3"/>
  <c r="Y49" i="3"/>
  <c r="Y33" i="3"/>
  <c r="W45" i="3"/>
  <c r="X50" i="3"/>
  <c r="E42" i="3"/>
  <c r="X40" i="3"/>
  <c r="R45" i="3"/>
  <c r="V37" i="3"/>
  <c r="X38" i="3"/>
  <c r="T42" i="3"/>
  <c r="X36" i="3"/>
  <c r="Y42" i="3"/>
  <c r="T51" i="3"/>
  <c r="Y43" i="3"/>
  <c r="S39" i="3"/>
  <c r="X49" i="3"/>
  <c r="Y45" i="3"/>
  <c r="W50" i="3"/>
  <c r="U39" i="3"/>
  <c r="W48" i="3"/>
  <c r="Y32" i="3"/>
  <c r="X39" i="3"/>
  <c r="U42" i="3"/>
  <c r="X37" i="3"/>
  <c r="W34" i="3"/>
  <c r="W46" i="3"/>
  <c r="Y38" i="3"/>
  <c r="Y36" i="3"/>
  <c r="X51" i="3"/>
  <c r="W35" i="3"/>
  <c r="S51" i="3"/>
  <c r="T34" i="3"/>
  <c r="Q33" i="3"/>
  <c r="T49" i="3"/>
  <c r="Y50" i="3"/>
  <c r="S53" i="3"/>
  <c r="T38" i="3"/>
  <c r="Y48" i="3"/>
  <c r="Y39" i="3"/>
  <c r="U34" i="3"/>
  <c r="Y37" i="3"/>
  <c r="Y34" i="3"/>
  <c r="V46" i="3"/>
  <c r="U51" i="3"/>
  <c r="R40" i="3"/>
  <c r="W44" i="3"/>
  <c r="Y51" i="3"/>
  <c r="Y35" i="3"/>
  <c r="V40" i="3"/>
  <c r="V41" i="3"/>
  <c r="X33" i="3"/>
  <c r="S37" i="3"/>
  <c r="X48" i="3"/>
  <c r="W32" i="3"/>
  <c r="W53" i="3"/>
  <c r="S38" i="3"/>
  <c r="W47" i="3"/>
  <c r="U37" i="3"/>
  <c r="S34" i="3"/>
  <c r="X46" i="3"/>
  <c r="T50" i="3"/>
  <c r="T35" i="3"/>
  <c r="W51" i="3"/>
  <c r="V35" i="3"/>
  <c r="U48" i="3"/>
  <c r="T44" i="3"/>
  <c r="E11" i="3"/>
  <c r="Z11" i="3" s="1"/>
  <c r="T53" i="3"/>
  <c r="R43" i="3"/>
  <c r="W41" i="3"/>
  <c r="S33" i="3"/>
  <c r="R36" i="3"/>
  <c r="T48" i="3"/>
  <c r="X32" i="3"/>
  <c r="R37" i="3"/>
  <c r="X47" i="3"/>
  <c r="T40" i="3"/>
  <c r="Y46" i="3"/>
  <c r="U35" i="3"/>
  <c r="Y44" i="3"/>
  <c r="X35" i="3"/>
  <c r="E41" i="3"/>
  <c r="Z41" i="3" s="1"/>
  <c r="Y41" i="3"/>
  <c r="T33" i="3"/>
  <c r="U47" i="3"/>
  <c r="W40" i="3"/>
  <c r="Y47" i="3"/>
  <c r="W38" i="3"/>
  <c r="W52" i="3"/>
  <c r="X43" i="3"/>
  <c r="Z46" i="3"/>
  <c r="F42" i="3"/>
  <c r="AA42" i="3" s="1"/>
  <c r="S49" i="3"/>
  <c r="S41" i="3"/>
  <c r="F36" i="3"/>
  <c r="X31" i="3"/>
  <c r="E52" i="3"/>
  <c r="Z52" i="3" s="1"/>
  <c r="Z51" i="3"/>
  <c r="Q34" i="3"/>
  <c r="V53" i="3"/>
  <c r="V44" i="3"/>
  <c r="Q49" i="3"/>
  <c r="Z48" i="3"/>
  <c r="AA33" i="3"/>
  <c r="AA47" i="3"/>
  <c r="Z39" i="3"/>
  <c r="AA34" i="3"/>
  <c r="W43" i="3"/>
  <c r="U41" i="3"/>
  <c r="U33" i="3"/>
  <c r="S45" i="3"/>
  <c r="S32" i="3"/>
  <c r="R53" i="3"/>
  <c r="F44" i="3"/>
  <c r="AA44" i="3" s="1"/>
  <c r="R47" i="3"/>
  <c r="R34" i="3"/>
  <c r="R46" i="3"/>
  <c r="T36" i="3"/>
  <c r="Q35" i="3"/>
  <c r="E50" i="3"/>
  <c r="Z50" i="3" s="1"/>
  <c r="Q53" i="3"/>
  <c r="Q46" i="3"/>
  <c r="AA40" i="3"/>
  <c r="Z47" i="3"/>
  <c r="S31" i="3"/>
  <c r="V50" i="3"/>
  <c r="Z45" i="3"/>
  <c r="E32" i="3"/>
  <c r="Z32" i="3" s="1"/>
  <c r="Q51" i="3"/>
  <c r="V47" i="3"/>
  <c r="E49" i="3"/>
  <c r="Z49" i="3" s="1"/>
  <c r="U45" i="3"/>
  <c r="F35" i="3"/>
  <c r="AA35" i="3" s="1"/>
  <c r="E43" i="3"/>
  <c r="Z43" i="3" s="1"/>
  <c r="T31" i="3"/>
  <c r="S47" i="3"/>
  <c r="U52" i="3"/>
  <c r="S43" i="3"/>
  <c r="Q43" i="3"/>
  <c r="Z35" i="3"/>
  <c r="Z37" i="3"/>
  <c r="V33" i="3"/>
  <c r="Q12" i="3"/>
  <c r="Q41" i="3"/>
  <c r="V48" i="3"/>
  <c r="Q40" i="3"/>
  <c r="V42" i="3"/>
  <c r="AA50" i="3"/>
  <c r="F32" i="3"/>
  <c r="AA32" i="3" s="1"/>
  <c r="V49" i="3"/>
  <c r="X44" i="3"/>
  <c r="S50" i="3"/>
  <c r="R48" i="3"/>
  <c r="R39" i="3"/>
  <c r="R31" i="3"/>
  <c r="AA43" i="3"/>
  <c r="Z42" i="3"/>
  <c r="AA37" i="3"/>
  <c r="Z33" i="3"/>
  <c r="Q32" i="3"/>
  <c r="U31" i="3"/>
  <c r="S48" i="3"/>
  <c r="S40" i="3"/>
  <c r="U53" i="3"/>
  <c r="Q42" i="3"/>
  <c r="AA45" i="3"/>
  <c r="Q37" i="3"/>
  <c r="V38" i="3"/>
  <c r="Z40" i="3"/>
  <c r="Z38" i="3"/>
  <c r="V32" i="3"/>
  <c r="V31" i="3"/>
  <c r="V51" i="3"/>
  <c r="AA53" i="3"/>
  <c r="V45" i="3"/>
  <c r="AA36" i="3"/>
  <c r="AA38" i="3"/>
  <c r="AA48" i="3"/>
  <c r="V39" i="3"/>
  <c r="V34" i="3"/>
  <c r="E13" i="3"/>
  <c r="Z13" i="3" s="1"/>
  <c r="U40" i="3"/>
  <c r="W31" i="3"/>
  <c r="Z34" i="3"/>
  <c r="Q48" i="3"/>
  <c r="R7" i="3"/>
  <c r="U8" i="3"/>
  <c r="U7" i="3"/>
  <c r="W8" i="3"/>
  <c r="V6" i="3"/>
  <c r="U9" i="3"/>
  <c r="Q10" i="3"/>
  <c r="X8" i="3"/>
  <c r="AA31" i="3"/>
  <c r="Z31" i="3"/>
  <c r="Q31" i="3"/>
  <c r="F5" i="3"/>
  <c r="X7" i="3"/>
  <c r="T7" i="3"/>
  <c r="F9" i="3"/>
  <c r="E9" i="3"/>
  <c r="F11" i="3"/>
  <c r="F10" i="3"/>
  <c r="E8" i="3"/>
  <c r="Z8" i="3" s="1"/>
  <c r="F8" i="3"/>
  <c r="AA8" i="3" s="1"/>
  <c r="W7" i="3"/>
  <c r="T8" i="3"/>
  <c r="S8" i="3"/>
  <c r="S7" i="3"/>
  <c r="Y8" i="3"/>
  <c r="Y7" i="3"/>
  <c r="Q7" i="3"/>
  <c r="V7" i="3"/>
  <c r="G4" i="3"/>
  <c r="T10" i="3"/>
  <c r="V25" i="3"/>
  <c r="X17" i="3"/>
  <c r="U18" i="3"/>
  <c r="R28" i="3"/>
  <c r="W24" i="3"/>
  <c r="X16" i="3"/>
  <c r="X29" i="3"/>
  <c r="V23" i="3"/>
  <c r="X30" i="3"/>
  <c r="X14" i="3"/>
  <c r="U27" i="3"/>
  <c r="V20" i="3"/>
  <c r="W26" i="3"/>
  <c r="V27" i="3"/>
  <c r="V13" i="3"/>
  <c r="E7" i="3"/>
  <c r="Z7" i="3" s="1"/>
  <c r="R8" i="3"/>
  <c r="X9" i="3"/>
  <c r="Q8" i="3"/>
  <c r="W25" i="3"/>
  <c r="S17" i="3"/>
  <c r="U23" i="3"/>
  <c r="V24" i="3"/>
  <c r="V29" i="3"/>
  <c r="S22" i="3"/>
  <c r="W23" i="3"/>
  <c r="W13" i="3"/>
  <c r="Y30" i="3"/>
  <c r="Y14" i="3"/>
  <c r="W20" i="3"/>
  <c r="Y26" i="3"/>
  <c r="R27" i="3"/>
  <c r="Y25" i="3"/>
  <c r="T22" i="3"/>
  <c r="Y24" i="3"/>
  <c r="W29" i="3"/>
  <c r="R21" i="3"/>
  <c r="X23" i="3"/>
  <c r="X13" i="3"/>
  <c r="R22" i="3"/>
  <c r="W22" i="3"/>
  <c r="X20" i="3"/>
  <c r="V18" i="3"/>
  <c r="E10" i="3"/>
  <c r="X25" i="3"/>
  <c r="W21" i="3"/>
  <c r="R20" i="3"/>
  <c r="X24" i="3"/>
  <c r="Y29" i="3"/>
  <c r="AA18" i="3"/>
  <c r="Y23" i="3"/>
  <c r="Y13" i="3"/>
  <c r="V22" i="3"/>
  <c r="Y20" i="3"/>
  <c r="W18" i="3"/>
  <c r="V19" i="3"/>
  <c r="T9" i="3"/>
  <c r="F16" i="3"/>
  <c r="AA16" i="3" s="1"/>
  <c r="U22" i="3"/>
  <c r="S12" i="3"/>
  <c r="S25" i="3"/>
  <c r="V21" i="3"/>
  <c r="T24" i="3"/>
  <c r="T15" i="3"/>
  <c r="V15" i="3"/>
  <c r="X22" i="3"/>
  <c r="V28" i="3"/>
  <c r="V12" i="3"/>
  <c r="X18" i="3"/>
  <c r="Y19" i="3"/>
  <c r="V8" i="3"/>
  <c r="Y17" i="3"/>
  <c r="X21" i="3"/>
  <c r="T14" i="3"/>
  <c r="V16" i="3"/>
  <c r="S14" i="3"/>
  <c r="W15" i="3"/>
  <c r="Y22" i="3"/>
  <c r="U19" i="3"/>
  <c r="W28" i="3"/>
  <c r="W12" i="3"/>
  <c r="Y18" i="3"/>
  <c r="X19" i="3"/>
  <c r="F7" i="3"/>
  <c r="AA7" i="3" s="1"/>
  <c r="V17" i="3"/>
  <c r="T21" i="3"/>
  <c r="T30" i="3"/>
  <c r="S13" i="3"/>
  <c r="W16" i="3"/>
  <c r="S30" i="3"/>
  <c r="X15" i="3"/>
  <c r="R30" i="3"/>
  <c r="W30" i="3"/>
  <c r="W14" i="3"/>
  <c r="X28" i="3"/>
  <c r="X12" i="3"/>
  <c r="V26" i="3"/>
  <c r="W27" i="3"/>
  <c r="R26" i="3"/>
  <c r="S27" i="3"/>
  <c r="U30" i="3"/>
  <c r="R19" i="3"/>
  <c r="W17" i="3"/>
  <c r="U26" i="3"/>
  <c r="Y21" i="3"/>
  <c r="S29" i="3"/>
  <c r="R12" i="3"/>
  <c r="Y16" i="3"/>
  <c r="Y15" i="3"/>
  <c r="V30" i="3"/>
  <c r="V14" i="3"/>
  <c r="Y28" i="3"/>
  <c r="Y12" i="3"/>
  <c r="X26" i="3"/>
  <c r="X27" i="3"/>
  <c r="Z21" i="3"/>
  <c r="AA30" i="3"/>
  <c r="Z27" i="3"/>
  <c r="Z12" i="3"/>
  <c r="AA25" i="3"/>
  <c r="Z24" i="3"/>
  <c r="R14" i="3"/>
  <c r="F15" i="3"/>
  <c r="AA15" i="3" s="1"/>
  <c r="T26" i="3"/>
  <c r="T18" i="3"/>
  <c r="T27" i="3"/>
  <c r="T19" i="3"/>
  <c r="F17" i="3"/>
  <c r="AA17" i="3" s="1"/>
  <c r="E16" i="3"/>
  <c r="Z16" i="3" s="1"/>
  <c r="Z29" i="3"/>
  <c r="F13" i="3"/>
  <c r="AA13" i="3" s="1"/>
  <c r="Q15" i="3"/>
  <c r="W19" i="3"/>
  <c r="Y27" i="3"/>
  <c r="T25" i="3"/>
  <c r="T17" i="3"/>
  <c r="F20" i="3"/>
  <c r="AA20" i="3" s="1"/>
  <c r="F21" i="3"/>
  <c r="AA21" i="3" s="1"/>
  <c r="AA29" i="3"/>
  <c r="Q21" i="3"/>
  <c r="Q16" i="3"/>
  <c r="Z15" i="3"/>
  <c r="U25" i="3"/>
  <c r="R13" i="3"/>
  <c r="E20" i="3"/>
  <c r="Z20" i="3" s="1"/>
  <c r="F23" i="3"/>
  <c r="AA23" i="3" s="1"/>
  <c r="T28" i="3"/>
  <c r="T12" i="3"/>
  <c r="E23" i="3"/>
  <c r="Z26" i="3"/>
  <c r="F26" i="3"/>
  <c r="AA26" i="3" s="1"/>
  <c r="E17" i="3"/>
  <c r="Z17" i="3" s="1"/>
  <c r="S21" i="3"/>
  <c r="F19" i="3"/>
  <c r="AA19" i="3" s="1"/>
  <c r="F28" i="3"/>
  <c r="AA28" i="3" s="1"/>
  <c r="F29" i="3"/>
  <c r="U12" i="3"/>
  <c r="Z19" i="3"/>
  <c r="Z23" i="3"/>
  <c r="Q27" i="3"/>
  <c r="E25" i="3"/>
  <c r="Z25" i="3" s="1"/>
  <c r="E18" i="3"/>
  <c r="Z18" i="3" s="1"/>
  <c r="R24" i="3"/>
  <c r="R16" i="3"/>
  <c r="R29" i="3"/>
  <c r="F24" i="3"/>
  <c r="AA24" i="3" s="1"/>
  <c r="Q24" i="3"/>
  <c r="Q23" i="3"/>
  <c r="R23" i="3"/>
  <c r="R15" i="3"/>
  <c r="AA27" i="3"/>
  <c r="Q18" i="3"/>
  <c r="Z30" i="3"/>
  <c r="Z22" i="3"/>
  <c r="Z14" i="3"/>
  <c r="S24" i="3"/>
  <c r="S16" i="3"/>
  <c r="AA22" i="3"/>
  <c r="AA14" i="3"/>
  <c r="Q17" i="3"/>
  <c r="X6" i="3"/>
  <c r="S6" i="3"/>
  <c r="W6" i="3"/>
  <c r="Q6" i="3"/>
  <c r="E6" i="3"/>
  <c r="Z6" i="3" s="1"/>
  <c r="Y6" i="3"/>
  <c r="F6" i="3"/>
  <c r="AA6" i="3" s="1"/>
  <c r="T6" i="3"/>
  <c r="E5" i="3"/>
  <c r="I4" i="3"/>
  <c r="H4" i="3"/>
  <c r="L4" i="3"/>
  <c r="D4" i="3"/>
  <c r="J4" i="3"/>
  <c r="R6" i="3"/>
  <c r="O4" i="3" l="1"/>
  <c r="AA5" i="3"/>
  <c r="U6" i="3"/>
  <c r="R5" i="3"/>
  <c r="Z10" i="3"/>
  <c r="V10" i="3"/>
  <c r="U10" i="3"/>
  <c r="V9" i="3"/>
  <c r="AA10" i="3"/>
  <c r="X10" i="3"/>
  <c r="T5" i="3"/>
  <c r="Z5" i="3"/>
  <c r="W5" i="3"/>
  <c r="Q5" i="3"/>
  <c r="U5" i="3"/>
  <c r="X5" i="3"/>
  <c r="V5" i="3"/>
  <c r="S10" i="3"/>
  <c r="S5" i="3"/>
  <c r="Y5" i="3"/>
  <c r="Z9" i="3"/>
  <c r="AA9" i="3"/>
  <c r="W11" i="3"/>
  <c r="AA11" i="3"/>
  <c r="V11" i="3"/>
  <c r="R11" i="3"/>
  <c r="X11" i="3"/>
  <c r="Q11" i="3"/>
  <c r="Y11" i="3"/>
  <c r="Y10" i="3"/>
  <c r="R9" i="3"/>
  <c r="Q9" i="3"/>
  <c r="R10" i="3"/>
  <c r="Y9" i="3"/>
  <c r="S9" i="3"/>
  <c r="S11" i="3"/>
  <c r="W10" i="3"/>
  <c r="W9" i="3"/>
  <c r="T11" i="3"/>
  <c r="U11" i="3"/>
  <c r="F4" i="3"/>
  <c r="AA4" i="3" s="1"/>
  <c r="E4" i="3"/>
  <c r="Z4" i="3" s="1"/>
  <c r="Q4" i="3"/>
  <c r="U4" i="3"/>
  <c r="Y4" i="3"/>
  <c r="T4" i="3"/>
  <c r="S4" i="3"/>
  <c r="W4" i="3"/>
  <c r="X4" i="3"/>
  <c r="V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H1" authorId="0" shapeId="0" xr:uid="{9C9DDB76-1B7C-4F39-8E94-552BE05F4046}">
      <text>
        <r>
          <rPr>
            <sz val="9"/>
            <color indexed="81"/>
            <rFont val="Tahoma"/>
            <family val="2"/>
          </rPr>
          <t>Recommended Limit can never be lower than the Minimum.</t>
        </r>
      </text>
    </comment>
    <comment ref="I1" authorId="0" shapeId="0" xr:uid="{8306726D-F6A1-43BF-AFE9-570C9766CBE3}">
      <text>
        <r>
          <rPr>
            <sz val="9"/>
            <color indexed="81"/>
            <rFont val="Tahoma"/>
            <family val="2"/>
          </rPr>
          <t>Recommended Limit can never be lower than the Minimum.</t>
        </r>
      </text>
    </comment>
    <comment ref="L1" authorId="0" shapeId="0" xr:uid="{2F6BCE92-9890-4E98-AF47-0080DC9DA4E0}">
      <text>
        <r>
          <rPr>
            <sz val="9"/>
            <color indexed="81"/>
            <rFont val="Tahoma"/>
            <family val="2"/>
          </rPr>
          <t>Recommended Limit cannot be lower than the lower bound.</t>
        </r>
      </text>
    </comment>
    <comment ref="M1" authorId="0" shapeId="0" xr:uid="{23BDB4F5-21A4-42A8-839D-2E0F489620CE}">
      <text>
        <r>
          <rPr>
            <sz val="9"/>
            <color indexed="81"/>
            <rFont val="Tahoma"/>
            <family val="2"/>
          </rPr>
          <t xml:space="preserve">Recommended Limit cannot be lower than the lower bound.
</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2. Limit lower bound (% of current limit)
  3. Global minimum limit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<sst xmlns="http://schemas.openxmlformats.org/spreadsheetml/2006/main" count="318" uniqueCount="169">
  <si>
    <t>Deployment</t>
  </si>
  <si>
    <t>Node-Affinity</t>
  </si>
  <si>
    <t>Replicas</t>
  </si>
  <si>
    <t>&lt;none&gt;</t>
  </si>
  <si>
    <t>Node Pool</t>
  </si>
  <si>
    <t>Number</t>
  </si>
  <si>
    <t>Average
CPU Utilization</t>
  </si>
  <si>
    <t>Average
MEM Utilization</t>
  </si>
  <si>
    <r>
      <t xml:space="preserve">Total
CPU </t>
    </r>
    <r>
      <rPr>
        <b/>
        <sz val="11"/>
        <color theme="7" tint="-0.499984740745262"/>
        <rFont val="Calibri"/>
        <family val="2"/>
      </rPr>
      <t>Limits</t>
    </r>
  </si>
  <si>
    <r>
      <t xml:space="preserve">Total
Memory </t>
    </r>
    <r>
      <rPr>
        <b/>
        <sz val="11"/>
        <color theme="7" tint="-0.499984740745262"/>
        <rFont val="Calibri"/>
        <family val="2"/>
      </rPr>
      <t>Limits</t>
    </r>
  </si>
  <si>
    <r>
      <t xml:space="preserve">Total
CPU </t>
    </r>
    <r>
      <rPr>
        <b/>
        <sz val="11"/>
        <color theme="9" tint="-0.499984740745262"/>
        <rFont val="Calibri"/>
        <family val="2"/>
      </rPr>
      <t>Requests</t>
    </r>
  </si>
  <si>
    <r>
      <t xml:space="preserve">Total
Memory </t>
    </r>
    <r>
      <rPr>
        <b/>
        <sz val="11"/>
        <color theme="9" tint="-0.499984740745262"/>
        <rFont val="Calibri"/>
        <family val="2"/>
      </rPr>
      <t>Requests</t>
    </r>
  </si>
  <si>
    <t>Memory
(MiB)</t>
  </si>
  <si>
    <t>Column1</t>
  </si>
  <si>
    <t>Column2</t>
  </si>
  <si>
    <t>Column3</t>
  </si>
  <si>
    <t>Column4</t>
  </si>
  <si>
    <t>Column5</t>
  </si>
  <si>
    <t>Column6</t>
  </si>
  <si>
    <t>Column7</t>
  </si>
  <si>
    <t>Column8</t>
  </si>
  <si>
    <t>Column9</t>
  </si>
  <si>
    <t>Column10</t>
  </si>
  <si>
    <t>Column11</t>
  </si>
  <si>
    <t>Column12</t>
  </si>
  <si>
    <t>deployment</t>
  </si>
  <si>
    <t>Node Name</t>
  </si>
  <si>
    <t>Label</t>
  </si>
  <si>
    <t>CPU
(mcores)</t>
  </si>
  <si>
    <t>Kind</t>
  </si>
  <si>
    <t>Namespace</t>
  </si>
  <si>
    <t>Column13</t>
  </si>
  <si>
    <t>Node CPU
(mcores)</t>
  </si>
  <si>
    <t>Node Memory
(MiB)</t>
  </si>
  <si>
    <r>
      <t xml:space="preserve">Recommended
CPU </t>
    </r>
    <r>
      <rPr>
        <b/>
        <sz val="11"/>
        <color theme="9" tint="-0.499984740745262"/>
        <rFont val="Calibri"/>
        <family val="2"/>
      </rPr>
      <t>Requests</t>
    </r>
  </si>
  <si>
    <r>
      <t xml:space="preserve">Recommended
Memory </t>
    </r>
    <r>
      <rPr>
        <b/>
        <sz val="11"/>
        <color theme="9" tint="-0.499984740745262"/>
        <rFont val="Calibri"/>
        <family val="2"/>
      </rPr>
      <t>Requests</t>
    </r>
  </si>
  <si>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</si>
  <si>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</si>
  <si>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</si>
  <si>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</si>
  <si>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</si>
  <si>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</si>
  <si>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r>
      <t xml:space="preserve">Target CPU Utilization
(based on recommended </t>
    </r>
    <r>
      <rPr>
        <b/>
        <sz val="11"/>
        <color theme="7" tint="-0.499984740745262"/>
        <rFont val="Calibri"/>
        <family val="2"/>
      </rPr>
      <t>Limit</t>
    </r>
    <r>
      <rPr>
        <b/>
        <sz val="11"/>
        <color theme="1"/>
        <rFont val="Calibri"/>
        <family val="2"/>
      </rPr>
      <t>)</t>
    </r>
  </si>
  <si>
    <r>
      <t xml:space="preserve">Target Memory Utilization
(based on recommended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</si>
  <si>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</si>
  <si>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</si>
  <si>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</si>
  <si>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</si>
  <si>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</si>
  <si>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</si>
  <si>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</si>
  <si>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</si>
  <si>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</si>
  <si>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</si>
  <si>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</si>
  <si>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</si>
  <si>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rPr>
      <t>Target</t>
    </r>
    <r>
      <rPr>
        <b/>
        <sz val="11"/>
        <color theme="1"/>
        <rFont val="Calibri"/>
        <family val="2"/>
      </rPr>
      <t xml:space="preserve"> CPU Utilization
(based on recommended </t>
    </r>
    <r>
      <rPr>
        <b/>
        <sz val="11"/>
        <color theme="9"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</si>
  <si>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9" tint="-0.499984740745262"/>
        <rFont val="Calibri"/>
        <family val="2"/>
      </rPr>
      <t>Request</t>
    </r>
    <r>
      <rPr>
        <b/>
        <sz val="11"/>
        <color theme="1"/>
        <rFont val="Calibri"/>
        <family val="2"/>
      </rPr>
      <t>)</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</si>
  <si>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</si>
  <si>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</si>
  <si>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</si>
  <si>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kube-system</t>
  </si>
  <si>
    <t>monitoring</t>
  </si>
  <si>
    <t>statefulset</t>
  </si>
  <si>
    <t>Minimum CPU Limit
(mcores)</t>
  </si>
  <si>
    <t>Minimum Memory Limit
(MiB)</t>
  </si>
  <si>
    <t>CPU Limit Lower Bound
(% of Current Limit)</t>
  </si>
  <si>
    <t>Memory Limit Lower Bound
(% of Current Limit)</t>
  </si>
  <si>
    <t>coredns</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</si>
  <si>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</si>
  <si>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</si>
  <si>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</si>
  <si>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</si>
  <si>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</si>
  <si>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</si>
  <si>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r>
      <rPr>
        <b/>
        <sz val="11"/>
        <color theme="9" tint="-0.249977111117893"/>
        <rFont val="Calibri"/>
        <family val="2"/>
        <scheme val="minor"/>
      </rPr>
      <t>Recommended</t>
    </r>
    <r>
      <rPr>
        <b/>
        <sz val="11"/>
        <color theme="1"/>
        <rFont val="Calibri"/>
        <family val="2"/>
        <scheme val="minor"/>
      </rPr>
      <t xml:space="preserve">
CPU Request
(mcores)</t>
    </r>
  </si>
  <si>
    <r>
      <rPr>
        <b/>
        <sz val="11"/>
        <color theme="9" tint="-0.249977111117893"/>
        <rFont val="Calibri"/>
        <family val="2"/>
        <scheme val="minor"/>
      </rPr>
      <t>Recommended</t>
    </r>
    <r>
      <rPr>
        <b/>
        <sz val="11"/>
        <color theme="1"/>
        <rFont val="Calibri"/>
        <family val="2"/>
        <scheme val="minor"/>
      </rPr>
      <t xml:space="preserve">
Memory Request
(MiB)</t>
    </r>
  </si>
  <si>
    <r>
      <rPr>
        <b/>
        <sz val="11"/>
        <color theme="9" tint="-0.249977111117893"/>
        <rFont val="Calibri"/>
        <family val="2"/>
        <scheme val="minor"/>
      </rPr>
      <t>Recommended</t>
    </r>
    <r>
      <rPr>
        <b/>
        <sz val="11"/>
        <color theme="1"/>
        <rFont val="Calibri"/>
        <family val="2"/>
        <scheme val="minor"/>
      </rPr>
      <t xml:space="preserve">
CPU Limit
(mcores)</t>
    </r>
  </si>
  <si>
    <r>
      <rPr>
        <b/>
        <sz val="11"/>
        <color theme="9" tint="-0.249977111117893"/>
        <rFont val="Calibri"/>
        <family val="2"/>
        <scheme val="minor"/>
      </rPr>
      <t>Recommended</t>
    </r>
    <r>
      <rPr>
        <b/>
        <sz val="11"/>
        <color theme="1"/>
        <rFont val="Calibri"/>
        <family val="2"/>
        <scheme val="minor"/>
      </rPr>
      <t xml:space="preserve">
Memory Limit
(MiB)</t>
    </r>
  </si>
  <si>
    <r>
      <rPr>
        <b/>
        <sz val="11"/>
        <color theme="5" tint="-0.249977111117893"/>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</si>
  <si>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5" tint="-0.249977111117893"/>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</si>
  <si>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r>
      <rPr>
        <b/>
        <sz val="11"/>
        <color theme="9" tint="-0.249977111117893"/>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</si>
  <si>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9" tint="-0.249977111117893"/>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</si>
  <si>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t>Column16</t>
  </si>
  <si>
    <t>(In past days):</t>
  </si>
  <si>
    <r>
      <rPr>
        <b/>
        <sz val="11"/>
        <color rgb="FFC00000"/>
        <rFont val="Calibri"/>
        <family val="2"/>
      </rPr>
      <t>Target</t>
    </r>
    <r>
      <rPr>
        <b/>
        <sz val="11"/>
        <color theme="1"/>
        <rFont val="Calibri"/>
        <family val="2"/>
      </rPr>
      <t xml:space="preserve">
Node Number</t>
    </r>
  </si>
  <si>
    <t>jek8s117-3-34</t>
  </si>
  <si>
    <t>8.4474</t>
  </si>
  <si>
    <t>.8468</t>
  </si>
  <si>
    <t>818861951.3414</t>
  </si>
  <si>
    <t>722636790.6850</t>
  </si>
  <si>
    <t>jek8s117-3-35</t>
  </si>
  <si>
    <t>2.0044</t>
  </si>
  <si>
    <t>.5340</t>
  </si>
  <si>
    <t>626062566.7672</t>
  </si>
  <si>
    <t>664886340.2551</t>
  </si>
  <si>
    <t>jek8s117-3-36</t>
  </si>
  <si>
    <t>6.2151</t>
  </si>
  <si>
    <t>.0028</t>
  </si>
  <si>
    <t>1072276.8476</t>
  </si>
  <si>
    <t>1077771.5052</t>
  </si>
  <si>
    <t>jek8s117-3-37</t>
  </si>
  <si>
    <t>11.0031</t>
  </si>
  <si>
    <t>.3559</t>
  </si>
  <si>
    <t>133576279.9763</t>
  </si>
  <si>
    <t>127711064.3144</t>
  </si>
  <si>
    <t>webapp1-deploy</t>
  </si>
  <si>
    <t>app</t>
  </si>
  <si>
    <t>jaeger-operator</t>
  </si>
  <si>
    <t>default</t>
  </si>
  <si>
    <t>nfs-client-provisioner</t>
  </si>
  <si>
    <t>wpacontroller-watermarkpodautoscaler</t>
  </si>
  <si>
    <t>calico-kube-controllers</t>
  </si>
  <si>
    <t>metrics-server</t>
  </si>
  <si>
    <t>local-path-provisioner</t>
  </si>
  <si>
    <t>local-path-storage</t>
  </si>
  <si>
    <t>my-prometheus-operator-grafana</t>
  </si>
  <si>
    <t>my-prometheus-operator-kub-operator</t>
  </si>
  <si>
    <t>my-prometheus-operator-kube-state-metrics</t>
  </si>
  <si>
    <t>consumer</t>
  </si>
  <si>
    <t>myproject</t>
  </si>
  <si>
    <t>my-cluster-entity-operator</t>
  </si>
  <si>
    <t>my-cluster-kafka-exporter</t>
  </si>
  <si>
    <t>producer</t>
  </si>
  <si>
    <t>strimzi-cluster-operator</t>
  </si>
  <si>
    <t>observability</t>
  </si>
  <si>
    <t>cart</t>
  </si>
  <si>
    <t>robot-shop</t>
  </si>
  <si>
    <t>catalogue</t>
  </si>
  <si>
    <t>dispatch</t>
  </si>
  <si>
    <t>ingress-nginx-controller</t>
  </si>
  <si>
    <t>mongo-ex-prometheus-mongodb-exporter</t>
  </si>
  <si>
    <t>mongodb</t>
  </si>
  <si>
    <t>mysql</t>
  </si>
  <si>
    <t>mysql-ex-prometheus-mysql-exporter</t>
  </si>
  <si>
    <t>nginx-ex-deployment</t>
  </si>
  <si>
    <t>payment</t>
  </si>
  <si>
    <t>rabbitmq</t>
  </si>
  <si>
    <t>rabbitmq-ex-prometheus-rabbitmq-exporter</t>
  </si>
  <si>
    <t>ratings</t>
  </si>
  <si>
    <t>redis-ex-prometheus-redis-exporter</t>
  </si>
  <si>
    <t>shipping</t>
  </si>
  <si>
    <t>user</t>
  </si>
  <si>
    <t>web</t>
  </si>
  <si>
    <t>stable-ingress-nginx-ingress-controller</t>
  </si>
  <si>
    <t>stable-ingress</t>
  </si>
  <si>
    <t>stable-ingress-nginx-ingress-default-backend</t>
  </si>
  <si>
    <t>example-deployment</t>
  </si>
  <si>
    <t>test-ns</t>
  </si>
  <si>
    <t>tomcathost</t>
  </si>
  <si>
    <t>tomcat</t>
  </si>
  <si>
    <t>tomcathost2</t>
  </si>
  <si>
    <t>tomcat2</t>
  </si>
  <si>
    <t>tomcathost3</t>
  </si>
  <si>
    <t>tomcat3</t>
  </si>
  <si>
    <t>tomcathost4</t>
  </si>
  <si>
    <t>tomcat4</t>
  </si>
  <si>
    <t>tomcathost5</t>
  </si>
  <si>
    <t>tomcat5</t>
  </si>
  <si>
    <t>alertmanager-my-prometheus-operator-kub-alertmanager</t>
  </si>
  <si>
    <t>prometheus-my-prometheus-operator-kub-prometheus</t>
  </si>
  <si>
    <t>my-cluster-kafka</t>
  </si>
  <si>
    <t>my-cluster-zookeeper</t>
  </si>
  <si>
    <t>nginx-web-sts</t>
  </si>
  <si>
    <t>web2</t>
  </si>
  <si>
    <t>nginx-web2-sts</t>
  </si>
  <si>
    <t>web3</t>
  </si>
  <si>
    <t>nginx-web3-sts</t>
  </si>
  <si>
    <t>redis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</si>
</sst>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9"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2"/>
      <color theme="4"/>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5" tint="-0.249977111117893"/>
      <name val="Calibri"/>
      <family val="2"/>
      <scheme val="minor"/>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sz val="11"/>
      <color theme="0" tint="-0.34998626667073579"/>
      <name val="Calibri"/>
      <family val="2"/>
      <scheme val="minor"/>
    </font>
    <font>
      <i/>
      <sz val="11"/>
      <color theme="1" tint="0.499984740745262"/>
      <name val="Calibri"/>
      <family val="2"/>
      <scheme val="minor"/>
    </font>
    <font>
      <sz val="11"/>
      <color theme="1" tint="0.499984740745262"/>
      <name val="Calibri"/>
      <family val="2"/>
      <scheme val="minor"/>
    </font>
  </fonts>
  <fills count="22">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rgb="FFF8CDB2"/>
        <bgColor rgb="FFFEF2CB"/>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rgb="FFF8CDB2"/>
        <bgColor indexed="64"/>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s>
  <borders count="90">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thin">
        <color rgb="FFA5A5A5"/>
      </left>
      <right style="thin">
        <color rgb="FFA5A5A5"/>
      </right>
      <top style="thin">
        <color rgb="FFA5A5A5"/>
      </top>
      <bottom style="thick">
        <color theme="4" tint="-0.499984740745262"/>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style="thin">
        <color rgb="FFA5A5A5"/>
      </top>
      <bottom style="thick">
        <color theme="4" tint="-0.499984740745262"/>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ck">
        <color rgb="FF2F5496"/>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medium">
        <color theme="4" tint="-0.24994659260841701"/>
      </left>
      <right style="thin">
        <color theme="0" tint="-0.34998626667073579"/>
      </right>
      <top style="thick">
        <color theme="4" tint="-0.499984740745262"/>
      </top>
      <bottom style="thin">
        <color theme="0" tint="-0.34998626667073579"/>
      </bottom>
      <diagonal/>
    </border>
    <border>
      <left style="medium">
        <color theme="4" tint="-0.24994659260841701"/>
      </left>
      <right style="thin">
        <color theme="0" tint="-0.34998626667073579"/>
      </right>
      <top style="thin">
        <color theme="0" tint="-0.34998626667073579"/>
      </top>
      <bottom style="thin">
        <color theme="0" tint="-0.34998626667073579"/>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right style="medium">
        <color rgb="FF002060"/>
      </right>
      <top/>
      <bottom style="thick">
        <color theme="4" tint="-0.499984740745262"/>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right style="medium">
        <color rgb="FF002060"/>
      </right>
      <top/>
      <bottom/>
      <diagonal/>
    </border>
    <border>
      <left/>
      <right/>
      <top/>
      <bottom style="thick">
        <color theme="4" tint="-0.499984740745262"/>
      </bottom>
      <diagonal/>
    </border>
    <border>
      <left style="thin">
        <color rgb="FFA5A5A5"/>
      </left>
      <right/>
      <top style="medium">
        <color rgb="FF002060"/>
      </top>
      <bottom/>
      <diagonal/>
    </border>
    <border>
      <left/>
      <right style="thin">
        <color rgb="FFA5A5A5"/>
      </right>
      <top/>
      <bottom style="thick">
        <color theme="4" tint="-0.499984740745262"/>
      </bottom>
      <diagonal/>
    </border>
    <border>
      <left style="thin">
        <color theme="0" tint="-0.34998626667073579"/>
      </left>
      <right style="medium">
        <color rgb="FF002060"/>
      </right>
      <top style="thick">
        <color theme="4" tint="-0.499984740745262"/>
      </top>
      <bottom style="thin">
        <color theme="0" tint="-0.34998626667073579"/>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ck">
        <color theme="4" tint="-0.499984740745262"/>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thin">
        <color rgb="FFA5A5A5"/>
      </left>
      <right style="medium">
        <color rgb="FF002060"/>
      </right>
      <top style="thick">
        <color theme="4" tint="-0.499984740745262"/>
      </top>
      <bottom style="thick">
        <color theme="4" tint="-0.499984740745262"/>
      </bottom>
      <diagonal/>
    </border>
    <border>
      <left style="thin">
        <color theme="0"/>
      </left>
      <right style="thin">
        <color theme="0"/>
      </right>
      <top/>
      <bottom style="thin">
        <color theme="0"/>
      </bottom>
      <diagonal/>
    </border>
    <border>
      <left style="thin">
        <color theme="0"/>
      </left>
      <right style="thick">
        <color theme="4" tint="-0.499984740745262"/>
      </right>
      <top/>
      <bottom style="thin">
        <color theme="0"/>
      </bottom>
      <diagonal/>
    </border>
    <border>
      <left style="thin">
        <color theme="0"/>
      </left>
      <right style="thick">
        <color theme="4" tint="-0.499984740745262"/>
      </right>
      <top style="thin">
        <color theme="0"/>
      </top>
      <bottom style="thick">
        <color theme="4" tint="-0.499984740745262"/>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right style="thin">
        <color theme="0"/>
      </right>
      <top style="thin">
        <color theme="0"/>
      </top>
      <bottom style="thick">
        <color theme="4" tint="-0.499984740745262"/>
      </bottom>
      <diagonal/>
    </border>
    <border>
      <left style="thick">
        <color theme="4" tint="-0.499984740745262"/>
      </left>
      <right style="thin">
        <color theme="0"/>
      </right>
      <top/>
      <bottom/>
      <diagonal/>
    </border>
    <border>
      <left style="thin">
        <color theme="0"/>
      </left>
      <right style="thin">
        <color theme="0"/>
      </right>
      <top/>
      <bottom/>
      <diagonal/>
    </border>
    <border>
      <left style="thick">
        <color theme="4" tint="-0.499984740745262"/>
      </left>
      <right style="thin">
        <color theme="0"/>
      </right>
      <top style="medium">
        <color theme="4" tint="-0.499984740745262"/>
      </top>
      <bottom style="thin">
        <color theme="0" tint="-0.34998626667073579"/>
      </bottom>
      <diagonal/>
    </border>
    <border>
      <left style="thin">
        <color theme="0"/>
      </left>
      <right style="medium">
        <color theme="4" tint="-0.499984740745262"/>
      </right>
      <top style="medium">
        <color theme="4" tint="-0.499984740745262"/>
      </top>
      <bottom style="thin">
        <color theme="0" tint="-0.34998626667073579"/>
      </bottom>
      <diagonal/>
    </border>
  </borders>
  <cellStyleXfs count="4">
    <xf numFmtId="0" fontId="0" fillId="0" borderId="0"/>
    <xf numFmtId="0" fontId="7" fillId="5" borderId="0" applyNumberFormat="0" applyBorder="0" applyAlignment="0" applyProtection="0"/>
    <xf numFmtId="0" fontId="20" fillId="8" borderId="0" applyNumberFormat="0" applyBorder="0" applyAlignment="0" applyProtection="0"/>
    <xf numFmtId="0" fontId="1" fillId="19" borderId="0" applyNumberFormat="0" applyBorder="0" applyAlignment="0" applyProtection="0"/>
  </cellStyleXfs>
  <cellXfs count="200">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8" fillId="2" borderId="16" xfId="0" applyFont="1" applyFill="1" applyBorder="1" applyAlignment="1">
      <alignment horizontal="center" vertical="center" wrapText="1"/>
    </xf>
    <xf numFmtId="0" fontId="8" fillId="2" borderId="19"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9" xfId="0" applyFont="1" applyFill="1" applyBorder="1" applyAlignment="1">
      <alignment horizontal="center" vertical="center"/>
    </xf>
    <xf numFmtId="0" fontId="9" fillId="2" borderId="28" xfId="0" applyFont="1" applyFill="1" applyBorder="1" applyAlignment="1">
      <alignment horizontal="center" vertical="center" wrapText="1"/>
    </xf>
    <xf numFmtId="0" fontId="9" fillId="2" borderId="29" xfId="0" applyFont="1" applyFill="1" applyBorder="1" applyAlignment="1">
      <alignment horizontal="center" vertical="center" wrapText="1"/>
    </xf>
    <xf numFmtId="0" fontId="6" fillId="2" borderId="30" xfId="0" applyFont="1" applyFill="1" applyBorder="1" applyAlignment="1">
      <alignment horizontal="center" vertical="center"/>
    </xf>
    <xf numFmtId="10" fontId="6" fillId="2" borderId="28" xfId="0" applyNumberFormat="1" applyFont="1" applyFill="1" applyBorder="1" applyAlignment="1">
      <alignment horizontal="center" vertical="center"/>
    </xf>
    <xf numFmtId="0" fontId="6" fillId="2" borderId="29" xfId="0" applyFont="1" applyFill="1" applyBorder="1" applyAlignment="1">
      <alignment horizontal="center" vertical="center"/>
    </xf>
    <xf numFmtId="3" fontId="9" fillId="2" borderId="29" xfId="0" applyNumberFormat="1" applyFont="1" applyFill="1" applyBorder="1" applyAlignment="1">
      <alignment horizontal="center" vertical="center" wrapText="1"/>
    </xf>
    <xf numFmtId="49" fontId="8" fillId="9" borderId="31" xfId="0" applyNumberFormat="1" applyFont="1" applyFill="1" applyBorder="1" applyAlignment="1">
      <alignment horizontal="center" vertical="center"/>
    </xf>
    <xf numFmtId="0" fontId="9" fillId="2" borderId="12" xfId="0" applyFont="1" applyFill="1" applyBorder="1" applyAlignment="1">
      <alignment horizontal="center" vertical="center" wrapText="1"/>
    </xf>
    <xf numFmtId="0" fontId="8" fillId="12" borderId="14" xfId="1" applyFont="1" applyFill="1" applyBorder="1" applyAlignment="1">
      <alignment horizontal="center" vertical="center" wrapText="1"/>
    </xf>
    <xf numFmtId="0" fontId="0" fillId="13" borderId="0" xfId="0" applyFill="1"/>
    <xf numFmtId="0" fontId="5" fillId="13" borderId="0" xfId="0" applyFont="1" applyFill="1" applyAlignment="1">
      <alignment vertical="center"/>
    </xf>
    <xf numFmtId="0" fontId="5" fillId="15" borderId="1" xfId="0" applyFont="1" applyFill="1" applyBorder="1" applyAlignment="1">
      <alignment vertical="center"/>
    </xf>
    <xf numFmtId="0" fontId="5" fillId="14" borderId="44" xfId="0" applyFont="1" applyFill="1" applyBorder="1" applyAlignment="1">
      <alignment horizontal="center"/>
    </xf>
    <xf numFmtId="0" fontId="5" fillId="14" borderId="45" xfId="0" applyFont="1" applyFill="1" applyBorder="1" applyAlignment="1">
      <alignment horizontal="center"/>
    </xf>
    <xf numFmtId="0" fontId="0" fillId="13" borderId="45" xfId="0" applyFill="1" applyBorder="1" applyAlignment="1">
      <alignment horizontal="center"/>
    </xf>
    <xf numFmtId="0" fontId="9" fillId="14" borderId="41" xfId="0" applyFont="1" applyFill="1" applyBorder="1"/>
    <xf numFmtId="0" fontId="9" fillId="14" borderId="42" xfId="0" applyFont="1" applyFill="1" applyBorder="1"/>
    <xf numFmtId="0" fontId="8" fillId="13" borderId="43" xfId="0" applyFont="1" applyFill="1" applyBorder="1"/>
    <xf numFmtId="0" fontId="15" fillId="13" borderId="6" xfId="0" applyFont="1" applyFill="1" applyBorder="1" applyAlignment="1">
      <alignment horizontal="left" vertical="center"/>
    </xf>
    <xf numFmtId="0" fontId="16" fillId="13" borderId="6" xfId="0" applyFont="1" applyFill="1" applyBorder="1" applyAlignment="1">
      <alignment horizontal="center" vertical="center"/>
    </xf>
    <xf numFmtId="3" fontId="16" fillId="16" borderId="8" xfId="0" applyNumberFormat="1" applyFont="1" applyFill="1" applyBorder="1" applyAlignment="1">
      <alignment horizontal="center" vertical="center"/>
    </xf>
    <xf numFmtId="0" fontId="15" fillId="13" borderId="7" xfId="0" applyFont="1" applyFill="1" applyBorder="1" applyAlignment="1">
      <alignment horizontal="left" vertical="center"/>
    </xf>
    <xf numFmtId="0" fontId="16" fillId="13" borderId="7" xfId="0" applyFont="1" applyFill="1" applyBorder="1" applyAlignment="1">
      <alignment horizontal="center" vertical="center"/>
    </xf>
    <xf numFmtId="3" fontId="16" fillId="16" borderId="9" xfId="0" applyNumberFormat="1" applyFont="1" applyFill="1" applyBorder="1" applyAlignment="1">
      <alignment horizontal="center" vertical="center"/>
    </xf>
    <xf numFmtId="0" fontId="4" fillId="13" borderId="7" xfId="0" applyFont="1" applyFill="1" applyBorder="1" applyAlignment="1">
      <alignment horizontal="left" vertical="center"/>
    </xf>
    <xf numFmtId="0" fontId="3" fillId="13" borderId="7" xfId="0" applyFont="1" applyFill="1" applyBorder="1" applyAlignment="1">
      <alignment horizontal="center" vertical="center"/>
    </xf>
    <xf numFmtId="3" fontId="3" fillId="13" borderId="9" xfId="0" applyNumberFormat="1" applyFont="1" applyFill="1" applyBorder="1" applyAlignment="1">
      <alignment vertical="center"/>
    </xf>
    <xf numFmtId="0" fontId="2" fillId="18" borderId="0" xfId="0" applyFont="1" applyFill="1"/>
    <xf numFmtId="0" fontId="22" fillId="18" borderId="0" xfId="0" applyFont="1" applyFill="1"/>
    <xf numFmtId="9" fontId="23" fillId="10" borderId="46" xfId="2" applyNumberFormat="1" applyFont="1" applyFill="1" applyBorder="1" applyAlignment="1">
      <alignment horizontal="center" vertical="center"/>
    </xf>
    <xf numFmtId="0" fontId="9" fillId="2" borderId="47" xfId="0" applyFont="1" applyFill="1" applyBorder="1" applyAlignment="1">
      <alignment horizontal="center" vertical="center"/>
    </xf>
    <xf numFmtId="0" fontId="9" fillId="2" borderId="47" xfId="0" applyFont="1" applyFill="1" applyBorder="1" applyAlignment="1">
      <alignment horizontal="center" vertical="center" wrapText="1"/>
    </xf>
    <xf numFmtId="0" fontId="6" fillId="2" borderId="47" xfId="0" applyFont="1" applyFill="1" applyBorder="1" applyAlignment="1">
      <alignment horizontal="center" vertical="center"/>
    </xf>
    <xf numFmtId="0" fontId="6" fillId="2" borderId="47" xfId="0" applyFont="1" applyFill="1" applyBorder="1" applyAlignment="1">
      <alignment horizontal="center" vertical="center" wrapText="1"/>
    </xf>
    <xf numFmtId="0" fontId="6" fillId="2"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9" fillId="7" borderId="47" xfId="0" applyFont="1" applyFill="1" applyBorder="1" applyAlignment="1">
      <alignment horizontal="center" vertical="center" wrapText="1"/>
    </xf>
    <xf numFmtId="0" fontId="9" fillId="2" borderId="50" xfId="0" applyFont="1" applyFill="1" applyBorder="1" applyAlignment="1">
      <alignment horizontal="center" vertical="center" wrapText="1"/>
    </xf>
    <xf numFmtId="0" fontId="9" fillId="2" borderId="51" xfId="0" applyFont="1" applyFill="1" applyBorder="1" applyAlignment="1">
      <alignment horizontal="center" vertical="center" wrapText="1"/>
    </xf>
    <xf numFmtId="0" fontId="8" fillId="6" borderId="47" xfId="1" applyFont="1" applyFill="1" applyBorder="1" applyAlignment="1">
      <alignment horizontal="center" vertical="center" wrapText="1"/>
    </xf>
    <xf numFmtId="0" fontId="8" fillId="6" borderId="50" xfId="1" applyFont="1" applyFill="1" applyBorder="1" applyAlignment="1">
      <alignment horizontal="center" vertical="center" wrapText="1"/>
    </xf>
    <xf numFmtId="3" fontId="26" fillId="16" borderId="17" xfId="0" applyNumberFormat="1" applyFont="1" applyFill="1" applyBorder="1" applyAlignment="1">
      <alignment horizontal="right" vertical="center" indent="1"/>
    </xf>
    <xf numFmtId="3" fontId="26" fillId="16" borderId="6" xfId="0" applyNumberFormat="1" applyFont="1" applyFill="1" applyBorder="1" applyAlignment="1">
      <alignment horizontal="right" vertical="center" indent="1"/>
    </xf>
    <xf numFmtId="3" fontId="26" fillId="13" borderId="18" xfId="0" applyNumberFormat="1" applyFont="1" applyFill="1" applyBorder="1" applyAlignment="1">
      <alignment horizontal="right" vertical="center" indent="1"/>
    </xf>
    <xf numFmtId="3" fontId="26" fillId="13" borderId="7" xfId="0" applyNumberFormat="1" applyFont="1" applyFill="1" applyBorder="1" applyAlignment="1">
      <alignment horizontal="right" vertical="center" indent="1"/>
    </xf>
    <xf numFmtId="3" fontId="5" fillId="14" borderId="38" xfId="0" applyNumberFormat="1" applyFont="1" applyFill="1" applyBorder="1" applyAlignment="1">
      <alignment horizontal="center"/>
    </xf>
    <xf numFmtId="3" fontId="5" fillId="14" borderId="39" xfId="0" applyNumberFormat="1" applyFont="1" applyFill="1" applyBorder="1" applyAlignment="1">
      <alignment horizontal="center"/>
    </xf>
    <xf numFmtId="3" fontId="0" fillId="13" borderId="40" xfId="0" applyNumberFormat="1" applyFill="1" applyBorder="1" applyAlignment="1">
      <alignment horizontal="center"/>
    </xf>
    <xf numFmtId="3" fontId="5" fillId="14" borderId="41" xfId="0" applyNumberFormat="1" applyFont="1" applyFill="1" applyBorder="1" applyAlignment="1">
      <alignment horizontal="center"/>
    </xf>
    <xf numFmtId="3" fontId="5" fillId="14" borderId="42" xfId="0" applyNumberFormat="1" applyFont="1" applyFill="1" applyBorder="1" applyAlignment="1">
      <alignment horizontal="center"/>
    </xf>
    <xf numFmtId="3" fontId="0" fillId="13" borderId="43" xfId="0" applyNumberFormat="1" applyFill="1" applyBorder="1" applyAlignment="1">
      <alignment horizontal="center"/>
    </xf>
    <xf numFmtId="10" fontId="0" fillId="13" borderId="35" xfId="0" applyNumberFormat="1" applyFill="1" applyBorder="1"/>
    <xf numFmtId="3" fontId="0" fillId="13" borderId="36" xfId="0" applyNumberFormat="1" applyFill="1" applyBorder="1"/>
    <xf numFmtId="3" fontId="0" fillId="13" borderId="37" xfId="0" applyNumberFormat="1" applyFill="1" applyBorder="1"/>
    <xf numFmtId="10" fontId="0" fillId="0" borderId="37" xfId="0" applyNumberFormat="1" applyBorder="1"/>
    <xf numFmtId="0" fontId="0" fillId="13" borderId="36" xfId="0" applyFill="1" applyBorder="1"/>
    <xf numFmtId="10" fontId="0" fillId="0" borderId="36" xfId="0" applyNumberFormat="1" applyBorder="1" applyAlignment="1">
      <alignment vertical="center"/>
    </xf>
    <xf numFmtId="10" fontId="5" fillId="3" borderId="33" xfId="0" applyNumberFormat="1" applyFont="1" applyFill="1" applyBorder="1" applyAlignment="1">
      <alignment horizontal="right" vertical="center" indent="1"/>
    </xf>
    <xf numFmtId="3" fontId="5" fillId="14" borderId="33" xfId="0" applyNumberFormat="1" applyFont="1" applyFill="1" applyBorder="1" applyAlignment="1">
      <alignment horizontal="right" indent="1"/>
    </xf>
    <xf numFmtId="10" fontId="5" fillId="3" borderId="34" xfId="0" applyNumberFormat="1" applyFont="1" applyFill="1" applyBorder="1" applyAlignment="1">
      <alignment horizontal="right" indent="1"/>
    </xf>
    <xf numFmtId="10" fontId="0" fillId="13" borderId="32" xfId="0" applyNumberFormat="1" applyFill="1" applyBorder="1" applyAlignment="1">
      <alignment horizontal="right" indent="1"/>
    </xf>
    <xf numFmtId="10" fontId="0" fillId="13" borderId="33" xfId="0" applyNumberFormat="1" applyFill="1" applyBorder="1" applyAlignment="1">
      <alignment horizontal="right" indent="1"/>
    </xf>
    <xf numFmtId="3" fontId="0" fillId="13" borderId="33" xfId="0" applyNumberFormat="1" applyFill="1" applyBorder="1" applyAlignment="1">
      <alignment horizontal="right" indent="1"/>
    </xf>
    <xf numFmtId="3" fontId="0" fillId="13" borderId="34" xfId="0" applyNumberFormat="1" applyFill="1" applyBorder="1" applyAlignment="1">
      <alignment horizontal="right" indent="1"/>
    </xf>
    <xf numFmtId="10" fontId="5" fillId="3" borderId="36" xfId="0" applyNumberFormat="1" applyFont="1" applyFill="1" applyBorder="1" applyAlignment="1">
      <alignment horizontal="right" vertical="center" indent="1"/>
    </xf>
    <xf numFmtId="3" fontId="5" fillId="14" borderId="36" xfId="0" applyNumberFormat="1" applyFont="1" applyFill="1" applyBorder="1" applyAlignment="1">
      <alignment horizontal="right" indent="1"/>
    </xf>
    <xf numFmtId="10" fontId="5" fillId="3" borderId="37" xfId="0" applyNumberFormat="1" applyFont="1" applyFill="1" applyBorder="1" applyAlignment="1">
      <alignment horizontal="right" indent="1"/>
    </xf>
    <xf numFmtId="10" fontId="0" fillId="13" borderId="35" xfId="0" applyNumberFormat="1" applyFill="1" applyBorder="1" applyAlignment="1">
      <alignment horizontal="right" indent="1"/>
    </xf>
    <xf numFmtId="10" fontId="0" fillId="13" borderId="36" xfId="0" applyNumberFormat="1" applyFill="1" applyBorder="1" applyAlignment="1">
      <alignment horizontal="right" indent="1"/>
    </xf>
    <xf numFmtId="3" fontId="0" fillId="13" borderId="36" xfId="0" applyNumberFormat="1" applyFill="1" applyBorder="1" applyAlignment="1">
      <alignment horizontal="right" indent="1"/>
    </xf>
    <xf numFmtId="3" fontId="0" fillId="13" borderId="37" xfId="0" applyNumberFormat="1" applyFill="1" applyBorder="1" applyAlignment="1">
      <alignment horizontal="right" indent="1"/>
    </xf>
    <xf numFmtId="10" fontId="0" fillId="0" borderId="36" xfId="0" applyNumberFormat="1" applyBorder="1" applyAlignment="1">
      <alignment horizontal="right" vertical="center" indent="1"/>
    </xf>
    <xf numFmtId="10" fontId="0" fillId="0" borderId="37" xfId="0" applyNumberFormat="1" applyBorder="1" applyAlignment="1">
      <alignment horizontal="right" indent="1"/>
    </xf>
    <xf numFmtId="0" fontId="0" fillId="13" borderId="36" xfId="0" applyFill="1" applyBorder="1" applyAlignment="1">
      <alignment horizontal="right" indent="1"/>
    </xf>
    <xf numFmtId="3" fontId="5" fillId="14" borderId="32" xfId="0" applyNumberFormat="1" applyFont="1" applyFill="1" applyBorder="1" applyAlignment="1">
      <alignment horizontal="right" indent="1"/>
    </xf>
    <xf numFmtId="3" fontId="5" fillId="14" borderId="35" xfId="0" applyNumberFormat="1" applyFont="1" applyFill="1" applyBorder="1" applyAlignment="1">
      <alignment horizontal="right" indent="1"/>
    </xf>
    <xf numFmtId="3" fontId="0" fillId="13" borderId="35" xfId="0" applyNumberFormat="1" applyFill="1" applyBorder="1" applyAlignment="1">
      <alignment horizontal="right" indent="1"/>
    </xf>
    <xf numFmtId="3" fontId="13" fillId="0" borderId="23" xfId="0" applyNumberFormat="1" applyFont="1" applyBorder="1" applyAlignment="1">
      <alignment horizontal="right" indent="1"/>
    </xf>
    <xf numFmtId="3" fontId="13" fillId="0" borderId="7" xfId="0" applyNumberFormat="1" applyFont="1" applyBorder="1" applyAlignment="1">
      <alignment horizontal="right" indent="1"/>
    </xf>
    <xf numFmtId="3" fontId="14" fillId="0" borderId="7" xfId="0" applyNumberFormat="1" applyFont="1" applyBorder="1" applyAlignment="1">
      <alignment horizontal="right" indent="1"/>
    </xf>
    <xf numFmtId="3" fontId="14" fillId="0" borderId="9" xfId="0" applyNumberFormat="1" applyFont="1" applyBorder="1" applyAlignment="1">
      <alignment horizontal="right" indent="1"/>
    </xf>
    <xf numFmtId="3" fontId="14" fillId="0" borderId="22" xfId="0" applyNumberFormat="1" applyFont="1" applyBorder="1" applyAlignment="1">
      <alignment horizontal="right" indent="1"/>
    </xf>
    <xf numFmtId="3" fontId="21" fillId="4" borderId="13" xfId="0" applyNumberFormat="1" applyFont="1" applyFill="1" applyBorder="1" applyAlignment="1">
      <alignment horizontal="right" indent="1"/>
    </xf>
    <xf numFmtId="10" fontId="18" fillId="11" borderId="15" xfId="0" applyNumberFormat="1" applyFont="1" applyFill="1" applyBorder="1" applyAlignment="1">
      <alignment horizontal="right" indent="1"/>
    </xf>
    <xf numFmtId="10" fontId="19" fillId="0" borderId="11" xfId="0" applyNumberFormat="1" applyFont="1" applyBorder="1" applyAlignment="1">
      <alignment horizontal="right" indent="1"/>
    </xf>
    <xf numFmtId="10" fontId="14" fillId="0" borderId="6" xfId="0" applyNumberFormat="1" applyFont="1" applyBorder="1" applyAlignment="1">
      <alignment horizontal="right" indent="1"/>
    </xf>
    <xf numFmtId="10" fontId="18" fillId="3" borderId="5" xfId="0" applyNumberFormat="1" applyFont="1" applyFill="1" applyBorder="1" applyAlignment="1">
      <alignment horizontal="right" indent="1"/>
    </xf>
    <xf numFmtId="10" fontId="18" fillId="3" borderId="8" xfId="0" applyNumberFormat="1" applyFont="1" applyFill="1" applyBorder="1" applyAlignment="1">
      <alignment horizontal="right" indent="1"/>
    </xf>
    <xf numFmtId="0" fontId="21" fillId="4" borderId="13" xfId="0" applyFont="1" applyFill="1" applyBorder="1" applyAlignment="1">
      <alignment horizontal="right" indent="1"/>
    </xf>
    <xf numFmtId="0" fontId="2" fillId="0" borderId="0" xfId="0" applyFont="1" applyAlignment="1">
      <alignment horizontal="right" indent="1"/>
    </xf>
    <xf numFmtId="0" fontId="22" fillId="10" borderId="0" xfId="0" applyFont="1" applyFill="1" applyAlignment="1">
      <alignment horizontal="right" indent="1"/>
    </xf>
    <xf numFmtId="0" fontId="2" fillId="17" borderId="0" xfId="0" applyFont="1" applyFill="1" applyAlignment="1">
      <alignment horizontal="right" indent="1"/>
    </xf>
    <xf numFmtId="0" fontId="2" fillId="18" borderId="0" xfId="0" applyFont="1" applyFill="1" applyAlignment="1">
      <alignment horizontal="right" indent="1"/>
    </xf>
    <xf numFmtId="10" fontId="2" fillId="18" borderId="0" xfId="0" applyNumberFormat="1" applyFont="1" applyFill="1" applyAlignment="1">
      <alignment horizontal="right" indent="1"/>
    </xf>
    <xf numFmtId="3" fontId="2" fillId="18" borderId="0" xfId="0" applyNumberFormat="1" applyFont="1" applyFill="1" applyAlignment="1">
      <alignment horizontal="right" indent="1"/>
    </xf>
    <xf numFmtId="0" fontId="29" fillId="18" borderId="0" xfId="0" applyFont="1" applyFill="1"/>
    <xf numFmtId="3" fontId="30" fillId="0" borderId="22" xfId="0" applyNumberFormat="1" applyFont="1" applyBorder="1" applyAlignment="1">
      <alignment horizontal="right" indent="1"/>
    </xf>
    <xf numFmtId="0" fontId="31" fillId="0" borderId="0" xfId="0" applyFont="1" applyAlignment="1">
      <alignment horizontal="right" indent="1"/>
    </xf>
    <xf numFmtId="0" fontId="31" fillId="18" borderId="0" xfId="0" applyFont="1" applyFill="1"/>
    <xf numFmtId="0" fontId="8" fillId="0" borderId="24" xfId="0" applyFont="1" applyBorder="1"/>
    <xf numFmtId="3" fontId="18" fillId="0" borderId="23" xfId="0" applyNumberFormat="1" applyFont="1" applyBorder="1" applyAlignment="1">
      <alignment horizontal="center"/>
    </xf>
    <xf numFmtId="3" fontId="18" fillId="0" borderId="7" xfId="0" applyNumberFormat="1" applyFont="1" applyBorder="1" applyAlignment="1">
      <alignment horizontal="center"/>
    </xf>
    <xf numFmtId="3" fontId="18" fillId="0" borderId="7" xfId="0" applyNumberFormat="1" applyFont="1" applyBorder="1" applyAlignment="1">
      <alignment horizontal="right" indent="1"/>
    </xf>
    <xf numFmtId="49" fontId="8" fillId="0" borderId="25" xfId="0" applyNumberFormat="1" applyFont="1" applyBorder="1"/>
    <xf numFmtId="49" fontId="8" fillId="0" borderId="0" xfId="0" applyNumberFormat="1" applyFont="1"/>
    <xf numFmtId="0" fontId="2" fillId="0" borderId="0" xfId="0" applyFont="1" applyAlignment="1">
      <alignment horizontal="center"/>
    </xf>
    <xf numFmtId="10" fontId="28" fillId="0" borderId="7" xfId="0" applyNumberFormat="1" applyFont="1" applyBorder="1" applyAlignment="1">
      <alignment horizontal="right" indent="1"/>
    </xf>
    <xf numFmtId="0" fontId="29" fillId="0" borderId="0" xfId="0" applyFont="1" applyAlignment="1">
      <alignment horizontal="right" indent="1"/>
    </xf>
    <xf numFmtId="10" fontId="28" fillId="0" borderId="26" xfId="0" applyNumberFormat="1" applyFont="1" applyBorder="1" applyAlignment="1">
      <alignment horizontal="right" indent="1"/>
    </xf>
    <xf numFmtId="0" fontId="29" fillId="0" borderId="27" xfId="0" applyFont="1" applyBorder="1" applyAlignment="1">
      <alignment horizontal="right" indent="1"/>
    </xf>
    <xf numFmtId="0" fontId="32" fillId="0" borderId="0" xfId="0" applyFont="1" applyAlignment="1">
      <alignment horizontal="right" indent="1"/>
    </xf>
    <xf numFmtId="3" fontId="33" fillId="0" borderId="22" xfId="0" applyNumberFormat="1" applyFont="1" applyBorder="1" applyAlignment="1">
      <alignment horizontal="right" indent="1"/>
    </xf>
    <xf numFmtId="10" fontId="30" fillId="0" borderId="6" xfId="0" applyNumberFormat="1" applyFont="1" applyBorder="1" applyAlignment="1">
      <alignment horizontal="right" indent="1"/>
    </xf>
    <xf numFmtId="3" fontId="34" fillId="20" borderId="52" xfId="3" applyNumberFormat="1" applyFont="1" applyFill="1" applyBorder="1" applyAlignment="1">
      <alignment horizontal="center" vertical="center" wrapText="1"/>
    </xf>
    <xf numFmtId="3" fontId="34" fillId="20" borderId="53" xfId="3" applyNumberFormat="1" applyFont="1" applyFill="1" applyBorder="1" applyAlignment="1">
      <alignment horizontal="center" vertical="center" wrapText="1"/>
    </xf>
    <xf numFmtId="9" fontId="35" fillId="10" borderId="54" xfId="2" applyNumberFormat="1" applyFont="1" applyFill="1" applyBorder="1" applyAlignment="1">
      <alignment horizontal="center" vertical="center"/>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6" fillId="0" borderId="25" xfId="0" applyNumberFormat="1" applyFont="1" applyBorder="1"/>
    <xf numFmtId="3" fontId="37" fillId="0" borderId="25" xfId="0" applyNumberFormat="1" applyFont="1" applyBorder="1"/>
    <xf numFmtId="10" fontId="36" fillId="0" borderId="55" xfId="0" applyNumberFormat="1" applyFont="1" applyBorder="1"/>
    <xf numFmtId="3" fontId="37" fillId="0" borderId="55" xfId="0" applyNumberFormat="1" applyFont="1" applyBorder="1"/>
    <xf numFmtId="0" fontId="6" fillId="2" borderId="56" xfId="0" applyFont="1" applyFill="1" applyBorder="1" applyAlignment="1">
      <alignment horizontal="center" vertical="center"/>
    </xf>
    <xf numFmtId="3" fontId="9" fillId="2" borderId="56" xfId="0" applyNumberFormat="1" applyFont="1" applyFill="1" applyBorder="1" applyAlignment="1">
      <alignment horizontal="center" vertical="center" wrapText="1"/>
    </xf>
    <xf numFmtId="10" fontId="6" fillId="2" borderId="57" xfId="0" applyNumberFormat="1" applyFont="1" applyFill="1" applyBorder="1" applyAlignment="1">
      <alignment horizontal="center" vertical="center"/>
    </xf>
    <xf numFmtId="10" fontId="36" fillId="0" borderId="58" xfId="0" applyNumberFormat="1" applyFont="1" applyBorder="1"/>
    <xf numFmtId="10" fontId="36" fillId="0" borderId="59" xfId="0" applyNumberFormat="1" applyFont="1" applyBorder="1"/>
    <xf numFmtId="3" fontId="9" fillId="2" borderId="60" xfId="0" applyNumberFormat="1" applyFont="1" applyFill="1" applyBorder="1" applyAlignment="1">
      <alignment horizontal="center" vertical="center" wrapText="1"/>
    </xf>
    <xf numFmtId="3" fontId="37" fillId="0" borderId="61" xfId="0" applyNumberFormat="1" applyFont="1" applyBorder="1"/>
    <xf numFmtId="3" fontId="37" fillId="0" borderId="62" xfId="0" applyNumberFormat="1" applyFont="1" applyBorder="1"/>
    <xf numFmtId="3" fontId="2" fillId="0" borderId="62" xfId="0" applyNumberFormat="1" applyFont="1" applyBorder="1" applyAlignment="1">
      <alignment horizontal="right" indent="1"/>
    </xf>
    <xf numFmtId="0" fontId="29" fillId="18" borderId="63" xfId="0" applyFont="1" applyFill="1" applyBorder="1"/>
    <xf numFmtId="0" fontId="8" fillId="2" borderId="65" xfId="0" applyFont="1" applyFill="1" applyBorder="1" applyAlignment="1">
      <alignment horizontal="center" vertical="center"/>
    </xf>
    <xf numFmtId="0" fontId="8" fillId="2" borderId="66" xfId="0" applyFont="1" applyFill="1" applyBorder="1" applyAlignment="1">
      <alignment horizontal="center" vertical="center"/>
    </xf>
    <xf numFmtId="0" fontId="8" fillId="2" borderId="67" xfId="0" applyFont="1" applyFill="1" applyBorder="1" applyAlignment="1">
      <alignment horizontal="center" vertical="center" wrapText="1"/>
    </xf>
    <xf numFmtId="0" fontId="8" fillId="2" borderId="65" xfId="0" applyFont="1" applyFill="1" applyBorder="1" applyAlignment="1">
      <alignment horizontal="center" vertical="center" wrapText="1"/>
    </xf>
    <xf numFmtId="0" fontId="8" fillId="2" borderId="66" xfId="0" applyFont="1" applyFill="1" applyBorder="1" applyAlignment="1">
      <alignment horizontal="center" vertical="center" wrapText="1"/>
    </xf>
    <xf numFmtId="0" fontId="4" fillId="13" borderId="0" xfId="0" applyFont="1" applyFill="1" applyAlignment="1">
      <alignment horizontal="left" vertical="center"/>
    </xf>
    <xf numFmtId="0" fontId="3" fillId="13" borderId="0" xfId="0" applyFont="1" applyFill="1" applyAlignment="1">
      <alignment horizontal="center" vertical="center"/>
    </xf>
    <xf numFmtId="3" fontId="3" fillId="13" borderId="0" xfId="0" applyNumberFormat="1" applyFont="1" applyFill="1" applyAlignment="1">
      <alignment vertical="center"/>
    </xf>
    <xf numFmtId="3" fontId="3" fillId="13" borderId="0" xfId="0" applyNumberFormat="1" applyFont="1" applyFill="1" applyAlignment="1">
      <alignment horizontal="right" vertical="center" indent="1"/>
    </xf>
    <xf numFmtId="3" fontId="26" fillId="13" borderId="0" xfId="0" applyNumberFormat="1" applyFont="1" applyFill="1" applyAlignment="1">
      <alignment horizontal="right" vertical="center" indent="1"/>
    </xf>
    <xf numFmtId="3" fontId="26" fillId="13" borderId="68" xfId="0" applyNumberFormat="1" applyFont="1" applyFill="1" applyBorder="1" applyAlignment="1">
      <alignment horizontal="right" vertical="center" indent="1"/>
    </xf>
    <xf numFmtId="0" fontId="4" fillId="13" borderId="69" xfId="0" applyFont="1" applyFill="1" applyBorder="1" applyAlignment="1">
      <alignment horizontal="left" vertical="center"/>
    </xf>
    <xf numFmtId="0" fontId="3" fillId="13" borderId="69" xfId="0" applyFont="1" applyFill="1" applyBorder="1" applyAlignment="1">
      <alignment horizontal="center" vertical="center"/>
    </xf>
    <xf numFmtId="3" fontId="3" fillId="13" borderId="69" xfId="0" applyNumberFormat="1" applyFont="1" applyFill="1" applyBorder="1" applyAlignment="1">
      <alignment vertical="center"/>
    </xf>
    <xf numFmtId="3" fontId="3" fillId="13" borderId="69" xfId="0" applyNumberFormat="1" applyFont="1" applyFill="1" applyBorder="1" applyAlignment="1">
      <alignment horizontal="right" vertical="center" indent="1"/>
    </xf>
    <xf numFmtId="3" fontId="26" fillId="13" borderId="69" xfId="0" applyNumberFormat="1" applyFont="1" applyFill="1" applyBorder="1" applyAlignment="1">
      <alignment horizontal="right" vertical="center" indent="1"/>
    </xf>
    <xf numFmtId="3" fontId="26" fillId="13" borderId="64" xfId="0" applyNumberFormat="1" applyFont="1" applyFill="1" applyBorder="1" applyAlignment="1">
      <alignment horizontal="right" vertical="center" indent="1"/>
    </xf>
    <xf numFmtId="3" fontId="35" fillId="10" borderId="54" xfId="2" applyNumberFormat="1" applyFont="1" applyFill="1" applyBorder="1" applyAlignment="1">
      <alignment horizontal="center" vertical="center"/>
    </xf>
    <xf numFmtId="3" fontId="35" fillId="10" borderId="21" xfId="2" applyNumberFormat="1" applyFont="1" applyFill="1" applyBorder="1" applyAlignment="1">
      <alignment horizontal="center" vertical="center"/>
    </xf>
    <xf numFmtId="3" fontId="34" fillId="20" borderId="70" xfId="3" applyNumberFormat="1" applyFont="1" applyFill="1" applyBorder="1" applyAlignment="1">
      <alignment horizontal="center" vertical="center" wrapText="1"/>
    </xf>
    <xf numFmtId="9" fontId="35" fillId="10" borderId="9" xfId="2" applyNumberFormat="1" applyFont="1" applyFill="1" applyBorder="1" applyAlignment="1">
      <alignment horizontal="center" vertical="center"/>
    </xf>
    <xf numFmtId="3" fontId="8" fillId="2" borderId="71" xfId="0" applyNumberFormat="1" applyFont="1" applyFill="1" applyBorder="1" applyAlignment="1">
      <alignment horizontal="center" vertical="center" wrapText="1"/>
    </xf>
    <xf numFmtId="3" fontId="8" fillId="2" borderId="79" xfId="0" applyNumberFormat="1" applyFont="1" applyFill="1" applyBorder="1" applyAlignment="1">
      <alignment horizontal="center" vertical="center" wrapText="1"/>
    </xf>
    <xf numFmtId="0" fontId="3" fillId="0" borderId="80" xfId="0" applyFont="1" applyBorder="1" applyAlignment="1">
      <alignment horizontal="center" vertical="center"/>
    </xf>
    <xf numFmtId="0" fontId="3" fillId="0" borderId="81" xfId="0" applyFont="1" applyBorder="1" applyAlignment="1">
      <alignment horizontal="center" vertical="center"/>
    </xf>
    <xf numFmtId="0" fontId="3" fillId="0" borderId="82" xfId="0" applyFont="1" applyBorder="1" applyAlignment="1">
      <alignment horizontal="center" vertical="center"/>
    </xf>
    <xf numFmtId="3" fontId="37" fillId="16" borderId="17" xfId="0" applyNumberFormat="1" applyFont="1" applyFill="1" applyBorder="1" applyAlignment="1">
      <alignment horizontal="right" vertical="center" indent="1"/>
    </xf>
    <xf numFmtId="3" fontId="37" fillId="16" borderId="6" xfId="0" applyNumberFormat="1" applyFont="1" applyFill="1" applyBorder="1" applyAlignment="1">
      <alignment horizontal="right" vertical="center" indent="1"/>
    </xf>
    <xf numFmtId="3" fontId="37" fillId="16" borderId="8" xfId="0" applyNumberFormat="1" applyFont="1" applyFill="1" applyBorder="1" applyAlignment="1">
      <alignment horizontal="right" vertical="center" indent="1"/>
    </xf>
    <xf numFmtId="3" fontId="37" fillId="13" borderId="18" xfId="0" applyNumberFormat="1" applyFont="1" applyFill="1" applyBorder="1" applyAlignment="1">
      <alignment horizontal="right" vertical="center" indent="1"/>
    </xf>
    <xf numFmtId="3" fontId="37" fillId="13" borderId="7" xfId="0" applyNumberFormat="1" applyFont="1" applyFill="1" applyBorder="1" applyAlignment="1">
      <alignment horizontal="right" vertical="center" indent="1"/>
    </xf>
    <xf numFmtId="3" fontId="37" fillId="13" borderId="9" xfId="0" applyNumberFormat="1" applyFont="1" applyFill="1" applyBorder="1" applyAlignment="1">
      <alignment horizontal="right" vertical="center" indent="1"/>
    </xf>
    <xf numFmtId="3" fontId="26" fillId="13" borderId="6" xfId="0" applyNumberFormat="1" applyFont="1" applyFill="1" applyBorder="1" applyAlignment="1">
      <alignment horizontal="center" vertical="center"/>
    </xf>
    <xf numFmtId="3" fontId="26" fillId="13" borderId="20" xfId="0" applyNumberFormat="1" applyFont="1" applyFill="1" applyBorder="1" applyAlignment="1">
      <alignment horizontal="center" vertical="center"/>
    </xf>
    <xf numFmtId="3" fontId="26" fillId="13" borderId="7" xfId="0" applyNumberFormat="1" applyFont="1" applyFill="1" applyBorder="1" applyAlignment="1">
      <alignment vertical="center"/>
    </xf>
    <xf numFmtId="3" fontId="26" fillId="13" borderId="21" xfId="0" applyNumberFormat="1" applyFont="1" applyFill="1" applyBorder="1" applyAlignment="1">
      <alignment vertical="center"/>
    </xf>
    <xf numFmtId="3" fontId="43" fillId="0" borderId="75" xfId="0" applyNumberFormat="1" applyFont="1" applyBorder="1" applyAlignment="1">
      <alignment horizontal="center" vertical="center"/>
    </xf>
    <xf numFmtId="3" fontId="43" fillId="0" borderId="76" xfId="0" applyNumberFormat="1" applyFont="1" applyBorder="1" applyAlignment="1">
      <alignment horizontal="center" vertical="center"/>
    </xf>
    <xf numFmtId="3" fontId="43" fillId="0" borderId="77" xfId="0" applyNumberFormat="1" applyFont="1" applyBorder="1" applyAlignment="1">
      <alignment horizontal="center" vertical="center"/>
    </xf>
    <xf numFmtId="3" fontId="43" fillId="0" borderId="72" xfId="0" applyNumberFormat="1" applyFont="1" applyBorder="1" applyAlignment="1">
      <alignment horizontal="center" vertical="center"/>
    </xf>
    <xf numFmtId="3" fontId="43" fillId="0" borderId="73" xfId="0" applyNumberFormat="1" applyFont="1" applyBorder="1" applyAlignment="1">
      <alignment horizontal="center" vertical="center"/>
    </xf>
    <xf numFmtId="3" fontId="43" fillId="0" borderId="74" xfId="0" applyNumberFormat="1" applyFont="1" applyBorder="1" applyAlignment="1">
      <alignment horizontal="center" vertical="center"/>
    </xf>
    <xf numFmtId="3" fontId="43" fillId="0" borderId="78" xfId="0" applyNumberFormat="1" applyFont="1" applyBorder="1" applyAlignment="1">
      <alignment horizontal="center" vertical="center"/>
    </xf>
    <xf numFmtId="0" fontId="8" fillId="2" borderId="83" xfId="0" applyFont="1" applyFill="1" applyBorder="1" applyAlignment="1">
      <alignment horizontal="center" vertical="center" wrapText="1"/>
    </xf>
    <xf numFmtId="0" fontId="8" fillId="2" borderId="84" xfId="0" applyFont="1" applyFill="1" applyBorder="1" applyAlignment="1">
      <alignment horizontal="center" vertical="center" wrapText="1"/>
    </xf>
    <xf numFmtId="0" fontId="3" fillId="0" borderId="85" xfId="0" applyFont="1" applyBorder="1" applyAlignment="1">
      <alignment horizontal="center" vertical="center"/>
    </xf>
    <xf numFmtId="3" fontId="3" fillId="0" borderId="86" xfId="0" applyNumberFormat="1" applyFont="1" applyBorder="1" applyAlignment="1">
      <alignment horizontal="center" vertical="center"/>
    </xf>
    <xf numFmtId="3" fontId="29" fillId="0" borderId="87" xfId="0" applyNumberFormat="1" applyFont="1" applyBorder="1" applyAlignment="1">
      <alignment horizontal="center" vertical="center"/>
    </xf>
    <xf numFmtId="3" fontId="44" fillId="21" borderId="88" xfId="0" applyNumberFormat="1" applyFont="1" applyFill="1" applyBorder="1" applyAlignment="1">
      <alignment horizontal="center" vertical="center"/>
    </xf>
    <xf numFmtId="3" fontId="45" fillId="21" borderId="89" xfId="0" applyNumberFormat="1" applyFont="1" applyFill="1" applyBorder="1" applyAlignment="1">
      <alignment horizontal="center" vertical="center"/>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cellXfs>
  <cellStyles count="4">
    <cellStyle name="40% - Accent1" xfId="3" builtinId="31"/>
    <cellStyle name="Good" xfId="1" builtinId="26"/>
    <cellStyle name="Neutral" xfId="2" builtinId="28"/>
    <cellStyle name="Normal"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8CDB2"/>
      <color rgb="FFFEF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17">
    <queryTableFields count="1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5" tableType="queryTable" totalsRowShown="0">
  <autoFilter ref="A1:J5" xr:uid="{BC31CC83-B77A-4DE6-A856-B60572C32C40}"/>
  <tableColumns count="10">
    <tableColumn id="1" xr3:uid="{EBD8B6B3-ACFC-4AA3-8DCC-17E39FD4045C}" uniqueName="1" name="Column1" queryTableFieldId="1" dataDxfId="11"/>
    <tableColumn id="2" xr3:uid="{B75F213B-1DB7-4812-84B9-2F5E471F4D99}" uniqueName="2" name="Column2" queryTableFieldId="2" dataDxfId="10"/>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dataDxfId="9"/>
    <tableColumn id="8" xr3:uid="{8A865ADF-898B-4161-A1C5-95BAEF343208}" uniqueName="8" name="Column8" queryTableFieldId="8" dataDxfId="8"/>
    <tableColumn id="9" xr3:uid="{2AD43299-A900-4FCC-BF24-BBEB3A1DB184}" uniqueName="9" name="Column9" queryTableFieldId="9" dataDxfId="7"/>
    <tableColumn id="10" xr3:uid="{48136480-81D8-4D90-9640-F65B07008F61}" uniqueName="10" name="Column10" queryTableFieldId="10" dataDxfId="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1:P51" tableType="queryTable" totalsRowShown="0">
  <autoFilter ref="A1:P51" xr:uid="{881E1FE8-EB99-459F-B5D3-B3860D81537E}"/>
  <tableColumns count="16">
    <tableColumn id="1" xr3:uid="{B798DB88-01F9-48D4-9402-2A7464C0BBD2}" uniqueName="1" name="Column1" queryTableFieldId="1" dataDxfId="5"/>
    <tableColumn id="2" xr3:uid="{76B0291C-1159-4563-BCBC-D9AFAF01896C}" uniqueName="2" name="Column2" queryTableFieldId="2" dataDxfId="4"/>
    <tableColumn id="3" xr3:uid="{A4CA6731-4904-4443-BA05-37F884E94806}" uniqueName="3" name="Column3" queryTableFieldId="3" dataDxfId="3"/>
    <tableColumn id="4" xr3:uid="{C6BC4B36-7D50-42B5-A690-4A02FDCAC4FA}" uniqueName="4" name="Column4" queryTableFieldId="4" dataDxfId="2"/>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1"/>
    <tableColumn id="15" xr3:uid="{1D7B2EBE-9168-4B69-AD00-28F632AF68B5}" uniqueName="15" name="Column15" queryTableFieldId="15" dataDxfId="0"/>
    <tableColumn id="16" xr3:uid="{F83CAE01-818E-4227-8312-54BA9374941A}" uniqueName="16" name="Column16"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1" topLeftCell="C1" activePane="topRight" state="frozen"/>
      <selection activeCell="B1" sqref="B1"/>
      <selection pane="topRight" activeCell="B35" sqref="B35"/>
    </sheetView>
  </sheetViews>
  <sheetFormatPr defaultColWidth="14.42578125" defaultRowHeight="15" customHeight="1" x14ac:dyDescent="0.25"/>
  <cols>
    <col min="1" max="1" width="4.42578125" hidden="1" customWidth="1"/>
    <col min="2" max="2" width="51.5703125" style="33" customWidth="1"/>
    <col min="3" max="3" width="20" style="30" customWidth="1"/>
    <col min="4" max="4" width="16.85546875" style="63" customWidth="1"/>
    <col min="5" max="5" width="22.140625" style="66" customWidth="1"/>
    <col min="6" max="6" width="15.7109375" style="92" customWidth="1"/>
    <col min="7" max="7" width="16" style="72" customWidth="1"/>
    <col min="8" max="8" width="15.7109375" style="68" customWidth="1"/>
    <col min="9" max="9" width="18.140625" style="70" customWidth="1"/>
    <col min="10" max="10" width="18" style="67" customWidth="1"/>
    <col min="11" max="11" width="18.5703125" style="71" customWidth="1"/>
    <col min="12" max="12" width="22.7109375" style="68" customWidth="1"/>
    <col min="13" max="13" width="23" style="69" customWidth="1"/>
    <col min="14" max="27" width="8.7109375" customWidth="1"/>
  </cols>
  <sheetData>
    <row r="1" spans="1:27" s="25" customFormat="1" ht="36" customHeight="1" thickBot="1" x14ac:dyDescent="0.3">
      <c r="A1" s="27"/>
      <c r="B1" s="15" t="s">
        <v>26</v>
      </c>
      <c r="C1" s="18" t="s">
        <v>27</v>
      </c>
      <c r="D1" s="16" t="s">
        <v>50</v>
      </c>
      <c r="E1" s="17" t="s">
        <v>51</v>
      </c>
      <c r="F1" s="16" t="s">
        <v>28</v>
      </c>
      <c r="G1" s="1" t="s">
        <v>44</v>
      </c>
      <c r="H1" s="5" t="s">
        <v>12</v>
      </c>
      <c r="I1" s="20" t="s">
        <v>45</v>
      </c>
      <c r="J1" s="19" t="s">
        <v>46</v>
      </c>
      <c r="K1" s="1" t="s">
        <v>47</v>
      </c>
      <c r="L1" s="13" t="s">
        <v>48</v>
      </c>
      <c r="M1" s="21" t="s">
        <v>49</v>
      </c>
      <c r="N1" s="26"/>
      <c r="O1" s="26"/>
      <c r="P1" s="26"/>
      <c r="Q1" s="26"/>
      <c r="R1" s="26"/>
      <c r="S1" s="26"/>
      <c r="T1" s="26"/>
      <c r="U1" s="26"/>
      <c r="V1" s="26"/>
      <c r="W1" s="26"/>
      <c r="X1" s="26"/>
      <c r="Y1" s="26"/>
      <c r="Z1" s="26"/>
      <c r="AA1" s="26"/>
    </row>
    <row r="2" spans="1:27" ht="15.75" thickTop="1" x14ac:dyDescent="0.25">
      <c r="A2" s="3">
        <v>5</v>
      </c>
      <c r="B2" s="31" t="str">
        <f>IF(ISNONTEXT(node_raw[[#This Row],[Column1]]), "", node_raw[[#This Row],[Column1]])</f>
        <v>jek8s117-3-34</v>
      </c>
      <c r="C2" s="28" t="str">
        <f>IF(ISNONTEXT(node_raw[[#This Row],[Column2]]), "", node_raw[[#This Row],[Column2]])</f>
        <v>&lt;none&gt;</v>
      </c>
      <c r="D2" s="61">
        <f>IF(ISNUMBER(node_raw[[#This Row],[Column3]]), node_raw[[#This Row],[Column3]],"")</f>
        <v>8000</v>
      </c>
      <c r="E2" s="64">
        <f>IF(ISNUMBER(node_raw[[#This Row],[Column4]]), node_raw[[#This Row],[Column4]]/1048576,"")</f>
        <v>31912.375</v>
      </c>
      <c r="F2" s="90">
        <f>IF(ISNUMBER(node_raw[[#This Row],[Column5]]), node_raw[[#This Row],[Column5]],"")</f>
        <v>6974</v>
      </c>
      <c r="G2" s="73">
        <f>IF(ISNUMBER(F2), F2/D2, "")</f>
        <v>0.87175000000000002</v>
      </c>
      <c r="H2" s="74">
        <f>IF(ISNUMBER(node_raw[[#This Row],[Column6]]), node_raw[[#This Row],[Column6]]/1048576,"")</f>
        <v>10948</v>
      </c>
      <c r="I2" s="75">
        <f>IF(ISNUMBER(H2), H2/E2, "")</f>
        <v>0.34306440683277256</v>
      </c>
      <c r="J2" s="76">
        <f>IF(ISNONTEXT(node_raw[[#This Row],[Column7]]), "", node_raw[[#This Row],[Column7]]/100)</f>
        <v>8.4473999999999994E-2</v>
      </c>
      <c r="K2" s="77">
        <f>IF(ISNONTEXT(node_raw[[#This Row],[Column8]]), "", node_raw[[#This Row],[Column8]]/100)</f>
        <v>8.4679999999999998E-3</v>
      </c>
      <c r="L2" s="78">
        <f>IF(ISNONTEXT(node_raw[[#This Row],[Column9]]), "", node_raw[[#This Row],[Column9]]/1)</f>
        <v>818861951.34140003</v>
      </c>
      <c r="M2" s="79">
        <f>IF(ISNONTEXT(node_raw[[#This Row],[Column10]]), "", node_raw[[#This Row],[Column10]]/1)</f>
        <v>722636790.68499994</v>
      </c>
    </row>
    <row r="3" spans="1:27" x14ac:dyDescent="0.25">
      <c r="A3" s="4">
        <v>6</v>
      </c>
      <c r="B3" s="32" t="str">
        <f>IF(ISNONTEXT(node_raw[[#This Row],[Column1]]), "", node_raw[[#This Row],[Column1]])</f>
        <v>jek8s117-3-35</v>
      </c>
      <c r="C3" s="29" t="str">
        <f>IF(ISNONTEXT(node_raw[[#This Row],[Column2]]), "", node_raw[[#This Row],[Column2]])</f>
        <v>&lt;none&gt;</v>
      </c>
      <c r="D3" s="62">
        <f>IF(ISNUMBER(node_raw[[#This Row],[Column3]]), node_raw[[#This Row],[Column3]],"")</f>
        <v>4000</v>
      </c>
      <c r="E3" s="65">
        <f>IF(ISNUMBER(node_raw[[#This Row],[Column4]]), node_raw[[#This Row],[Column4]]/1048576,"")</f>
        <v>15785.9921875</v>
      </c>
      <c r="F3" s="91">
        <f>IF(ISNUMBER(node_raw[[#This Row],[Column5]]), node_raw[[#This Row],[Column5]],"")</f>
        <v>2794</v>
      </c>
      <c r="G3" s="80">
        <f>IF(ISNUMBER(F3), F3/D3, "")</f>
        <v>0.69850000000000001</v>
      </c>
      <c r="H3" s="81">
        <f>IF(ISNUMBER(node_raw[[#This Row],[Column6]]), node_raw[[#This Row],[Column6]]/1048576,"")</f>
        <v>4722</v>
      </c>
      <c r="I3" s="82">
        <f t="shared" ref="I3:I66" si="0">IF(ISNUMBER(H3), H3/E3, "")</f>
        <v>0.29912595571528755</v>
      </c>
      <c r="J3" s="83">
        <f>IF(ISNONTEXT(node_raw[[#This Row],[Column7]]), "", node_raw[[#This Row],[Column7]]/100)</f>
        <v>2.0043999999999999E-2</v>
      </c>
      <c r="K3" s="84">
        <f>IF(ISNONTEXT(node_raw[[#This Row],[Column8]]), "", node_raw[[#This Row],[Column8]]/100)</f>
        <v>5.3400000000000001E-3</v>
      </c>
      <c r="L3" s="85">
        <f>IF(ISNONTEXT(node_raw[[#This Row],[Column9]]), "", node_raw[[#This Row],[Column9]]/1)</f>
        <v>626062566.76719999</v>
      </c>
      <c r="M3" s="86">
        <f>IF(ISNONTEXT(node_raw[[#This Row],[Column10]]), "", node_raw[[#This Row],[Column10]]/1)</f>
        <v>664886340.25510001</v>
      </c>
    </row>
    <row r="4" spans="1:27" x14ac:dyDescent="0.25">
      <c r="A4" s="4">
        <v>7</v>
      </c>
      <c r="B4" s="32" t="str">
        <f>IF(ISNONTEXT(node_raw[[#This Row],[Column1]]), "", node_raw[[#This Row],[Column1]])</f>
        <v>jek8s117-3-36</v>
      </c>
      <c r="C4" s="29" t="str">
        <f>IF(ISNONTEXT(node_raw[[#This Row],[Column2]]), "", node_raw[[#This Row],[Column2]])</f>
        <v>&lt;none&gt;</v>
      </c>
      <c r="D4" s="62">
        <f>IF(ISNUMBER(node_raw[[#This Row],[Column3]]), node_raw[[#This Row],[Column3]],"")</f>
        <v>4000</v>
      </c>
      <c r="E4" s="65">
        <f>IF(ISNUMBER(node_raw[[#This Row],[Column4]]), node_raw[[#This Row],[Column4]]/1048576,"")</f>
        <v>15785.9921875</v>
      </c>
      <c r="F4" s="91">
        <f>IF(ISNUMBER(node_raw[[#This Row],[Column5]]), node_raw[[#This Row],[Column5]],"")</f>
        <v>442</v>
      </c>
      <c r="G4" s="80">
        <f t="shared" ref="G4:G66" si="1">IF(ISNUMBER(F4), F4/D4, "")</f>
        <v>0.1105</v>
      </c>
      <c r="H4" s="81">
        <f>IF(ISNUMBER(node_raw[[#This Row],[Column6]]), node_raw[[#This Row],[Column6]]/1048576,"")</f>
        <v>4289</v>
      </c>
      <c r="I4" s="82">
        <f t="shared" si="0"/>
        <v>0.27169657434622368</v>
      </c>
      <c r="J4" s="83">
        <f>IF(ISNONTEXT(node_raw[[#This Row],[Column7]]), "", node_raw[[#This Row],[Column7]]/100)</f>
        <v>6.2150999999999998E-2</v>
      </c>
      <c r="K4" s="84">
        <f>IF(ISNONTEXT(node_raw[[#This Row],[Column8]]), "", node_raw[[#This Row],[Column8]]/100)</f>
        <v>2.8E-5</v>
      </c>
      <c r="L4" s="85">
        <f>IF(ISNONTEXT(node_raw[[#This Row],[Column9]]), "", node_raw[[#This Row],[Column9]]/1)</f>
        <v>1072276.8476</v>
      </c>
      <c r="M4" s="86">
        <f>IF(ISNONTEXT(node_raw[[#This Row],[Column10]]), "", node_raw[[#This Row],[Column10]]/1)</f>
        <v>1077771.5052</v>
      </c>
    </row>
    <row r="5" spans="1:27" x14ac:dyDescent="0.25">
      <c r="A5" s="4">
        <v>8</v>
      </c>
      <c r="B5" s="32" t="str">
        <f>IF(ISNONTEXT(node_raw[[#This Row],[Column1]]), "", node_raw[[#This Row],[Column1]])</f>
        <v>jek8s117-3-37</v>
      </c>
      <c r="C5" s="29" t="str">
        <f>IF(ISNONTEXT(node_raw[[#This Row],[Column2]]), "", node_raw[[#This Row],[Column2]])</f>
        <v>&lt;none&gt;</v>
      </c>
      <c r="D5" s="62">
        <f>IF(ISNUMBER(node_raw[[#This Row],[Column3]]), node_raw[[#This Row],[Column3]],"")</f>
        <v>4000</v>
      </c>
      <c r="E5" s="65">
        <f>IF(ISNUMBER(node_raw[[#This Row],[Column4]]), node_raw[[#This Row],[Column4]]/1048576,"")</f>
        <v>15785.9921875</v>
      </c>
      <c r="F5" s="91">
        <f>IF(ISNUMBER(node_raw[[#This Row],[Column5]]), node_raw[[#This Row],[Column5]],"")</f>
        <v>2195</v>
      </c>
      <c r="G5" s="80">
        <f t="shared" si="1"/>
        <v>0.54874999999999996</v>
      </c>
      <c r="H5" s="81">
        <f>IF(ISNUMBER(node_raw[[#This Row],[Column6]]), node_raw[[#This Row],[Column6]]/1048576,"")</f>
        <v>12669</v>
      </c>
      <c r="I5" s="82">
        <f t="shared" si="0"/>
        <v>0.80254695742417992</v>
      </c>
      <c r="J5" s="83">
        <f>IF(ISNONTEXT(node_raw[[#This Row],[Column7]]), "", node_raw[[#This Row],[Column7]]/100)</f>
        <v>0.110031</v>
      </c>
      <c r="K5" s="84">
        <f>IF(ISNONTEXT(node_raw[[#This Row],[Column8]]), "", node_raw[[#This Row],[Column8]]/100)</f>
        <v>3.5590000000000001E-3</v>
      </c>
      <c r="L5" s="85">
        <f>IF(ISNONTEXT(node_raw[[#This Row],[Column9]]), "", node_raw[[#This Row],[Column9]]/1)</f>
        <v>133576279.9763</v>
      </c>
      <c r="M5" s="86">
        <f>IF(ISNONTEXT(node_raw[[#This Row],[Column10]]), "", node_raw[[#This Row],[Column10]]/1)</f>
        <v>127711064.3144</v>
      </c>
    </row>
    <row r="6" spans="1:27" x14ac:dyDescent="0.25">
      <c r="A6" s="4">
        <v>9</v>
      </c>
      <c r="B6" s="32" t="str">
        <f>IF(ISNONTEXT(node_raw[[#This Row],[Column1]]), "", node_raw[[#This Row],[Column1]])</f>
        <v/>
      </c>
      <c r="C6" s="29" t="str">
        <f>IF(ISNONTEXT(node_raw[[#This Row],[Column2]]), "", node_raw[[#This Row],[Column2]])</f>
        <v/>
      </c>
      <c r="D6" s="62" t="str">
        <f>IF(ISNUMBER(node_raw[[#This Row],[Column3]]), node_raw[[#This Row],[Column3]],"")</f>
        <v/>
      </c>
      <c r="E6" s="65" t="str">
        <f>IF(ISNUMBER(node_raw[[#This Row],[Column4]]), node_raw[[#This Row],[Column4]]/1048576,"")</f>
        <v/>
      </c>
      <c r="F6" s="91" t="str">
        <f>IF(ISNUMBER(node_raw[[#This Row],[Column5]]), node_raw[[#This Row],[Column5]],"")</f>
        <v/>
      </c>
      <c r="G6" s="80" t="str">
        <f t="shared" si="1"/>
        <v/>
      </c>
      <c r="H6" s="81" t="str">
        <f>IF(ISNUMBER(node_raw[[#This Row],[Column6]]), node_raw[[#This Row],[Column6]]/1048576,"")</f>
        <v/>
      </c>
      <c r="I6" s="82" t="str">
        <f t="shared" si="0"/>
        <v/>
      </c>
      <c r="J6" s="83" t="str">
        <f>IF(ISNONTEXT(node_raw[[#This Row],[Column7]]), "", node_raw[[#This Row],[Column7]]/100)</f>
        <v/>
      </c>
      <c r="K6" s="84" t="str">
        <f>IF(ISNONTEXT(node_raw[[#This Row],[Column8]]), "", node_raw[[#This Row],[Column8]]/100)</f>
        <v/>
      </c>
      <c r="L6" s="85" t="str">
        <f>IF(ISNONTEXT(node_raw[[#This Row],[Column9]]), "", node_raw[[#This Row],[Column9]]/1)</f>
        <v/>
      </c>
      <c r="M6" s="86" t="str">
        <f>IF(ISNONTEXT(node_raw[[#This Row],[Column10]]), "", node_raw[[#This Row],[Column10]]/1)</f>
        <v/>
      </c>
    </row>
    <row r="7" spans="1:27" x14ac:dyDescent="0.25">
      <c r="A7" s="4">
        <v>10</v>
      </c>
      <c r="B7" s="32" t="str">
        <f>IF(ISNONTEXT(node_raw[[#This Row],[Column1]]), "", node_raw[[#This Row],[Column1]])</f>
        <v/>
      </c>
      <c r="C7" s="29" t="str">
        <f>IF(ISNONTEXT(node_raw[[#This Row],[Column2]]), "", node_raw[[#This Row],[Column2]])</f>
        <v/>
      </c>
      <c r="D7" s="62" t="str">
        <f>IF(ISNUMBER(node_raw[[#This Row],[Column3]]), node_raw[[#This Row],[Column3]],"")</f>
        <v/>
      </c>
      <c r="E7" s="65" t="str">
        <f>IF(ISNUMBER(node_raw[[#This Row],[Column4]]), node_raw[[#This Row],[Column4]]/1048576,"")</f>
        <v/>
      </c>
      <c r="F7" s="91" t="str">
        <f>IF(ISNUMBER(node_raw[[#This Row],[Column5]]), node_raw[[#This Row],[Column5]],"")</f>
        <v/>
      </c>
      <c r="G7" s="80" t="str">
        <f t="shared" si="1"/>
        <v/>
      </c>
      <c r="H7" s="81" t="str">
        <f>IF(ISNUMBER(node_raw[[#This Row],[Column6]]), node_raw[[#This Row],[Column6]]/1048576,"")</f>
        <v/>
      </c>
      <c r="I7" s="82" t="str">
        <f t="shared" si="0"/>
        <v/>
      </c>
      <c r="J7" s="83" t="str">
        <f>IF(ISNONTEXT(node_raw[[#This Row],[Column7]]), "", node_raw[[#This Row],[Column7]]/100)</f>
        <v/>
      </c>
      <c r="K7" s="84" t="str">
        <f>IF(ISNONTEXT(node_raw[[#This Row],[Column8]]), "", node_raw[[#This Row],[Column8]]/100)</f>
        <v/>
      </c>
      <c r="L7" s="85" t="str">
        <f>IF(ISNONTEXT(node_raw[[#This Row],[Column9]]), "", node_raw[[#This Row],[Column9]]/1)</f>
        <v/>
      </c>
      <c r="M7" s="86" t="str">
        <f>IF(ISNONTEXT(node_raw[[#This Row],[Column10]]), "", node_raw[[#This Row],[Column10]]/1)</f>
        <v/>
      </c>
    </row>
    <row r="8" spans="1:27" x14ac:dyDescent="0.25">
      <c r="A8" s="4">
        <v>11</v>
      </c>
      <c r="B8" s="32" t="str">
        <f>IF(ISNONTEXT(node_raw[[#This Row],[Column1]]), "", node_raw[[#This Row],[Column1]])</f>
        <v/>
      </c>
      <c r="C8" s="29" t="str">
        <f>IF(ISNONTEXT(node_raw[[#This Row],[Column2]]), "", node_raw[[#This Row],[Column2]])</f>
        <v/>
      </c>
      <c r="D8" s="62" t="str">
        <f>IF(ISNUMBER(node_raw[[#This Row],[Column3]]), node_raw[[#This Row],[Column3]],"")</f>
        <v/>
      </c>
      <c r="E8" s="65" t="str">
        <f>IF(ISNUMBER(node_raw[[#This Row],[Column4]]), node_raw[[#This Row],[Column4]]/1048576,"")</f>
        <v/>
      </c>
      <c r="F8" s="91" t="str">
        <f>IF(ISNUMBER(node_raw[[#This Row],[Column5]]), node_raw[[#This Row],[Column5]],"")</f>
        <v/>
      </c>
      <c r="G8" s="80" t="str">
        <f t="shared" si="1"/>
        <v/>
      </c>
      <c r="H8" s="81" t="str">
        <f>IF(ISNUMBER(node_raw[[#This Row],[Column6]]), node_raw[[#This Row],[Column6]]/1048576,"")</f>
        <v/>
      </c>
      <c r="I8" s="82" t="str">
        <f t="shared" si="0"/>
        <v/>
      </c>
      <c r="J8" s="83" t="str">
        <f>IF(ISNONTEXT(node_raw[[#This Row],[Column7]]), "", node_raw[[#This Row],[Column7]]/100)</f>
        <v/>
      </c>
      <c r="K8" s="84" t="str">
        <f>IF(ISNONTEXT(node_raw[[#This Row],[Column8]]), "", node_raw[[#This Row],[Column8]]/100)</f>
        <v/>
      </c>
      <c r="L8" s="85" t="str">
        <f>IF(ISNONTEXT(node_raw[[#This Row],[Column9]]), "", node_raw[[#This Row],[Column9]]/1)</f>
        <v/>
      </c>
      <c r="M8" s="86" t="str">
        <f>IF(ISNONTEXT(node_raw[[#This Row],[Column10]]), "", node_raw[[#This Row],[Column10]]/1)</f>
        <v/>
      </c>
    </row>
    <row r="9" spans="1:27" x14ac:dyDescent="0.25">
      <c r="A9" s="4">
        <v>12</v>
      </c>
      <c r="B9" s="32" t="str">
        <f>IF(ISNONTEXT(node_raw[[#This Row],[Column1]]), "", node_raw[[#This Row],[Column1]])</f>
        <v/>
      </c>
      <c r="C9" s="29" t="str">
        <f>IF(ISNONTEXT(node_raw[[#This Row],[Column2]]), "", node_raw[[#This Row],[Column2]])</f>
        <v/>
      </c>
      <c r="D9" s="62" t="str">
        <f>IF(ISNUMBER(node_raw[[#This Row],[Column3]]), node_raw[[#This Row],[Column3]],"")</f>
        <v/>
      </c>
      <c r="E9" s="65" t="str">
        <f>IF(ISNUMBER(node_raw[[#This Row],[Column4]]), node_raw[[#This Row],[Column4]]/1048576,"")</f>
        <v/>
      </c>
      <c r="F9" s="91" t="str">
        <f>IF(ISNUMBER(node_raw[[#This Row],[Column5]]), node_raw[[#This Row],[Column5]],"")</f>
        <v/>
      </c>
      <c r="G9" s="80" t="str">
        <f t="shared" si="1"/>
        <v/>
      </c>
      <c r="H9" s="81" t="str">
        <f>IF(ISNUMBER(node_raw[[#This Row],[Column6]]), node_raw[[#This Row],[Column6]]/1048576,"")</f>
        <v/>
      </c>
      <c r="I9" s="82" t="str">
        <f t="shared" si="0"/>
        <v/>
      </c>
      <c r="J9" s="83" t="str">
        <f>IF(ISNONTEXT(node_raw[[#This Row],[Column7]]), "", node_raw[[#This Row],[Column7]]/100)</f>
        <v/>
      </c>
      <c r="K9" s="84" t="str">
        <f>IF(ISNONTEXT(node_raw[[#This Row],[Column8]]), "", node_raw[[#This Row],[Column8]]/100)</f>
        <v/>
      </c>
      <c r="L9" s="85" t="str">
        <f>IF(ISNONTEXT(node_raw[[#This Row],[Column9]]), "", node_raw[[#This Row],[Column9]]/1)</f>
        <v/>
      </c>
      <c r="M9" s="86" t="str">
        <f>IF(ISNONTEXT(node_raw[[#This Row],[Column10]]), "", node_raw[[#This Row],[Column10]]/1)</f>
        <v/>
      </c>
    </row>
    <row r="10" spans="1:27" x14ac:dyDescent="0.25">
      <c r="A10" s="4">
        <v>13</v>
      </c>
      <c r="B10" s="32" t="str">
        <f>IF(ISNONTEXT(node_raw[[#This Row],[Column1]]), "", node_raw[[#This Row],[Column1]])</f>
        <v/>
      </c>
      <c r="C10" s="29" t="str">
        <f>IF(ISNONTEXT(node_raw[[#This Row],[Column2]]), "", node_raw[[#This Row],[Column2]])</f>
        <v/>
      </c>
      <c r="D10" s="62" t="str">
        <f>IF(ISNUMBER(node_raw[[#This Row],[Column3]]), node_raw[[#This Row],[Column3]],"")</f>
        <v/>
      </c>
      <c r="E10" s="65" t="str">
        <f>IF(ISNUMBER(node_raw[[#This Row],[Column4]]), node_raw[[#This Row],[Column4]]/1048576,"")</f>
        <v/>
      </c>
      <c r="F10" s="91" t="str">
        <f>IF(ISNUMBER(node_raw[[#This Row],[Column5]]), node_raw[[#This Row],[Column5]],"")</f>
        <v/>
      </c>
      <c r="G10" s="80" t="str">
        <f t="shared" si="1"/>
        <v/>
      </c>
      <c r="H10" s="81" t="str">
        <f>IF(ISNUMBER(node_raw[[#This Row],[Column6]]), node_raw[[#This Row],[Column6]]/1048576,"")</f>
        <v/>
      </c>
      <c r="I10" s="82" t="str">
        <f t="shared" si="0"/>
        <v/>
      </c>
      <c r="J10" s="83" t="str">
        <f>IF(ISNONTEXT(node_raw[[#This Row],[Column7]]), "", node_raw[[#This Row],[Column7]]/100)</f>
        <v/>
      </c>
      <c r="K10" s="84" t="str">
        <f>IF(ISNONTEXT(node_raw[[#This Row],[Column8]]), "", node_raw[[#This Row],[Column8]]/100)</f>
        <v/>
      </c>
      <c r="L10" s="85" t="str">
        <f>IF(ISNONTEXT(node_raw[[#This Row],[Column9]]), "", node_raw[[#This Row],[Column9]]/1)</f>
        <v/>
      </c>
      <c r="M10" s="86" t="str">
        <f>IF(ISNONTEXT(node_raw[[#This Row],[Column10]]), "", node_raw[[#This Row],[Column10]]/1)</f>
        <v/>
      </c>
    </row>
    <row r="11" spans="1:27" x14ac:dyDescent="0.25">
      <c r="A11" s="4">
        <v>14</v>
      </c>
      <c r="B11" s="32" t="str">
        <f>IF(ISNONTEXT(node_raw[[#This Row],[Column1]]), "", node_raw[[#This Row],[Column1]])</f>
        <v/>
      </c>
      <c r="C11" s="29" t="str">
        <f>IF(ISNONTEXT(node_raw[[#This Row],[Column2]]), "", node_raw[[#This Row],[Column2]])</f>
        <v/>
      </c>
      <c r="D11" s="62" t="str">
        <f>IF(ISNUMBER(node_raw[[#This Row],[Column3]]), node_raw[[#This Row],[Column3]],"")</f>
        <v/>
      </c>
      <c r="E11" s="65" t="str">
        <f>IF(ISNUMBER(node_raw[[#This Row],[Column4]]), node_raw[[#This Row],[Column4]]/1048576,"")</f>
        <v/>
      </c>
      <c r="F11" s="91" t="str">
        <f>IF(ISNUMBER(node_raw[[#This Row],[Column5]]), node_raw[[#This Row],[Column5]],"")</f>
        <v/>
      </c>
      <c r="G11" s="80" t="str">
        <f t="shared" si="1"/>
        <v/>
      </c>
      <c r="H11" s="81" t="str">
        <f>IF(ISNUMBER(node_raw[[#This Row],[Column6]]), node_raw[[#This Row],[Column6]]/1048576,"")</f>
        <v/>
      </c>
      <c r="I11" s="82" t="str">
        <f t="shared" si="0"/>
        <v/>
      </c>
      <c r="J11" s="83" t="str">
        <f>IF(ISNONTEXT(node_raw[[#This Row],[Column7]]), "", node_raw[[#This Row],[Column7]]/100)</f>
        <v/>
      </c>
      <c r="K11" s="84" t="str">
        <f>IF(ISNONTEXT(node_raw[[#This Row],[Column8]]), "", node_raw[[#This Row],[Column8]]/100)</f>
        <v/>
      </c>
      <c r="L11" s="85" t="str">
        <f>IF(ISNONTEXT(node_raw[[#This Row],[Column9]]), "", node_raw[[#This Row],[Column9]]/1)</f>
        <v/>
      </c>
      <c r="M11" s="86" t="str">
        <f>IF(ISNONTEXT(node_raw[[#This Row],[Column10]]), "", node_raw[[#This Row],[Column10]]/1)</f>
        <v/>
      </c>
    </row>
    <row r="12" spans="1:27" x14ac:dyDescent="0.25">
      <c r="A12" s="4">
        <v>15</v>
      </c>
      <c r="B12" s="32" t="str">
        <f>IF(ISNONTEXT(node_raw[[#This Row],[Column1]]), "", node_raw[[#This Row],[Column1]])</f>
        <v/>
      </c>
      <c r="C12" s="29" t="str">
        <f>IF(ISNONTEXT(node_raw[[#This Row],[Column2]]), "", node_raw[[#This Row],[Column2]])</f>
        <v/>
      </c>
      <c r="D12" s="62" t="str">
        <f>IF(ISNUMBER(node_raw[[#This Row],[Column3]]), node_raw[[#This Row],[Column3]],"")</f>
        <v/>
      </c>
      <c r="E12" s="65" t="str">
        <f>IF(ISNUMBER(node_raw[[#This Row],[Column4]]), node_raw[[#This Row],[Column4]]/1048576,"")</f>
        <v/>
      </c>
      <c r="F12" s="91" t="str">
        <f>IF(ISNUMBER(node_raw[[#This Row],[Column5]]), node_raw[[#This Row],[Column5]],"")</f>
        <v/>
      </c>
      <c r="G12" s="80" t="str">
        <f t="shared" si="1"/>
        <v/>
      </c>
      <c r="H12" s="81" t="str">
        <f>IF(ISNUMBER(node_raw[[#This Row],[Column6]]), node_raw[[#This Row],[Column6]]/1048576,"")</f>
        <v/>
      </c>
      <c r="I12" s="82" t="str">
        <f t="shared" si="0"/>
        <v/>
      </c>
      <c r="J12" s="83" t="str">
        <f>IF(ISNONTEXT(node_raw[[#This Row],[Column7]]), "", node_raw[[#This Row],[Column7]]/100)</f>
        <v/>
      </c>
      <c r="K12" s="84" t="str">
        <f>IF(ISNONTEXT(node_raw[[#This Row],[Column8]]), "", node_raw[[#This Row],[Column8]]/100)</f>
        <v/>
      </c>
      <c r="L12" s="85" t="str">
        <f>IF(ISNONTEXT(node_raw[[#This Row],[Column9]]), "", node_raw[[#This Row],[Column9]]/1)</f>
        <v/>
      </c>
      <c r="M12" s="86" t="str">
        <f>IF(ISNONTEXT(node_raw[[#This Row],[Column10]]), "", node_raw[[#This Row],[Column10]]/1)</f>
        <v/>
      </c>
    </row>
    <row r="13" spans="1:27" x14ac:dyDescent="0.25">
      <c r="A13" s="4">
        <v>16</v>
      </c>
      <c r="B13" s="32" t="str">
        <f>IF(ISNONTEXT(node_raw[[#This Row],[Column1]]), "", node_raw[[#This Row],[Column1]])</f>
        <v/>
      </c>
      <c r="C13" s="29" t="str">
        <f>IF(ISNONTEXT(node_raw[[#This Row],[Column2]]), "", node_raw[[#This Row],[Column2]])</f>
        <v/>
      </c>
      <c r="D13" s="62" t="str">
        <f>IF(ISNUMBER(node_raw[[#This Row],[Column3]]), node_raw[[#This Row],[Column3]],"")</f>
        <v/>
      </c>
      <c r="E13" s="65" t="str">
        <f>IF(ISNUMBER(node_raw[[#This Row],[Column4]]), node_raw[[#This Row],[Column4]]/1048576,"")</f>
        <v/>
      </c>
      <c r="F13" s="91" t="str">
        <f>IF(ISNUMBER(node_raw[[#This Row],[Column5]]), node_raw[[#This Row],[Column5]],"")</f>
        <v/>
      </c>
      <c r="G13" s="80" t="str">
        <f t="shared" si="1"/>
        <v/>
      </c>
      <c r="H13" s="81" t="str">
        <f>IF(ISNUMBER(node_raw[[#This Row],[Column6]]), node_raw[[#This Row],[Column6]]/1048576,"")</f>
        <v/>
      </c>
      <c r="I13" s="82" t="str">
        <f t="shared" si="0"/>
        <v/>
      </c>
      <c r="J13" s="83" t="str">
        <f>IF(ISNONTEXT(node_raw[[#This Row],[Column7]]), "", node_raw[[#This Row],[Column7]]/100)</f>
        <v/>
      </c>
      <c r="K13" s="84" t="str">
        <f>IF(ISNONTEXT(node_raw[[#This Row],[Column8]]), "", node_raw[[#This Row],[Column8]]/100)</f>
        <v/>
      </c>
      <c r="L13" s="85" t="str">
        <f>IF(ISNONTEXT(node_raw[[#This Row],[Column9]]), "", node_raw[[#This Row],[Column9]]/1)</f>
        <v/>
      </c>
      <c r="M13" s="86" t="str">
        <f>IF(ISNONTEXT(node_raw[[#This Row],[Column10]]), "", node_raw[[#This Row],[Column10]]/1)</f>
        <v/>
      </c>
    </row>
    <row r="14" spans="1:27" x14ac:dyDescent="0.25">
      <c r="A14" s="4">
        <v>17</v>
      </c>
      <c r="B14" s="32" t="str">
        <f>IF(ISNONTEXT(node_raw[[#This Row],[Column1]]), "", node_raw[[#This Row],[Column1]])</f>
        <v/>
      </c>
      <c r="C14" s="29" t="str">
        <f>IF(ISNONTEXT(node_raw[[#This Row],[Column2]]), "", node_raw[[#This Row],[Column2]])</f>
        <v/>
      </c>
      <c r="D14" s="62" t="str">
        <f>IF(ISNUMBER(node_raw[[#This Row],[Column3]]), node_raw[[#This Row],[Column3]],"")</f>
        <v/>
      </c>
      <c r="E14" s="65" t="str">
        <f>IF(ISNUMBER(node_raw[[#This Row],[Column4]]), node_raw[[#This Row],[Column4]]/1048576,"")</f>
        <v/>
      </c>
      <c r="F14" s="91" t="str">
        <f>IF(ISNUMBER(node_raw[[#This Row],[Column5]]), node_raw[[#This Row],[Column5]],"")</f>
        <v/>
      </c>
      <c r="G14" s="80" t="str">
        <f t="shared" si="1"/>
        <v/>
      </c>
      <c r="H14" s="81" t="str">
        <f>IF(ISNUMBER(node_raw[[#This Row],[Column6]]), node_raw[[#This Row],[Column6]]/1048576,"")</f>
        <v/>
      </c>
      <c r="I14" s="82" t="str">
        <f t="shared" si="0"/>
        <v/>
      </c>
      <c r="J14" s="83" t="str">
        <f>IF(ISNONTEXT(node_raw[[#This Row],[Column7]]), "", node_raw[[#This Row],[Column7]]/100)</f>
        <v/>
      </c>
      <c r="K14" s="84" t="str">
        <f>IF(ISNONTEXT(node_raw[[#This Row],[Column8]]), "", node_raw[[#This Row],[Column8]]/100)</f>
        <v/>
      </c>
      <c r="L14" s="85" t="str">
        <f>IF(ISNONTEXT(node_raw[[#This Row],[Column9]]), "", node_raw[[#This Row],[Column9]]/1)</f>
        <v/>
      </c>
      <c r="M14" s="86" t="str">
        <f>IF(ISNONTEXT(node_raw[[#This Row],[Column10]]), "", node_raw[[#This Row],[Column10]]/1)</f>
        <v/>
      </c>
    </row>
    <row r="15" spans="1:27" x14ac:dyDescent="0.25">
      <c r="A15" s="4">
        <v>18</v>
      </c>
      <c r="B15" s="32" t="str">
        <f>IF(ISNONTEXT(node_raw[[#This Row],[Column1]]), "", node_raw[[#This Row],[Column1]])</f>
        <v/>
      </c>
      <c r="C15" s="29" t="str">
        <f>IF(ISNONTEXT(node_raw[[#This Row],[Column2]]), "", node_raw[[#This Row],[Column2]])</f>
        <v/>
      </c>
      <c r="D15" s="62" t="str">
        <f>IF(ISNUMBER(node_raw[[#This Row],[Column3]]), node_raw[[#This Row],[Column3]],"")</f>
        <v/>
      </c>
      <c r="E15" s="65" t="str">
        <f>IF(ISNUMBER(node_raw[[#This Row],[Column4]]), node_raw[[#This Row],[Column4]]/1048576,"")</f>
        <v/>
      </c>
      <c r="F15" s="91" t="str">
        <f>IF(ISNUMBER(node_raw[[#This Row],[Column5]]), node_raw[[#This Row],[Column5]],"")</f>
        <v/>
      </c>
      <c r="G15" s="80" t="str">
        <f t="shared" si="1"/>
        <v/>
      </c>
      <c r="H15" s="81" t="str">
        <f>IF(ISNUMBER(node_raw[[#This Row],[Column6]]), node_raw[[#This Row],[Column6]]/1048576,"")</f>
        <v/>
      </c>
      <c r="I15" s="82" t="str">
        <f t="shared" si="0"/>
        <v/>
      </c>
      <c r="J15" s="83" t="str">
        <f>IF(ISNONTEXT(node_raw[[#This Row],[Column7]]), "", node_raw[[#This Row],[Column7]]/100)</f>
        <v/>
      </c>
      <c r="K15" s="84" t="str">
        <f>IF(ISNONTEXT(node_raw[[#This Row],[Column8]]), "", node_raw[[#This Row],[Column8]]/100)</f>
        <v/>
      </c>
      <c r="L15" s="85" t="str">
        <f>IF(ISNONTEXT(node_raw[[#This Row],[Column9]]), "", node_raw[[#This Row],[Column9]]/1)</f>
        <v/>
      </c>
      <c r="M15" s="86" t="str">
        <f>IF(ISNONTEXT(node_raw[[#This Row],[Column10]]), "", node_raw[[#This Row],[Column10]]/1)</f>
        <v/>
      </c>
    </row>
    <row r="16" spans="1:27" x14ac:dyDescent="0.25">
      <c r="A16" s="4">
        <v>19</v>
      </c>
      <c r="B16" s="32" t="str">
        <f>IF(ISNONTEXT(node_raw[[#This Row],[Column1]]), "", node_raw[[#This Row],[Column1]])</f>
        <v/>
      </c>
      <c r="C16" s="29" t="str">
        <f>IF(ISNONTEXT(node_raw[[#This Row],[Column2]]), "", node_raw[[#This Row],[Column2]])</f>
        <v/>
      </c>
      <c r="D16" s="62" t="str">
        <f>IF(ISNUMBER(node_raw[[#This Row],[Column3]]), node_raw[[#This Row],[Column3]],"")</f>
        <v/>
      </c>
      <c r="E16" s="65" t="str">
        <f>IF(ISNUMBER(node_raw[[#This Row],[Column4]]), node_raw[[#This Row],[Column4]]/1048576,"")</f>
        <v/>
      </c>
      <c r="F16" s="91" t="str">
        <f>IF(ISNUMBER(node_raw[[#This Row],[Column5]]), node_raw[[#This Row],[Column5]],"")</f>
        <v/>
      </c>
      <c r="G16" s="80" t="str">
        <f t="shared" si="1"/>
        <v/>
      </c>
      <c r="H16" s="81" t="str">
        <f>IF(ISNUMBER(node_raw[[#This Row],[Column6]]), node_raw[[#This Row],[Column6]]/1048576,"")</f>
        <v/>
      </c>
      <c r="I16" s="82" t="str">
        <f t="shared" si="0"/>
        <v/>
      </c>
      <c r="J16" s="83" t="str">
        <f>IF(ISNONTEXT(node_raw[[#This Row],[Column7]]), "", node_raw[[#This Row],[Column7]]/100)</f>
        <v/>
      </c>
      <c r="K16" s="84" t="str">
        <f>IF(ISNONTEXT(node_raw[[#This Row],[Column8]]), "", node_raw[[#This Row],[Column8]]/100)</f>
        <v/>
      </c>
      <c r="L16" s="85" t="str">
        <f>IF(ISNONTEXT(node_raw[[#This Row],[Column9]]), "", node_raw[[#This Row],[Column9]]/1)</f>
        <v/>
      </c>
      <c r="M16" s="86" t="str">
        <f>IF(ISNONTEXT(node_raw[[#This Row],[Column10]]), "", node_raw[[#This Row],[Column10]]/1)</f>
        <v/>
      </c>
    </row>
    <row r="17" spans="1:13" x14ac:dyDescent="0.25">
      <c r="A17" s="4">
        <v>20</v>
      </c>
      <c r="B17" s="32" t="str">
        <f>IF(ISNONTEXT(node_raw[[#This Row],[Column1]]), "", node_raw[[#This Row],[Column1]])</f>
        <v/>
      </c>
      <c r="C17" s="29" t="str">
        <f>IF(ISNONTEXT(node_raw[[#This Row],[Column2]]), "", node_raw[[#This Row],[Column2]])</f>
        <v/>
      </c>
      <c r="D17" s="62" t="str">
        <f>IF(ISNUMBER(node_raw[[#This Row],[Column3]]), node_raw[[#This Row],[Column3]],"")</f>
        <v/>
      </c>
      <c r="E17" s="65" t="str">
        <f>IF(ISNUMBER(node_raw[[#This Row],[Column4]]), node_raw[[#This Row],[Column4]]/1048576,"")</f>
        <v/>
      </c>
      <c r="F17" s="91" t="str">
        <f>IF(ISNUMBER(node_raw[[#This Row],[Column5]]), node_raw[[#This Row],[Column5]],"")</f>
        <v/>
      </c>
      <c r="G17" s="80" t="str">
        <f t="shared" si="1"/>
        <v/>
      </c>
      <c r="H17" s="81" t="str">
        <f>IF(ISNUMBER(node_raw[[#This Row],[Column6]]), node_raw[[#This Row],[Column6]]/1048576,"")</f>
        <v/>
      </c>
      <c r="I17" s="82" t="str">
        <f t="shared" si="0"/>
        <v/>
      </c>
      <c r="J17" s="83" t="str">
        <f>IF(ISNONTEXT(node_raw[[#This Row],[Column7]]), "", node_raw[[#This Row],[Column7]]/100)</f>
        <v/>
      </c>
      <c r="K17" s="84" t="str">
        <f>IF(ISNONTEXT(node_raw[[#This Row],[Column8]]), "", node_raw[[#This Row],[Column8]]/100)</f>
        <v/>
      </c>
      <c r="L17" s="85" t="str">
        <f>IF(ISNONTEXT(node_raw[[#This Row],[Column9]]), "", node_raw[[#This Row],[Column9]]/1)</f>
        <v/>
      </c>
      <c r="M17" s="86" t="str">
        <f>IF(ISNONTEXT(node_raw[[#This Row],[Column10]]), "", node_raw[[#This Row],[Column10]]/1)</f>
        <v/>
      </c>
    </row>
    <row r="18" spans="1:13" x14ac:dyDescent="0.25">
      <c r="A18" s="4">
        <v>21</v>
      </c>
      <c r="B18" s="32" t="str">
        <f>IF(ISNONTEXT(node_raw[[#This Row],[Column1]]), "", node_raw[[#This Row],[Column1]])</f>
        <v/>
      </c>
      <c r="C18" s="29" t="str">
        <f>IF(ISNONTEXT(node_raw[[#This Row],[Column2]]), "", node_raw[[#This Row],[Column2]])</f>
        <v/>
      </c>
      <c r="D18" s="62" t="str">
        <f>IF(ISNUMBER(node_raw[[#This Row],[Column3]]), node_raw[[#This Row],[Column3]],"")</f>
        <v/>
      </c>
      <c r="E18" s="65" t="str">
        <f>IF(ISNUMBER(node_raw[[#This Row],[Column4]]), node_raw[[#This Row],[Column4]]/1048576,"")</f>
        <v/>
      </c>
      <c r="F18" s="91" t="str">
        <f>IF(ISNUMBER(node_raw[[#This Row],[Column5]]), node_raw[[#This Row],[Column5]],"")</f>
        <v/>
      </c>
      <c r="G18" s="80" t="str">
        <f t="shared" si="1"/>
        <v/>
      </c>
      <c r="H18" s="81" t="str">
        <f>IF(ISNUMBER(node_raw[[#This Row],[Column6]]), node_raw[[#This Row],[Column6]]/1048576,"")</f>
        <v/>
      </c>
      <c r="I18" s="82" t="str">
        <f t="shared" si="0"/>
        <v/>
      </c>
      <c r="J18" s="83" t="str">
        <f>IF(ISNONTEXT(node_raw[[#This Row],[Column7]]), "", node_raw[[#This Row],[Column7]]/100)</f>
        <v/>
      </c>
      <c r="K18" s="84" t="str">
        <f>IF(ISNONTEXT(node_raw[[#This Row],[Column8]]), "", node_raw[[#This Row],[Column8]]/100)</f>
        <v/>
      </c>
      <c r="L18" s="85" t="str">
        <f>IF(ISNONTEXT(node_raw[[#This Row],[Column9]]), "", node_raw[[#This Row],[Column9]]/1)</f>
        <v/>
      </c>
      <c r="M18" s="86" t="str">
        <f>IF(ISNONTEXT(node_raw[[#This Row],[Column10]]), "", node_raw[[#This Row],[Column10]]/1)</f>
        <v/>
      </c>
    </row>
    <row r="19" spans="1:13" x14ac:dyDescent="0.25">
      <c r="A19" s="4">
        <v>22</v>
      </c>
      <c r="B19" s="32" t="str">
        <f>IF(ISNONTEXT(node_raw[[#This Row],[Column1]]), "", node_raw[[#This Row],[Column1]])</f>
        <v/>
      </c>
      <c r="C19" s="29" t="str">
        <f>IF(ISNONTEXT(node_raw[[#This Row],[Column2]]), "", node_raw[[#This Row],[Column2]])</f>
        <v/>
      </c>
      <c r="D19" s="62" t="str">
        <f>IF(ISNUMBER(node_raw[[#This Row],[Column3]]), node_raw[[#This Row],[Column3]],"")</f>
        <v/>
      </c>
      <c r="E19" s="65" t="str">
        <f>IF(ISNUMBER(node_raw[[#This Row],[Column4]]), node_raw[[#This Row],[Column4]]/1048576,"")</f>
        <v/>
      </c>
      <c r="F19" s="91" t="str">
        <f>IF(ISNUMBER(node_raw[[#This Row],[Column5]]), node_raw[[#This Row],[Column5]],"")</f>
        <v/>
      </c>
      <c r="G19" s="80" t="str">
        <f t="shared" si="1"/>
        <v/>
      </c>
      <c r="H19" s="81" t="str">
        <f>IF(ISNUMBER(node_raw[[#This Row],[Column6]]), node_raw[[#This Row],[Column6]]/1048576,"")</f>
        <v/>
      </c>
      <c r="I19" s="82" t="str">
        <f t="shared" si="0"/>
        <v/>
      </c>
      <c r="J19" s="83" t="str">
        <f>IF(ISNONTEXT(node_raw[[#This Row],[Column7]]), "", node_raw[[#This Row],[Column7]]/100)</f>
        <v/>
      </c>
      <c r="K19" s="84" t="str">
        <f>IF(ISNONTEXT(node_raw[[#This Row],[Column8]]), "", node_raw[[#This Row],[Column8]]/100)</f>
        <v/>
      </c>
      <c r="L19" s="85" t="str">
        <f>IF(ISNONTEXT(node_raw[[#This Row],[Column9]]), "", node_raw[[#This Row],[Column9]]/1)</f>
        <v/>
      </c>
      <c r="M19" s="86" t="str">
        <f>IF(ISNONTEXT(node_raw[[#This Row],[Column10]]), "", node_raw[[#This Row],[Column10]]/1)</f>
        <v/>
      </c>
    </row>
    <row r="20" spans="1:13" x14ac:dyDescent="0.25">
      <c r="A20" s="4">
        <v>23</v>
      </c>
      <c r="B20" s="32" t="str">
        <f>IF(ISNONTEXT(node_raw[[#This Row],[Column1]]), "", node_raw[[#This Row],[Column1]])</f>
        <v/>
      </c>
      <c r="C20" s="29" t="str">
        <f>IF(ISNONTEXT(node_raw[[#This Row],[Column2]]), "", node_raw[[#This Row],[Column2]])</f>
        <v/>
      </c>
      <c r="D20" s="62" t="str">
        <f>IF(ISNUMBER(node_raw[[#This Row],[Column3]]), node_raw[[#This Row],[Column3]],"")</f>
        <v/>
      </c>
      <c r="E20" s="65" t="str">
        <f>IF(ISNUMBER(node_raw[[#This Row],[Column4]]), node_raw[[#This Row],[Column4]]/1048576,"")</f>
        <v/>
      </c>
      <c r="F20" s="91" t="str">
        <f>IF(ISNUMBER(node_raw[[#This Row],[Column5]]), node_raw[[#This Row],[Column5]],"")</f>
        <v/>
      </c>
      <c r="G20" s="80" t="str">
        <f t="shared" si="1"/>
        <v/>
      </c>
      <c r="H20" s="81" t="str">
        <f>IF(ISNUMBER(node_raw[[#This Row],[Column6]]), node_raw[[#This Row],[Column6]]/1048576,"")</f>
        <v/>
      </c>
      <c r="I20" s="82" t="str">
        <f t="shared" si="0"/>
        <v/>
      </c>
      <c r="J20" s="83" t="str">
        <f>IF(ISNONTEXT(node_raw[[#This Row],[Column7]]), "", node_raw[[#This Row],[Column7]]/100)</f>
        <v/>
      </c>
      <c r="K20" s="84" t="str">
        <f>IF(ISNONTEXT(node_raw[[#This Row],[Column8]]), "", node_raw[[#This Row],[Column8]]/100)</f>
        <v/>
      </c>
      <c r="L20" s="85" t="str">
        <f>IF(ISNONTEXT(node_raw[[#This Row],[Column9]]), "", node_raw[[#This Row],[Column9]]/1)</f>
        <v/>
      </c>
      <c r="M20" s="86" t="str">
        <f>IF(ISNONTEXT(node_raw[[#This Row],[Column10]]), "", node_raw[[#This Row],[Column10]]/1)</f>
        <v/>
      </c>
    </row>
    <row r="21" spans="1:13" ht="15.75" customHeight="1" x14ac:dyDescent="0.25">
      <c r="A21" s="4">
        <v>24</v>
      </c>
      <c r="B21" s="32" t="str">
        <f>IF(ISNONTEXT(node_raw[[#This Row],[Column1]]), "", node_raw[[#This Row],[Column1]])</f>
        <v/>
      </c>
      <c r="C21" s="29" t="str">
        <f>IF(ISNONTEXT(node_raw[[#This Row],[Column2]]), "", node_raw[[#This Row],[Column2]])</f>
        <v/>
      </c>
      <c r="D21" s="62" t="str">
        <f>IF(ISNUMBER(node_raw[[#This Row],[Column3]]), node_raw[[#This Row],[Column3]],"")</f>
        <v/>
      </c>
      <c r="E21" s="65" t="str">
        <f>IF(ISNUMBER(node_raw[[#This Row],[Column4]]), node_raw[[#This Row],[Column4]]/1048576,"")</f>
        <v/>
      </c>
      <c r="F21" s="91" t="str">
        <f>IF(ISNUMBER(node_raw[[#This Row],[Column5]]), node_raw[[#This Row],[Column5]],"")</f>
        <v/>
      </c>
      <c r="G21" s="80" t="str">
        <f t="shared" si="1"/>
        <v/>
      </c>
      <c r="H21" s="81" t="str">
        <f>IF(ISNUMBER(node_raw[[#This Row],[Column6]]), node_raw[[#This Row],[Column6]]/1048576,"")</f>
        <v/>
      </c>
      <c r="I21" s="82" t="str">
        <f t="shared" si="0"/>
        <v/>
      </c>
      <c r="J21" s="83" t="str">
        <f>IF(ISNONTEXT(node_raw[[#This Row],[Column7]]), "", node_raw[[#This Row],[Column7]]/100)</f>
        <v/>
      </c>
      <c r="K21" s="84" t="str">
        <f>IF(ISNONTEXT(node_raw[[#This Row],[Column8]]), "", node_raw[[#This Row],[Column8]]/100)</f>
        <v/>
      </c>
      <c r="L21" s="85" t="str">
        <f>IF(ISNONTEXT(node_raw[[#This Row],[Column9]]), "", node_raw[[#This Row],[Column9]]/1)</f>
        <v/>
      </c>
      <c r="M21" s="86" t="str">
        <f>IF(ISNONTEXT(node_raw[[#This Row],[Column10]]), "", node_raw[[#This Row],[Column10]]/1)</f>
        <v/>
      </c>
    </row>
    <row r="22" spans="1:13" ht="15.75" customHeight="1" x14ac:dyDescent="0.25">
      <c r="A22" s="4">
        <v>25</v>
      </c>
      <c r="B22" s="32" t="str">
        <f>IF(ISNONTEXT(node_raw[[#This Row],[Column1]]), "", node_raw[[#This Row],[Column1]])</f>
        <v/>
      </c>
      <c r="C22" s="29" t="str">
        <f>IF(ISNONTEXT(node_raw[[#This Row],[Column2]]), "", node_raw[[#This Row],[Column2]])</f>
        <v/>
      </c>
      <c r="D22" s="62" t="str">
        <f>IF(ISNUMBER(node_raw[[#This Row],[Column3]]), node_raw[[#This Row],[Column3]],"")</f>
        <v/>
      </c>
      <c r="E22" s="65" t="str">
        <f>IF(ISNUMBER(node_raw[[#This Row],[Column4]]), node_raw[[#This Row],[Column4]]/1048576,"")</f>
        <v/>
      </c>
      <c r="F22" s="91" t="str">
        <f>IF(ISNUMBER(node_raw[[#This Row],[Column5]]), node_raw[[#This Row],[Column5]],"")</f>
        <v/>
      </c>
      <c r="G22" s="80" t="str">
        <f t="shared" si="1"/>
        <v/>
      </c>
      <c r="H22" s="81" t="str">
        <f>IF(ISNUMBER(node_raw[[#This Row],[Column6]]), node_raw[[#This Row],[Column6]]/1048576,"")</f>
        <v/>
      </c>
      <c r="I22" s="82" t="str">
        <f t="shared" si="0"/>
        <v/>
      </c>
      <c r="J22" s="83" t="str">
        <f>IF(ISNONTEXT(node_raw[[#This Row],[Column7]]), "", node_raw[[#This Row],[Column7]]/100)</f>
        <v/>
      </c>
      <c r="K22" s="84" t="str">
        <f>IF(ISNONTEXT(node_raw[[#This Row],[Column8]]), "", node_raw[[#This Row],[Column8]]/100)</f>
        <v/>
      </c>
      <c r="L22" s="85" t="str">
        <f>IF(ISNONTEXT(node_raw[[#This Row],[Column9]]), "", node_raw[[#This Row],[Column9]]/1)</f>
        <v/>
      </c>
      <c r="M22" s="86" t="str">
        <f>IF(ISNONTEXT(node_raw[[#This Row],[Column10]]), "", node_raw[[#This Row],[Column10]]/1)</f>
        <v/>
      </c>
    </row>
    <row r="23" spans="1:13" ht="15.75" customHeight="1" x14ac:dyDescent="0.25">
      <c r="A23" s="4">
        <v>26</v>
      </c>
      <c r="B23" s="32" t="str">
        <f>IF(ISNONTEXT(node_raw[[#This Row],[Column1]]), "", node_raw[[#This Row],[Column1]])</f>
        <v/>
      </c>
      <c r="C23" s="29" t="str">
        <f>IF(ISNONTEXT(node_raw[[#This Row],[Column2]]), "", node_raw[[#This Row],[Column2]])</f>
        <v/>
      </c>
      <c r="D23" s="62" t="str">
        <f>IF(ISNUMBER(node_raw[[#This Row],[Column3]]), node_raw[[#This Row],[Column3]],"")</f>
        <v/>
      </c>
      <c r="E23" s="65" t="str">
        <f>IF(ISNUMBER(node_raw[[#This Row],[Column4]]), node_raw[[#This Row],[Column4]]/1048576,"")</f>
        <v/>
      </c>
      <c r="F23" s="91" t="str">
        <f>IF(ISNUMBER(node_raw[[#This Row],[Column5]]), node_raw[[#This Row],[Column5]],"")</f>
        <v/>
      </c>
      <c r="G23" s="80" t="str">
        <f t="shared" si="1"/>
        <v/>
      </c>
      <c r="H23" s="81" t="str">
        <f>IF(ISNUMBER(node_raw[[#This Row],[Column6]]), node_raw[[#This Row],[Column6]]/1048576,"")</f>
        <v/>
      </c>
      <c r="I23" s="82" t="str">
        <f t="shared" si="0"/>
        <v/>
      </c>
      <c r="J23" s="83" t="str">
        <f>IF(ISNONTEXT(node_raw[[#This Row],[Column7]]), "", node_raw[[#This Row],[Column7]]/100)</f>
        <v/>
      </c>
      <c r="K23" s="84" t="str">
        <f>IF(ISNONTEXT(node_raw[[#This Row],[Column8]]), "", node_raw[[#This Row],[Column8]]/100)</f>
        <v/>
      </c>
      <c r="L23" s="85" t="str">
        <f>IF(ISNONTEXT(node_raw[[#This Row],[Column9]]), "", node_raw[[#This Row],[Column9]]/1)</f>
        <v/>
      </c>
      <c r="M23" s="86" t="str">
        <f>IF(ISNONTEXT(node_raw[[#This Row],[Column10]]), "", node_raw[[#This Row],[Column10]]/1)</f>
        <v/>
      </c>
    </row>
    <row r="24" spans="1:13" ht="15.75" customHeight="1" x14ac:dyDescent="0.25">
      <c r="A24" s="4">
        <v>27</v>
      </c>
      <c r="B24" s="32" t="str">
        <f>IF(ISNONTEXT(node_raw[[#This Row],[Column1]]), "", node_raw[[#This Row],[Column1]])</f>
        <v/>
      </c>
      <c r="C24" s="29" t="str">
        <f>IF(ISNONTEXT(node_raw[[#This Row],[Column2]]), "", node_raw[[#This Row],[Column2]])</f>
        <v/>
      </c>
      <c r="D24" s="62" t="str">
        <f>IF(ISNUMBER(node_raw[[#This Row],[Column3]]), node_raw[[#This Row],[Column3]],"")</f>
        <v/>
      </c>
      <c r="E24" s="65" t="str">
        <f>IF(ISNUMBER(node_raw[[#This Row],[Column4]]), node_raw[[#This Row],[Column4]]/1048576,"")</f>
        <v/>
      </c>
      <c r="F24" s="91" t="str">
        <f>IF(ISNUMBER(node_raw[[#This Row],[Column5]]), node_raw[[#This Row],[Column5]],"")</f>
        <v/>
      </c>
      <c r="G24" s="80" t="str">
        <f t="shared" si="1"/>
        <v/>
      </c>
      <c r="H24" s="81" t="str">
        <f>IF(ISNUMBER(node_raw[[#This Row],[Column6]]), node_raw[[#This Row],[Column6]]/1048576,"")</f>
        <v/>
      </c>
      <c r="I24" s="82" t="str">
        <f t="shared" si="0"/>
        <v/>
      </c>
      <c r="J24" s="83" t="str">
        <f>IF(ISNONTEXT(node_raw[[#This Row],[Column7]]), "", node_raw[[#This Row],[Column7]]/100)</f>
        <v/>
      </c>
      <c r="K24" s="84" t="str">
        <f>IF(ISNONTEXT(node_raw[[#This Row],[Column8]]), "", node_raw[[#This Row],[Column8]]/100)</f>
        <v/>
      </c>
      <c r="L24" s="85" t="str">
        <f>IF(ISNONTEXT(node_raw[[#This Row],[Column9]]), "", node_raw[[#This Row],[Column9]]/1)</f>
        <v/>
      </c>
      <c r="M24" s="86" t="str">
        <f>IF(ISNONTEXT(node_raw[[#This Row],[Column10]]), "", node_raw[[#This Row],[Column10]]/1)</f>
        <v/>
      </c>
    </row>
    <row r="25" spans="1:13" ht="15.75" customHeight="1" x14ac:dyDescent="0.25">
      <c r="A25" s="4">
        <v>28</v>
      </c>
      <c r="B25" s="32" t="str">
        <f>IF(ISNONTEXT(node_raw[[#This Row],[Column1]]), "", node_raw[[#This Row],[Column1]])</f>
        <v/>
      </c>
      <c r="C25" s="29" t="str">
        <f>IF(ISNONTEXT(node_raw[[#This Row],[Column2]]), "", node_raw[[#This Row],[Column2]])</f>
        <v/>
      </c>
      <c r="D25" s="62" t="str">
        <f>IF(ISNUMBER(node_raw[[#This Row],[Column3]]), node_raw[[#This Row],[Column3]],"")</f>
        <v/>
      </c>
      <c r="E25" s="65" t="str">
        <f>IF(ISNUMBER(node_raw[[#This Row],[Column4]]), node_raw[[#This Row],[Column4]]/1048576,"")</f>
        <v/>
      </c>
      <c r="F25" s="91" t="str">
        <f>IF(ISNUMBER(node_raw[[#This Row],[Column5]]), node_raw[[#This Row],[Column5]],"")</f>
        <v/>
      </c>
      <c r="G25" s="80" t="str">
        <f t="shared" si="1"/>
        <v/>
      </c>
      <c r="H25" s="81" t="str">
        <f>IF(ISNUMBER(node_raw[[#This Row],[Column6]]), node_raw[[#This Row],[Column6]]/1048576,"")</f>
        <v/>
      </c>
      <c r="I25" s="82" t="str">
        <f t="shared" si="0"/>
        <v/>
      </c>
      <c r="J25" s="83" t="str">
        <f>IF(ISNONTEXT(node_raw[[#This Row],[Column7]]), "", node_raw[[#This Row],[Column7]]/100)</f>
        <v/>
      </c>
      <c r="K25" s="84" t="str">
        <f>IF(ISNONTEXT(node_raw[[#This Row],[Column8]]), "", node_raw[[#This Row],[Column8]]/100)</f>
        <v/>
      </c>
      <c r="L25" s="85" t="str">
        <f>IF(ISNONTEXT(node_raw[[#This Row],[Column9]]), "", node_raw[[#This Row],[Column9]]/1)</f>
        <v/>
      </c>
      <c r="M25" s="86" t="str">
        <f>IF(ISNONTEXT(node_raw[[#This Row],[Column10]]), "", node_raw[[#This Row],[Column10]]/1)</f>
        <v/>
      </c>
    </row>
    <row r="26" spans="1:13" ht="15.75" customHeight="1" x14ac:dyDescent="0.25">
      <c r="A26" s="4">
        <v>29</v>
      </c>
      <c r="B26" s="32" t="str">
        <f>IF(ISNONTEXT(node_raw[[#This Row],[Column1]]), "", node_raw[[#This Row],[Column1]])</f>
        <v/>
      </c>
      <c r="C26" s="29" t="str">
        <f>IF(ISNONTEXT(node_raw[[#This Row],[Column2]]), "", node_raw[[#This Row],[Column2]])</f>
        <v/>
      </c>
      <c r="D26" s="62" t="str">
        <f>IF(ISNUMBER(node_raw[[#This Row],[Column3]]), node_raw[[#This Row],[Column3]],"")</f>
        <v/>
      </c>
      <c r="E26" s="65" t="str">
        <f>IF(ISNUMBER(node_raw[[#This Row],[Column4]]), node_raw[[#This Row],[Column4]]/1048576,"")</f>
        <v/>
      </c>
      <c r="F26" s="91" t="str">
        <f>IF(ISNUMBER(node_raw[[#This Row],[Column5]]), node_raw[[#This Row],[Column5]],"")</f>
        <v/>
      </c>
      <c r="G26" s="80" t="str">
        <f t="shared" si="1"/>
        <v/>
      </c>
      <c r="H26" s="81" t="str">
        <f>IF(ISNUMBER(node_raw[[#This Row],[Column6]]), node_raw[[#This Row],[Column6]]/1048576,"")</f>
        <v/>
      </c>
      <c r="I26" s="82" t="str">
        <f t="shared" si="0"/>
        <v/>
      </c>
      <c r="J26" s="83" t="str">
        <f>IF(ISNONTEXT(node_raw[[#This Row],[Column7]]), "", node_raw[[#This Row],[Column7]]/100)</f>
        <v/>
      </c>
      <c r="K26" s="84" t="str">
        <f>IF(ISNONTEXT(node_raw[[#This Row],[Column8]]), "", node_raw[[#This Row],[Column8]]/100)</f>
        <v/>
      </c>
      <c r="L26" s="85" t="str">
        <f>IF(ISNONTEXT(node_raw[[#This Row],[Column9]]), "", node_raw[[#This Row],[Column9]]/1)</f>
        <v/>
      </c>
      <c r="M26" s="86" t="str">
        <f>IF(ISNONTEXT(node_raw[[#This Row],[Column10]]), "", node_raw[[#This Row],[Column10]]/1)</f>
        <v/>
      </c>
    </row>
    <row r="27" spans="1:13" ht="15.75" customHeight="1" x14ac:dyDescent="0.25">
      <c r="A27" s="4">
        <v>30</v>
      </c>
      <c r="B27" s="32" t="str">
        <f>IF(ISNONTEXT(node_raw[[#This Row],[Column1]]), "", node_raw[[#This Row],[Column1]])</f>
        <v/>
      </c>
      <c r="C27" s="29" t="str">
        <f>IF(ISNONTEXT(node_raw[[#This Row],[Column2]]), "", node_raw[[#This Row],[Column2]])</f>
        <v/>
      </c>
      <c r="D27" s="62" t="str">
        <f>IF(ISNUMBER(node_raw[[#This Row],[Column3]]), node_raw[[#This Row],[Column3]],"")</f>
        <v/>
      </c>
      <c r="E27" s="65" t="str">
        <f>IF(ISNUMBER(node_raw[[#This Row],[Column4]]), node_raw[[#This Row],[Column4]]/1048576,"")</f>
        <v/>
      </c>
      <c r="F27" s="91" t="str">
        <f>IF(ISNUMBER(node_raw[[#This Row],[Column5]]), node_raw[[#This Row],[Column5]],"")</f>
        <v/>
      </c>
      <c r="G27" s="80" t="str">
        <f t="shared" si="1"/>
        <v/>
      </c>
      <c r="H27" s="81" t="str">
        <f>IF(ISNUMBER(node_raw[[#This Row],[Column6]]), node_raw[[#This Row],[Column6]]/1048576,"")</f>
        <v/>
      </c>
      <c r="I27" s="82" t="str">
        <f t="shared" si="0"/>
        <v/>
      </c>
      <c r="J27" s="83" t="str">
        <f>IF(ISNONTEXT(node_raw[[#This Row],[Column7]]), "", node_raw[[#This Row],[Column7]]/100)</f>
        <v/>
      </c>
      <c r="K27" s="84" t="str">
        <f>IF(ISNONTEXT(node_raw[[#This Row],[Column8]]), "", node_raw[[#This Row],[Column8]]/100)</f>
        <v/>
      </c>
      <c r="L27" s="85" t="str">
        <f>IF(ISNONTEXT(node_raw[[#This Row],[Column9]]), "", node_raw[[#This Row],[Column9]]/1)</f>
        <v/>
      </c>
      <c r="M27" s="86" t="str">
        <f>IF(ISNONTEXT(node_raw[[#This Row],[Column10]]), "", node_raw[[#This Row],[Column10]]/1)</f>
        <v/>
      </c>
    </row>
    <row r="28" spans="1:13" ht="15.75" customHeight="1" x14ac:dyDescent="0.25">
      <c r="A28" s="4">
        <v>31</v>
      </c>
      <c r="B28" s="32" t="str">
        <f>IF(ISNONTEXT(node_raw[[#This Row],[Column1]]), "", node_raw[[#This Row],[Column1]])</f>
        <v/>
      </c>
      <c r="C28" s="29" t="str">
        <f>IF(ISNONTEXT(node_raw[[#This Row],[Column2]]), "", node_raw[[#This Row],[Column2]])</f>
        <v/>
      </c>
      <c r="D28" s="62" t="str">
        <f>IF(ISNUMBER(node_raw[[#This Row],[Column3]]), node_raw[[#This Row],[Column3]],"")</f>
        <v/>
      </c>
      <c r="E28" s="65" t="str">
        <f>IF(ISNUMBER(node_raw[[#This Row],[Column4]]), node_raw[[#This Row],[Column4]]/1048576,"")</f>
        <v/>
      </c>
      <c r="F28" s="91" t="str">
        <f>IF(ISNUMBER(node_raw[[#This Row],[Column5]]), node_raw[[#This Row],[Column5]],"")</f>
        <v/>
      </c>
      <c r="G28" s="80" t="str">
        <f t="shared" si="1"/>
        <v/>
      </c>
      <c r="H28" s="81" t="str">
        <f>IF(ISNUMBER(node_raw[[#This Row],[Column6]]), node_raw[[#This Row],[Column6]]/1048576,"")</f>
        <v/>
      </c>
      <c r="I28" s="82" t="str">
        <f t="shared" si="0"/>
        <v/>
      </c>
      <c r="J28" s="83" t="str">
        <f>IF(ISNONTEXT(node_raw[[#This Row],[Column7]]), "", node_raw[[#This Row],[Column7]]/100)</f>
        <v/>
      </c>
      <c r="K28" s="84" t="str">
        <f>IF(ISNONTEXT(node_raw[[#This Row],[Column8]]), "", node_raw[[#This Row],[Column8]]/100)</f>
        <v/>
      </c>
      <c r="L28" s="85" t="str">
        <f>IF(ISNONTEXT(node_raw[[#This Row],[Column9]]), "", node_raw[[#This Row],[Column9]]/1)</f>
        <v/>
      </c>
      <c r="M28" s="86" t="str">
        <f>IF(ISNONTEXT(node_raw[[#This Row],[Column10]]), "", node_raw[[#This Row],[Column10]]/1)</f>
        <v/>
      </c>
    </row>
    <row r="29" spans="1:13" ht="15.75" customHeight="1" x14ac:dyDescent="0.25">
      <c r="B29" s="32" t="str">
        <f>IF(ISNONTEXT(node_raw[[#This Row],[Column1]]), "", node_raw[[#This Row],[Column1]])</f>
        <v/>
      </c>
      <c r="C29" s="29" t="str">
        <f>IF(ISNONTEXT(node_raw[[#This Row],[Column2]]), "", node_raw[[#This Row],[Column2]])</f>
        <v/>
      </c>
      <c r="D29" s="62" t="str">
        <f>IF(ISNUMBER(node_raw[[#This Row],[Column3]]), node_raw[[#This Row],[Column3]],"")</f>
        <v/>
      </c>
      <c r="E29" s="65" t="str">
        <f>IF(ISNUMBER(node_raw[[#This Row],[Column4]]), node_raw[[#This Row],[Column4]]/1048576,"")</f>
        <v/>
      </c>
      <c r="F29" s="91" t="str">
        <f>IF(ISNUMBER(node_raw[[#This Row],[Column5]]), node_raw[[#This Row],[Column5]],"")</f>
        <v/>
      </c>
      <c r="G29" s="80" t="str">
        <f t="shared" si="1"/>
        <v/>
      </c>
      <c r="H29" s="81" t="str">
        <f>IF(ISNUMBER(node_raw[[#This Row],[Column6]]), node_raw[[#This Row],[Column6]]/1048576,"")</f>
        <v/>
      </c>
      <c r="I29" s="82" t="str">
        <f t="shared" si="0"/>
        <v/>
      </c>
      <c r="J29" s="83" t="str">
        <f>IF(ISNONTEXT(node_raw[[#This Row],[Column7]]), "", node_raw[[#This Row],[Column7]]/100)</f>
        <v/>
      </c>
      <c r="K29" s="84" t="str">
        <f>IF(ISNONTEXT(node_raw[[#This Row],[Column8]]), "", node_raw[[#This Row],[Column8]]/100)</f>
        <v/>
      </c>
      <c r="L29" s="85" t="str">
        <f>IF(ISNONTEXT(node_raw[[#This Row],[Column9]]), "", node_raw[[#This Row],[Column9]]/1)</f>
        <v/>
      </c>
      <c r="M29" s="86" t="str">
        <f>IF(ISNONTEXT(node_raw[[#This Row],[Column10]]), "", node_raw[[#This Row],[Column10]]/1)</f>
        <v/>
      </c>
    </row>
    <row r="30" spans="1:13" ht="15.75" customHeight="1" x14ac:dyDescent="0.25">
      <c r="B30" s="32" t="str">
        <f>IF(ISNONTEXT(node_raw[[#This Row],[Column1]]), "", node_raw[[#This Row],[Column1]])</f>
        <v/>
      </c>
      <c r="C30" s="29" t="str">
        <f>IF(ISNONTEXT(node_raw[[#This Row],[Column2]]), "", node_raw[[#This Row],[Column2]])</f>
        <v/>
      </c>
      <c r="D30" s="62" t="str">
        <f>IF(ISNUMBER(node_raw[[#This Row],[Column3]]), node_raw[[#This Row],[Column3]],"")</f>
        <v/>
      </c>
      <c r="E30" s="65" t="str">
        <f>IF(ISNUMBER(node_raw[[#This Row],[Column4]]), node_raw[[#This Row],[Column4]]/1048576,"")</f>
        <v/>
      </c>
      <c r="F30" s="91" t="str">
        <f>IF(ISNUMBER(node_raw[[#This Row],[Column5]]), node_raw[[#This Row],[Column5]],"")</f>
        <v/>
      </c>
      <c r="G30" s="80" t="str">
        <f t="shared" si="1"/>
        <v/>
      </c>
      <c r="H30" s="81" t="str">
        <f>IF(ISNUMBER(node_raw[[#This Row],[Column6]]), node_raw[[#This Row],[Column6]]/1048576,"")</f>
        <v/>
      </c>
      <c r="I30" s="82" t="str">
        <f t="shared" si="0"/>
        <v/>
      </c>
      <c r="J30" s="83" t="str">
        <f>IF(ISNONTEXT(node_raw[[#This Row],[Column7]]), "", node_raw[[#This Row],[Column7]]/100)</f>
        <v/>
      </c>
      <c r="K30" s="84" t="str">
        <f>IF(ISNONTEXT(node_raw[[#This Row],[Column8]]), "", node_raw[[#This Row],[Column8]]/100)</f>
        <v/>
      </c>
      <c r="L30" s="85" t="str">
        <f>IF(ISNONTEXT(node_raw[[#This Row],[Column9]]), "", node_raw[[#This Row],[Column9]]/1)</f>
        <v/>
      </c>
      <c r="M30" s="86" t="str">
        <f>IF(ISNONTEXT(node_raw[[#This Row],[Column10]]), "", node_raw[[#This Row],[Column10]]/1)</f>
        <v/>
      </c>
    </row>
    <row r="31" spans="1:13" ht="15.75" customHeight="1" x14ac:dyDescent="0.25">
      <c r="B31" s="32" t="str">
        <f>IF(ISNONTEXT(node_raw[[#This Row],[Column1]]), "", node_raw[[#This Row],[Column1]])</f>
        <v/>
      </c>
      <c r="C31" s="29" t="str">
        <f>IF(ISNONTEXT(node_raw[[#This Row],[Column2]]), "", node_raw[[#This Row],[Column2]])</f>
        <v/>
      </c>
      <c r="D31" s="62" t="str">
        <f>IF(ISNUMBER(node_raw[[#This Row],[Column3]]), node_raw[[#This Row],[Column3]],"")</f>
        <v/>
      </c>
      <c r="E31" s="65" t="str">
        <f>IF(ISNUMBER(node_raw[[#This Row],[Column4]]), node_raw[[#This Row],[Column4]]/1048576,"")</f>
        <v/>
      </c>
      <c r="F31" s="91" t="str">
        <f>IF(ISNUMBER(node_raw[[#This Row],[Column5]]), node_raw[[#This Row],[Column5]],"")</f>
        <v/>
      </c>
      <c r="G31" s="80" t="str">
        <f t="shared" si="1"/>
        <v/>
      </c>
      <c r="H31" s="81" t="str">
        <f>IF(ISNUMBER(node_raw[[#This Row],[Column6]]), node_raw[[#This Row],[Column6]]/1048576,"")</f>
        <v/>
      </c>
      <c r="I31" s="82" t="str">
        <f t="shared" si="0"/>
        <v/>
      </c>
      <c r="J31" s="83" t="str">
        <f>IF(ISNONTEXT(node_raw[[#This Row],[Column7]]), "", node_raw[[#This Row],[Column7]]/100)</f>
        <v/>
      </c>
      <c r="K31" s="84" t="str">
        <f>IF(ISNONTEXT(node_raw[[#This Row],[Column8]]), "", node_raw[[#This Row],[Column8]]/100)</f>
        <v/>
      </c>
      <c r="L31" s="85" t="str">
        <f>IF(ISNONTEXT(node_raw[[#This Row],[Column9]]), "", node_raw[[#This Row],[Column9]]/1)</f>
        <v/>
      </c>
      <c r="M31" s="86" t="str">
        <f>IF(ISNONTEXT(node_raw[[#This Row],[Column10]]), "", node_raw[[#This Row],[Column10]]/1)</f>
        <v/>
      </c>
    </row>
    <row r="32" spans="1:13" ht="15.75" customHeight="1" x14ac:dyDescent="0.25">
      <c r="B32" s="32" t="str">
        <f>IF(ISNONTEXT(node_raw[[#This Row],[Column1]]), "", node_raw[[#This Row],[Column1]])</f>
        <v/>
      </c>
      <c r="C32" s="29" t="str">
        <f>IF(ISNONTEXT(node_raw[[#This Row],[Column2]]), "", node_raw[[#This Row],[Column2]])</f>
        <v/>
      </c>
      <c r="D32" s="62" t="str">
        <f>IF(ISNUMBER(node_raw[[#This Row],[Column3]]), node_raw[[#This Row],[Column3]],"")</f>
        <v/>
      </c>
      <c r="E32" s="65" t="str">
        <f>IF(ISNUMBER(node_raw[[#This Row],[Column4]]), node_raw[[#This Row],[Column4]]/1048576,"")</f>
        <v/>
      </c>
      <c r="F32" s="91" t="str">
        <f>IF(ISNUMBER(node_raw[[#This Row],[Column5]]), node_raw[[#This Row],[Column5]],"")</f>
        <v/>
      </c>
      <c r="G32" s="80" t="str">
        <f t="shared" si="1"/>
        <v/>
      </c>
      <c r="H32" s="81" t="str">
        <f>IF(ISNUMBER(node_raw[[#This Row],[Column6]]), node_raw[[#This Row],[Column6]]/1048576,"")</f>
        <v/>
      </c>
      <c r="I32" s="82" t="str">
        <f t="shared" si="0"/>
        <v/>
      </c>
      <c r="J32" s="83" t="str">
        <f>IF(ISNONTEXT(node_raw[[#This Row],[Column7]]), "", node_raw[[#This Row],[Column7]]/100)</f>
        <v/>
      </c>
      <c r="K32" s="84" t="str">
        <f>IF(ISNONTEXT(node_raw[[#This Row],[Column8]]), "", node_raw[[#This Row],[Column8]]/100)</f>
        <v/>
      </c>
      <c r="L32" s="85" t="str">
        <f>IF(ISNONTEXT(node_raw[[#This Row],[Column9]]), "", node_raw[[#This Row],[Column9]]/1)</f>
        <v/>
      </c>
      <c r="M32" s="86" t="str">
        <f>IF(ISNONTEXT(node_raw[[#This Row],[Column10]]), "", node_raw[[#This Row],[Column10]]/1)</f>
        <v/>
      </c>
    </row>
    <row r="33" spans="2:13" ht="15.75" customHeight="1" x14ac:dyDescent="0.25">
      <c r="B33" s="32" t="str">
        <f>IF(ISNONTEXT(node_raw[[#This Row],[Column1]]), "", node_raw[[#This Row],[Column1]])</f>
        <v/>
      </c>
      <c r="C33" s="29" t="str">
        <f>IF(ISNONTEXT(node_raw[[#This Row],[Column2]]), "", node_raw[[#This Row],[Column2]])</f>
        <v/>
      </c>
      <c r="D33" s="62" t="str">
        <f>IF(ISNUMBER(node_raw[[#This Row],[Column3]]), node_raw[[#This Row],[Column3]],"")</f>
        <v/>
      </c>
      <c r="E33" s="65" t="str">
        <f>IF(ISNUMBER(node_raw[[#This Row],[Column4]]), node_raw[[#This Row],[Column4]]/1048576,"")</f>
        <v/>
      </c>
      <c r="F33" s="91" t="str">
        <f>IF(ISNUMBER(node_raw[[#This Row],[Column5]]), node_raw[[#This Row],[Column5]],"")</f>
        <v/>
      </c>
      <c r="G33" s="80" t="str">
        <f t="shared" si="1"/>
        <v/>
      </c>
      <c r="H33" s="81" t="str">
        <f>IF(ISNUMBER(node_raw[[#This Row],[Column6]]), node_raw[[#This Row],[Column6]]/1048576,"")</f>
        <v/>
      </c>
      <c r="I33" s="82" t="str">
        <f t="shared" si="0"/>
        <v/>
      </c>
      <c r="J33" s="83" t="str">
        <f>IF(ISNONTEXT(node_raw[[#This Row],[Column7]]), "", node_raw[[#This Row],[Column7]]/100)</f>
        <v/>
      </c>
      <c r="K33" s="84" t="str">
        <f>IF(ISNONTEXT(node_raw[[#This Row],[Column8]]), "", node_raw[[#This Row],[Column8]]/100)</f>
        <v/>
      </c>
      <c r="L33" s="85" t="str">
        <f>IF(ISNONTEXT(node_raw[[#This Row],[Column9]]), "", node_raw[[#This Row],[Column9]]/1)</f>
        <v/>
      </c>
      <c r="M33" s="86" t="str">
        <f>IF(ISNONTEXT(node_raw[[#This Row],[Column10]]), "", node_raw[[#This Row],[Column10]]/1)</f>
        <v/>
      </c>
    </row>
    <row r="34" spans="2:13" ht="15.75" customHeight="1" x14ac:dyDescent="0.25">
      <c r="B34" s="32" t="str">
        <f>IF(ISNONTEXT(node_raw[[#This Row],[Column1]]), "", node_raw[[#This Row],[Column1]])</f>
        <v/>
      </c>
      <c r="C34" s="29" t="str">
        <f>IF(ISNONTEXT(node_raw[[#This Row],[Column2]]), "", node_raw[[#This Row],[Column2]])</f>
        <v/>
      </c>
      <c r="D34" s="62" t="str">
        <f>IF(ISNUMBER(node_raw[[#This Row],[Column3]]), node_raw[[#This Row],[Column3]],"")</f>
        <v/>
      </c>
      <c r="E34" s="65" t="str">
        <f>IF(ISNUMBER(node_raw[[#This Row],[Column4]]), node_raw[[#This Row],[Column4]]/1048576,"")</f>
        <v/>
      </c>
      <c r="F34" s="91" t="str">
        <f>IF(ISNUMBER(node_raw[[#This Row],[Column5]]), node_raw[[#This Row],[Column5]],"")</f>
        <v/>
      </c>
      <c r="G34" s="80" t="str">
        <f t="shared" si="1"/>
        <v/>
      </c>
      <c r="H34" s="81" t="str">
        <f>IF(ISNUMBER(node_raw[[#This Row],[Column6]]), node_raw[[#This Row],[Column6]]/1048576,"")</f>
        <v/>
      </c>
      <c r="I34" s="82" t="str">
        <f t="shared" si="0"/>
        <v/>
      </c>
      <c r="J34" s="83" t="str">
        <f>IF(ISNONTEXT(node_raw[[#This Row],[Column7]]), "", node_raw[[#This Row],[Column7]]/100)</f>
        <v/>
      </c>
      <c r="K34" s="84" t="str">
        <f>IF(ISNONTEXT(node_raw[[#This Row],[Column8]]), "", node_raw[[#This Row],[Column8]]/100)</f>
        <v/>
      </c>
      <c r="L34" s="85" t="str">
        <f>IF(ISNONTEXT(node_raw[[#This Row],[Column9]]), "", node_raw[[#This Row],[Column9]]/1)</f>
        <v/>
      </c>
      <c r="M34" s="86" t="str">
        <f>IF(ISNONTEXT(node_raw[[#This Row],[Column10]]), "", node_raw[[#This Row],[Column10]]/1)</f>
        <v/>
      </c>
    </row>
    <row r="35" spans="2:13" ht="15.75" customHeight="1" x14ac:dyDescent="0.25">
      <c r="B35" s="32" t="str">
        <f>IF(ISNONTEXT(node_raw[[#This Row],[Column1]]), "", node_raw[[#This Row],[Column1]])</f>
        <v/>
      </c>
      <c r="C35" s="29" t="str">
        <f>IF(ISNONTEXT(node_raw[[#This Row],[Column2]]), "", node_raw[[#This Row],[Column2]])</f>
        <v/>
      </c>
      <c r="D35" s="62" t="str">
        <f>IF(ISNUMBER(node_raw[[#This Row],[Column3]]), node_raw[[#This Row],[Column3]],"")</f>
        <v/>
      </c>
      <c r="E35" s="65" t="str">
        <f>IF(ISNUMBER(node_raw[[#This Row],[Column4]]), node_raw[[#This Row],[Column4]]/1048576,"")</f>
        <v/>
      </c>
      <c r="F35" s="91" t="str">
        <f>IF(ISNUMBER(node_raw[[#This Row],[Column5]]), node_raw[[#This Row],[Column5]],"")</f>
        <v/>
      </c>
      <c r="G35" s="80" t="str">
        <f t="shared" si="1"/>
        <v/>
      </c>
      <c r="H35" s="81" t="str">
        <f>IF(ISNUMBER(node_raw[[#This Row],[Column6]]), node_raw[[#This Row],[Column6]]/1048576,"")</f>
        <v/>
      </c>
      <c r="I35" s="82" t="str">
        <f t="shared" si="0"/>
        <v/>
      </c>
      <c r="J35" s="83" t="str">
        <f>IF(ISNONTEXT(node_raw[[#This Row],[Column7]]), "", node_raw[[#This Row],[Column7]]/100)</f>
        <v/>
      </c>
      <c r="K35" s="84" t="str">
        <f>IF(ISNONTEXT(node_raw[[#This Row],[Column8]]), "", node_raw[[#This Row],[Column8]]/100)</f>
        <v/>
      </c>
      <c r="L35" s="85" t="str">
        <f>IF(ISNONTEXT(node_raw[[#This Row],[Column9]]), "", node_raw[[#This Row],[Column9]]/1)</f>
        <v/>
      </c>
      <c r="M35" s="86" t="str">
        <f>IF(ISNONTEXT(node_raw[[#This Row],[Column10]]), "", node_raw[[#This Row],[Column10]]/1)</f>
        <v/>
      </c>
    </row>
    <row r="36" spans="2:13" ht="15.75" customHeight="1" x14ac:dyDescent="0.25">
      <c r="B36" s="32" t="str">
        <f>IF(ISNONTEXT(node_raw[[#This Row],[Column1]]), "", node_raw[[#This Row],[Column1]])</f>
        <v/>
      </c>
      <c r="C36" s="29" t="str">
        <f>IF(ISNONTEXT(node_raw[[#This Row],[Column2]]), "", node_raw[[#This Row],[Column2]])</f>
        <v/>
      </c>
      <c r="D36" s="62" t="str">
        <f>IF(ISNUMBER(node_raw[[#This Row],[Column3]]), node_raw[[#This Row],[Column3]],"")</f>
        <v/>
      </c>
      <c r="E36" s="65" t="str">
        <f>IF(ISNUMBER(node_raw[[#This Row],[Column4]]), node_raw[[#This Row],[Column4]]/1048576,"")</f>
        <v/>
      </c>
      <c r="F36" s="91" t="str">
        <f>IF(ISNUMBER(node_raw[[#This Row],[Column5]]), node_raw[[#This Row],[Column5]],"")</f>
        <v/>
      </c>
      <c r="G36" s="80" t="str">
        <f t="shared" si="1"/>
        <v/>
      </c>
      <c r="H36" s="81" t="str">
        <f>IF(ISNUMBER(node_raw[[#This Row],[Column6]]), node_raw[[#This Row],[Column6]]/1048576,"")</f>
        <v/>
      </c>
      <c r="I36" s="82" t="str">
        <f t="shared" si="0"/>
        <v/>
      </c>
      <c r="J36" s="83" t="str">
        <f>IF(ISNONTEXT(node_raw[[#This Row],[Column7]]), "", node_raw[[#This Row],[Column7]]/100)</f>
        <v/>
      </c>
      <c r="K36" s="84" t="str">
        <f>IF(ISNONTEXT(node_raw[[#This Row],[Column8]]), "", node_raw[[#This Row],[Column8]]/100)</f>
        <v/>
      </c>
      <c r="L36" s="85" t="str">
        <f>IF(ISNONTEXT(node_raw[[#This Row],[Column9]]), "", node_raw[[#This Row],[Column9]]/1)</f>
        <v/>
      </c>
      <c r="M36" s="86" t="str">
        <f>IF(ISNONTEXT(node_raw[[#This Row],[Column10]]), "", node_raw[[#This Row],[Column10]]/1)</f>
        <v/>
      </c>
    </row>
    <row r="37" spans="2:13" ht="15.75" customHeight="1" x14ac:dyDescent="0.25">
      <c r="B37" s="32" t="str">
        <f>IF(ISNONTEXT(node_raw[[#This Row],[Column1]]), "", node_raw[[#This Row],[Column1]])</f>
        <v/>
      </c>
      <c r="C37" s="29" t="str">
        <f>IF(ISNONTEXT(node_raw[[#This Row],[Column2]]), "", node_raw[[#This Row],[Column2]])</f>
        <v/>
      </c>
      <c r="D37" s="62" t="str">
        <f>IF(ISNUMBER(node_raw[[#This Row],[Column3]]), node_raw[[#This Row],[Column3]],"")</f>
        <v/>
      </c>
      <c r="E37" s="65" t="str">
        <f>IF(ISNUMBER(node_raw[[#This Row],[Column4]]), node_raw[[#This Row],[Column4]]/1048576,"")</f>
        <v/>
      </c>
      <c r="F37" s="91" t="str">
        <f>IF(ISNUMBER(node_raw[[#This Row],[Column5]]), node_raw[[#This Row],[Column5]],"")</f>
        <v/>
      </c>
      <c r="G37" s="80" t="str">
        <f t="shared" si="1"/>
        <v/>
      </c>
      <c r="H37" s="81" t="str">
        <f>IF(ISNUMBER(node_raw[[#This Row],[Column6]]), node_raw[[#This Row],[Column6]]/1048576,"")</f>
        <v/>
      </c>
      <c r="I37" s="82" t="str">
        <f t="shared" si="0"/>
        <v/>
      </c>
      <c r="J37" s="83" t="str">
        <f>IF(ISNONTEXT(node_raw[[#This Row],[Column7]]), "", node_raw[[#This Row],[Column7]]/100)</f>
        <v/>
      </c>
      <c r="K37" s="84" t="str">
        <f>IF(ISNONTEXT(node_raw[[#This Row],[Column8]]), "", node_raw[[#This Row],[Column8]]/100)</f>
        <v/>
      </c>
      <c r="L37" s="85" t="str">
        <f>IF(ISNONTEXT(node_raw[[#This Row],[Column9]]), "", node_raw[[#This Row],[Column9]]/1)</f>
        <v/>
      </c>
      <c r="M37" s="86" t="str">
        <f>IF(ISNONTEXT(node_raw[[#This Row],[Column10]]), "", node_raw[[#This Row],[Column10]]/1)</f>
        <v/>
      </c>
    </row>
    <row r="38" spans="2:13" ht="15.75" customHeight="1" x14ac:dyDescent="0.25">
      <c r="B38" s="32" t="str">
        <f>IF(ISNONTEXT(node_raw[[#This Row],[Column1]]), "", node_raw[[#This Row],[Column1]])</f>
        <v/>
      </c>
      <c r="C38" s="29" t="str">
        <f>IF(ISNONTEXT(node_raw[[#This Row],[Column2]]), "", node_raw[[#This Row],[Column2]])</f>
        <v/>
      </c>
      <c r="D38" s="62" t="str">
        <f>IF(ISNUMBER(node_raw[[#This Row],[Column3]]), node_raw[[#This Row],[Column3]],"")</f>
        <v/>
      </c>
      <c r="E38" s="65" t="str">
        <f>IF(ISNUMBER(node_raw[[#This Row],[Column4]]), node_raw[[#This Row],[Column4]]/1048576,"")</f>
        <v/>
      </c>
      <c r="F38" s="91" t="str">
        <f>IF(ISNUMBER(node_raw[[#This Row],[Column5]]), node_raw[[#This Row],[Column5]],"")</f>
        <v/>
      </c>
      <c r="G38" s="80" t="str">
        <f t="shared" si="1"/>
        <v/>
      </c>
      <c r="H38" s="81" t="str">
        <f>IF(ISNUMBER(node_raw[[#This Row],[Column6]]), node_raw[[#This Row],[Column6]]/1048576,"")</f>
        <v/>
      </c>
      <c r="I38" s="82" t="str">
        <f t="shared" si="0"/>
        <v/>
      </c>
      <c r="J38" s="83" t="str">
        <f>IF(ISNONTEXT(node_raw[[#This Row],[Column7]]), "", node_raw[[#This Row],[Column7]]/100)</f>
        <v/>
      </c>
      <c r="K38" s="84" t="str">
        <f>IF(ISNONTEXT(node_raw[[#This Row],[Column8]]), "", node_raw[[#This Row],[Column8]]/100)</f>
        <v/>
      </c>
      <c r="L38" s="85" t="str">
        <f>IF(ISNONTEXT(node_raw[[#This Row],[Column9]]), "", node_raw[[#This Row],[Column9]]/1)</f>
        <v/>
      </c>
      <c r="M38" s="86" t="str">
        <f>IF(ISNONTEXT(node_raw[[#This Row],[Column10]]), "", node_raw[[#This Row],[Column10]]/1)</f>
        <v/>
      </c>
    </row>
    <row r="39" spans="2:13" ht="15.75" customHeight="1" x14ac:dyDescent="0.25">
      <c r="B39" s="32" t="str">
        <f>IF(ISNONTEXT(node_raw[[#This Row],[Column1]]), "", node_raw[[#This Row],[Column1]])</f>
        <v/>
      </c>
      <c r="C39" s="29" t="str">
        <f>IF(ISNONTEXT(node_raw[[#This Row],[Column2]]), "", node_raw[[#This Row],[Column2]])</f>
        <v/>
      </c>
      <c r="D39" s="62" t="str">
        <f>IF(ISNUMBER(node_raw[[#This Row],[Column3]]), node_raw[[#This Row],[Column3]],"")</f>
        <v/>
      </c>
      <c r="E39" s="65" t="str">
        <f>IF(ISNUMBER(node_raw[[#This Row],[Column4]]), node_raw[[#This Row],[Column4]]/1048576,"")</f>
        <v/>
      </c>
      <c r="F39" s="91" t="str">
        <f>IF(ISNUMBER(node_raw[[#This Row],[Column5]]), node_raw[[#This Row],[Column5]],"")</f>
        <v/>
      </c>
      <c r="G39" s="80" t="str">
        <f t="shared" si="1"/>
        <v/>
      </c>
      <c r="H39" s="81" t="str">
        <f>IF(ISNUMBER(node_raw[[#This Row],[Column6]]), node_raw[[#This Row],[Column6]]/1048576,"")</f>
        <v/>
      </c>
      <c r="I39" s="82" t="str">
        <f t="shared" si="0"/>
        <v/>
      </c>
      <c r="J39" s="83" t="str">
        <f>IF(ISNONTEXT(node_raw[[#This Row],[Column7]]), "", node_raw[[#This Row],[Column7]]/100)</f>
        <v/>
      </c>
      <c r="K39" s="84" t="str">
        <f>IF(ISNONTEXT(node_raw[[#This Row],[Column8]]), "", node_raw[[#This Row],[Column8]]/100)</f>
        <v/>
      </c>
      <c r="L39" s="85" t="str">
        <f>IF(ISNONTEXT(node_raw[[#This Row],[Column9]]), "", node_raw[[#This Row],[Column9]]/1)</f>
        <v/>
      </c>
      <c r="M39" s="86" t="str">
        <f>IF(ISNONTEXT(node_raw[[#This Row],[Column10]]), "", node_raw[[#This Row],[Column10]]/1)</f>
        <v/>
      </c>
    </row>
    <row r="40" spans="2:13" ht="15.75" customHeight="1" x14ac:dyDescent="0.25">
      <c r="B40" s="32" t="str">
        <f>IF(ISNONTEXT(node_raw[[#This Row],[Column1]]), "", node_raw[[#This Row],[Column1]])</f>
        <v/>
      </c>
      <c r="C40" s="29" t="str">
        <f>IF(ISNONTEXT(node_raw[[#This Row],[Column2]]), "", node_raw[[#This Row],[Column2]])</f>
        <v/>
      </c>
      <c r="D40" s="62" t="str">
        <f>IF(ISNUMBER(node_raw[[#This Row],[Column3]]), node_raw[[#This Row],[Column3]],"")</f>
        <v/>
      </c>
      <c r="E40" s="65" t="str">
        <f>IF(ISNUMBER(node_raw[[#This Row],[Column4]]), node_raw[[#This Row],[Column4]]/1048576,"")</f>
        <v/>
      </c>
      <c r="F40" s="91" t="str">
        <f>IF(ISNUMBER(node_raw[[#This Row],[Column5]]), node_raw[[#This Row],[Column5]],"")</f>
        <v/>
      </c>
      <c r="G40" s="80" t="str">
        <f t="shared" si="1"/>
        <v/>
      </c>
      <c r="H40" s="81" t="str">
        <f>IF(ISNUMBER(node_raw[[#This Row],[Column6]]), node_raw[[#This Row],[Column6]]/1048576,"")</f>
        <v/>
      </c>
      <c r="I40" s="82" t="str">
        <f t="shared" si="0"/>
        <v/>
      </c>
      <c r="J40" s="83" t="str">
        <f>IF(ISNONTEXT(node_raw[[#This Row],[Column7]]), "", node_raw[[#This Row],[Column7]]/100)</f>
        <v/>
      </c>
      <c r="K40" s="84" t="str">
        <f>IF(ISNONTEXT(node_raw[[#This Row],[Column8]]), "", node_raw[[#This Row],[Column8]]/100)</f>
        <v/>
      </c>
      <c r="L40" s="85" t="str">
        <f>IF(ISNONTEXT(node_raw[[#This Row],[Column9]]), "", node_raw[[#This Row],[Column9]]/1)</f>
        <v/>
      </c>
      <c r="M40" s="86" t="str">
        <f>IF(ISNONTEXT(node_raw[[#This Row],[Column10]]), "", node_raw[[#This Row],[Column10]]/1)</f>
        <v/>
      </c>
    </row>
    <row r="41" spans="2:13" ht="15.75" customHeight="1" x14ac:dyDescent="0.25">
      <c r="B41" s="32" t="str">
        <f>IF(ISNONTEXT(node_raw[[#This Row],[Column1]]), "", node_raw[[#This Row],[Column1]])</f>
        <v/>
      </c>
      <c r="C41" s="29" t="str">
        <f>IF(ISNONTEXT(node_raw[[#This Row],[Column2]]), "", node_raw[[#This Row],[Column2]])</f>
        <v/>
      </c>
      <c r="D41" s="62" t="str">
        <f>IF(ISNUMBER(node_raw[[#This Row],[Column3]]), node_raw[[#This Row],[Column3]],"")</f>
        <v/>
      </c>
      <c r="E41" s="65" t="str">
        <f>IF(ISNUMBER(node_raw[[#This Row],[Column4]]), node_raw[[#This Row],[Column4]]/1048576,"")</f>
        <v/>
      </c>
      <c r="F41" s="91" t="str">
        <f>IF(ISNUMBER(node_raw[[#This Row],[Column5]]), node_raw[[#This Row],[Column5]],"")</f>
        <v/>
      </c>
      <c r="G41" s="80" t="str">
        <f t="shared" si="1"/>
        <v/>
      </c>
      <c r="H41" s="81" t="str">
        <f>IF(ISNUMBER(node_raw[[#This Row],[Column6]]), node_raw[[#This Row],[Column6]]/1048576,"")</f>
        <v/>
      </c>
      <c r="I41" s="82" t="str">
        <f t="shared" si="0"/>
        <v/>
      </c>
      <c r="J41" s="83" t="str">
        <f>IF(ISNONTEXT(node_raw[[#This Row],[Column7]]), "", node_raw[[#This Row],[Column7]]/100)</f>
        <v/>
      </c>
      <c r="K41" s="84" t="str">
        <f>IF(ISNONTEXT(node_raw[[#This Row],[Column8]]), "", node_raw[[#This Row],[Column8]]/100)</f>
        <v/>
      </c>
      <c r="L41" s="85" t="str">
        <f>IF(ISNONTEXT(node_raw[[#This Row],[Column9]]), "", node_raw[[#This Row],[Column9]]/1)</f>
        <v/>
      </c>
      <c r="M41" s="86" t="str">
        <f>IF(ISNONTEXT(node_raw[[#This Row],[Column10]]), "", node_raw[[#This Row],[Column10]]/1)</f>
        <v/>
      </c>
    </row>
    <row r="42" spans="2:13" ht="15.75" customHeight="1" x14ac:dyDescent="0.25">
      <c r="B42" s="32" t="str">
        <f>IF(ISNONTEXT(node_raw[[#This Row],[Column1]]), "", node_raw[[#This Row],[Column1]])</f>
        <v/>
      </c>
      <c r="C42" s="29" t="str">
        <f>IF(ISNONTEXT(node_raw[[#This Row],[Column2]]), "", node_raw[[#This Row],[Column2]])</f>
        <v/>
      </c>
      <c r="D42" s="62" t="str">
        <f>IF(ISNUMBER(node_raw[[#This Row],[Column3]]), node_raw[[#This Row],[Column3]],"")</f>
        <v/>
      </c>
      <c r="E42" s="65" t="str">
        <f>IF(ISNUMBER(node_raw[[#This Row],[Column4]]), node_raw[[#This Row],[Column4]]/1048576,"")</f>
        <v/>
      </c>
      <c r="F42" s="91" t="str">
        <f>IF(ISNUMBER(node_raw[[#This Row],[Column5]]), node_raw[[#This Row],[Column5]],"")</f>
        <v/>
      </c>
      <c r="G42" s="80" t="str">
        <f t="shared" si="1"/>
        <v/>
      </c>
      <c r="H42" s="81" t="str">
        <f>IF(ISNUMBER(node_raw[[#This Row],[Column6]]), node_raw[[#This Row],[Column6]]/1048576,"")</f>
        <v/>
      </c>
      <c r="I42" s="82" t="str">
        <f t="shared" si="0"/>
        <v/>
      </c>
      <c r="J42" s="83" t="str">
        <f>IF(ISNONTEXT(node_raw[[#This Row],[Column7]]), "", node_raw[[#This Row],[Column7]]/100)</f>
        <v/>
      </c>
      <c r="K42" s="84" t="str">
        <f>IF(ISNONTEXT(node_raw[[#This Row],[Column8]]), "", node_raw[[#This Row],[Column8]]/100)</f>
        <v/>
      </c>
      <c r="L42" s="85" t="str">
        <f>IF(ISNONTEXT(node_raw[[#This Row],[Column9]]), "", node_raw[[#This Row],[Column9]]/1)</f>
        <v/>
      </c>
      <c r="M42" s="86" t="str">
        <f>IF(ISNONTEXT(node_raw[[#This Row],[Column10]]), "", node_raw[[#This Row],[Column10]]/1)</f>
        <v/>
      </c>
    </row>
    <row r="43" spans="2:13" ht="15.75" customHeight="1" x14ac:dyDescent="0.25">
      <c r="B43" s="32" t="str">
        <f>IF(ISNONTEXT(node_raw[[#This Row],[Column1]]), "", node_raw[[#This Row],[Column1]])</f>
        <v/>
      </c>
      <c r="C43" s="29" t="str">
        <f>IF(ISNONTEXT(node_raw[[#This Row],[Column2]]), "", node_raw[[#This Row],[Column2]])</f>
        <v/>
      </c>
      <c r="D43" s="62" t="str">
        <f>IF(ISNUMBER(node_raw[[#This Row],[Column3]]), node_raw[[#This Row],[Column3]],"")</f>
        <v/>
      </c>
      <c r="E43" s="65" t="str">
        <f>IF(ISNUMBER(node_raw[[#This Row],[Column4]]), node_raw[[#This Row],[Column4]]/1048576,"")</f>
        <v/>
      </c>
      <c r="F43" s="91" t="str">
        <f>IF(ISNUMBER(node_raw[[#This Row],[Column5]]), node_raw[[#This Row],[Column5]],"")</f>
        <v/>
      </c>
      <c r="G43" s="80" t="str">
        <f t="shared" si="1"/>
        <v/>
      </c>
      <c r="H43" s="81" t="str">
        <f>IF(ISNUMBER(node_raw[[#This Row],[Column6]]), node_raw[[#This Row],[Column6]]/1048576,"")</f>
        <v/>
      </c>
      <c r="I43" s="82" t="str">
        <f t="shared" si="0"/>
        <v/>
      </c>
      <c r="J43" s="83" t="str">
        <f>IF(ISNONTEXT(node_raw[[#This Row],[Column7]]), "", node_raw[[#This Row],[Column7]]/100)</f>
        <v/>
      </c>
      <c r="K43" s="84" t="str">
        <f>IF(ISNONTEXT(node_raw[[#This Row],[Column8]]), "", node_raw[[#This Row],[Column8]]/100)</f>
        <v/>
      </c>
      <c r="L43" s="85" t="str">
        <f>IF(ISNONTEXT(node_raw[[#This Row],[Column9]]), "", node_raw[[#This Row],[Column9]]/1)</f>
        <v/>
      </c>
      <c r="M43" s="86" t="str">
        <f>IF(ISNONTEXT(node_raw[[#This Row],[Column10]]), "", node_raw[[#This Row],[Column10]]/1)</f>
        <v/>
      </c>
    </row>
    <row r="44" spans="2:13" ht="15.75" customHeight="1" x14ac:dyDescent="0.25">
      <c r="B44" s="32" t="str">
        <f>IF(ISNONTEXT(node_raw[[#This Row],[Column1]]), "", node_raw[[#This Row],[Column1]])</f>
        <v/>
      </c>
      <c r="C44" s="29" t="str">
        <f>IF(ISNONTEXT(node_raw[[#This Row],[Column2]]), "", node_raw[[#This Row],[Column2]])</f>
        <v/>
      </c>
      <c r="D44" s="62" t="str">
        <f>IF(ISNUMBER(node_raw[[#This Row],[Column3]]), node_raw[[#This Row],[Column3]],"")</f>
        <v/>
      </c>
      <c r="E44" s="65" t="str">
        <f>IF(ISNUMBER(node_raw[[#This Row],[Column4]]), node_raw[[#This Row],[Column4]]/1048576,"")</f>
        <v/>
      </c>
      <c r="F44" s="91" t="str">
        <f>IF(ISNUMBER(node_raw[[#This Row],[Column5]]), node_raw[[#This Row],[Column5]],"")</f>
        <v/>
      </c>
      <c r="G44" s="80" t="str">
        <f t="shared" si="1"/>
        <v/>
      </c>
      <c r="H44" s="81" t="str">
        <f>IF(ISNUMBER(node_raw[[#This Row],[Column6]]), node_raw[[#This Row],[Column6]]/1048576,"")</f>
        <v/>
      </c>
      <c r="I44" s="82" t="str">
        <f t="shared" si="0"/>
        <v/>
      </c>
      <c r="J44" s="83" t="str">
        <f>IF(ISNONTEXT(node_raw[[#This Row],[Column7]]), "", node_raw[[#This Row],[Column7]]/100)</f>
        <v/>
      </c>
      <c r="K44" s="84" t="str">
        <f>IF(ISNONTEXT(node_raw[[#This Row],[Column8]]), "", node_raw[[#This Row],[Column8]]/100)</f>
        <v/>
      </c>
      <c r="L44" s="85" t="str">
        <f>IF(ISNONTEXT(node_raw[[#This Row],[Column9]]), "", node_raw[[#This Row],[Column9]]/1)</f>
        <v/>
      </c>
      <c r="M44" s="86" t="str">
        <f>IF(ISNONTEXT(node_raw[[#This Row],[Column10]]), "", node_raw[[#This Row],[Column10]]/1)</f>
        <v/>
      </c>
    </row>
    <row r="45" spans="2:13" ht="15.75" customHeight="1" x14ac:dyDescent="0.25">
      <c r="B45" s="32" t="str">
        <f>IF(ISNONTEXT(node_raw[[#This Row],[Column1]]), "", node_raw[[#This Row],[Column1]])</f>
        <v/>
      </c>
      <c r="C45" s="29" t="str">
        <f>IF(ISNONTEXT(node_raw[[#This Row],[Column2]]), "", node_raw[[#This Row],[Column2]])</f>
        <v/>
      </c>
      <c r="D45" s="62" t="str">
        <f>IF(ISNUMBER(node_raw[[#This Row],[Column3]]), node_raw[[#This Row],[Column3]],"")</f>
        <v/>
      </c>
      <c r="E45" s="65" t="str">
        <f>IF(ISNUMBER(node_raw[[#This Row],[Column4]]), node_raw[[#This Row],[Column4]]/1048576,"")</f>
        <v/>
      </c>
      <c r="F45" s="91" t="str">
        <f>IF(ISNUMBER(node_raw[[#This Row],[Column5]]), node_raw[[#This Row],[Column5]],"")</f>
        <v/>
      </c>
      <c r="G45" s="80" t="str">
        <f t="shared" si="1"/>
        <v/>
      </c>
      <c r="H45" s="81" t="str">
        <f>IF(ISNUMBER(node_raw[[#This Row],[Column6]]), node_raw[[#This Row],[Column6]]/1048576,"")</f>
        <v/>
      </c>
      <c r="I45" s="82" t="str">
        <f t="shared" si="0"/>
        <v/>
      </c>
      <c r="J45" s="83" t="str">
        <f>IF(ISNONTEXT(node_raw[[#This Row],[Column7]]), "", node_raw[[#This Row],[Column7]]/100)</f>
        <v/>
      </c>
      <c r="K45" s="84" t="str">
        <f>IF(ISNONTEXT(node_raw[[#This Row],[Column8]]), "", node_raw[[#This Row],[Column8]]/100)</f>
        <v/>
      </c>
      <c r="L45" s="85" t="str">
        <f>IF(ISNONTEXT(node_raw[[#This Row],[Column9]]), "", node_raw[[#This Row],[Column9]]/1)</f>
        <v/>
      </c>
      <c r="M45" s="86" t="str">
        <f>IF(ISNONTEXT(node_raw[[#This Row],[Column10]]), "", node_raw[[#This Row],[Column10]]/1)</f>
        <v/>
      </c>
    </row>
    <row r="46" spans="2:13" ht="15.75" customHeight="1" x14ac:dyDescent="0.25">
      <c r="B46" s="32" t="str">
        <f>IF(ISNONTEXT(node_raw[[#This Row],[Column1]]), "", node_raw[[#This Row],[Column1]])</f>
        <v/>
      </c>
      <c r="C46" s="29" t="str">
        <f>IF(ISNONTEXT(node_raw[[#This Row],[Column2]]), "", node_raw[[#This Row],[Column2]])</f>
        <v/>
      </c>
      <c r="D46" s="62" t="str">
        <f>IF(ISNUMBER(node_raw[[#This Row],[Column3]]), node_raw[[#This Row],[Column3]],"")</f>
        <v/>
      </c>
      <c r="E46" s="65" t="str">
        <f>IF(ISNUMBER(node_raw[[#This Row],[Column4]]), node_raw[[#This Row],[Column4]]/1048576,"")</f>
        <v/>
      </c>
      <c r="F46" s="91" t="str">
        <f>IF(ISNUMBER(node_raw[[#This Row],[Column5]]), node_raw[[#This Row],[Column5]],"")</f>
        <v/>
      </c>
      <c r="G46" s="80" t="str">
        <f t="shared" si="1"/>
        <v/>
      </c>
      <c r="H46" s="81" t="str">
        <f>IF(ISNUMBER(node_raw[[#This Row],[Column6]]), node_raw[[#This Row],[Column6]]/1048576,"")</f>
        <v/>
      </c>
      <c r="I46" s="82" t="str">
        <f t="shared" si="0"/>
        <v/>
      </c>
      <c r="J46" s="83" t="str">
        <f>IF(ISNONTEXT(node_raw[[#This Row],[Column7]]), "", node_raw[[#This Row],[Column7]]/100)</f>
        <v/>
      </c>
      <c r="K46" s="84" t="str">
        <f>IF(ISNONTEXT(node_raw[[#This Row],[Column8]]), "", node_raw[[#This Row],[Column8]]/100)</f>
        <v/>
      </c>
      <c r="L46" s="85" t="str">
        <f>IF(ISNONTEXT(node_raw[[#This Row],[Column9]]), "", node_raw[[#This Row],[Column9]]/1)</f>
        <v/>
      </c>
      <c r="M46" s="86" t="str">
        <f>IF(ISNONTEXT(node_raw[[#This Row],[Column10]]), "", node_raw[[#This Row],[Column10]]/1)</f>
        <v/>
      </c>
    </row>
    <row r="47" spans="2:13" ht="15.75" customHeight="1" x14ac:dyDescent="0.25">
      <c r="B47" s="32" t="str">
        <f>IF(ISNONTEXT(node_raw[[#This Row],[Column1]]), "", node_raw[[#This Row],[Column1]])</f>
        <v/>
      </c>
      <c r="C47" s="29" t="str">
        <f>IF(ISNONTEXT(node_raw[[#This Row],[Column2]]), "", node_raw[[#This Row],[Column2]])</f>
        <v/>
      </c>
      <c r="D47" s="62" t="str">
        <f>IF(ISNUMBER(node_raw[[#This Row],[Column3]]), node_raw[[#This Row],[Column3]],"")</f>
        <v/>
      </c>
      <c r="E47" s="65" t="str">
        <f>IF(ISNUMBER(node_raw[[#This Row],[Column4]]), node_raw[[#This Row],[Column4]]/1048576,"")</f>
        <v/>
      </c>
      <c r="F47" s="91" t="str">
        <f>IF(ISNUMBER(node_raw[[#This Row],[Column5]]), node_raw[[#This Row],[Column5]],"")</f>
        <v/>
      </c>
      <c r="G47" s="80" t="str">
        <f t="shared" si="1"/>
        <v/>
      </c>
      <c r="H47" s="81" t="str">
        <f>IF(ISNUMBER(node_raw[[#This Row],[Column6]]), node_raw[[#This Row],[Column6]]/1048576,"")</f>
        <v/>
      </c>
      <c r="I47" s="82" t="str">
        <f t="shared" si="0"/>
        <v/>
      </c>
      <c r="J47" s="83" t="str">
        <f>IF(ISNONTEXT(node_raw[[#This Row],[Column7]]), "", node_raw[[#This Row],[Column7]]/100)</f>
        <v/>
      </c>
      <c r="K47" s="84" t="str">
        <f>IF(ISNONTEXT(node_raw[[#This Row],[Column8]]), "", node_raw[[#This Row],[Column8]]/100)</f>
        <v/>
      </c>
      <c r="L47" s="85" t="str">
        <f>IF(ISNONTEXT(node_raw[[#This Row],[Column9]]), "", node_raw[[#This Row],[Column9]]/1)</f>
        <v/>
      </c>
      <c r="M47" s="86" t="str">
        <f>IF(ISNONTEXT(node_raw[[#This Row],[Column10]]), "", node_raw[[#This Row],[Column10]]/1)</f>
        <v/>
      </c>
    </row>
    <row r="48" spans="2:13" ht="15.75" customHeight="1" x14ac:dyDescent="0.25">
      <c r="B48" s="32" t="str">
        <f>IF(ISNONTEXT(node_raw[[#This Row],[Column1]]), "", node_raw[[#This Row],[Column1]])</f>
        <v/>
      </c>
      <c r="C48" s="29" t="str">
        <f>IF(ISNONTEXT(node_raw[[#This Row],[Column2]]), "", node_raw[[#This Row],[Column2]])</f>
        <v/>
      </c>
      <c r="D48" s="62" t="str">
        <f>IF(ISNUMBER(node_raw[[#This Row],[Column3]]), node_raw[[#This Row],[Column3]],"")</f>
        <v/>
      </c>
      <c r="E48" s="65" t="str">
        <f>IF(ISNUMBER(node_raw[[#This Row],[Column4]]), node_raw[[#This Row],[Column4]]/1048576,"")</f>
        <v/>
      </c>
      <c r="F48" s="91" t="str">
        <f>IF(ISNUMBER(node_raw[[#This Row],[Column5]]), node_raw[[#This Row],[Column5]],"")</f>
        <v/>
      </c>
      <c r="G48" s="80" t="str">
        <f t="shared" si="1"/>
        <v/>
      </c>
      <c r="H48" s="81" t="str">
        <f>IF(ISNUMBER(node_raw[[#This Row],[Column6]]), node_raw[[#This Row],[Column6]]/1048576,"")</f>
        <v/>
      </c>
      <c r="I48" s="82" t="str">
        <f t="shared" si="0"/>
        <v/>
      </c>
      <c r="J48" s="83" t="str">
        <f>IF(ISNONTEXT(node_raw[[#This Row],[Column7]]), "", node_raw[[#This Row],[Column7]]/100)</f>
        <v/>
      </c>
      <c r="K48" s="84" t="str">
        <f>IF(ISNONTEXT(node_raw[[#This Row],[Column8]]), "", node_raw[[#This Row],[Column8]]/100)</f>
        <v/>
      </c>
      <c r="L48" s="85" t="str">
        <f>IF(ISNONTEXT(node_raw[[#This Row],[Column9]]), "", node_raw[[#This Row],[Column9]]/1)</f>
        <v/>
      </c>
      <c r="M48" s="86" t="str">
        <f>IF(ISNONTEXT(node_raw[[#This Row],[Column10]]), "", node_raw[[#This Row],[Column10]]/1)</f>
        <v/>
      </c>
    </row>
    <row r="49" spans="2:13" ht="15.75" customHeight="1" x14ac:dyDescent="0.25">
      <c r="B49" s="32" t="str">
        <f>IF(ISNONTEXT(node_raw[[#This Row],[Column1]]), "", node_raw[[#This Row],[Column1]])</f>
        <v/>
      </c>
      <c r="C49" s="29" t="str">
        <f>IF(ISNONTEXT(node_raw[[#This Row],[Column2]]), "", node_raw[[#This Row],[Column2]])</f>
        <v/>
      </c>
      <c r="D49" s="62" t="str">
        <f>IF(ISNUMBER(node_raw[[#This Row],[Column3]]), node_raw[[#This Row],[Column3]],"")</f>
        <v/>
      </c>
      <c r="E49" s="65" t="str">
        <f>IF(ISNUMBER(node_raw[[#This Row],[Column4]]), node_raw[[#This Row],[Column4]]/1048576,"")</f>
        <v/>
      </c>
      <c r="F49" s="91" t="str">
        <f>IF(ISNUMBER(node_raw[[#This Row],[Column5]]), node_raw[[#This Row],[Column5]],"")</f>
        <v/>
      </c>
      <c r="G49" s="80" t="str">
        <f t="shared" si="1"/>
        <v/>
      </c>
      <c r="H49" s="81" t="str">
        <f>IF(ISNUMBER(node_raw[[#This Row],[Column6]]), node_raw[[#This Row],[Column6]]/1048576,"")</f>
        <v/>
      </c>
      <c r="I49" s="82" t="str">
        <f t="shared" si="0"/>
        <v/>
      </c>
      <c r="J49" s="83" t="str">
        <f>IF(ISNONTEXT(node_raw[[#This Row],[Column7]]), "", node_raw[[#This Row],[Column7]]/100)</f>
        <v/>
      </c>
      <c r="K49" s="84" t="str">
        <f>IF(ISNONTEXT(node_raw[[#This Row],[Column8]]), "", node_raw[[#This Row],[Column8]]/100)</f>
        <v/>
      </c>
      <c r="L49" s="85" t="str">
        <f>IF(ISNONTEXT(node_raw[[#This Row],[Column9]]), "", node_raw[[#This Row],[Column9]]/1)</f>
        <v/>
      </c>
      <c r="M49" s="86" t="str">
        <f>IF(ISNONTEXT(node_raw[[#This Row],[Column10]]), "", node_raw[[#This Row],[Column10]]/1)</f>
        <v/>
      </c>
    </row>
    <row r="50" spans="2:13" ht="15.75" customHeight="1" x14ac:dyDescent="0.25">
      <c r="B50" s="32" t="str">
        <f>IF(ISNONTEXT(node_raw[[#This Row],[Column1]]), "", node_raw[[#This Row],[Column1]])</f>
        <v/>
      </c>
      <c r="C50" s="29" t="str">
        <f>IF(ISNONTEXT(node_raw[[#This Row],[Column2]]), "", node_raw[[#This Row],[Column2]])</f>
        <v/>
      </c>
      <c r="D50" s="62" t="str">
        <f>IF(ISNUMBER(node_raw[[#This Row],[Column3]]), node_raw[[#This Row],[Column3]],"")</f>
        <v/>
      </c>
      <c r="E50" s="65" t="str">
        <f>IF(ISNUMBER(node_raw[[#This Row],[Column4]]), node_raw[[#This Row],[Column4]]/1048576,"")</f>
        <v/>
      </c>
      <c r="F50" s="91" t="str">
        <f>IF(ISNUMBER(node_raw[[#This Row],[Column5]]), node_raw[[#This Row],[Column5]],"")</f>
        <v/>
      </c>
      <c r="G50" s="80" t="str">
        <f t="shared" si="1"/>
        <v/>
      </c>
      <c r="H50" s="81" t="str">
        <f>IF(ISNUMBER(node_raw[[#This Row],[Column6]]), node_raw[[#This Row],[Column6]]/1048576,"")</f>
        <v/>
      </c>
      <c r="I50" s="82" t="str">
        <f t="shared" si="0"/>
        <v/>
      </c>
      <c r="J50" s="83" t="str">
        <f>IF(ISNONTEXT(node_raw[[#This Row],[Column7]]), "", node_raw[[#This Row],[Column7]]/100)</f>
        <v/>
      </c>
      <c r="K50" s="84" t="str">
        <f>IF(ISNONTEXT(node_raw[[#This Row],[Column8]]), "", node_raw[[#This Row],[Column8]]/100)</f>
        <v/>
      </c>
      <c r="L50" s="85" t="str">
        <f>IF(ISNONTEXT(node_raw[[#This Row],[Column9]]), "", node_raw[[#This Row],[Column9]]/1)</f>
        <v/>
      </c>
      <c r="M50" s="86" t="str">
        <f>IF(ISNONTEXT(node_raw[[#This Row],[Column10]]), "", node_raw[[#This Row],[Column10]]/1)</f>
        <v/>
      </c>
    </row>
    <row r="51" spans="2:13" ht="15.75" customHeight="1" x14ac:dyDescent="0.25">
      <c r="B51" s="32" t="str">
        <f>IF(ISNONTEXT(node_raw[[#This Row],[Column1]]), "", node_raw[[#This Row],[Column1]])</f>
        <v/>
      </c>
      <c r="C51" s="29" t="str">
        <f>IF(ISNONTEXT(node_raw[[#This Row],[Column2]]), "", node_raw[[#This Row],[Column2]])</f>
        <v/>
      </c>
      <c r="D51" s="62" t="str">
        <f>IF(ISNUMBER(node_raw[[#This Row],[Column3]]), node_raw[[#This Row],[Column3]],"")</f>
        <v/>
      </c>
      <c r="E51" s="65" t="str">
        <f>IF(ISNUMBER(node_raw[[#This Row],[Column4]]), node_raw[[#This Row],[Column4]]/1048576,"")</f>
        <v/>
      </c>
      <c r="F51" s="91" t="str">
        <f>IF(ISNUMBER(node_raw[[#This Row],[Column5]]), node_raw[[#This Row],[Column5]],"")</f>
        <v/>
      </c>
      <c r="G51" s="80" t="str">
        <f t="shared" si="1"/>
        <v/>
      </c>
      <c r="H51" s="81" t="str">
        <f>IF(ISNUMBER(node_raw[[#This Row],[Column6]]), node_raw[[#This Row],[Column6]]/1048576,"")</f>
        <v/>
      </c>
      <c r="I51" s="82" t="str">
        <f t="shared" si="0"/>
        <v/>
      </c>
      <c r="J51" s="83" t="str">
        <f>IF(ISNONTEXT(node_raw[[#This Row],[Column7]]), "", node_raw[[#This Row],[Column7]]/100)</f>
        <v/>
      </c>
      <c r="K51" s="84" t="str">
        <f>IF(ISNONTEXT(node_raw[[#This Row],[Column8]]), "", node_raw[[#This Row],[Column8]]/100)</f>
        <v/>
      </c>
      <c r="L51" s="85" t="str">
        <f>IF(ISNONTEXT(node_raw[[#This Row],[Column9]]), "", node_raw[[#This Row],[Column9]]/1)</f>
        <v/>
      </c>
      <c r="M51" s="86" t="str">
        <f>IF(ISNONTEXT(node_raw[[#This Row],[Column10]]), "", node_raw[[#This Row],[Column10]]/1)</f>
        <v/>
      </c>
    </row>
    <row r="52" spans="2:13" ht="15.75" customHeight="1" x14ac:dyDescent="0.25">
      <c r="B52" s="32" t="str">
        <f>IF(ISNONTEXT(node_raw[[#This Row],[Column1]]), "", node_raw[[#This Row],[Column1]])</f>
        <v/>
      </c>
      <c r="C52" s="29" t="str">
        <f>IF(ISNONTEXT(node_raw[[#This Row],[Column2]]), "", node_raw[[#This Row],[Column2]])</f>
        <v/>
      </c>
      <c r="D52" s="62" t="str">
        <f>IF(ISNUMBER(node_raw[[#This Row],[Column3]]), node_raw[[#This Row],[Column3]],"")</f>
        <v/>
      </c>
      <c r="E52" s="65" t="str">
        <f>IF(ISNUMBER(node_raw[[#This Row],[Column4]]), node_raw[[#This Row],[Column4]]/1048576,"")</f>
        <v/>
      </c>
      <c r="F52" s="91" t="str">
        <f>IF(ISNUMBER(node_raw[[#This Row],[Column5]]), node_raw[[#This Row],[Column5]],"")</f>
        <v/>
      </c>
      <c r="G52" s="80" t="str">
        <f t="shared" si="1"/>
        <v/>
      </c>
      <c r="H52" s="81" t="str">
        <f>IF(ISNUMBER(node_raw[[#This Row],[Column6]]), node_raw[[#This Row],[Column6]]/1048576,"")</f>
        <v/>
      </c>
      <c r="I52" s="82" t="str">
        <f t="shared" si="0"/>
        <v/>
      </c>
      <c r="J52" s="83" t="str">
        <f>IF(ISNONTEXT(node_raw[[#This Row],[Column7]]), "", node_raw[[#This Row],[Column7]]/100)</f>
        <v/>
      </c>
      <c r="K52" s="84" t="str">
        <f>IF(ISNONTEXT(node_raw[[#This Row],[Column8]]), "", node_raw[[#This Row],[Column8]]/100)</f>
        <v/>
      </c>
      <c r="L52" s="85" t="str">
        <f>IF(ISNONTEXT(node_raw[[#This Row],[Column9]]), "", node_raw[[#This Row],[Column9]]/1)</f>
        <v/>
      </c>
      <c r="M52" s="86" t="str">
        <f>IF(ISNONTEXT(node_raw[[#This Row],[Column10]]), "", node_raw[[#This Row],[Column10]]/1)</f>
        <v/>
      </c>
    </row>
    <row r="53" spans="2:13" ht="15.75" customHeight="1" x14ac:dyDescent="0.25">
      <c r="B53" s="32" t="str">
        <f>IF(ISNONTEXT(node_raw[[#This Row],[Column1]]), "", node_raw[[#This Row],[Column1]])</f>
        <v/>
      </c>
      <c r="C53" s="29" t="str">
        <f>IF(ISNONTEXT(node_raw[[#This Row],[Column2]]), "", node_raw[[#This Row],[Column2]])</f>
        <v/>
      </c>
      <c r="D53" s="62" t="str">
        <f>IF(ISNUMBER(node_raw[[#This Row],[Column3]]), node_raw[[#This Row],[Column3]],"")</f>
        <v/>
      </c>
      <c r="E53" s="65" t="str">
        <f>IF(ISNUMBER(node_raw[[#This Row],[Column4]]), node_raw[[#This Row],[Column4]]/1048576,"")</f>
        <v/>
      </c>
      <c r="F53" s="91" t="str">
        <f>IF(ISNUMBER(node_raw[[#This Row],[Column5]]), node_raw[[#This Row],[Column5]],"")</f>
        <v/>
      </c>
      <c r="G53" s="80" t="str">
        <f t="shared" si="1"/>
        <v/>
      </c>
      <c r="H53" s="81" t="str">
        <f>IF(ISNUMBER(node_raw[[#This Row],[Column6]]), node_raw[[#This Row],[Column6]]/1048576,"")</f>
        <v/>
      </c>
      <c r="I53" s="82" t="str">
        <f t="shared" si="0"/>
        <v/>
      </c>
      <c r="J53" s="83" t="str">
        <f>IF(ISNONTEXT(node_raw[[#This Row],[Column7]]), "", node_raw[[#This Row],[Column7]]/100)</f>
        <v/>
      </c>
      <c r="K53" s="84" t="str">
        <f>IF(ISNONTEXT(node_raw[[#This Row],[Column8]]), "", node_raw[[#This Row],[Column8]]/100)</f>
        <v/>
      </c>
      <c r="L53" s="85" t="str">
        <f>IF(ISNONTEXT(node_raw[[#This Row],[Column9]]), "", node_raw[[#This Row],[Column9]]/1)</f>
        <v/>
      </c>
      <c r="M53" s="86" t="str">
        <f>IF(ISNONTEXT(node_raw[[#This Row],[Column10]]), "", node_raw[[#This Row],[Column10]]/1)</f>
        <v/>
      </c>
    </row>
    <row r="54" spans="2:13" ht="15.75" customHeight="1" x14ac:dyDescent="0.25">
      <c r="B54" s="32" t="str">
        <f>IF(ISNONTEXT(node_raw[[#This Row],[Column1]]), "", node_raw[[#This Row],[Column1]])</f>
        <v/>
      </c>
      <c r="C54" s="29" t="str">
        <f>IF(ISNONTEXT(node_raw[[#This Row],[Column2]]), "", node_raw[[#This Row],[Column2]])</f>
        <v/>
      </c>
      <c r="D54" s="62" t="str">
        <f>IF(ISNUMBER(node_raw[[#This Row],[Column3]]), node_raw[[#This Row],[Column3]],"")</f>
        <v/>
      </c>
      <c r="E54" s="65" t="str">
        <f>IF(ISNUMBER(node_raw[[#This Row],[Column4]]), node_raw[[#This Row],[Column4]]/1048576,"")</f>
        <v/>
      </c>
      <c r="F54" s="91" t="str">
        <f>IF(ISNUMBER(node_raw[[#This Row],[Column5]]), node_raw[[#This Row],[Column5]],"")</f>
        <v/>
      </c>
      <c r="G54" s="80" t="str">
        <f t="shared" si="1"/>
        <v/>
      </c>
      <c r="H54" s="81" t="str">
        <f>IF(ISNUMBER(node_raw[[#This Row],[Column6]]), node_raw[[#This Row],[Column6]]/1048576,"")</f>
        <v/>
      </c>
      <c r="I54" s="82" t="str">
        <f t="shared" si="0"/>
        <v/>
      </c>
      <c r="J54" s="83" t="str">
        <f>IF(ISNONTEXT(node_raw[[#This Row],[Column7]]), "", node_raw[[#This Row],[Column7]]/100)</f>
        <v/>
      </c>
      <c r="K54" s="84" t="str">
        <f>IF(ISNONTEXT(node_raw[[#This Row],[Column8]]), "", node_raw[[#This Row],[Column8]]/100)</f>
        <v/>
      </c>
      <c r="L54" s="85" t="str">
        <f>IF(ISNONTEXT(node_raw[[#This Row],[Column9]]), "", node_raw[[#This Row],[Column9]]/1)</f>
        <v/>
      </c>
      <c r="M54" s="86" t="str">
        <f>IF(ISNONTEXT(node_raw[[#This Row],[Column10]]), "", node_raw[[#This Row],[Column10]]/1)</f>
        <v/>
      </c>
    </row>
    <row r="55" spans="2:13" ht="15.75" customHeight="1" x14ac:dyDescent="0.25">
      <c r="B55" s="32" t="str">
        <f>IF(ISNONTEXT(node_raw[[#This Row],[Column1]]), "", node_raw[[#This Row],[Column1]])</f>
        <v/>
      </c>
      <c r="C55" s="29" t="str">
        <f>IF(ISNONTEXT(node_raw[[#This Row],[Column2]]), "", node_raw[[#This Row],[Column2]])</f>
        <v/>
      </c>
      <c r="D55" s="62" t="str">
        <f>IF(ISNUMBER(node_raw[[#This Row],[Column3]]), node_raw[[#This Row],[Column3]],"")</f>
        <v/>
      </c>
      <c r="E55" s="65" t="str">
        <f>IF(ISNUMBER(node_raw[[#This Row],[Column4]]), node_raw[[#This Row],[Column4]]/1048576,"")</f>
        <v/>
      </c>
      <c r="F55" s="91" t="str">
        <f>IF(ISNUMBER(node_raw[[#This Row],[Column5]]), node_raw[[#This Row],[Column5]],"")</f>
        <v/>
      </c>
      <c r="G55" s="80" t="str">
        <f t="shared" si="1"/>
        <v/>
      </c>
      <c r="H55" s="81" t="str">
        <f>IF(ISNUMBER(node_raw[[#This Row],[Column6]]), node_raw[[#This Row],[Column6]]/1048576,"")</f>
        <v/>
      </c>
      <c r="I55" s="82" t="str">
        <f t="shared" si="0"/>
        <v/>
      </c>
      <c r="J55" s="83" t="str">
        <f>IF(ISNONTEXT(node_raw[[#This Row],[Column7]]), "", node_raw[[#This Row],[Column7]]/100)</f>
        <v/>
      </c>
      <c r="K55" s="84" t="str">
        <f>IF(ISNONTEXT(node_raw[[#This Row],[Column8]]), "", node_raw[[#This Row],[Column8]]/100)</f>
        <v/>
      </c>
      <c r="L55" s="85" t="str">
        <f>IF(ISNONTEXT(node_raw[[#This Row],[Column9]]), "", node_raw[[#This Row],[Column9]]/1)</f>
        <v/>
      </c>
      <c r="M55" s="86" t="str">
        <f>IF(ISNONTEXT(node_raw[[#This Row],[Column10]]), "", node_raw[[#This Row],[Column10]]/1)</f>
        <v/>
      </c>
    </row>
    <row r="56" spans="2:13" ht="15.75" customHeight="1" x14ac:dyDescent="0.25">
      <c r="B56" s="32" t="str">
        <f>IF(ISNONTEXT(node_raw[[#This Row],[Column1]]), "", node_raw[[#This Row],[Column1]])</f>
        <v/>
      </c>
      <c r="C56" s="29" t="str">
        <f>IF(ISNONTEXT(node_raw[[#This Row],[Column2]]), "", node_raw[[#This Row],[Column2]])</f>
        <v/>
      </c>
      <c r="D56" s="62" t="str">
        <f>IF(ISNUMBER(node_raw[[#This Row],[Column3]]), node_raw[[#This Row],[Column3]],"")</f>
        <v/>
      </c>
      <c r="E56" s="65" t="str">
        <f>IF(ISNUMBER(node_raw[[#This Row],[Column4]]), node_raw[[#This Row],[Column4]]/1048576,"")</f>
        <v/>
      </c>
      <c r="F56" s="91" t="str">
        <f>IF(ISNUMBER(node_raw[[#This Row],[Column5]]), node_raw[[#This Row],[Column5]],"")</f>
        <v/>
      </c>
      <c r="G56" s="80" t="str">
        <f t="shared" si="1"/>
        <v/>
      </c>
      <c r="H56" s="81" t="str">
        <f>IF(ISNUMBER(node_raw[[#This Row],[Column6]]), node_raw[[#This Row],[Column6]]/1048576,"")</f>
        <v/>
      </c>
      <c r="I56" s="82" t="str">
        <f t="shared" si="0"/>
        <v/>
      </c>
      <c r="J56" s="83" t="str">
        <f>IF(ISNONTEXT(node_raw[[#This Row],[Column7]]), "", node_raw[[#This Row],[Column7]]/100)</f>
        <v/>
      </c>
      <c r="K56" s="84" t="str">
        <f>IF(ISNONTEXT(node_raw[[#This Row],[Column8]]), "", node_raw[[#This Row],[Column8]]/100)</f>
        <v/>
      </c>
      <c r="L56" s="85" t="str">
        <f>IF(ISNONTEXT(node_raw[[#This Row],[Column9]]), "", node_raw[[#This Row],[Column9]]/1)</f>
        <v/>
      </c>
      <c r="M56" s="86" t="str">
        <f>IF(ISNONTEXT(node_raw[[#This Row],[Column10]]), "", node_raw[[#This Row],[Column10]]/1)</f>
        <v/>
      </c>
    </row>
    <row r="57" spans="2:13" ht="15.75" customHeight="1" x14ac:dyDescent="0.25">
      <c r="B57" s="32" t="str">
        <f>IF(ISNONTEXT(node_raw[[#This Row],[Column1]]), "", node_raw[[#This Row],[Column1]])</f>
        <v/>
      </c>
      <c r="C57" s="29" t="str">
        <f>IF(ISNONTEXT(node_raw[[#This Row],[Column2]]), "", node_raw[[#This Row],[Column2]])</f>
        <v/>
      </c>
      <c r="D57" s="62" t="str">
        <f>IF(ISNUMBER(node_raw[[#This Row],[Column3]]), node_raw[[#This Row],[Column3]],"")</f>
        <v/>
      </c>
      <c r="E57" s="65" t="str">
        <f>IF(ISNUMBER(node_raw[[#This Row],[Column4]]), node_raw[[#This Row],[Column4]]/1048576,"")</f>
        <v/>
      </c>
      <c r="F57" s="91" t="str">
        <f>IF(ISNUMBER(node_raw[[#This Row],[Column5]]), node_raw[[#This Row],[Column5]],"")</f>
        <v/>
      </c>
      <c r="G57" s="80" t="str">
        <f t="shared" si="1"/>
        <v/>
      </c>
      <c r="H57" s="81" t="str">
        <f>IF(ISNUMBER(node_raw[[#This Row],[Column6]]), node_raw[[#This Row],[Column6]]/1048576,"")</f>
        <v/>
      </c>
      <c r="I57" s="82" t="str">
        <f t="shared" si="0"/>
        <v/>
      </c>
      <c r="J57" s="83" t="str">
        <f>IF(ISNONTEXT(node_raw[[#This Row],[Column7]]), "", node_raw[[#This Row],[Column7]]/100)</f>
        <v/>
      </c>
      <c r="K57" s="84" t="str">
        <f>IF(ISNONTEXT(node_raw[[#This Row],[Column8]]), "", node_raw[[#This Row],[Column8]]/100)</f>
        <v/>
      </c>
      <c r="L57" s="85" t="str">
        <f>IF(ISNONTEXT(node_raw[[#This Row],[Column9]]), "", node_raw[[#This Row],[Column9]]/1)</f>
        <v/>
      </c>
      <c r="M57" s="86" t="str">
        <f>IF(ISNONTEXT(node_raw[[#This Row],[Column10]]), "", node_raw[[#This Row],[Column10]]/1)</f>
        <v/>
      </c>
    </row>
    <row r="58" spans="2:13" ht="15.75" customHeight="1" x14ac:dyDescent="0.25">
      <c r="B58" s="32" t="str">
        <f>IF(ISNONTEXT(node_raw[[#This Row],[Column1]]), "", node_raw[[#This Row],[Column1]])</f>
        <v/>
      </c>
      <c r="C58" s="29" t="str">
        <f>IF(ISNONTEXT(node_raw[[#This Row],[Column2]]), "", node_raw[[#This Row],[Column2]])</f>
        <v/>
      </c>
      <c r="D58" s="62" t="str">
        <f>IF(ISNUMBER(node_raw[[#This Row],[Column3]]), node_raw[[#This Row],[Column3]],"")</f>
        <v/>
      </c>
      <c r="E58" s="65" t="str">
        <f>IF(ISNUMBER(node_raw[[#This Row],[Column4]]), node_raw[[#This Row],[Column4]]/1048576,"")</f>
        <v/>
      </c>
      <c r="F58" s="91" t="str">
        <f>IF(ISNUMBER(node_raw[[#This Row],[Column5]]), node_raw[[#This Row],[Column5]],"")</f>
        <v/>
      </c>
      <c r="G58" s="80" t="str">
        <f t="shared" si="1"/>
        <v/>
      </c>
      <c r="H58" s="81" t="str">
        <f>IF(ISNUMBER(node_raw[[#This Row],[Column6]]), node_raw[[#This Row],[Column6]]/1048576,"")</f>
        <v/>
      </c>
      <c r="I58" s="82" t="str">
        <f t="shared" si="0"/>
        <v/>
      </c>
      <c r="J58" s="83" t="str">
        <f>IF(ISNONTEXT(node_raw[[#This Row],[Column7]]), "", node_raw[[#This Row],[Column7]]/100)</f>
        <v/>
      </c>
      <c r="K58" s="84" t="str">
        <f>IF(ISNONTEXT(node_raw[[#This Row],[Column8]]), "", node_raw[[#This Row],[Column8]]/100)</f>
        <v/>
      </c>
      <c r="L58" s="85" t="str">
        <f>IF(ISNONTEXT(node_raw[[#This Row],[Column9]]), "", node_raw[[#This Row],[Column9]]/1)</f>
        <v/>
      </c>
      <c r="M58" s="86" t="str">
        <f>IF(ISNONTEXT(node_raw[[#This Row],[Column10]]), "", node_raw[[#This Row],[Column10]]/1)</f>
        <v/>
      </c>
    </row>
    <row r="59" spans="2:13" ht="15.75" customHeight="1" x14ac:dyDescent="0.25">
      <c r="B59" s="32" t="str">
        <f>IF(ISNONTEXT(node_raw[[#This Row],[Column1]]), "", node_raw[[#This Row],[Column1]])</f>
        <v/>
      </c>
      <c r="C59" s="29" t="str">
        <f>IF(ISNONTEXT(node_raw[[#This Row],[Column2]]), "", node_raw[[#This Row],[Column2]])</f>
        <v/>
      </c>
      <c r="D59" s="62" t="str">
        <f>IF(ISNUMBER(node_raw[[#This Row],[Column3]]), node_raw[[#This Row],[Column3]],"")</f>
        <v/>
      </c>
      <c r="E59" s="65" t="str">
        <f>IF(ISNUMBER(node_raw[[#This Row],[Column4]]), node_raw[[#This Row],[Column4]]/1048576,"")</f>
        <v/>
      </c>
      <c r="F59" s="91" t="str">
        <f>IF(ISNUMBER(node_raw[[#This Row],[Column5]]), node_raw[[#This Row],[Column5]],"")</f>
        <v/>
      </c>
      <c r="G59" s="80" t="str">
        <f t="shared" si="1"/>
        <v/>
      </c>
      <c r="H59" s="81" t="str">
        <f>IF(ISNUMBER(node_raw[[#This Row],[Column6]]), node_raw[[#This Row],[Column6]]/1048576,"")</f>
        <v/>
      </c>
      <c r="I59" s="82" t="str">
        <f t="shared" si="0"/>
        <v/>
      </c>
      <c r="J59" s="83" t="str">
        <f>IF(ISNONTEXT(node_raw[[#This Row],[Column7]]), "", node_raw[[#This Row],[Column7]]/100)</f>
        <v/>
      </c>
      <c r="K59" s="84" t="str">
        <f>IF(ISNONTEXT(node_raw[[#This Row],[Column8]]), "", node_raw[[#This Row],[Column8]]/100)</f>
        <v/>
      </c>
      <c r="L59" s="85" t="str">
        <f>IF(ISNONTEXT(node_raw[[#This Row],[Column9]]), "", node_raw[[#This Row],[Column9]]/1)</f>
        <v/>
      </c>
      <c r="M59" s="86" t="str">
        <f>IF(ISNONTEXT(node_raw[[#This Row],[Column10]]), "", node_raw[[#This Row],[Column10]]/1)</f>
        <v/>
      </c>
    </row>
    <row r="60" spans="2:13" ht="15.75" customHeight="1" x14ac:dyDescent="0.25">
      <c r="B60" s="32" t="str">
        <f>IF(ISNONTEXT(node_raw[[#This Row],[Column1]]), "", node_raw[[#This Row],[Column1]])</f>
        <v/>
      </c>
      <c r="C60" s="29" t="str">
        <f>IF(ISNONTEXT(node_raw[[#This Row],[Column2]]), "", node_raw[[#This Row],[Column2]])</f>
        <v/>
      </c>
      <c r="D60" s="62" t="str">
        <f>IF(ISNUMBER(node_raw[[#This Row],[Column3]]), node_raw[[#This Row],[Column3]],"")</f>
        <v/>
      </c>
      <c r="E60" s="65" t="str">
        <f>IF(ISNUMBER(node_raw[[#This Row],[Column4]]), node_raw[[#This Row],[Column4]]/1048576,"")</f>
        <v/>
      </c>
      <c r="F60" s="91" t="str">
        <f>IF(ISNUMBER(node_raw[[#This Row],[Column5]]), node_raw[[#This Row],[Column5]],"")</f>
        <v/>
      </c>
      <c r="G60" s="80" t="str">
        <f t="shared" si="1"/>
        <v/>
      </c>
      <c r="H60" s="81" t="str">
        <f>IF(ISNUMBER(node_raw[[#This Row],[Column6]]), node_raw[[#This Row],[Column6]]/1048576,"")</f>
        <v/>
      </c>
      <c r="I60" s="82" t="str">
        <f t="shared" si="0"/>
        <v/>
      </c>
      <c r="J60" s="83" t="str">
        <f>IF(ISNONTEXT(node_raw[[#This Row],[Column7]]), "", node_raw[[#This Row],[Column7]]/100)</f>
        <v/>
      </c>
      <c r="K60" s="84" t="str">
        <f>IF(ISNONTEXT(node_raw[[#This Row],[Column8]]), "", node_raw[[#This Row],[Column8]]/100)</f>
        <v/>
      </c>
      <c r="L60" s="85" t="str">
        <f>IF(ISNONTEXT(node_raw[[#This Row],[Column9]]), "", node_raw[[#This Row],[Column9]]/1)</f>
        <v/>
      </c>
      <c r="M60" s="86" t="str">
        <f>IF(ISNONTEXT(node_raw[[#This Row],[Column10]]), "", node_raw[[#This Row],[Column10]]/1)</f>
        <v/>
      </c>
    </row>
    <row r="61" spans="2:13" ht="15.75" customHeight="1" x14ac:dyDescent="0.25">
      <c r="B61" s="32" t="str">
        <f>IF(ISNONTEXT(node_raw[[#This Row],[Column1]]), "", node_raw[[#This Row],[Column1]])</f>
        <v/>
      </c>
      <c r="C61" s="29" t="str">
        <f>IF(ISNONTEXT(node_raw[[#This Row],[Column2]]), "", node_raw[[#This Row],[Column2]])</f>
        <v/>
      </c>
      <c r="D61" s="62" t="str">
        <f>IF(ISNUMBER(node_raw[[#This Row],[Column3]]), node_raw[[#This Row],[Column3]],"")</f>
        <v/>
      </c>
      <c r="E61" s="65" t="str">
        <f>IF(ISNUMBER(node_raw[[#This Row],[Column4]]), node_raw[[#This Row],[Column4]]/1048576,"")</f>
        <v/>
      </c>
      <c r="F61" s="91" t="str">
        <f>IF(ISNUMBER(node_raw[[#This Row],[Column5]]), node_raw[[#This Row],[Column5]],"")</f>
        <v/>
      </c>
      <c r="G61" s="80" t="str">
        <f t="shared" si="1"/>
        <v/>
      </c>
      <c r="H61" s="81" t="str">
        <f>IF(ISNUMBER(node_raw[[#This Row],[Column6]]), node_raw[[#This Row],[Column6]]/1048576,"")</f>
        <v/>
      </c>
      <c r="I61" s="82" t="str">
        <f t="shared" si="0"/>
        <v/>
      </c>
      <c r="J61" s="83" t="str">
        <f>IF(ISNONTEXT(node_raw[[#This Row],[Column7]]), "", node_raw[[#This Row],[Column7]]/100)</f>
        <v/>
      </c>
      <c r="K61" s="84" t="str">
        <f>IF(ISNONTEXT(node_raw[[#This Row],[Column8]]), "", node_raw[[#This Row],[Column8]]/100)</f>
        <v/>
      </c>
      <c r="L61" s="85" t="str">
        <f>IF(ISNONTEXT(node_raw[[#This Row],[Column9]]), "", node_raw[[#This Row],[Column9]]/1)</f>
        <v/>
      </c>
      <c r="M61" s="86" t="str">
        <f>IF(ISNONTEXT(node_raw[[#This Row],[Column10]]), "", node_raw[[#This Row],[Column10]]/1)</f>
        <v/>
      </c>
    </row>
    <row r="62" spans="2:13" ht="15.75" customHeight="1" x14ac:dyDescent="0.25">
      <c r="B62" s="32" t="str">
        <f>IF(ISNONTEXT(node_raw[[#This Row],[Column1]]), "", node_raw[[#This Row],[Column1]])</f>
        <v/>
      </c>
      <c r="C62" s="29" t="str">
        <f>IF(ISNONTEXT(node_raw[[#This Row],[Column2]]), "", node_raw[[#This Row],[Column2]])</f>
        <v/>
      </c>
      <c r="D62" s="62" t="str">
        <f>IF(ISNUMBER(node_raw[[#This Row],[Column3]]), node_raw[[#This Row],[Column3]],"")</f>
        <v/>
      </c>
      <c r="E62" s="65" t="str">
        <f>IF(ISNUMBER(node_raw[[#This Row],[Column4]]), node_raw[[#This Row],[Column4]]/1048576,"")</f>
        <v/>
      </c>
      <c r="F62" s="91" t="str">
        <f>IF(ISNUMBER(node_raw[[#This Row],[Column5]]), node_raw[[#This Row],[Column5]],"")</f>
        <v/>
      </c>
      <c r="G62" s="80" t="str">
        <f t="shared" si="1"/>
        <v/>
      </c>
      <c r="H62" s="81" t="str">
        <f>IF(ISNUMBER(node_raw[[#This Row],[Column6]]), node_raw[[#This Row],[Column6]]/1048576,"")</f>
        <v/>
      </c>
      <c r="I62" s="82" t="str">
        <f t="shared" si="0"/>
        <v/>
      </c>
      <c r="J62" s="83" t="str">
        <f>IF(ISNONTEXT(node_raw[[#This Row],[Column7]]), "", node_raw[[#This Row],[Column7]]/100)</f>
        <v/>
      </c>
      <c r="K62" s="84" t="str">
        <f>IF(ISNONTEXT(node_raw[[#This Row],[Column8]]), "", node_raw[[#This Row],[Column8]]/100)</f>
        <v/>
      </c>
      <c r="L62" s="85" t="str">
        <f>IF(ISNONTEXT(node_raw[[#This Row],[Column9]]), "", node_raw[[#This Row],[Column9]]/1)</f>
        <v/>
      </c>
      <c r="M62" s="86" t="str">
        <f>IF(ISNONTEXT(node_raw[[#This Row],[Column10]]), "", node_raw[[#This Row],[Column10]]/1)</f>
        <v/>
      </c>
    </row>
    <row r="63" spans="2:13" ht="15.75" customHeight="1" x14ac:dyDescent="0.25">
      <c r="B63" s="32" t="str">
        <f>IF(ISNONTEXT(node_raw[[#This Row],[Column1]]), "", node_raw[[#This Row],[Column1]])</f>
        <v/>
      </c>
      <c r="C63" s="29" t="str">
        <f>IF(ISNONTEXT(node_raw[[#This Row],[Column2]]), "", node_raw[[#This Row],[Column2]])</f>
        <v/>
      </c>
      <c r="D63" s="62" t="str">
        <f>IF(ISNUMBER(node_raw[[#This Row],[Column3]]), node_raw[[#This Row],[Column3]],"")</f>
        <v/>
      </c>
      <c r="E63" s="65" t="str">
        <f>IF(ISNUMBER(node_raw[[#This Row],[Column4]]), node_raw[[#This Row],[Column4]]/1048576,"")</f>
        <v/>
      </c>
      <c r="F63" s="91" t="str">
        <f>IF(ISNUMBER(node_raw[[#This Row],[Column5]]), node_raw[[#This Row],[Column5]],"")</f>
        <v/>
      </c>
      <c r="G63" s="80" t="str">
        <f t="shared" si="1"/>
        <v/>
      </c>
      <c r="H63" s="81" t="str">
        <f>IF(ISNUMBER(node_raw[[#This Row],[Column6]]), node_raw[[#This Row],[Column6]]/1048576,"")</f>
        <v/>
      </c>
      <c r="I63" s="82" t="str">
        <f t="shared" si="0"/>
        <v/>
      </c>
      <c r="J63" s="83" t="str">
        <f>IF(ISNONTEXT(node_raw[[#This Row],[Column7]]), "", node_raw[[#This Row],[Column7]]/100)</f>
        <v/>
      </c>
      <c r="K63" s="84" t="str">
        <f>IF(ISNONTEXT(node_raw[[#This Row],[Column8]]), "", node_raw[[#This Row],[Column8]]/100)</f>
        <v/>
      </c>
      <c r="L63" s="85" t="str">
        <f>IF(ISNONTEXT(node_raw[[#This Row],[Column9]]), "", node_raw[[#This Row],[Column9]]/1)</f>
        <v/>
      </c>
      <c r="M63" s="86" t="str">
        <f>IF(ISNONTEXT(node_raw[[#This Row],[Column10]]), "", node_raw[[#This Row],[Column10]]/1)</f>
        <v/>
      </c>
    </row>
    <row r="64" spans="2:13" ht="15.75" customHeight="1" x14ac:dyDescent="0.25">
      <c r="B64" s="32" t="str">
        <f>IF(ISNONTEXT(node_raw[[#This Row],[Column1]]), "", node_raw[[#This Row],[Column1]])</f>
        <v/>
      </c>
      <c r="C64" s="29" t="str">
        <f>IF(ISNONTEXT(node_raw[[#This Row],[Column2]]), "", node_raw[[#This Row],[Column2]])</f>
        <v/>
      </c>
      <c r="D64" s="62" t="str">
        <f>IF(ISNUMBER(node_raw[[#This Row],[Column3]]), node_raw[[#This Row],[Column3]],"")</f>
        <v/>
      </c>
      <c r="E64" s="65" t="str">
        <f>IF(ISNUMBER(node_raw[[#This Row],[Column4]]), node_raw[[#This Row],[Column4]]/1048576,"")</f>
        <v/>
      </c>
      <c r="F64" s="91" t="str">
        <f>IF(ISNUMBER(node_raw[[#This Row],[Column5]]), node_raw[[#This Row],[Column5]],"")</f>
        <v/>
      </c>
      <c r="G64" s="80" t="str">
        <f t="shared" si="1"/>
        <v/>
      </c>
      <c r="H64" s="81" t="str">
        <f>IF(ISNUMBER(node_raw[[#This Row],[Column6]]), node_raw[[#This Row],[Column6]]/1048576,"")</f>
        <v/>
      </c>
      <c r="I64" s="82" t="str">
        <f t="shared" si="0"/>
        <v/>
      </c>
      <c r="J64" s="83" t="str">
        <f>IF(ISNONTEXT(node_raw[[#This Row],[Column7]]), "", node_raw[[#This Row],[Column7]]/100)</f>
        <v/>
      </c>
      <c r="K64" s="84" t="str">
        <f>IF(ISNONTEXT(node_raw[[#This Row],[Column8]]), "", node_raw[[#This Row],[Column8]]/100)</f>
        <v/>
      </c>
      <c r="L64" s="85" t="str">
        <f>IF(ISNONTEXT(node_raw[[#This Row],[Column9]]), "", node_raw[[#This Row],[Column9]]/1)</f>
        <v/>
      </c>
      <c r="M64" s="86" t="str">
        <f>IF(ISNONTEXT(node_raw[[#This Row],[Column10]]), "", node_raw[[#This Row],[Column10]]/1)</f>
        <v/>
      </c>
    </row>
    <row r="65" spans="2:13" ht="15.75" customHeight="1" x14ac:dyDescent="0.25">
      <c r="B65" s="32" t="str">
        <f>IF(ISNONTEXT(node_raw[[#This Row],[Column1]]), "", node_raw[[#This Row],[Column1]])</f>
        <v/>
      </c>
      <c r="C65" s="29" t="str">
        <f>IF(ISNONTEXT(node_raw[[#This Row],[Column2]]), "", node_raw[[#This Row],[Column2]])</f>
        <v/>
      </c>
      <c r="D65" s="62" t="str">
        <f>IF(ISNUMBER(node_raw[[#This Row],[Column3]]), node_raw[[#This Row],[Column3]],"")</f>
        <v/>
      </c>
      <c r="E65" s="65" t="str">
        <f>IF(ISNUMBER(node_raw[[#This Row],[Column4]]), node_raw[[#This Row],[Column4]]/1048576,"")</f>
        <v/>
      </c>
      <c r="F65" s="91" t="str">
        <f>IF(ISNUMBER(node_raw[[#This Row],[Column5]]), node_raw[[#This Row],[Column5]],"")</f>
        <v/>
      </c>
      <c r="G65" s="80" t="str">
        <f t="shared" si="1"/>
        <v/>
      </c>
      <c r="H65" s="81" t="str">
        <f>IF(ISNUMBER(node_raw[[#This Row],[Column6]]), node_raw[[#This Row],[Column6]]/1048576,"")</f>
        <v/>
      </c>
      <c r="I65" s="82" t="str">
        <f t="shared" si="0"/>
        <v/>
      </c>
      <c r="J65" s="83" t="str">
        <f>IF(ISNONTEXT(node_raw[[#This Row],[Column7]]), "", node_raw[[#This Row],[Column7]]/100)</f>
        <v/>
      </c>
      <c r="K65" s="84" t="str">
        <f>IF(ISNONTEXT(node_raw[[#This Row],[Column8]]), "", node_raw[[#This Row],[Column8]]/100)</f>
        <v/>
      </c>
      <c r="L65" s="85" t="str">
        <f>IF(ISNONTEXT(node_raw[[#This Row],[Column9]]), "", node_raw[[#This Row],[Column9]]/1)</f>
        <v/>
      </c>
      <c r="M65" s="86" t="str">
        <f>IF(ISNONTEXT(node_raw[[#This Row],[Column10]]), "", node_raw[[#This Row],[Column10]]/1)</f>
        <v/>
      </c>
    </row>
    <row r="66" spans="2:13" ht="15.75" customHeight="1" x14ac:dyDescent="0.25">
      <c r="B66" s="32" t="str">
        <f>IF(ISNONTEXT(node_raw[[#This Row],[Column1]]), "", node_raw[[#This Row],[Column1]])</f>
        <v/>
      </c>
      <c r="C66" s="29" t="str">
        <f>IF(ISNONTEXT(node_raw[[#This Row],[Column2]]), "", node_raw[[#This Row],[Column2]])</f>
        <v/>
      </c>
      <c r="D66" s="62" t="str">
        <f>IF(ISNUMBER(node_raw[[#This Row],[Column3]]), node_raw[[#This Row],[Column3]],"")</f>
        <v/>
      </c>
      <c r="E66" s="65" t="str">
        <f>IF(ISNUMBER(node_raw[[#This Row],[Column4]]), node_raw[[#This Row],[Column4]]/1048576,"")</f>
        <v/>
      </c>
      <c r="F66" s="91" t="str">
        <f>IF(ISNUMBER(node_raw[[#This Row],[Column5]]), node_raw[[#This Row],[Column5]],"")</f>
        <v/>
      </c>
      <c r="G66" s="80" t="str">
        <f t="shared" si="1"/>
        <v/>
      </c>
      <c r="H66" s="81" t="str">
        <f>IF(ISNUMBER(node_raw[[#This Row],[Column6]]), node_raw[[#This Row],[Column6]]/1048576,"")</f>
        <v/>
      </c>
      <c r="I66" s="82" t="str">
        <f t="shared" si="0"/>
        <v/>
      </c>
      <c r="J66" s="83" t="str">
        <f>IF(ISNONTEXT(node_raw[[#This Row],[Column7]]), "", node_raw[[#This Row],[Column7]]/100)</f>
        <v/>
      </c>
      <c r="K66" s="84" t="str">
        <f>IF(ISNONTEXT(node_raw[[#This Row],[Column8]]), "", node_raw[[#This Row],[Column8]]/100)</f>
        <v/>
      </c>
      <c r="L66" s="85" t="str">
        <f>IF(ISNONTEXT(node_raw[[#This Row],[Column9]]), "", node_raw[[#This Row],[Column9]]/1)</f>
        <v/>
      </c>
      <c r="M66" s="86" t="str">
        <f>IF(ISNONTEXT(node_raw[[#This Row],[Column10]]), "", node_raw[[#This Row],[Column10]]/1)</f>
        <v/>
      </c>
    </row>
    <row r="67" spans="2:13" ht="15.75" customHeight="1" x14ac:dyDescent="0.25">
      <c r="B67" s="32" t="str">
        <f>IF(ISNONTEXT(node_raw[[#This Row],[Column1]]), "", node_raw[[#This Row],[Column1]])</f>
        <v/>
      </c>
      <c r="C67" s="29" t="str">
        <f>IF(ISNONTEXT(node_raw[[#This Row],[Column2]]), "", node_raw[[#This Row],[Column2]])</f>
        <v/>
      </c>
      <c r="D67" s="62" t="str">
        <f>IF(ISNUMBER(node_raw[[#This Row],[Column3]]), node_raw[[#This Row],[Column3]],"")</f>
        <v/>
      </c>
      <c r="E67" s="65" t="str">
        <f>IF(ISNUMBER(node_raw[[#This Row],[Column4]]), node_raw[[#This Row],[Column4]]/1048576,"")</f>
        <v/>
      </c>
      <c r="F67" s="91" t="str">
        <f>IF(ISNUMBER(node_raw[[#This Row],[Column5]]), node_raw[[#This Row],[Column5]],"")</f>
        <v/>
      </c>
      <c r="G67" s="80" t="str">
        <f t="shared" ref="G67:G130" si="2">IF(ISNUMBER(F67), F67/D67, "")</f>
        <v/>
      </c>
      <c r="H67" s="81" t="str">
        <f>IF(ISNUMBER(node_raw[[#This Row],[Column6]]), node_raw[[#This Row],[Column6]]/1048576,"")</f>
        <v/>
      </c>
      <c r="I67" s="82" t="str">
        <f t="shared" ref="I67:I130" si="3">IF(ISNUMBER(H67), H67/E67, "")</f>
        <v/>
      </c>
      <c r="J67" s="83" t="str">
        <f>IF(ISNONTEXT(node_raw[[#This Row],[Column7]]), "", node_raw[[#This Row],[Column7]]/100)</f>
        <v/>
      </c>
      <c r="K67" s="84" t="str">
        <f>IF(ISNONTEXT(node_raw[[#This Row],[Column8]]), "", node_raw[[#This Row],[Column8]]/100)</f>
        <v/>
      </c>
      <c r="L67" s="85" t="str">
        <f>IF(ISNONTEXT(node_raw[[#This Row],[Column9]]), "", node_raw[[#This Row],[Column9]]/1)</f>
        <v/>
      </c>
      <c r="M67" s="86" t="str">
        <f>IF(ISNONTEXT(node_raw[[#This Row],[Column10]]), "", node_raw[[#This Row],[Column10]]/1)</f>
        <v/>
      </c>
    </row>
    <row r="68" spans="2:13" ht="15.75" customHeight="1" x14ac:dyDescent="0.25">
      <c r="B68" s="32" t="str">
        <f>IF(ISNONTEXT(node_raw[[#This Row],[Column1]]), "", node_raw[[#This Row],[Column1]])</f>
        <v/>
      </c>
      <c r="C68" s="29" t="str">
        <f>IF(ISNONTEXT(node_raw[[#This Row],[Column2]]), "", node_raw[[#This Row],[Column2]])</f>
        <v/>
      </c>
      <c r="D68" s="62" t="str">
        <f>IF(ISNUMBER(node_raw[[#This Row],[Column3]]), node_raw[[#This Row],[Column3]],"")</f>
        <v/>
      </c>
      <c r="E68" s="65" t="str">
        <f>IF(ISNUMBER(node_raw[[#This Row],[Column4]]), node_raw[[#This Row],[Column4]]/1048576,"")</f>
        <v/>
      </c>
      <c r="F68" s="91" t="str">
        <f>IF(ISNUMBER(node_raw[[#This Row],[Column5]]), node_raw[[#This Row],[Column5]],"")</f>
        <v/>
      </c>
      <c r="G68" s="80" t="str">
        <f t="shared" si="2"/>
        <v/>
      </c>
      <c r="H68" s="81" t="str">
        <f>IF(ISNUMBER(node_raw[[#This Row],[Column6]]), node_raw[[#This Row],[Column6]]/1048576,"")</f>
        <v/>
      </c>
      <c r="I68" s="82" t="str">
        <f t="shared" si="3"/>
        <v/>
      </c>
      <c r="J68" s="83" t="str">
        <f>IF(ISNONTEXT(node_raw[[#This Row],[Column7]]), "", node_raw[[#This Row],[Column7]]/100)</f>
        <v/>
      </c>
      <c r="K68" s="84" t="str">
        <f>IF(ISNONTEXT(node_raw[[#This Row],[Column8]]), "", node_raw[[#This Row],[Column8]]/100)</f>
        <v/>
      </c>
      <c r="L68" s="85" t="str">
        <f>IF(ISNONTEXT(node_raw[[#This Row],[Column9]]), "", node_raw[[#This Row],[Column9]]/1)</f>
        <v/>
      </c>
      <c r="M68" s="86" t="str">
        <f>IF(ISNONTEXT(node_raw[[#This Row],[Column10]]), "", node_raw[[#This Row],[Column10]]/1)</f>
        <v/>
      </c>
    </row>
    <row r="69" spans="2:13" ht="15.75" customHeight="1" x14ac:dyDescent="0.25">
      <c r="B69" s="32" t="str">
        <f>IF(ISNONTEXT(node_raw[[#This Row],[Column1]]), "", node_raw[[#This Row],[Column1]])</f>
        <v/>
      </c>
      <c r="C69" s="29" t="str">
        <f>IF(ISNONTEXT(node_raw[[#This Row],[Column2]]), "", node_raw[[#This Row],[Column2]])</f>
        <v/>
      </c>
      <c r="D69" s="62" t="str">
        <f>IF(ISNUMBER(node_raw[[#This Row],[Column3]]), node_raw[[#This Row],[Column3]],"")</f>
        <v/>
      </c>
      <c r="E69" s="65" t="str">
        <f>IF(ISNUMBER(node_raw[[#This Row],[Column4]]), node_raw[[#This Row],[Column4]]/1048576,"")</f>
        <v/>
      </c>
      <c r="F69" s="91" t="str">
        <f>IF(ISNUMBER(node_raw[[#This Row],[Column5]]), node_raw[[#This Row],[Column5]],"")</f>
        <v/>
      </c>
      <c r="G69" s="80" t="str">
        <f t="shared" si="2"/>
        <v/>
      </c>
      <c r="H69" s="81" t="str">
        <f>IF(ISNUMBER(node_raw[[#This Row],[Column6]]), node_raw[[#This Row],[Column6]]/1048576,"")</f>
        <v/>
      </c>
      <c r="I69" s="82" t="str">
        <f t="shared" si="3"/>
        <v/>
      </c>
      <c r="J69" s="83" t="str">
        <f>IF(ISNONTEXT(node_raw[[#This Row],[Column7]]), "", node_raw[[#This Row],[Column7]]/100)</f>
        <v/>
      </c>
      <c r="K69" s="84" t="str">
        <f>IF(ISNONTEXT(node_raw[[#This Row],[Column8]]), "", node_raw[[#This Row],[Column8]]/100)</f>
        <v/>
      </c>
      <c r="L69" s="85" t="str">
        <f>IF(ISNONTEXT(node_raw[[#This Row],[Column9]]), "", node_raw[[#This Row],[Column9]]/1)</f>
        <v/>
      </c>
      <c r="M69" s="86" t="str">
        <f>IF(ISNONTEXT(node_raw[[#This Row],[Column10]]), "", node_raw[[#This Row],[Column10]]/1)</f>
        <v/>
      </c>
    </row>
    <row r="70" spans="2:13" ht="15.75" customHeight="1" x14ac:dyDescent="0.25">
      <c r="B70" s="32" t="str">
        <f>IF(ISNONTEXT(node_raw[[#This Row],[Column1]]), "", node_raw[[#This Row],[Column1]])</f>
        <v/>
      </c>
      <c r="C70" s="29" t="str">
        <f>IF(ISNONTEXT(node_raw[[#This Row],[Column2]]), "", node_raw[[#This Row],[Column2]])</f>
        <v/>
      </c>
      <c r="D70" s="62" t="str">
        <f>IF(ISNUMBER(node_raw[[#This Row],[Column3]]), node_raw[[#This Row],[Column3]],"")</f>
        <v/>
      </c>
      <c r="E70" s="65" t="str">
        <f>IF(ISNUMBER(node_raw[[#This Row],[Column4]]), node_raw[[#This Row],[Column4]]/1048576,"")</f>
        <v/>
      </c>
      <c r="F70" s="91" t="str">
        <f>IF(ISNUMBER(node_raw[[#This Row],[Column5]]), node_raw[[#This Row],[Column5]],"")</f>
        <v/>
      </c>
      <c r="G70" s="80" t="str">
        <f t="shared" si="2"/>
        <v/>
      </c>
      <c r="H70" s="81" t="str">
        <f>IF(ISNUMBER(node_raw[[#This Row],[Column6]]), node_raw[[#This Row],[Column6]]/1048576,"")</f>
        <v/>
      </c>
      <c r="I70" s="82" t="str">
        <f t="shared" si="3"/>
        <v/>
      </c>
      <c r="J70" s="83" t="str">
        <f>IF(ISNONTEXT(node_raw[[#This Row],[Column7]]), "", node_raw[[#This Row],[Column7]]/100)</f>
        <v/>
      </c>
      <c r="K70" s="84" t="str">
        <f>IF(ISNONTEXT(node_raw[[#This Row],[Column8]]), "", node_raw[[#This Row],[Column8]]/100)</f>
        <v/>
      </c>
      <c r="L70" s="85" t="str">
        <f>IF(ISNONTEXT(node_raw[[#This Row],[Column9]]), "", node_raw[[#This Row],[Column9]]/1)</f>
        <v/>
      </c>
      <c r="M70" s="86" t="str">
        <f>IF(ISNONTEXT(node_raw[[#This Row],[Column10]]), "", node_raw[[#This Row],[Column10]]/1)</f>
        <v/>
      </c>
    </row>
    <row r="71" spans="2:13" ht="15.75" customHeight="1" x14ac:dyDescent="0.25">
      <c r="B71" s="32" t="str">
        <f>IF(ISNONTEXT(node_raw[[#This Row],[Column1]]), "", node_raw[[#This Row],[Column1]])</f>
        <v/>
      </c>
      <c r="C71" s="29" t="str">
        <f>IF(ISNONTEXT(node_raw[[#This Row],[Column2]]), "", node_raw[[#This Row],[Column2]])</f>
        <v/>
      </c>
      <c r="D71" s="62" t="str">
        <f>IF(ISNUMBER(node_raw[[#This Row],[Column3]]), node_raw[[#This Row],[Column3]],"")</f>
        <v/>
      </c>
      <c r="E71" s="65" t="str">
        <f>IF(ISNUMBER(node_raw[[#This Row],[Column4]]), node_raw[[#This Row],[Column4]]/1048576,"")</f>
        <v/>
      </c>
      <c r="F71" s="91" t="str">
        <f>IF(ISNUMBER(node_raw[[#This Row],[Column5]]), node_raw[[#This Row],[Column5]],"")</f>
        <v/>
      </c>
      <c r="G71" s="80" t="str">
        <f t="shared" si="2"/>
        <v/>
      </c>
      <c r="H71" s="81" t="str">
        <f>IF(ISNUMBER(node_raw[[#This Row],[Column6]]), node_raw[[#This Row],[Column6]]/1048576,"")</f>
        <v/>
      </c>
      <c r="I71" s="82" t="str">
        <f t="shared" si="3"/>
        <v/>
      </c>
      <c r="J71" s="83" t="str">
        <f>IF(ISNONTEXT(node_raw[[#This Row],[Column7]]), "", node_raw[[#This Row],[Column7]]/100)</f>
        <v/>
      </c>
      <c r="K71" s="84" t="str">
        <f>IF(ISNONTEXT(node_raw[[#This Row],[Column8]]), "", node_raw[[#This Row],[Column8]]/100)</f>
        <v/>
      </c>
      <c r="L71" s="85" t="str">
        <f>IF(ISNONTEXT(node_raw[[#This Row],[Column9]]), "", node_raw[[#This Row],[Column9]]/1)</f>
        <v/>
      </c>
      <c r="M71" s="86" t="str">
        <f>IF(ISNONTEXT(node_raw[[#This Row],[Column10]]), "", node_raw[[#This Row],[Column10]]/1)</f>
        <v/>
      </c>
    </row>
    <row r="72" spans="2:13" ht="15.75" customHeight="1" x14ac:dyDescent="0.25">
      <c r="B72" s="32" t="str">
        <f>IF(ISNONTEXT(node_raw[[#This Row],[Column1]]), "", node_raw[[#This Row],[Column1]])</f>
        <v/>
      </c>
      <c r="C72" s="29" t="str">
        <f>IF(ISNONTEXT(node_raw[[#This Row],[Column2]]), "", node_raw[[#This Row],[Column2]])</f>
        <v/>
      </c>
      <c r="D72" s="62" t="str">
        <f>IF(ISNUMBER(node_raw[[#This Row],[Column3]]), node_raw[[#This Row],[Column3]],"")</f>
        <v/>
      </c>
      <c r="E72" s="65" t="str">
        <f>IF(ISNUMBER(node_raw[[#This Row],[Column4]]), node_raw[[#This Row],[Column4]]/1048576,"")</f>
        <v/>
      </c>
      <c r="F72" s="91" t="str">
        <f>IF(ISNUMBER(node_raw[[#This Row],[Column5]]), node_raw[[#This Row],[Column5]],"")</f>
        <v/>
      </c>
      <c r="G72" s="80" t="str">
        <f t="shared" si="2"/>
        <v/>
      </c>
      <c r="H72" s="81" t="str">
        <f>IF(ISNUMBER(node_raw[[#This Row],[Column6]]), node_raw[[#This Row],[Column6]]/1048576,"")</f>
        <v/>
      </c>
      <c r="I72" s="82" t="str">
        <f t="shared" si="3"/>
        <v/>
      </c>
      <c r="J72" s="83" t="str">
        <f>IF(ISNONTEXT(node_raw[[#This Row],[Column7]]), "", node_raw[[#This Row],[Column7]]/100)</f>
        <v/>
      </c>
      <c r="K72" s="84" t="str">
        <f>IF(ISNONTEXT(node_raw[[#This Row],[Column8]]), "", node_raw[[#This Row],[Column8]]/100)</f>
        <v/>
      </c>
      <c r="L72" s="85" t="str">
        <f>IF(ISNONTEXT(node_raw[[#This Row],[Column9]]), "", node_raw[[#This Row],[Column9]]/1)</f>
        <v/>
      </c>
      <c r="M72" s="86" t="str">
        <f>IF(ISNONTEXT(node_raw[[#This Row],[Column10]]), "", node_raw[[#This Row],[Column10]]/1)</f>
        <v/>
      </c>
    </row>
    <row r="73" spans="2:13" ht="15.75" customHeight="1" x14ac:dyDescent="0.25">
      <c r="B73" s="32" t="str">
        <f>IF(ISNONTEXT(node_raw[[#This Row],[Column1]]), "", node_raw[[#This Row],[Column1]])</f>
        <v/>
      </c>
      <c r="C73" s="29" t="str">
        <f>IF(ISNONTEXT(node_raw[[#This Row],[Column2]]), "", node_raw[[#This Row],[Column2]])</f>
        <v/>
      </c>
      <c r="D73" s="62" t="str">
        <f>IF(ISNUMBER(node_raw[[#This Row],[Column3]]), node_raw[[#This Row],[Column3]],"")</f>
        <v/>
      </c>
      <c r="E73" s="65" t="str">
        <f>IF(ISNUMBER(node_raw[[#This Row],[Column4]]), node_raw[[#This Row],[Column4]]/1048576,"")</f>
        <v/>
      </c>
      <c r="F73" s="91" t="str">
        <f>IF(ISNUMBER(node_raw[[#This Row],[Column5]]), node_raw[[#This Row],[Column5]],"")</f>
        <v/>
      </c>
      <c r="G73" s="80" t="str">
        <f t="shared" si="2"/>
        <v/>
      </c>
      <c r="H73" s="81" t="str">
        <f>IF(ISNUMBER(node_raw[[#This Row],[Column6]]), node_raw[[#This Row],[Column6]]/1048576,"")</f>
        <v/>
      </c>
      <c r="I73" s="82" t="str">
        <f t="shared" si="3"/>
        <v/>
      </c>
      <c r="J73" s="83" t="str">
        <f>IF(ISNONTEXT(node_raw[[#This Row],[Column7]]), "", node_raw[[#This Row],[Column7]]/100)</f>
        <v/>
      </c>
      <c r="K73" s="84" t="str">
        <f>IF(ISNONTEXT(node_raw[[#This Row],[Column8]]), "", node_raw[[#This Row],[Column8]]/100)</f>
        <v/>
      </c>
      <c r="L73" s="85" t="str">
        <f>IF(ISNONTEXT(node_raw[[#This Row],[Column9]]), "", node_raw[[#This Row],[Column9]]/1)</f>
        <v/>
      </c>
      <c r="M73" s="86" t="str">
        <f>IF(ISNONTEXT(node_raw[[#This Row],[Column10]]), "", node_raw[[#This Row],[Column10]]/1)</f>
        <v/>
      </c>
    </row>
    <row r="74" spans="2:13" ht="15.75" customHeight="1" x14ac:dyDescent="0.25">
      <c r="B74" s="32" t="str">
        <f>IF(ISNONTEXT(node_raw[[#This Row],[Column1]]), "", node_raw[[#This Row],[Column1]])</f>
        <v/>
      </c>
      <c r="C74" s="29" t="str">
        <f>IF(ISNONTEXT(node_raw[[#This Row],[Column2]]), "", node_raw[[#This Row],[Column2]])</f>
        <v/>
      </c>
      <c r="D74" s="62" t="str">
        <f>IF(ISNUMBER(node_raw[[#This Row],[Column3]]), node_raw[[#This Row],[Column3]],"")</f>
        <v/>
      </c>
      <c r="E74" s="65" t="str">
        <f>IF(ISNUMBER(node_raw[[#This Row],[Column4]]), node_raw[[#This Row],[Column4]]/1048576,"")</f>
        <v/>
      </c>
      <c r="F74" s="91" t="str">
        <f>IF(ISNUMBER(node_raw[[#This Row],[Column5]]), node_raw[[#This Row],[Column5]],"")</f>
        <v/>
      </c>
      <c r="G74" s="80" t="str">
        <f t="shared" si="2"/>
        <v/>
      </c>
      <c r="H74" s="81" t="str">
        <f>IF(ISNUMBER(node_raw[[#This Row],[Column6]]), node_raw[[#This Row],[Column6]]/1048576,"")</f>
        <v/>
      </c>
      <c r="I74" s="82" t="str">
        <f t="shared" si="3"/>
        <v/>
      </c>
      <c r="J74" s="83" t="str">
        <f>IF(ISNONTEXT(node_raw[[#This Row],[Column7]]), "", node_raw[[#This Row],[Column7]]/100)</f>
        <v/>
      </c>
      <c r="K74" s="84" t="str">
        <f>IF(ISNONTEXT(node_raw[[#This Row],[Column8]]), "", node_raw[[#This Row],[Column8]]/100)</f>
        <v/>
      </c>
      <c r="L74" s="85" t="str">
        <f>IF(ISNONTEXT(node_raw[[#This Row],[Column9]]), "", node_raw[[#This Row],[Column9]]/1)</f>
        <v/>
      </c>
      <c r="M74" s="86" t="str">
        <f>IF(ISNONTEXT(node_raw[[#This Row],[Column10]]), "", node_raw[[#This Row],[Column10]]/1)</f>
        <v/>
      </c>
    </row>
    <row r="75" spans="2:13" ht="15.75" customHeight="1" x14ac:dyDescent="0.25">
      <c r="B75" s="32" t="str">
        <f>IF(ISNONTEXT(node_raw[[#This Row],[Column1]]), "", node_raw[[#This Row],[Column1]])</f>
        <v/>
      </c>
      <c r="C75" s="29" t="str">
        <f>IF(ISNONTEXT(node_raw[[#This Row],[Column2]]), "", node_raw[[#This Row],[Column2]])</f>
        <v/>
      </c>
      <c r="D75" s="62" t="str">
        <f>IF(ISNUMBER(node_raw[[#This Row],[Column3]]), node_raw[[#This Row],[Column3]],"")</f>
        <v/>
      </c>
      <c r="E75" s="65" t="str">
        <f>IF(ISNUMBER(node_raw[[#This Row],[Column4]]), node_raw[[#This Row],[Column4]]/1048576,"")</f>
        <v/>
      </c>
      <c r="F75" s="91" t="str">
        <f>IF(ISNUMBER(node_raw[[#This Row],[Column5]]), node_raw[[#This Row],[Column5]],"")</f>
        <v/>
      </c>
      <c r="G75" s="80" t="str">
        <f t="shared" si="2"/>
        <v/>
      </c>
      <c r="H75" s="81" t="str">
        <f>IF(ISNUMBER(node_raw[[#This Row],[Column6]]), node_raw[[#This Row],[Column6]]/1048576,"")</f>
        <v/>
      </c>
      <c r="I75" s="82" t="str">
        <f t="shared" si="3"/>
        <v/>
      </c>
      <c r="J75" s="83" t="str">
        <f>IF(ISNONTEXT(node_raw[[#This Row],[Column7]]), "", node_raw[[#This Row],[Column7]]/100)</f>
        <v/>
      </c>
      <c r="K75" s="84" t="str">
        <f>IF(ISNONTEXT(node_raw[[#This Row],[Column8]]), "", node_raw[[#This Row],[Column8]]/100)</f>
        <v/>
      </c>
      <c r="L75" s="85" t="str">
        <f>IF(ISNONTEXT(node_raw[[#This Row],[Column9]]), "", node_raw[[#This Row],[Column9]]/1)</f>
        <v/>
      </c>
      <c r="M75" s="86" t="str">
        <f>IF(ISNONTEXT(node_raw[[#This Row],[Column10]]), "", node_raw[[#This Row],[Column10]]/1)</f>
        <v/>
      </c>
    </row>
    <row r="76" spans="2:13" ht="15.75" customHeight="1" x14ac:dyDescent="0.25">
      <c r="B76" s="32" t="str">
        <f>IF(ISNONTEXT(node_raw[[#This Row],[Column1]]), "", node_raw[[#This Row],[Column1]])</f>
        <v/>
      </c>
      <c r="C76" s="29" t="str">
        <f>IF(ISNONTEXT(node_raw[[#This Row],[Column2]]), "", node_raw[[#This Row],[Column2]])</f>
        <v/>
      </c>
      <c r="D76" s="62" t="str">
        <f>IF(ISNUMBER(node_raw[[#This Row],[Column3]]), node_raw[[#This Row],[Column3]],"")</f>
        <v/>
      </c>
      <c r="E76" s="65" t="str">
        <f>IF(ISNUMBER(node_raw[[#This Row],[Column4]]), node_raw[[#This Row],[Column4]]/1048576,"")</f>
        <v/>
      </c>
      <c r="F76" s="91" t="str">
        <f>IF(ISNUMBER(node_raw[[#This Row],[Column5]]), node_raw[[#This Row],[Column5]],"")</f>
        <v/>
      </c>
      <c r="G76" s="80" t="str">
        <f t="shared" si="2"/>
        <v/>
      </c>
      <c r="H76" s="81" t="str">
        <f>IF(ISNUMBER(node_raw[[#This Row],[Column6]]), node_raw[[#This Row],[Column6]]/1048576,"")</f>
        <v/>
      </c>
      <c r="I76" s="82" t="str">
        <f t="shared" si="3"/>
        <v/>
      </c>
      <c r="J76" s="83" t="str">
        <f>IF(ISNONTEXT(node_raw[[#This Row],[Column7]]), "", node_raw[[#This Row],[Column7]]/100)</f>
        <v/>
      </c>
      <c r="K76" s="84" t="str">
        <f>IF(ISNONTEXT(node_raw[[#This Row],[Column8]]), "", node_raw[[#This Row],[Column8]]/100)</f>
        <v/>
      </c>
      <c r="L76" s="85" t="str">
        <f>IF(ISNONTEXT(node_raw[[#This Row],[Column9]]), "", node_raw[[#This Row],[Column9]]/1)</f>
        <v/>
      </c>
      <c r="M76" s="86" t="str">
        <f>IF(ISNONTEXT(node_raw[[#This Row],[Column10]]), "", node_raw[[#This Row],[Column10]]/1)</f>
        <v/>
      </c>
    </row>
    <row r="77" spans="2:13" ht="15.75" customHeight="1" x14ac:dyDescent="0.25">
      <c r="B77" s="32" t="str">
        <f>IF(ISNONTEXT(node_raw[[#This Row],[Column1]]), "", node_raw[[#This Row],[Column1]])</f>
        <v/>
      </c>
      <c r="C77" s="29" t="str">
        <f>IF(ISNONTEXT(node_raw[[#This Row],[Column2]]), "", node_raw[[#This Row],[Column2]])</f>
        <v/>
      </c>
      <c r="D77" s="62" t="str">
        <f>IF(ISNUMBER(node_raw[[#This Row],[Column3]]), node_raw[[#This Row],[Column3]],"")</f>
        <v/>
      </c>
      <c r="E77" s="65" t="str">
        <f>IF(ISNUMBER(node_raw[[#This Row],[Column4]]), node_raw[[#This Row],[Column4]]/1048576,"")</f>
        <v/>
      </c>
      <c r="F77" s="91" t="str">
        <f>IF(ISNUMBER(node_raw[[#This Row],[Column5]]), node_raw[[#This Row],[Column5]],"")</f>
        <v/>
      </c>
      <c r="G77" s="80" t="str">
        <f t="shared" si="2"/>
        <v/>
      </c>
      <c r="H77" s="81" t="str">
        <f>IF(ISNUMBER(node_raw[[#This Row],[Column6]]), node_raw[[#This Row],[Column6]]/1048576,"")</f>
        <v/>
      </c>
      <c r="I77" s="82" t="str">
        <f t="shared" si="3"/>
        <v/>
      </c>
      <c r="J77" s="83" t="str">
        <f>IF(ISNONTEXT(node_raw[[#This Row],[Column7]]), "", node_raw[[#This Row],[Column7]]/100)</f>
        <v/>
      </c>
      <c r="K77" s="84" t="str">
        <f>IF(ISNONTEXT(node_raw[[#This Row],[Column8]]), "", node_raw[[#This Row],[Column8]]/100)</f>
        <v/>
      </c>
      <c r="L77" s="85" t="str">
        <f>IF(ISNONTEXT(node_raw[[#This Row],[Column9]]), "", node_raw[[#This Row],[Column9]]/1)</f>
        <v/>
      </c>
      <c r="M77" s="86" t="str">
        <f>IF(ISNONTEXT(node_raw[[#This Row],[Column10]]), "", node_raw[[#This Row],[Column10]]/1)</f>
        <v/>
      </c>
    </row>
    <row r="78" spans="2:13" ht="15.75" customHeight="1" x14ac:dyDescent="0.25">
      <c r="B78" s="32" t="str">
        <f>IF(ISNONTEXT(node_raw[[#This Row],[Column1]]), "", node_raw[[#This Row],[Column1]])</f>
        <v/>
      </c>
      <c r="C78" s="29" t="str">
        <f>IF(ISNONTEXT(node_raw[[#This Row],[Column2]]), "", node_raw[[#This Row],[Column2]])</f>
        <v/>
      </c>
      <c r="D78" s="62" t="str">
        <f>IF(ISNUMBER(node_raw[[#This Row],[Column3]]), node_raw[[#This Row],[Column3]],"")</f>
        <v/>
      </c>
      <c r="E78" s="65" t="str">
        <f>IF(ISNUMBER(node_raw[[#This Row],[Column4]]), node_raw[[#This Row],[Column4]]/1048576,"")</f>
        <v/>
      </c>
      <c r="F78" s="91" t="str">
        <f>IF(ISNUMBER(node_raw[[#This Row],[Column5]]), node_raw[[#This Row],[Column5]],"")</f>
        <v/>
      </c>
      <c r="G78" s="80" t="str">
        <f t="shared" si="2"/>
        <v/>
      </c>
      <c r="H78" s="81" t="str">
        <f>IF(ISNUMBER(node_raw[[#This Row],[Column6]]), node_raw[[#This Row],[Column6]]/1048576,"")</f>
        <v/>
      </c>
      <c r="I78" s="82" t="str">
        <f t="shared" si="3"/>
        <v/>
      </c>
      <c r="J78" s="83" t="str">
        <f>IF(ISNONTEXT(node_raw[[#This Row],[Column7]]), "", node_raw[[#This Row],[Column7]]/100)</f>
        <v/>
      </c>
      <c r="K78" s="84" t="str">
        <f>IF(ISNONTEXT(node_raw[[#This Row],[Column8]]), "", node_raw[[#This Row],[Column8]]/100)</f>
        <v/>
      </c>
      <c r="L78" s="85" t="str">
        <f>IF(ISNONTEXT(node_raw[[#This Row],[Column9]]), "", node_raw[[#This Row],[Column9]]/1)</f>
        <v/>
      </c>
      <c r="M78" s="86" t="str">
        <f>IF(ISNONTEXT(node_raw[[#This Row],[Column10]]), "", node_raw[[#This Row],[Column10]]/1)</f>
        <v/>
      </c>
    </row>
    <row r="79" spans="2:13" ht="15.75" customHeight="1" x14ac:dyDescent="0.25">
      <c r="B79" s="32" t="str">
        <f>IF(ISNONTEXT(node_raw[[#This Row],[Column1]]), "", node_raw[[#This Row],[Column1]])</f>
        <v/>
      </c>
      <c r="C79" s="29" t="str">
        <f>IF(ISNONTEXT(node_raw[[#This Row],[Column2]]), "", node_raw[[#This Row],[Column2]])</f>
        <v/>
      </c>
      <c r="D79" s="62" t="str">
        <f>IF(ISNUMBER(node_raw[[#This Row],[Column3]]), node_raw[[#This Row],[Column3]],"")</f>
        <v/>
      </c>
      <c r="E79" s="65" t="str">
        <f>IF(ISNUMBER(node_raw[[#This Row],[Column4]]), node_raw[[#This Row],[Column4]]/1048576,"")</f>
        <v/>
      </c>
      <c r="F79" s="91" t="str">
        <f>IF(ISNUMBER(node_raw[[#This Row],[Column5]]), node_raw[[#This Row],[Column5]],"")</f>
        <v/>
      </c>
      <c r="G79" s="80" t="str">
        <f t="shared" si="2"/>
        <v/>
      </c>
      <c r="H79" s="81" t="str">
        <f>IF(ISNUMBER(node_raw[[#This Row],[Column6]]), node_raw[[#This Row],[Column6]]/1048576,"")</f>
        <v/>
      </c>
      <c r="I79" s="82" t="str">
        <f t="shared" si="3"/>
        <v/>
      </c>
      <c r="J79" s="83" t="str">
        <f>IF(ISNONTEXT(node_raw[[#This Row],[Column7]]), "", node_raw[[#This Row],[Column7]]/100)</f>
        <v/>
      </c>
      <c r="K79" s="84" t="str">
        <f>IF(ISNONTEXT(node_raw[[#This Row],[Column8]]), "", node_raw[[#This Row],[Column8]]/100)</f>
        <v/>
      </c>
      <c r="L79" s="85" t="str">
        <f>IF(ISNONTEXT(node_raw[[#This Row],[Column9]]), "", node_raw[[#This Row],[Column9]]/1)</f>
        <v/>
      </c>
      <c r="M79" s="86" t="str">
        <f>IF(ISNONTEXT(node_raw[[#This Row],[Column10]]), "", node_raw[[#This Row],[Column10]]/1)</f>
        <v/>
      </c>
    </row>
    <row r="80" spans="2:13" ht="15.75" customHeight="1" x14ac:dyDescent="0.25">
      <c r="B80" s="32" t="str">
        <f>IF(ISNONTEXT(node_raw[[#This Row],[Column1]]), "", node_raw[[#This Row],[Column1]])</f>
        <v/>
      </c>
      <c r="C80" s="29" t="str">
        <f>IF(ISNONTEXT(node_raw[[#This Row],[Column2]]), "", node_raw[[#This Row],[Column2]])</f>
        <v/>
      </c>
      <c r="D80" s="62" t="str">
        <f>IF(ISNUMBER(node_raw[[#This Row],[Column3]]), node_raw[[#This Row],[Column3]],"")</f>
        <v/>
      </c>
      <c r="E80" s="65" t="str">
        <f>IF(ISNUMBER(node_raw[[#This Row],[Column4]]), node_raw[[#This Row],[Column4]]/1048576,"")</f>
        <v/>
      </c>
      <c r="F80" s="91" t="str">
        <f>IF(ISNUMBER(node_raw[[#This Row],[Column5]]), node_raw[[#This Row],[Column5]],"")</f>
        <v/>
      </c>
      <c r="G80" s="80" t="str">
        <f t="shared" si="2"/>
        <v/>
      </c>
      <c r="H80" s="81" t="str">
        <f>IF(ISNUMBER(node_raw[[#This Row],[Column6]]), node_raw[[#This Row],[Column6]]/1048576,"")</f>
        <v/>
      </c>
      <c r="I80" s="82" t="str">
        <f t="shared" si="3"/>
        <v/>
      </c>
      <c r="J80" s="83" t="str">
        <f>IF(ISNONTEXT(node_raw[[#This Row],[Column7]]), "", node_raw[[#This Row],[Column7]]/100)</f>
        <v/>
      </c>
      <c r="K80" s="84" t="str">
        <f>IF(ISNONTEXT(node_raw[[#This Row],[Column8]]), "", node_raw[[#This Row],[Column8]]/100)</f>
        <v/>
      </c>
      <c r="L80" s="85" t="str">
        <f>IF(ISNONTEXT(node_raw[[#This Row],[Column9]]), "", node_raw[[#This Row],[Column9]]/1)</f>
        <v/>
      </c>
      <c r="M80" s="86" t="str">
        <f>IF(ISNONTEXT(node_raw[[#This Row],[Column10]]), "", node_raw[[#This Row],[Column10]]/1)</f>
        <v/>
      </c>
    </row>
    <row r="81" spans="2:13" ht="15.75" customHeight="1" x14ac:dyDescent="0.25">
      <c r="B81" s="32" t="str">
        <f>IF(ISNONTEXT(node_raw[[#This Row],[Column1]]), "", node_raw[[#This Row],[Column1]])</f>
        <v/>
      </c>
      <c r="C81" s="29" t="str">
        <f>IF(ISNONTEXT(node_raw[[#This Row],[Column2]]), "", node_raw[[#This Row],[Column2]])</f>
        <v/>
      </c>
      <c r="D81" s="62" t="str">
        <f>IF(ISNUMBER(node_raw[[#This Row],[Column3]]), node_raw[[#This Row],[Column3]],"")</f>
        <v/>
      </c>
      <c r="E81" s="65" t="str">
        <f>IF(ISNUMBER(node_raw[[#This Row],[Column4]]), node_raw[[#This Row],[Column4]]/1048576,"")</f>
        <v/>
      </c>
      <c r="F81" s="91" t="str">
        <f>IF(ISNUMBER(node_raw[[#This Row],[Column5]]), node_raw[[#This Row],[Column5]],"")</f>
        <v/>
      </c>
      <c r="G81" s="80" t="str">
        <f t="shared" si="2"/>
        <v/>
      </c>
      <c r="H81" s="81" t="str">
        <f>IF(ISNUMBER(node_raw[[#This Row],[Column6]]), node_raw[[#This Row],[Column6]]/1048576,"")</f>
        <v/>
      </c>
      <c r="I81" s="82" t="str">
        <f t="shared" si="3"/>
        <v/>
      </c>
      <c r="J81" s="83" t="str">
        <f>IF(ISNONTEXT(node_raw[[#This Row],[Column7]]), "", node_raw[[#This Row],[Column7]]/100)</f>
        <v/>
      </c>
      <c r="K81" s="84" t="str">
        <f>IF(ISNONTEXT(node_raw[[#This Row],[Column8]]), "", node_raw[[#This Row],[Column8]]/100)</f>
        <v/>
      </c>
      <c r="L81" s="85" t="str">
        <f>IF(ISNONTEXT(node_raw[[#This Row],[Column9]]), "", node_raw[[#This Row],[Column9]]/1)</f>
        <v/>
      </c>
      <c r="M81" s="86" t="str">
        <f>IF(ISNONTEXT(node_raw[[#This Row],[Column10]]), "", node_raw[[#This Row],[Column10]]/1)</f>
        <v/>
      </c>
    </row>
    <row r="82" spans="2:13" ht="15.75" customHeight="1" x14ac:dyDescent="0.25">
      <c r="B82" s="32" t="str">
        <f>IF(ISNONTEXT(node_raw[[#This Row],[Column1]]), "", node_raw[[#This Row],[Column1]])</f>
        <v/>
      </c>
      <c r="C82" s="29" t="str">
        <f>IF(ISNONTEXT(node_raw[[#This Row],[Column2]]), "", node_raw[[#This Row],[Column2]])</f>
        <v/>
      </c>
      <c r="D82" s="62" t="str">
        <f>IF(ISNUMBER(node_raw[[#This Row],[Column3]]), node_raw[[#This Row],[Column3]],"")</f>
        <v/>
      </c>
      <c r="E82" s="65" t="str">
        <f>IF(ISNUMBER(node_raw[[#This Row],[Column4]]), node_raw[[#This Row],[Column4]]/1048576,"")</f>
        <v/>
      </c>
      <c r="F82" s="91" t="str">
        <f>IF(ISNUMBER(node_raw[[#This Row],[Column5]]), node_raw[[#This Row],[Column5]],"")</f>
        <v/>
      </c>
      <c r="G82" s="80" t="str">
        <f t="shared" si="2"/>
        <v/>
      </c>
      <c r="H82" s="81" t="str">
        <f>IF(ISNUMBER(node_raw[[#This Row],[Column6]]), node_raw[[#This Row],[Column6]]/1048576,"")</f>
        <v/>
      </c>
      <c r="I82" s="82" t="str">
        <f t="shared" si="3"/>
        <v/>
      </c>
      <c r="J82" s="83" t="str">
        <f>IF(ISNONTEXT(node_raw[[#This Row],[Column7]]), "", node_raw[[#This Row],[Column7]]/100)</f>
        <v/>
      </c>
      <c r="K82" s="84" t="str">
        <f>IF(ISNONTEXT(node_raw[[#This Row],[Column8]]), "", node_raw[[#This Row],[Column8]]/100)</f>
        <v/>
      </c>
      <c r="L82" s="85" t="str">
        <f>IF(ISNONTEXT(node_raw[[#This Row],[Column9]]), "", node_raw[[#This Row],[Column9]]/1)</f>
        <v/>
      </c>
      <c r="M82" s="86" t="str">
        <f>IF(ISNONTEXT(node_raw[[#This Row],[Column10]]), "", node_raw[[#This Row],[Column10]]/1)</f>
        <v/>
      </c>
    </row>
    <row r="83" spans="2:13" ht="15.75" customHeight="1" x14ac:dyDescent="0.25">
      <c r="B83" s="32" t="str">
        <f>IF(ISNONTEXT(node_raw[[#This Row],[Column1]]), "", node_raw[[#This Row],[Column1]])</f>
        <v/>
      </c>
      <c r="C83" s="29" t="str">
        <f>IF(ISNONTEXT(node_raw[[#This Row],[Column2]]), "", node_raw[[#This Row],[Column2]])</f>
        <v/>
      </c>
      <c r="D83" s="62" t="str">
        <f>IF(ISNUMBER(node_raw[[#This Row],[Column3]]), node_raw[[#This Row],[Column3]],"")</f>
        <v/>
      </c>
      <c r="E83" s="65" t="str">
        <f>IF(ISNUMBER(node_raw[[#This Row],[Column4]]), node_raw[[#This Row],[Column4]]/1048576,"")</f>
        <v/>
      </c>
      <c r="F83" s="91" t="str">
        <f>IF(ISNUMBER(node_raw[[#This Row],[Column5]]), node_raw[[#This Row],[Column5]],"")</f>
        <v/>
      </c>
      <c r="G83" s="80" t="str">
        <f t="shared" si="2"/>
        <v/>
      </c>
      <c r="H83" s="81" t="str">
        <f>IF(ISNUMBER(node_raw[[#This Row],[Column6]]), node_raw[[#This Row],[Column6]]/1048576,"")</f>
        <v/>
      </c>
      <c r="I83" s="82" t="str">
        <f t="shared" si="3"/>
        <v/>
      </c>
      <c r="J83" s="83" t="str">
        <f>IF(ISNONTEXT(node_raw[[#This Row],[Column7]]), "", node_raw[[#This Row],[Column7]]/100)</f>
        <v/>
      </c>
      <c r="K83" s="84" t="str">
        <f>IF(ISNONTEXT(node_raw[[#This Row],[Column8]]), "", node_raw[[#This Row],[Column8]]/100)</f>
        <v/>
      </c>
      <c r="L83" s="85" t="str">
        <f>IF(ISNONTEXT(node_raw[[#This Row],[Column9]]), "", node_raw[[#This Row],[Column9]]/1)</f>
        <v/>
      </c>
      <c r="M83" s="86" t="str">
        <f>IF(ISNONTEXT(node_raw[[#This Row],[Column10]]), "", node_raw[[#This Row],[Column10]]/1)</f>
        <v/>
      </c>
    </row>
    <row r="84" spans="2:13" ht="15.75" customHeight="1" x14ac:dyDescent="0.25">
      <c r="B84" s="32" t="str">
        <f>IF(ISNONTEXT(node_raw[[#This Row],[Column1]]), "", node_raw[[#This Row],[Column1]])</f>
        <v/>
      </c>
      <c r="C84" s="29" t="str">
        <f>IF(ISNONTEXT(node_raw[[#This Row],[Column2]]), "", node_raw[[#This Row],[Column2]])</f>
        <v/>
      </c>
      <c r="D84" s="62" t="str">
        <f>IF(ISNUMBER(node_raw[[#This Row],[Column3]]), node_raw[[#This Row],[Column3]],"")</f>
        <v/>
      </c>
      <c r="E84" s="65" t="str">
        <f>IF(ISNUMBER(node_raw[[#This Row],[Column4]]), node_raw[[#This Row],[Column4]]/1048576,"")</f>
        <v/>
      </c>
      <c r="F84" s="91" t="str">
        <f>IF(ISNUMBER(node_raw[[#This Row],[Column5]]), node_raw[[#This Row],[Column5]],"")</f>
        <v/>
      </c>
      <c r="G84" s="80" t="str">
        <f t="shared" si="2"/>
        <v/>
      </c>
      <c r="H84" s="81" t="str">
        <f>IF(ISNUMBER(node_raw[[#This Row],[Column6]]), node_raw[[#This Row],[Column6]]/1048576,"")</f>
        <v/>
      </c>
      <c r="I84" s="82" t="str">
        <f t="shared" si="3"/>
        <v/>
      </c>
      <c r="J84" s="83" t="str">
        <f>IF(ISNONTEXT(node_raw[[#This Row],[Column7]]), "", node_raw[[#This Row],[Column7]]/100)</f>
        <v/>
      </c>
      <c r="K84" s="84" t="str">
        <f>IF(ISNONTEXT(node_raw[[#This Row],[Column8]]), "", node_raw[[#This Row],[Column8]]/100)</f>
        <v/>
      </c>
      <c r="L84" s="85" t="str">
        <f>IF(ISNONTEXT(node_raw[[#This Row],[Column9]]), "", node_raw[[#This Row],[Column9]]/1)</f>
        <v/>
      </c>
      <c r="M84" s="86" t="str">
        <f>IF(ISNONTEXT(node_raw[[#This Row],[Column10]]), "", node_raw[[#This Row],[Column10]]/1)</f>
        <v/>
      </c>
    </row>
    <row r="85" spans="2:13" ht="15.75" customHeight="1" x14ac:dyDescent="0.25">
      <c r="B85" s="32" t="str">
        <f>IF(ISNONTEXT(node_raw[[#This Row],[Column1]]), "", node_raw[[#This Row],[Column1]])</f>
        <v/>
      </c>
      <c r="C85" s="29" t="str">
        <f>IF(ISNONTEXT(node_raw[[#This Row],[Column2]]), "", node_raw[[#This Row],[Column2]])</f>
        <v/>
      </c>
      <c r="D85" s="62" t="str">
        <f>IF(ISNUMBER(node_raw[[#This Row],[Column3]]), node_raw[[#This Row],[Column3]],"")</f>
        <v/>
      </c>
      <c r="E85" s="65" t="str">
        <f>IF(ISNUMBER(node_raw[[#This Row],[Column4]]), node_raw[[#This Row],[Column4]]/1048576,"")</f>
        <v/>
      </c>
      <c r="F85" s="91" t="str">
        <f>IF(ISNUMBER(node_raw[[#This Row],[Column5]]), node_raw[[#This Row],[Column5]],"")</f>
        <v/>
      </c>
      <c r="G85" s="80" t="str">
        <f t="shared" si="2"/>
        <v/>
      </c>
      <c r="H85" s="81" t="str">
        <f>IF(ISNUMBER(node_raw[[#This Row],[Column6]]), node_raw[[#This Row],[Column6]]/1048576,"")</f>
        <v/>
      </c>
      <c r="I85" s="82" t="str">
        <f t="shared" si="3"/>
        <v/>
      </c>
      <c r="J85" s="83" t="str">
        <f>IF(ISNONTEXT(node_raw[[#This Row],[Column7]]), "", node_raw[[#This Row],[Column7]]/100)</f>
        <v/>
      </c>
      <c r="K85" s="84" t="str">
        <f>IF(ISNONTEXT(node_raw[[#This Row],[Column8]]), "", node_raw[[#This Row],[Column8]]/100)</f>
        <v/>
      </c>
      <c r="L85" s="85" t="str">
        <f>IF(ISNONTEXT(node_raw[[#This Row],[Column9]]), "", node_raw[[#This Row],[Column9]]/1)</f>
        <v/>
      </c>
      <c r="M85" s="86" t="str">
        <f>IF(ISNONTEXT(node_raw[[#This Row],[Column10]]), "", node_raw[[#This Row],[Column10]]/1)</f>
        <v/>
      </c>
    </row>
    <row r="86" spans="2:13" ht="15.75" customHeight="1" x14ac:dyDescent="0.25">
      <c r="B86" s="32" t="str">
        <f>IF(ISNONTEXT(node_raw[[#This Row],[Column1]]), "", node_raw[[#This Row],[Column1]])</f>
        <v/>
      </c>
      <c r="C86" s="29" t="str">
        <f>IF(ISNONTEXT(node_raw[[#This Row],[Column2]]), "", node_raw[[#This Row],[Column2]])</f>
        <v/>
      </c>
      <c r="D86" s="62" t="str">
        <f>IF(ISNUMBER(node_raw[[#This Row],[Column3]]), node_raw[[#This Row],[Column3]],"")</f>
        <v/>
      </c>
      <c r="E86" s="65" t="str">
        <f>IF(ISNUMBER(node_raw[[#This Row],[Column4]]), node_raw[[#This Row],[Column4]]/1048576,"")</f>
        <v/>
      </c>
      <c r="F86" s="91" t="str">
        <f>IF(ISNUMBER(node_raw[[#This Row],[Column5]]), node_raw[[#This Row],[Column5]],"")</f>
        <v/>
      </c>
      <c r="G86" s="80" t="str">
        <f t="shared" si="2"/>
        <v/>
      </c>
      <c r="H86" s="81" t="str">
        <f>IF(ISNUMBER(node_raw[[#This Row],[Column6]]), node_raw[[#This Row],[Column6]]/1048576,"")</f>
        <v/>
      </c>
      <c r="I86" s="82" t="str">
        <f t="shared" si="3"/>
        <v/>
      </c>
      <c r="J86" s="83" t="str">
        <f>IF(ISNONTEXT(node_raw[[#This Row],[Column7]]), "", node_raw[[#This Row],[Column7]]/100)</f>
        <v/>
      </c>
      <c r="K86" s="84" t="str">
        <f>IF(ISNONTEXT(node_raw[[#This Row],[Column8]]), "", node_raw[[#This Row],[Column8]]/100)</f>
        <v/>
      </c>
      <c r="L86" s="85" t="str">
        <f>IF(ISNONTEXT(node_raw[[#This Row],[Column9]]), "", node_raw[[#This Row],[Column9]]/1)</f>
        <v/>
      </c>
      <c r="M86" s="86" t="str">
        <f>IF(ISNONTEXT(node_raw[[#This Row],[Column10]]), "", node_raw[[#This Row],[Column10]]/1)</f>
        <v/>
      </c>
    </row>
    <row r="87" spans="2:13" ht="15.75" customHeight="1" x14ac:dyDescent="0.25">
      <c r="B87" s="32" t="str">
        <f>IF(ISNONTEXT(node_raw[[#This Row],[Column1]]), "", node_raw[[#This Row],[Column1]])</f>
        <v/>
      </c>
      <c r="C87" s="29" t="str">
        <f>IF(ISNONTEXT(node_raw[[#This Row],[Column2]]), "", node_raw[[#This Row],[Column2]])</f>
        <v/>
      </c>
      <c r="D87" s="62" t="str">
        <f>IF(ISNUMBER(node_raw[[#This Row],[Column3]]), node_raw[[#This Row],[Column3]],"")</f>
        <v/>
      </c>
      <c r="E87" s="65" t="str">
        <f>IF(ISNUMBER(node_raw[[#This Row],[Column4]]), node_raw[[#This Row],[Column4]]/1048576,"")</f>
        <v/>
      </c>
      <c r="F87" s="91" t="str">
        <f>IF(ISNUMBER(node_raw[[#This Row],[Column5]]), node_raw[[#This Row],[Column5]],"")</f>
        <v/>
      </c>
      <c r="G87" s="80" t="str">
        <f t="shared" si="2"/>
        <v/>
      </c>
      <c r="H87" s="81" t="str">
        <f>IF(ISNUMBER(node_raw[[#This Row],[Column6]]), node_raw[[#This Row],[Column6]]/1048576,"")</f>
        <v/>
      </c>
      <c r="I87" s="82" t="str">
        <f t="shared" si="3"/>
        <v/>
      </c>
      <c r="J87" s="83" t="str">
        <f>IF(ISNONTEXT(node_raw[[#This Row],[Column7]]), "", node_raw[[#This Row],[Column7]]/100)</f>
        <v/>
      </c>
      <c r="K87" s="84" t="str">
        <f>IF(ISNONTEXT(node_raw[[#This Row],[Column8]]), "", node_raw[[#This Row],[Column8]]/100)</f>
        <v/>
      </c>
      <c r="L87" s="85" t="str">
        <f>IF(ISNONTEXT(node_raw[[#This Row],[Column9]]), "", node_raw[[#This Row],[Column9]]/1)</f>
        <v/>
      </c>
      <c r="M87" s="86" t="str">
        <f>IF(ISNONTEXT(node_raw[[#This Row],[Column10]]), "", node_raw[[#This Row],[Column10]]/1)</f>
        <v/>
      </c>
    </row>
    <row r="88" spans="2:13" ht="15.75" customHeight="1" x14ac:dyDescent="0.25">
      <c r="B88" s="32" t="str">
        <f>IF(ISNONTEXT(node_raw[[#This Row],[Column1]]), "", node_raw[[#This Row],[Column1]])</f>
        <v/>
      </c>
      <c r="C88" s="29" t="str">
        <f>IF(ISNONTEXT(node_raw[[#This Row],[Column2]]), "", node_raw[[#This Row],[Column2]])</f>
        <v/>
      </c>
      <c r="D88" s="62" t="str">
        <f>IF(ISNUMBER(node_raw[[#This Row],[Column3]]), node_raw[[#This Row],[Column3]],"")</f>
        <v/>
      </c>
      <c r="E88" s="65" t="str">
        <f>IF(ISNUMBER(node_raw[[#This Row],[Column4]]), node_raw[[#This Row],[Column4]]/1048576,"")</f>
        <v/>
      </c>
      <c r="F88" s="91" t="str">
        <f>IF(ISNUMBER(node_raw[[#This Row],[Column5]]), node_raw[[#This Row],[Column5]],"")</f>
        <v/>
      </c>
      <c r="G88" s="80" t="str">
        <f t="shared" si="2"/>
        <v/>
      </c>
      <c r="H88" s="81" t="str">
        <f>IF(ISNUMBER(node_raw[[#This Row],[Column6]]), node_raw[[#This Row],[Column6]]/1048576,"")</f>
        <v/>
      </c>
      <c r="I88" s="82" t="str">
        <f t="shared" si="3"/>
        <v/>
      </c>
      <c r="J88" s="83" t="str">
        <f>IF(ISNONTEXT(node_raw[[#This Row],[Column7]]), "", node_raw[[#This Row],[Column7]]/100)</f>
        <v/>
      </c>
      <c r="K88" s="84" t="str">
        <f>IF(ISNONTEXT(node_raw[[#This Row],[Column8]]), "", node_raw[[#This Row],[Column8]]/100)</f>
        <v/>
      </c>
      <c r="L88" s="85" t="str">
        <f>IF(ISNONTEXT(node_raw[[#This Row],[Column9]]), "", node_raw[[#This Row],[Column9]]/1)</f>
        <v/>
      </c>
      <c r="M88" s="86" t="str">
        <f>IF(ISNONTEXT(node_raw[[#This Row],[Column10]]), "", node_raw[[#This Row],[Column10]]/1)</f>
        <v/>
      </c>
    </row>
    <row r="89" spans="2:13" ht="15.75" customHeight="1" x14ac:dyDescent="0.25">
      <c r="B89" s="32" t="str">
        <f>IF(ISNONTEXT(node_raw[[#This Row],[Column1]]), "", node_raw[[#This Row],[Column1]])</f>
        <v/>
      </c>
      <c r="C89" s="29" t="str">
        <f>IF(ISNONTEXT(node_raw[[#This Row],[Column2]]), "", node_raw[[#This Row],[Column2]])</f>
        <v/>
      </c>
      <c r="D89" s="62" t="str">
        <f>IF(ISNUMBER(node_raw[[#This Row],[Column3]]), node_raw[[#This Row],[Column3]],"")</f>
        <v/>
      </c>
      <c r="E89" s="65" t="str">
        <f>IF(ISNUMBER(node_raw[[#This Row],[Column4]]), node_raw[[#This Row],[Column4]]/1048576,"")</f>
        <v/>
      </c>
      <c r="F89" s="91" t="str">
        <f>IF(ISNUMBER(node_raw[[#This Row],[Column5]]), node_raw[[#This Row],[Column5]],"")</f>
        <v/>
      </c>
      <c r="G89" s="80" t="str">
        <f t="shared" si="2"/>
        <v/>
      </c>
      <c r="H89" s="81" t="str">
        <f>IF(ISNUMBER(node_raw[[#This Row],[Column6]]), node_raw[[#This Row],[Column6]]/1048576,"")</f>
        <v/>
      </c>
      <c r="I89" s="82" t="str">
        <f t="shared" si="3"/>
        <v/>
      </c>
      <c r="J89" s="83" t="str">
        <f>IF(ISNONTEXT(node_raw[[#This Row],[Column7]]), "", node_raw[[#This Row],[Column7]]/100)</f>
        <v/>
      </c>
      <c r="K89" s="84" t="str">
        <f>IF(ISNONTEXT(node_raw[[#This Row],[Column8]]), "", node_raw[[#This Row],[Column8]]/100)</f>
        <v/>
      </c>
      <c r="L89" s="85" t="str">
        <f>IF(ISNONTEXT(node_raw[[#This Row],[Column9]]), "", node_raw[[#This Row],[Column9]]/1)</f>
        <v/>
      </c>
      <c r="M89" s="86" t="str">
        <f>IF(ISNONTEXT(node_raw[[#This Row],[Column10]]), "", node_raw[[#This Row],[Column10]]/1)</f>
        <v/>
      </c>
    </row>
    <row r="90" spans="2:13" ht="15.75" customHeight="1" x14ac:dyDescent="0.25">
      <c r="B90" s="32" t="str">
        <f>IF(ISNONTEXT(node_raw[[#This Row],[Column1]]), "", node_raw[[#This Row],[Column1]])</f>
        <v/>
      </c>
      <c r="C90" s="29" t="str">
        <f>IF(ISNONTEXT(node_raw[[#This Row],[Column2]]), "", node_raw[[#This Row],[Column2]])</f>
        <v/>
      </c>
      <c r="D90" s="62" t="str">
        <f>IF(ISNUMBER(node_raw[[#This Row],[Column3]]), node_raw[[#This Row],[Column3]],"")</f>
        <v/>
      </c>
      <c r="E90" s="65" t="str">
        <f>IF(ISNUMBER(node_raw[[#This Row],[Column4]]), node_raw[[#This Row],[Column4]]/1048576,"")</f>
        <v/>
      </c>
      <c r="F90" s="91" t="str">
        <f>IF(ISNUMBER(node_raw[[#This Row],[Column5]]), node_raw[[#This Row],[Column5]],"")</f>
        <v/>
      </c>
      <c r="G90" s="80" t="str">
        <f t="shared" si="2"/>
        <v/>
      </c>
      <c r="H90" s="81" t="str">
        <f>IF(ISNUMBER(node_raw[[#This Row],[Column6]]), node_raw[[#This Row],[Column6]]/1048576,"")</f>
        <v/>
      </c>
      <c r="I90" s="82" t="str">
        <f t="shared" si="3"/>
        <v/>
      </c>
      <c r="J90" s="83" t="str">
        <f>IF(ISNONTEXT(node_raw[[#This Row],[Column7]]), "", node_raw[[#This Row],[Column7]]/100)</f>
        <v/>
      </c>
      <c r="K90" s="84" t="str">
        <f>IF(ISNONTEXT(node_raw[[#This Row],[Column8]]), "", node_raw[[#This Row],[Column8]]/100)</f>
        <v/>
      </c>
      <c r="L90" s="85" t="str">
        <f>IF(ISNONTEXT(node_raw[[#This Row],[Column9]]), "", node_raw[[#This Row],[Column9]]/1)</f>
        <v/>
      </c>
      <c r="M90" s="86" t="str">
        <f>IF(ISNONTEXT(node_raw[[#This Row],[Column10]]), "", node_raw[[#This Row],[Column10]]/1)</f>
        <v/>
      </c>
    </row>
    <row r="91" spans="2:13" ht="15.75" customHeight="1" x14ac:dyDescent="0.25">
      <c r="B91" s="32" t="str">
        <f>IF(ISNONTEXT(node_raw[[#This Row],[Column1]]), "", node_raw[[#This Row],[Column1]])</f>
        <v/>
      </c>
      <c r="C91" s="29" t="str">
        <f>IF(ISNONTEXT(node_raw[[#This Row],[Column2]]), "", node_raw[[#This Row],[Column2]])</f>
        <v/>
      </c>
      <c r="D91" s="62" t="str">
        <f>IF(ISNUMBER(node_raw[[#This Row],[Column3]]), node_raw[[#This Row],[Column3]],"")</f>
        <v/>
      </c>
      <c r="E91" s="65" t="str">
        <f>IF(ISNUMBER(node_raw[[#This Row],[Column4]]), node_raw[[#This Row],[Column4]]/1048576,"")</f>
        <v/>
      </c>
      <c r="F91" s="91" t="str">
        <f>IF(ISNUMBER(node_raw[[#This Row],[Column5]]), node_raw[[#This Row],[Column5]],"")</f>
        <v/>
      </c>
      <c r="G91" s="80" t="str">
        <f t="shared" si="2"/>
        <v/>
      </c>
      <c r="H91" s="81" t="str">
        <f>IF(ISNUMBER(node_raw[[#This Row],[Column6]]), node_raw[[#This Row],[Column6]]/1048576,"")</f>
        <v/>
      </c>
      <c r="I91" s="82" t="str">
        <f t="shared" si="3"/>
        <v/>
      </c>
      <c r="J91" s="83" t="str">
        <f>IF(ISNONTEXT(node_raw[[#This Row],[Column7]]), "", node_raw[[#This Row],[Column7]]/100)</f>
        <v/>
      </c>
      <c r="K91" s="84" t="str">
        <f>IF(ISNONTEXT(node_raw[[#This Row],[Column8]]), "", node_raw[[#This Row],[Column8]]/100)</f>
        <v/>
      </c>
      <c r="L91" s="85" t="str">
        <f>IF(ISNONTEXT(node_raw[[#This Row],[Column9]]), "", node_raw[[#This Row],[Column9]]/1)</f>
        <v/>
      </c>
      <c r="M91" s="86" t="str">
        <f>IF(ISNONTEXT(node_raw[[#This Row],[Column10]]), "", node_raw[[#This Row],[Column10]]/1)</f>
        <v/>
      </c>
    </row>
    <row r="92" spans="2:13" ht="15.75" customHeight="1" x14ac:dyDescent="0.25">
      <c r="B92" s="32" t="str">
        <f>IF(ISNONTEXT(node_raw[[#This Row],[Column1]]), "", node_raw[[#This Row],[Column1]])</f>
        <v/>
      </c>
      <c r="C92" s="29" t="str">
        <f>IF(ISNONTEXT(node_raw[[#This Row],[Column2]]), "", node_raw[[#This Row],[Column2]])</f>
        <v/>
      </c>
      <c r="D92" s="62" t="str">
        <f>IF(ISNUMBER(node_raw[[#This Row],[Column3]]), node_raw[[#This Row],[Column3]],"")</f>
        <v/>
      </c>
      <c r="E92" s="65" t="str">
        <f>IF(ISNUMBER(node_raw[[#This Row],[Column4]]), node_raw[[#This Row],[Column4]]/1048576,"")</f>
        <v/>
      </c>
      <c r="F92" s="91" t="str">
        <f>IF(ISNUMBER(node_raw[[#This Row],[Column5]]), node_raw[[#This Row],[Column5]],"")</f>
        <v/>
      </c>
      <c r="G92" s="80" t="str">
        <f t="shared" si="2"/>
        <v/>
      </c>
      <c r="H92" s="81" t="str">
        <f>IF(ISNUMBER(node_raw[[#This Row],[Column6]]), node_raw[[#This Row],[Column6]]/1048576,"")</f>
        <v/>
      </c>
      <c r="I92" s="82" t="str">
        <f t="shared" si="3"/>
        <v/>
      </c>
      <c r="J92" s="83" t="str">
        <f>IF(ISNONTEXT(node_raw[[#This Row],[Column7]]), "", node_raw[[#This Row],[Column7]]/100)</f>
        <v/>
      </c>
      <c r="K92" s="84" t="str">
        <f>IF(ISNONTEXT(node_raw[[#This Row],[Column8]]), "", node_raw[[#This Row],[Column8]]/100)</f>
        <v/>
      </c>
      <c r="L92" s="85" t="str">
        <f>IF(ISNONTEXT(node_raw[[#This Row],[Column9]]), "", node_raw[[#This Row],[Column9]]/1)</f>
        <v/>
      </c>
      <c r="M92" s="86" t="str">
        <f>IF(ISNONTEXT(node_raw[[#This Row],[Column10]]), "", node_raw[[#This Row],[Column10]]/1)</f>
        <v/>
      </c>
    </row>
    <row r="93" spans="2:13" ht="15.75" customHeight="1" x14ac:dyDescent="0.25">
      <c r="B93" s="32" t="str">
        <f>IF(ISNONTEXT(node_raw[[#This Row],[Column1]]), "", node_raw[[#This Row],[Column1]])</f>
        <v/>
      </c>
      <c r="C93" s="29" t="str">
        <f>IF(ISNONTEXT(node_raw[[#This Row],[Column2]]), "", node_raw[[#This Row],[Column2]])</f>
        <v/>
      </c>
      <c r="D93" s="62" t="str">
        <f>IF(ISNUMBER(node_raw[[#This Row],[Column3]]), node_raw[[#This Row],[Column3]],"")</f>
        <v/>
      </c>
      <c r="E93" s="65" t="str">
        <f>IF(ISNUMBER(node_raw[[#This Row],[Column4]]), node_raw[[#This Row],[Column4]]/1048576,"")</f>
        <v/>
      </c>
      <c r="F93" s="91" t="str">
        <f>IF(ISNUMBER(node_raw[[#This Row],[Column5]]), node_raw[[#This Row],[Column5]],"")</f>
        <v/>
      </c>
      <c r="G93" s="80" t="str">
        <f t="shared" si="2"/>
        <v/>
      </c>
      <c r="H93" s="81" t="str">
        <f>IF(ISNUMBER(node_raw[[#This Row],[Column6]]), node_raw[[#This Row],[Column6]]/1048576,"")</f>
        <v/>
      </c>
      <c r="I93" s="82" t="str">
        <f t="shared" si="3"/>
        <v/>
      </c>
      <c r="J93" s="83" t="str">
        <f>IF(ISNONTEXT(node_raw[[#This Row],[Column7]]), "", node_raw[[#This Row],[Column7]]/100)</f>
        <v/>
      </c>
      <c r="K93" s="84" t="str">
        <f>IF(ISNONTEXT(node_raw[[#This Row],[Column8]]), "", node_raw[[#This Row],[Column8]]/100)</f>
        <v/>
      </c>
      <c r="L93" s="85" t="str">
        <f>IF(ISNONTEXT(node_raw[[#This Row],[Column9]]), "", node_raw[[#This Row],[Column9]]/1)</f>
        <v/>
      </c>
      <c r="M93" s="86" t="str">
        <f>IF(ISNONTEXT(node_raw[[#This Row],[Column10]]), "", node_raw[[#This Row],[Column10]]/1)</f>
        <v/>
      </c>
    </row>
    <row r="94" spans="2:13" ht="15.75" customHeight="1" x14ac:dyDescent="0.25">
      <c r="B94" s="32" t="str">
        <f>IF(ISNONTEXT(node_raw[[#This Row],[Column1]]), "", node_raw[[#This Row],[Column1]])</f>
        <v/>
      </c>
      <c r="C94" s="29" t="str">
        <f>IF(ISNONTEXT(node_raw[[#This Row],[Column2]]), "", node_raw[[#This Row],[Column2]])</f>
        <v/>
      </c>
      <c r="D94" s="62" t="str">
        <f>IF(ISNUMBER(node_raw[[#This Row],[Column3]]), node_raw[[#This Row],[Column3]],"")</f>
        <v/>
      </c>
      <c r="E94" s="65" t="str">
        <f>IF(ISNUMBER(node_raw[[#This Row],[Column4]]), node_raw[[#This Row],[Column4]]/1048576,"")</f>
        <v/>
      </c>
      <c r="F94" s="91" t="str">
        <f>IF(ISNUMBER(node_raw[[#This Row],[Column5]]), node_raw[[#This Row],[Column5]],"")</f>
        <v/>
      </c>
      <c r="G94" s="80" t="str">
        <f t="shared" si="2"/>
        <v/>
      </c>
      <c r="H94" s="81" t="str">
        <f>IF(ISNUMBER(node_raw[[#This Row],[Column6]]), node_raw[[#This Row],[Column6]]/1048576,"")</f>
        <v/>
      </c>
      <c r="I94" s="82" t="str">
        <f t="shared" si="3"/>
        <v/>
      </c>
      <c r="J94" s="83" t="str">
        <f>IF(ISNONTEXT(node_raw[[#This Row],[Column7]]), "", node_raw[[#This Row],[Column7]]/100)</f>
        <v/>
      </c>
      <c r="K94" s="84" t="str">
        <f>IF(ISNONTEXT(node_raw[[#This Row],[Column8]]), "", node_raw[[#This Row],[Column8]]/100)</f>
        <v/>
      </c>
      <c r="L94" s="85" t="str">
        <f>IF(ISNONTEXT(node_raw[[#This Row],[Column9]]), "", node_raw[[#This Row],[Column9]]/1)</f>
        <v/>
      </c>
      <c r="M94" s="86" t="str">
        <f>IF(ISNONTEXT(node_raw[[#This Row],[Column10]]), "", node_raw[[#This Row],[Column10]]/1)</f>
        <v/>
      </c>
    </row>
    <row r="95" spans="2:13" ht="15.75" customHeight="1" x14ac:dyDescent="0.25">
      <c r="B95" s="32" t="str">
        <f>IF(ISNONTEXT(node_raw[[#This Row],[Column1]]), "", node_raw[[#This Row],[Column1]])</f>
        <v/>
      </c>
      <c r="C95" s="29" t="str">
        <f>IF(ISNONTEXT(node_raw[[#This Row],[Column2]]), "", node_raw[[#This Row],[Column2]])</f>
        <v/>
      </c>
      <c r="D95" s="62" t="str">
        <f>IF(ISNUMBER(node_raw[[#This Row],[Column3]]), node_raw[[#This Row],[Column3]],"")</f>
        <v/>
      </c>
      <c r="E95" s="65" t="str">
        <f>IF(ISNUMBER(node_raw[[#This Row],[Column4]]), node_raw[[#This Row],[Column4]]/1048576,"")</f>
        <v/>
      </c>
      <c r="F95" s="91" t="str">
        <f>IF(ISNUMBER(node_raw[[#This Row],[Column5]]), node_raw[[#This Row],[Column5]],"")</f>
        <v/>
      </c>
      <c r="G95" s="80" t="str">
        <f t="shared" si="2"/>
        <v/>
      </c>
      <c r="H95" s="81" t="str">
        <f>IF(ISNUMBER(node_raw[[#This Row],[Column6]]), node_raw[[#This Row],[Column6]]/1048576,"")</f>
        <v/>
      </c>
      <c r="I95" s="82" t="str">
        <f t="shared" si="3"/>
        <v/>
      </c>
      <c r="J95" s="83" t="str">
        <f>IF(ISNONTEXT(node_raw[[#This Row],[Column7]]), "", node_raw[[#This Row],[Column7]]/100)</f>
        <v/>
      </c>
      <c r="K95" s="84" t="str">
        <f>IF(ISNONTEXT(node_raw[[#This Row],[Column8]]), "", node_raw[[#This Row],[Column8]]/100)</f>
        <v/>
      </c>
      <c r="L95" s="85" t="str">
        <f>IF(ISNONTEXT(node_raw[[#This Row],[Column9]]), "", node_raw[[#This Row],[Column9]]/1)</f>
        <v/>
      </c>
      <c r="M95" s="86" t="str">
        <f>IF(ISNONTEXT(node_raw[[#This Row],[Column10]]), "", node_raw[[#This Row],[Column10]]/1)</f>
        <v/>
      </c>
    </row>
    <row r="96" spans="2:13" ht="15.75" customHeight="1" x14ac:dyDescent="0.25">
      <c r="B96" s="32" t="str">
        <f>IF(ISNONTEXT(node_raw[[#This Row],[Column1]]), "", node_raw[[#This Row],[Column1]])</f>
        <v/>
      </c>
      <c r="C96" s="29" t="str">
        <f>IF(ISNONTEXT(node_raw[[#This Row],[Column2]]), "", node_raw[[#This Row],[Column2]])</f>
        <v/>
      </c>
      <c r="D96" s="62" t="str">
        <f>IF(ISNUMBER(node_raw[[#This Row],[Column3]]), node_raw[[#This Row],[Column3]],"")</f>
        <v/>
      </c>
      <c r="E96" s="65" t="str">
        <f>IF(ISNUMBER(node_raw[[#This Row],[Column4]]), node_raw[[#This Row],[Column4]]/1048576,"")</f>
        <v/>
      </c>
      <c r="F96" s="91" t="str">
        <f>IF(ISNUMBER(node_raw[[#This Row],[Column5]]), node_raw[[#This Row],[Column5]],"")</f>
        <v/>
      </c>
      <c r="G96" s="80" t="str">
        <f t="shared" si="2"/>
        <v/>
      </c>
      <c r="H96" s="81" t="str">
        <f>IF(ISNUMBER(node_raw[[#This Row],[Column6]]), node_raw[[#This Row],[Column6]]/1048576,"")</f>
        <v/>
      </c>
      <c r="I96" s="82" t="str">
        <f t="shared" si="3"/>
        <v/>
      </c>
      <c r="J96" s="83" t="str">
        <f>IF(ISNONTEXT(node_raw[[#This Row],[Column7]]), "", node_raw[[#This Row],[Column7]]/100)</f>
        <v/>
      </c>
      <c r="K96" s="84" t="str">
        <f>IF(ISNONTEXT(node_raw[[#This Row],[Column8]]), "", node_raw[[#This Row],[Column8]]/100)</f>
        <v/>
      </c>
      <c r="L96" s="85" t="str">
        <f>IF(ISNONTEXT(node_raw[[#This Row],[Column9]]), "", node_raw[[#This Row],[Column9]]/1)</f>
        <v/>
      </c>
      <c r="M96" s="86" t="str">
        <f>IF(ISNONTEXT(node_raw[[#This Row],[Column10]]), "", node_raw[[#This Row],[Column10]]/1)</f>
        <v/>
      </c>
    </row>
    <row r="97" spans="2:13" ht="15.75" customHeight="1" x14ac:dyDescent="0.25">
      <c r="B97" s="32" t="str">
        <f>IF(ISNONTEXT(node_raw[[#This Row],[Column1]]), "", node_raw[[#This Row],[Column1]])</f>
        <v/>
      </c>
      <c r="C97" s="29" t="str">
        <f>IF(ISNONTEXT(node_raw[[#This Row],[Column2]]), "", node_raw[[#This Row],[Column2]])</f>
        <v/>
      </c>
      <c r="D97" s="62" t="str">
        <f>IF(ISNUMBER(node_raw[[#This Row],[Column3]]), node_raw[[#This Row],[Column3]],"")</f>
        <v/>
      </c>
      <c r="E97" s="65" t="str">
        <f>IF(ISNUMBER(node_raw[[#This Row],[Column4]]), node_raw[[#This Row],[Column4]]/1048576,"")</f>
        <v/>
      </c>
      <c r="F97" s="91" t="str">
        <f>IF(ISNUMBER(node_raw[[#This Row],[Column5]]), node_raw[[#This Row],[Column5]],"")</f>
        <v/>
      </c>
      <c r="G97" s="80" t="str">
        <f t="shared" si="2"/>
        <v/>
      </c>
      <c r="H97" s="81" t="str">
        <f>IF(ISNUMBER(node_raw[[#This Row],[Column6]]), node_raw[[#This Row],[Column6]]/1048576,"")</f>
        <v/>
      </c>
      <c r="I97" s="82" t="str">
        <f t="shared" si="3"/>
        <v/>
      </c>
      <c r="J97" s="83" t="str">
        <f>IF(ISNONTEXT(node_raw[[#This Row],[Column7]]), "", node_raw[[#This Row],[Column7]]/100)</f>
        <v/>
      </c>
      <c r="K97" s="84" t="str">
        <f>IF(ISNONTEXT(node_raw[[#This Row],[Column8]]), "", node_raw[[#This Row],[Column8]]/100)</f>
        <v/>
      </c>
      <c r="L97" s="85" t="str">
        <f>IF(ISNONTEXT(node_raw[[#This Row],[Column9]]), "", node_raw[[#This Row],[Column9]]/1)</f>
        <v/>
      </c>
      <c r="M97" s="86" t="str">
        <f>IF(ISNONTEXT(node_raw[[#This Row],[Column10]]), "", node_raw[[#This Row],[Column10]]/1)</f>
        <v/>
      </c>
    </row>
    <row r="98" spans="2:13" ht="15.75" customHeight="1" x14ac:dyDescent="0.25">
      <c r="B98" s="32" t="str">
        <f>IF(ISNONTEXT(node_raw[[#This Row],[Column1]]), "", node_raw[[#This Row],[Column1]])</f>
        <v/>
      </c>
      <c r="C98" s="29" t="str">
        <f>IF(ISNONTEXT(node_raw[[#This Row],[Column2]]), "", node_raw[[#This Row],[Column2]])</f>
        <v/>
      </c>
      <c r="D98" s="62" t="str">
        <f>IF(ISNUMBER(node_raw[[#This Row],[Column3]]), node_raw[[#This Row],[Column3]],"")</f>
        <v/>
      </c>
      <c r="E98" s="65" t="str">
        <f>IF(ISNUMBER(node_raw[[#This Row],[Column4]]), node_raw[[#This Row],[Column4]]/1048576,"")</f>
        <v/>
      </c>
      <c r="F98" s="91" t="str">
        <f>IF(ISNUMBER(node_raw[[#This Row],[Column5]]), node_raw[[#This Row],[Column5]],"")</f>
        <v/>
      </c>
      <c r="G98" s="80" t="str">
        <f t="shared" si="2"/>
        <v/>
      </c>
      <c r="H98" s="81" t="str">
        <f>IF(ISNUMBER(node_raw[[#This Row],[Column6]]), node_raw[[#This Row],[Column6]]/1048576,"")</f>
        <v/>
      </c>
      <c r="I98" s="82" t="str">
        <f t="shared" si="3"/>
        <v/>
      </c>
      <c r="J98" s="83" t="str">
        <f>IF(ISNONTEXT(node_raw[[#This Row],[Column7]]), "", node_raw[[#This Row],[Column7]]/100)</f>
        <v/>
      </c>
      <c r="K98" s="84" t="str">
        <f>IF(ISNONTEXT(node_raw[[#This Row],[Column8]]), "", node_raw[[#This Row],[Column8]]/100)</f>
        <v/>
      </c>
      <c r="L98" s="85" t="str">
        <f>IF(ISNONTEXT(node_raw[[#This Row],[Column9]]), "", node_raw[[#This Row],[Column9]]/1)</f>
        <v/>
      </c>
      <c r="M98" s="86" t="str">
        <f>IF(ISNONTEXT(node_raw[[#This Row],[Column10]]), "", node_raw[[#This Row],[Column10]]/1)</f>
        <v/>
      </c>
    </row>
    <row r="99" spans="2:13" ht="15.75" customHeight="1" x14ac:dyDescent="0.25">
      <c r="B99" s="32" t="str">
        <f>IF(ISNONTEXT(node_raw[[#This Row],[Column1]]), "", node_raw[[#This Row],[Column1]])</f>
        <v/>
      </c>
      <c r="C99" s="29" t="str">
        <f>IF(ISNONTEXT(node_raw[[#This Row],[Column2]]), "", node_raw[[#This Row],[Column2]])</f>
        <v/>
      </c>
      <c r="D99" s="62" t="str">
        <f>IF(ISNUMBER(node_raw[[#This Row],[Column3]]), node_raw[[#This Row],[Column3]],"")</f>
        <v/>
      </c>
      <c r="E99" s="65" t="str">
        <f>IF(ISNUMBER(node_raw[[#This Row],[Column4]]), node_raw[[#This Row],[Column4]]/1048576,"")</f>
        <v/>
      </c>
      <c r="F99" s="91" t="str">
        <f>IF(ISNUMBER(node_raw[[#This Row],[Column5]]), node_raw[[#This Row],[Column5]],"")</f>
        <v/>
      </c>
      <c r="G99" s="80" t="str">
        <f t="shared" si="2"/>
        <v/>
      </c>
      <c r="H99" s="81" t="str">
        <f>IF(ISNUMBER(node_raw[[#This Row],[Column6]]), node_raw[[#This Row],[Column6]]/1048576,"")</f>
        <v/>
      </c>
      <c r="I99" s="82" t="str">
        <f t="shared" si="3"/>
        <v/>
      </c>
      <c r="J99" s="83" t="str">
        <f>IF(ISNONTEXT(node_raw[[#This Row],[Column7]]), "", node_raw[[#This Row],[Column7]]/100)</f>
        <v/>
      </c>
      <c r="K99" s="84" t="str">
        <f>IF(ISNONTEXT(node_raw[[#This Row],[Column8]]), "", node_raw[[#This Row],[Column8]]/100)</f>
        <v/>
      </c>
      <c r="L99" s="85" t="str">
        <f>IF(ISNONTEXT(node_raw[[#This Row],[Column9]]), "", node_raw[[#This Row],[Column9]]/1)</f>
        <v/>
      </c>
      <c r="M99" s="86" t="str">
        <f>IF(ISNONTEXT(node_raw[[#This Row],[Column10]]), "", node_raw[[#This Row],[Column10]]/1)</f>
        <v/>
      </c>
    </row>
    <row r="100" spans="2:13" ht="15.75" customHeight="1" x14ac:dyDescent="0.25">
      <c r="B100" s="32" t="str">
        <f>IF(ISNONTEXT(node_raw[[#This Row],[Column1]]), "", node_raw[[#This Row],[Column1]])</f>
        <v/>
      </c>
      <c r="C100" s="29" t="str">
        <f>IF(ISNONTEXT(node_raw[[#This Row],[Column2]]), "", node_raw[[#This Row],[Column2]])</f>
        <v/>
      </c>
      <c r="D100" s="62" t="str">
        <f>IF(ISNUMBER(node_raw[[#This Row],[Column3]]), node_raw[[#This Row],[Column3]],"")</f>
        <v/>
      </c>
      <c r="E100" s="65" t="str">
        <f>IF(ISNUMBER(node_raw[[#This Row],[Column4]]), node_raw[[#This Row],[Column4]]/1048576,"")</f>
        <v/>
      </c>
      <c r="F100" s="91" t="str">
        <f>IF(ISNUMBER(node_raw[[#This Row],[Column5]]), node_raw[[#This Row],[Column5]],"")</f>
        <v/>
      </c>
      <c r="G100" s="80" t="str">
        <f t="shared" si="2"/>
        <v/>
      </c>
      <c r="H100" s="81" t="str">
        <f>IF(ISNUMBER(node_raw[[#This Row],[Column6]]), node_raw[[#This Row],[Column6]]/1048576,"")</f>
        <v/>
      </c>
      <c r="I100" s="82" t="str">
        <f t="shared" si="3"/>
        <v/>
      </c>
      <c r="J100" s="83" t="str">
        <f>IF(ISNONTEXT(node_raw[[#This Row],[Column7]]), "", node_raw[[#This Row],[Column7]]/100)</f>
        <v/>
      </c>
      <c r="K100" s="84" t="str">
        <f>IF(ISNONTEXT(node_raw[[#This Row],[Column8]]), "", node_raw[[#This Row],[Column8]]/100)</f>
        <v/>
      </c>
      <c r="L100" s="85" t="str">
        <f>IF(ISNONTEXT(node_raw[[#This Row],[Column9]]), "", node_raw[[#This Row],[Column9]]/1)</f>
        <v/>
      </c>
      <c r="M100" s="86" t="str">
        <f>IF(ISNONTEXT(node_raw[[#This Row],[Column10]]), "", node_raw[[#This Row],[Column10]]/1)</f>
        <v/>
      </c>
    </row>
    <row r="101" spans="2:13" ht="15.75" customHeight="1" x14ac:dyDescent="0.25">
      <c r="B101" s="32" t="str">
        <f>IF(ISNONTEXT(node_raw[[#This Row],[Column1]]), "", node_raw[[#This Row],[Column1]])</f>
        <v/>
      </c>
      <c r="C101" s="29" t="str">
        <f>IF(ISNONTEXT(node_raw[[#This Row],[Column2]]), "", node_raw[[#This Row],[Column2]])</f>
        <v/>
      </c>
      <c r="D101" s="62" t="str">
        <f>IF(ISNUMBER(node_raw[[#This Row],[Column3]]), node_raw[[#This Row],[Column3]],"")</f>
        <v/>
      </c>
      <c r="E101" s="65" t="str">
        <f>IF(ISNUMBER(node_raw[[#This Row],[Column4]]), node_raw[[#This Row],[Column4]]/1048576,"")</f>
        <v/>
      </c>
      <c r="F101" s="91" t="str">
        <f>IF(ISNUMBER(node_raw[[#This Row],[Column5]]), node_raw[[#This Row],[Column5]],"")</f>
        <v/>
      </c>
      <c r="G101" s="80" t="str">
        <f t="shared" si="2"/>
        <v/>
      </c>
      <c r="H101" s="81" t="str">
        <f>IF(ISNUMBER(node_raw[[#This Row],[Column6]]), node_raw[[#This Row],[Column6]]/1048576,"")</f>
        <v/>
      </c>
      <c r="I101" s="82" t="str">
        <f t="shared" si="3"/>
        <v/>
      </c>
      <c r="J101" s="83" t="str">
        <f>IF(ISNONTEXT(node_raw[[#This Row],[Column7]]), "", node_raw[[#This Row],[Column7]]/100)</f>
        <v/>
      </c>
      <c r="K101" s="84" t="str">
        <f>IF(ISNONTEXT(node_raw[[#This Row],[Column8]]), "", node_raw[[#This Row],[Column8]]/100)</f>
        <v/>
      </c>
      <c r="L101" s="85" t="str">
        <f>IF(ISNONTEXT(node_raw[[#This Row],[Column9]]), "", node_raw[[#This Row],[Column9]]/1)</f>
        <v/>
      </c>
      <c r="M101" s="86" t="str">
        <f>IF(ISNONTEXT(node_raw[[#This Row],[Column10]]), "", node_raw[[#This Row],[Column10]]/1)</f>
        <v/>
      </c>
    </row>
    <row r="102" spans="2:13" ht="15.75" customHeight="1" x14ac:dyDescent="0.25">
      <c r="B102" s="32" t="str">
        <f>IF(ISNONTEXT(node_raw[[#This Row],[Column1]]), "", node_raw[[#This Row],[Column1]])</f>
        <v/>
      </c>
      <c r="C102" s="29" t="str">
        <f>IF(ISNONTEXT(node_raw[[#This Row],[Column2]]), "", node_raw[[#This Row],[Column2]])</f>
        <v/>
      </c>
      <c r="D102" s="62" t="str">
        <f>IF(ISNUMBER(node_raw[[#This Row],[Column3]]), node_raw[[#This Row],[Column3]],"")</f>
        <v/>
      </c>
      <c r="E102" s="65" t="str">
        <f>IF(ISNUMBER(node_raw[[#This Row],[Column4]]), node_raw[[#This Row],[Column4]]/1048576,"")</f>
        <v/>
      </c>
      <c r="F102" s="91" t="str">
        <f>IF(ISNUMBER(node_raw[[#This Row],[Column5]]), node_raw[[#This Row],[Column5]],"")</f>
        <v/>
      </c>
      <c r="G102" s="80" t="str">
        <f t="shared" si="2"/>
        <v/>
      </c>
      <c r="H102" s="81" t="str">
        <f>IF(ISNUMBER(node_raw[[#This Row],[Column6]]), node_raw[[#This Row],[Column6]]/1048576,"")</f>
        <v/>
      </c>
      <c r="I102" s="82" t="str">
        <f t="shared" si="3"/>
        <v/>
      </c>
      <c r="J102" s="83" t="str">
        <f>IF(ISNONTEXT(node_raw[[#This Row],[Column7]]), "", node_raw[[#This Row],[Column7]]/100)</f>
        <v/>
      </c>
      <c r="K102" s="84" t="str">
        <f>IF(ISNONTEXT(node_raw[[#This Row],[Column8]]), "", node_raw[[#This Row],[Column8]]/100)</f>
        <v/>
      </c>
      <c r="L102" s="85" t="str">
        <f>IF(ISNONTEXT(node_raw[[#This Row],[Column9]]), "", node_raw[[#This Row],[Column9]]/1)</f>
        <v/>
      </c>
      <c r="M102" s="86" t="str">
        <f>IF(ISNONTEXT(node_raw[[#This Row],[Column10]]), "", node_raw[[#This Row],[Column10]]/1)</f>
        <v/>
      </c>
    </row>
    <row r="103" spans="2:13" ht="15.75" customHeight="1" x14ac:dyDescent="0.25">
      <c r="B103" s="32" t="str">
        <f>IF(ISNONTEXT(node_raw[[#This Row],[Column1]]), "", node_raw[[#This Row],[Column1]])</f>
        <v/>
      </c>
      <c r="C103" s="29" t="str">
        <f>IF(ISNONTEXT(node_raw[[#This Row],[Column2]]), "", node_raw[[#This Row],[Column2]])</f>
        <v/>
      </c>
      <c r="D103" s="62" t="str">
        <f>IF(ISNUMBER(node_raw[[#This Row],[Column3]]), node_raw[[#This Row],[Column3]],"")</f>
        <v/>
      </c>
      <c r="E103" s="65" t="str">
        <f>IF(ISNUMBER(node_raw[[#This Row],[Column4]]), node_raw[[#This Row],[Column4]]/1048576,"")</f>
        <v/>
      </c>
      <c r="F103" s="91" t="str">
        <f>IF(ISNUMBER(node_raw[[#This Row],[Column5]]), node_raw[[#This Row],[Column5]],"")</f>
        <v/>
      </c>
      <c r="G103" s="80" t="str">
        <f t="shared" si="2"/>
        <v/>
      </c>
      <c r="H103" s="81" t="str">
        <f>IF(ISNUMBER(node_raw[[#This Row],[Column6]]), node_raw[[#This Row],[Column6]]/1048576,"")</f>
        <v/>
      </c>
      <c r="I103" s="82" t="str">
        <f t="shared" si="3"/>
        <v/>
      </c>
      <c r="J103" s="83" t="str">
        <f>IF(ISNONTEXT(node_raw[[#This Row],[Column7]]), "", node_raw[[#This Row],[Column7]]/100)</f>
        <v/>
      </c>
      <c r="K103" s="84" t="str">
        <f>IF(ISNONTEXT(node_raw[[#This Row],[Column8]]), "", node_raw[[#This Row],[Column8]]/100)</f>
        <v/>
      </c>
      <c r="L103" s="85" t="str">
        <f>IF(ISNONTEXT(node_raw[[#This Row],[Column9]]), "", node_raw[[#This Row],[Column9]]/1)</f>
        <v/>
      </c>
      <c r="M103" s="86" t="str">
        <f>IF(ISNONTEXT(node_raw[[#This Row],[Column10]]), "", node_raw[[#This Row],[Column10]]/1)</f>
        <v/>
      </c>
    </row>
    <row r="104" spans="2:13" ht="15.75" customHeight="1" x14ac:dyDescent="0.25">
      <c r="B104" s="32" t="str">
        <f>IF(ISNONTEXT(node_raw[[#This Row],[Column1]]), "", node_raw[[#This Row],[Column1]])</f>
        <v/>
      </c>
      <c r="C104" s="29" t="str">
        <f>IF(ISNONTEXT(node_raw[[#This Row],[Column2]]), "", node_raw[[#This Row],[Column2]])</f>
        <v/>
      </c>
      <c r="D104" s="62" t="str">
        <f>IF(ISNUMBER(node_raw[[#This Row],[Column3]]), node_raw[[#This Row],[Column3]],"")</f>
        <v/>
      </c>
      <c r="E104" s="65" t="str">
        <f>IF(ISNUMBER(node_raw[[#This Row],[Column4]]), node_raw[[#This Row],[Column4]]/1048576,"")</f>
        <v/>
      </c>
      <c r="F104" s="91" t="str">
        <f>IF(ISNUMBER(node_raw[[#This Row],[Column5]]), node_raw[[#This Row],[Column5]],"")</f>
        <v/>
      </c>
      <c r="G104" s="80" t="str">
        <f t="shared" si="2"/>
        <v/>
      </c>
      <c r="H104" s="81" t="str">
        <f>IF(ISNUMBER(node_raw[[#This Row],[Column6]]), node_raw[[#This Row],[Column6]]/1048576,"")</f>
        <v/>
      </c>
      <c r="I104" s="82" t="str">
        <f t="shared" si="3"/>
        <v/>
      </c>
      <c r="J104" s="83" t="str">
        <f>IF(ISNONTEXT(node_raw[[#This Row],[Column7]]), "", node_raw[[#This Row],[Column7]]/100)</f>
        <v/>
      </c>
      <c r="K104" s="84" t="str">
        <f>IF(ISNONTEXT(node_raw[[#This Row],[Column8]]), "", node_raw[[#This Row],[Column8]]/100)</f>
        <v/>
      </c>
      <c r="L104" s="85" t="str">
        <f>IF(ISNONTEXT(node_raw[[#This Row],[Column9]]), "", node_raw[[#This Row],[Column9]]/1)</f>
        <v/>
      </c>
      <c r="M104" s="86" t="str">
        <f>IF(ISNONTEXT(node_raw[[#This Row],[Column10]]), "", node_raw[[#This Row],[Column10]]/1)</f>
        <v/>
      </c>
    </row>
    <row r="105" spans="2:13" ht="15.75" customHeight="1" x14ac:dyDescent="0.25">
      <c r="B105" s="32" t="str">
        <f>IF(ISNONTEXT(node_raw[[#This Row],[Column1]]), "", node_raw[[#This Row],[Column1]])</f>
        <v/>
      </c>
      <c r="C105" s="29" t="str">
        <f>IF(ISNONTEXT(node_raw[[#This Row],[Column2]]), "", node_raw[[#This Row],[Column2]])</f>
        <v/>
      </c>
      <c r="D105" s="62" t="str">
        <f>IF(ISNUMBER(node_raw[[#This Row],[Column3]]), node_raw[[#This Row],[Column3]],"")</f>
        <v/>
      </c>
      <c r="E105" s="65" t="str">
        <f>IF(ISNUMBER(node_raw[[#This Row],[Column4]]), node_raw[[#This Row],[Column4]]/1048576,"")</f>
        <v/>
      </c>
      <c r="F105" s="91" t="str">
        <f>IF(ISNUMBER(node_raw[[#This Row],[Column5]]), node_raw[[#This Row],[Column5]],"")</f>
        <v/>
      </c>
      <c r="G105" s="80" t="str">
        <f t="shared" si="2"/>
        <v/>
      </c>
      <c r="H105" s="81" t="str">
        <f>IF(ISNUMBER(node_raw[[#This Row],[Column6]]), node_raw[[#This Row],[Column6]]/1048576,"")</f>
        <v/>
      </c>
      <c r="I105" s="82" t="str">
        <f t="shared" si="3"/>
        <v/>
      </c>
      <c r="J105" s="83" t="str">
        <f>IF(ISNONTEXT(node_raw[[#This Row],[Column7]]), "", node_raw[[#This Row],[Column7]]/100)</f>
        <v/>
      </c>
      <c r="K105" s="84" t="str">
        <f>IF(ISNONTEXT(node_raw[[#This Row],[Column8]]), "", node_raw[[#This Row],[Column8]]/100)</f>
        <v/>
      </c>
      <c r="L105" s="85" t="str">
        <f>IF(ISNONTEXT(node_raw[[#This Row],[Column9]]), "", node_raw[[#This Row],[Column9]]/1)</f>
        <v/>
      </c>
      <c r="M105" s="86" t="str">
        <f>IF(ISNONTEXT(node_raw[[#This Row],[Column10]]), "", node_raw[[#This Row],[Column10]]/1)</f>
        <v/>
      </c>
    </row>
    <row r="106" spans="2:13" ht="15.75" customHeight="1" x14ac:dyDescent="0.25">
      <c r="B106" s="32" t="str">
        <f>IF(ISNONTEXT(node_raw[[#This Row],[Column1]]), "", node_raw[[#This Row],[Column1]])</f>
        <v/>
      </c>
      <c r="C106" s="29" t="str">
        <f>IF(ISNONTEXT(node_raw[[#This Row],[Column2]]), "", node_raw[[#This Row],[Column2]])</f>
        <v/>
      </c>
      <c r="D106" s="62" t="str">
        <f>IF(ISNUMBER(node_raw[[#This Row],[Column3]]), node_raw[[#This Row],[Column3]],"")</f>
        <v/>
      </c>
      <c r="E106" s="65" t="str">
        <f>IF(ISNUMBER(node_raw[[#This Row],[Column4]]), node_raw[[#This Row],[Column4]]/1048576,"")</f>
        <v/>
      </c>
      <c r="F106" s="91" t="str">
        <f>IF(ISNUMBER(node_raw[[#This Row],[Column5]]), node_raw[[#This Row],[Column5]],"")</f>
        <v/>
      </c>
      <c r="G106" s="80" t="str">
        <f t="shared" si="2"/>
        <v/>
      </c>
      <c r="H106" s="81" t="str">
        <f>IF(ISNUMBER(node_raw[[#This Row],[Column6]]), node_raw[[#This Row],[Column6]]/1048576,"")</f>
        <v/>
      </c>
      <c r="I106" s="82" t="str">
        <f t="shared" si="3"/>
        <v/>
      </c>
      <c r="J106" s="83" t="str">
        <f>IF(ISNONTEXT(node_raw[[#This Row],[Column7]]), "", node_raw[[#This Row],[Column7]]/100)</f>
        <v/>
      </c>
      <c r="K106" s="84" t="str">
        <f>IF(ISNONTEXT(node_raw[[#This Row],[Column8]]), "", node_raw[[#This Row],[Column8]]/100)</f>
        <v/>
      </c>
      <c r="L106" s="85" t="str">
        <f>IF(ISNONTEXT(node_raw[[#This Row],[Column9]]), "", node_raw[[#This Row],[Column9]]/1)</f>
        <v/>
      </c>
      <c r="M106" s="86" t="str">
        <f>IF(ISNONTEXT(node_raw[[#This Row],[Column10]]), "", node_raw[[#This Row],[Column10]]/1)</f>
        <v/>
      </c>
    </row>
    <row r="107" spans="2:13" ht="15.75" customHeight="1" x14ac:dyDescent="0.25">
      <c r="B107" s="32" t="str">
        <f>IF(ISNONTEXT(node_raw[[#This Row],[Column1]]), "", node_raw[[#This Row],[Column1]])</f>
        <v/>
      </c>
      <c r="C107" s="29" t="str">
        <f>IF(ISNONTEXT(node_raw[[#This Row],[Column2]]), "", node_raw[[#This Row],[Column2]])</f>
        <v/>
      </c>
      <c r="D107" s="62" t="str">
        <f>IF(ISNUMBER(node_raw[[#This Row],[Column3]]), node_raw[[#This Row],[Column3]],"")</f>
        <v/>
      </c>
      <c r="E107" s="65" t="str">
        <f>IF(ISNUMBER(node_raw[[#This Row],[Column4]]), node_raw[[#This Row],[Column4]]/1048576,"")</f>
        <v/>
      </c>
      <c r="F107" s="91" t="str">
        <f>IF(ISNUMBER(node_raw[[#This Row],[Column5]]), node_raw[[#This Row],[Column5]],"")</f>
        <v/>
      </c>
      <c r="G107" s="80" t="str">
        <f t="shared" si="2"/>
        <v/>
      </c>
      <c r="H107" s="81" t="str">
        <f>IF(ISNUMBER(node_raw[[#This Row],[Column6]]), node_raw[[#This Row],[Column6]]/1048576,"")</f>
        <v/>
      </c>
      <c r="I107" s="82" t="str">
        <f t="shared" si="3"/>
        <v/>
      </c>
      <c r="J107" s="83" t="str">
        <f>IF(ISNONTEXT(node_raw[[#This Row],[Column7]]), "", node_raw[[#This Row],[Column7]]/100)</f>
        <v/>
      </c>
      <c r="K107" s="84" t="str">
        <f>IF(ISNONTEXT(node_raw[[#This Row],[Column8]]), "", node_raw[[#This Row],[Column8]]/100)</f>
        <v/>
      </c>
      <c r="L107" s="85" t="str">
        <f>IF(ISNONTEXT(node_raw[[#This Row],[Column9]]), "", node_raw[[#This Row],[Column9]]/1)</f>
        <v/>
      </c>
      <c r="M107" s="86" t="str">
        <f>IF(ISNONTEXT(node_raw[[#This Row],[Column10]]), "", node_raw[[#This Row],[Column10]]/1)</f>
        <v/>
      </c>
    </row>
    <row r="108" spans="2:13" ht="15.75" customHeight="1" x14ac:dyDescent="0.25">
      <c r="B108" s="32" t="str">
        <f>IF(ISNONTEXT(node_raw[[#This Row],[Column1]]), "", node_raw[[#This Row],[Column1]])</f>
        <v/>
      </c>
      <c r="C108" s="29" t="str">
        <f>IF(ISNONTEXT(node_raw[[#This Row],[Column2]]), "", node_raw[[#This Row],[Column2]])</f>
        <v/>
      </c>
      <c r="D108" s="62" t="str">
        <f>IF(ISNUMBER(node_raw[[#This Row],[Column3]]), node_raw[[#This Row],[Column3]],"")</f>
        <v/>
      </c>
      <c r="E108" s="65" t="str">
        <f>IF(ISNUMBER(node_raw[[#This Row],[Column4]]), node_raw[[#This Row],[Column4]]/1048576,"")</f>
        <v/>
      </c>
      <c r="F108" s="91" t="str">
        <f>IF(ISNUMBER(node_raw[[#This Row],[Column5]]), node_raw[[#This Row],[Column5]],"")</f>
        <v/>
      </c>
      <c r="G108" s="80" t="str">
        <f t="shared" si="2"/>
        <v/>
      </c>
      <c r="H108" s="81" t="str">
        <f>IF(ISNUMBER(node_raw[[#This Row],[Column6]]), node_raw[[#This Row],[Column6]]/1048576,"")</f>
        <v/>
      </c>
      <c r="I108" s="82" t="str">
        <f t="shared" si="3"/>
        <v/>
      </c>
      <c r="J108" s="83" t="str">
        <f>IF(ISNONTEXT(node_raw[[#This Row],[Column7]]), "", node_raw[[#This Row],[Column7]]/100)</f>
        <v/>
      </c>
      <c r="K108" s="84" t="str">
        <f>IF(ISNONTEXT(node_raw[[#This Row],[Column8]]), "", node_raw[[#This Row],[Column8]]/100)</f>
        <v/>
      </c>
      <c r="L108" s="85" t="str">
        <f>IF(ISNONTEXT(node_raw[[#This Row],[Column9]]), "", node_raw[[#This Row],[Column9]]/1)</f>
        <v/>
      </c>
      <c r="M108" s="86" t="str">
        <f>IF(ISNONTEXT(node_raw[[#This Row],[Column10]]), "", node_raw[[#This Row],[Column10]]/1)</f>
        <v/>
      </c>
    </row>
    <row r="109" spans="2:13" ht="15.75" customHeight="1" x14ac:dyDescent="0.25">
      <c r="B109" s="32" t="str">
        <f>IF(ISNONTEXT(node_raw[[#This Row],[Column1]]), "", node_raw[[#This Row],[Column1]])</f>
        <v/>
      </c>
      <c r="C109" s="29" t="str">
        <f>IF(ISNONTEXT(node_raw[[#This Row],[Column2]]), "", node_raw[[#This Row],[Column2]])</f>
        <v/>
      </c>
      <c r="D109" s="62" t="str">
        <f>IF(ISNUMBER(node_raw[[#This Row],[Column3]]), node_raw[[#This Row],[Column3]],"")</f>
        <v/>
      </c>
      <c r="E109" s="65" t="str">
        <f>IF(ISNUMBER(node_raw[[#This Row],[Column4]]), node_raw[[#This Row],[Column4]]/1048576,"")</f>
        <v/>
      </c>
      <c r="F109" s="91" t="str">
        <f>IF(ISNUMBER(node_raw[[#This Row],[Column5]]), node_raw[[#This Row],[Column5]],"")</f>
        <v/>
      </c>
      <c r="G109" s="80" t="str">
        <f t="shared" si="2"/>
        <v/>
      </c>
      <c r="H109" s="81" t="str">
        <f>IF(ISNUMBER(node_raw[[#This Row],[Column6]]), node_raw[[#This Row],[Column6]]/1048576,"")</f>
        <v/>
      </c>
      <c r="I109" s="82" t="str">
        <f t="shared" si="3"/>
        <v/>
      </c>
      <c r="J109" s="83" t="str">
        <f>IF(ISNONTEXT(node_raw[[#This Row],[Column7]]), "", node_raw[[#This Row],[Column7]]/100)</f>
        <v/>
      </c>
      <c r="K109" s="84" t="str">
        <f>IF(ISNONTEXT(node_raw[[#This Row],[Column8]]), "", node_raw[[#This Row],[Column8]]/100)</f>
        <v/>
      </c>
      <c r="L109" s="85" t="str">
        <f>IF(ISNONTEXT(node_raw[[#This Row],[Column9]]), "", node_raw[[#This Row],[Column9]]/1)</f>
        <v/>
      </c>
      <c r="M109" s="86" t="str">
        <f>IF(ISNONTEXT(node_raw[[#This Row],[Column10]]), "", node_raw[[#This Row],[Column10]]/1)</f>
        <v/>
      </c>
    </row>
    <row r="110" spans="2:13" ht="15.75" customHeight="1" x14ac:dyDescent="0.25">
      <c r="B110" s="32" t="str">
        <f>IF(ISNONTEXT(node_raw[[#This Row],[Column1]]), "", node_raw[[#This Row],[Column1]])</f>
        <v/>
      </c>
      <c r="C110" s="29" t="str">
        <f>IF(ISNONTEXT(node_raw[[#This Row],[Column2]]), "", node_raw[[#This Row],[Column2]])</f>
        <v/>
      </c>
      <c r="D110" s="62" t="str">
        <f>IF(ISNUMBER(node_raw[[#This Row],[Column3]]), node_raw[[#This Row],[Column3]],"")</f>
        <v/>
      </c>
      <c r="E110" s="65" t="str">
        <f>IF(ISNUMBER(node_raw[[#This Row],[Column4]]), node_raw[[#This Row],[Column4]]/1048576,"")</f>
        <v/>
      </c>
      <c r="F110" s="91" t="str">
        <f>IF(ISNUMBER(node_raw[[#This Row],[Column5]]), node_raw[[#This Row],[Column5]],"")</f>
        <v/>
      </c>
      <c r="G110" s="80" t="str">
        <f t="shared" si="2"/>
        <v/>
      </c>
      <c r="H110" s="81" t="str">
        <f>IF(ISNUMBER(node_raw[[#This Row],[Column6]]), node_raw[[#This Row],[Column6]]/1048576,"")</f>
        <v/>
      </c>
      <c r="I110" s="82" t="str">
        <f t="shared" si="3"/>
        <v/>
      </c>
      <c r="J110" s="83" t="str">
        <f>IF(ISNONTEXT(node_raw[[#This Row],[Column7]]), "", node_raw[[#This Row],[Column7]]/100)</f>
        <v/>
      </c>
      <c r="K110" s="84" t="str">
        <f>IF(ISNONTEXT(node_raw[[#This Row],[Column8]]), "", node_raw[[#This Row],[Column8]]/100)</f>
        <v/>
      </c>
      <c r="L110" s="85" t="str">
        <f>IF(ISNONTEXT(node_raw[[#This Row],[Column9]]), "", node_raw[[#This Row],[Column9]]/1)</f>
        <v/>
      </c>
      <c r="M110" s="86" t="str">
        <f>IF(ISNONTEXT(node_raw[[#This Row],[Column10]]), "", node_raw[[#This Row],[Column10]]/1)</f>
        <v/>
      </c>
    </row>
    <row r="111" spans="2:13" ht="15.75" customHeight="1" x14ac:dyDescent="0.25">
      <c r="B111" s="32" t="str">
        <f>IF(ISNONTEXT(node_raw[[#This Row],[Column1]]), "", node_raw[[#This Row],[Column1]])</f>
        <v/>
      </c>
      <c r="C111" s="29" t="str">
        <f>IF(ISNONTEXT(node_raw[[#This Row],[Column2]]), "", node_raw[[#This Row],[Column2]])</f>
        <v/>
      </c>
      <c r="D111" s="62" t="str">
        <f>IF(ISNUMBER(node_raw[[#This Row],[Column3]]), node_raw[[#This Row],[Column3]],"")</f>
        <v/>
      </c>
      <c r="E111" s="65" t="str">
        <f>IF(ISNUMBER(node_raw[[#This Row],[Column4]]), node_raw[[#This Row],[Column4]]/1048576,"")</f>
        <v/>
      </c>
      <c r="F111" s="91" t="str">
        <f>IF(ISNUMBER(node_raw[[#This Row],[Column5]]), node_raw[[#This Row],[Column5]],"")</f>
        <v/>
      </c>
      <c r="G111" s="80" t="str">
        <f t="shared" si="2"/>
        <v/>
      </c>
      <c r="H111" s="81" t="str">
        <f>IF(ISNUMBER(node_raw[[#This Row],[Column6]]), node_raw[[#This Row],[Column6]]/1048576,"")</f>
        <v/>
      </c>
      <c r="I111" s="82" t="str">
        <f t="shared" si="3"/>
        <v/>
      </c>
      <c r="J111" s="83" t="str">
        <f>IF(ISNONTEXT(node_raw[[#This Row],[Column7]]), "", node_raw[[#This Row],[Column7]]/100)</f>
        <v/>
      </c>
      <c r="K111" s="84" t="str">
        <f>IF(ISNONTEXT(node_raw[[#This Row],[Column8]]), "", node_raw[[#This Row],[Column8]]/100)</f>
        <v/>
      </c>
      <c r="L111" s="85" t="str">
        <f>IF(ISNONTEXT(node_raw[[#This Row],[Column9]]), "", node_raw[[#This Row],[Column9]]/1)</f>
        <v/>
      </c>
      <c r="M111" s="86" t="str">
        <f>IF(ISNONTEXT(node_raw[[#This Row],[Column10]]), "", node_raw[[#This Row],[Column10]]/1)</f>
        <v/>
      </c>
    </row>
    <row r="112" spans="2:13" ht="15.75" customHeight="1" x14ac:dyDescent="0.25">
      <c r="B112" s="32" t="str">
        <f>IF(ISNONTEXT(node_raw[[#This Row],[Column1]]), "", node_raw[[#This Row],[Column1]])</f>
        <v/>
      </c>
      <c r="C112" s="29" t="str">
        <f>IF(ISNONTEXT(node_raw[[#This Row],[Column2]]), "", node_raw[[#This Row],[Column2]])</f>
        <v/>
      </c>
      <c r="D112" s="62" t="str">
        <f>IF(ISNUMBER(node_raw[[#This Row],[Column3]]), node_raw[[#This Row],[Column3]],"")</f>
        <v/>
      </c>
      <c r="E112" s="65" t="str">
        <f>IF(ISNUMBER(node_raw[[#This Row],[Column4]]), node_raw[[#This Row],[Column4]]/1048576,"")</f>
        <v/>
      </c>
      <c r="F112" s="91" t="str">
        <f>IF(ISNUMBER(node_raw[[#This Row],[Column5]]), node_raw[[#This Row],[Column5]],"")</f>
        <v/>
      </c>
      <c r="G112" s="80" t="str">
        <f t="shared" si="2"/>
        <v/>
      </c>
      <c r="H112" s="81" t="str">
        <f>IF(ISNUMBER(node_raw[[#This Row],[Column6]]), node_raw[[#This Row],[Column6]]/1048576,"")</f>
        <v/>
      </c>
      <c r="I112" s="82" t="str">
        <f t="shared" si="3"/>
        <v/>
      </c>
      <c r="J112" s="83" t="str">
        <f>IF(ISNONTEXT(node_raw[[#This Row],[Column7]]), "", node_raw[[#This Row],[Column7]]/100)</f>
        <v/>
      </c>
      <c r="K112" s="84" t="str">
        <f>IF(ISNONTEXT(node_raw[[#This Row],[Column8]]), "", node_raw[[#This Row],[Column8]]/100)</f>
        <v/>
      </c>
      <c r="L112" s="85" t="str">
        <f>IF(ISNONTEXT(node_raw[[#This Row],[Column9]]), "", node_raw[[#This Row],[Column9]]/1)</f>
        <v/>
      </c>
      <c r="M112" s="86" t="str">
        <f>IF(ISNONTEXT(node_raw[[#This Row],[Column10]]), "", node_raw[[#This Row],[Column10]]/1)</f>
        <v/>
      </c>
    </row>
    <row r="113" spans="2:13" ht="15.75" customHeight="1" x14ac:dyDescent="0.25">
      <c r="B113" s="32" t="str">
        <f>IF(ISNONTEXT(node_raw[[#This Row],[Column1]]), "", node_raw[[#This Row],[Column1]])</f>
        <v/>
      </c>
      <c r="C113" s="29" t="str">
        <f>IF(ISNONTEXT(node_raw[[#This Row],[Column2]]), "", node_raw[[#This Row],[Column2]])</f>
        <v/>
      </c>
      <c r="D113" s="62" t="str">
        <f>IF(ISNUMBER(node_raw[[#This Row],[Column3]]), node_raw[[#This Row],[Column3]],"")</f>
        <v/>
      </c>
      <c r="E113" s="65" t="str">
        <f>IF(ISNUMBER(node_raw[[#This Row],[Column4]]), node_raw[[#This Row],[Column4]]/1048576,"")</f>
        <v/>
      </c>
      <c r="F113" s="91" t="str">
        <f>IF(ISNUMBER(node_raw[[#This Row],[Column5]]), node_raw[[#This Row],[Column5]],"")</f>
        <v/>
      </c>
      <c r="G113" s="80" t="str">
        <f t="shared" si="2"/>
        <v/>
      </c>
      <c r="H113" s="81" t="str">
        <f>IF(ISNUMBER(node_raw[[#This Row],[Column6]]), node_raw[[#This Row],[Column6]]/1048576,"")</f>
        <v/>
      </c>
      <c r="I113" s="82" t="str">
        <f t="shared" si="3"/>
        <v/>
      </c>
      <c r="J113" s="83" t="str">
        <f>IF(ISNONTEXT(node_raw[[#This Row],[Column7]]), "", node_raw[[#This Row],[Column7]]/100)</f>
        <v/>
      </c>
      <c r="K113" s="84" t="str">
        <f>IF(ISNONTEXT(node_raw[[#This Row],[Column8]]), "", node_raw[[#This Row],[Column8]]/100)</f>
        <v/>
      </c>
      <c r="L113" s="85" t="str">
        <f>IF(ISNONTEXT(node_raw[[#This Row],[Column9]]), "", node_raw[[#This Row],[Column9]]/1)</f>
        <v/>
      </c>
      <c r="M113" s="86" t="str">
        <f>IF(ISNONTEXT(node_raw[[#This Row],[Column10]]), "", node_raw[[#This Row],[Column10]]/1)</f>
        <v/>
      </c>
    </row>
    <row r="114" spans="2:13" ht="15.75" customHeight="1" x14ac:dyDescent="0.25">
      <c r="B114" s="32" t="str">
        <f>IF(ISNONTEXT(node_raw[[#This Row],[Column1]]), "", node_raw[[#This Row],[Column1]])</f>
        <v/>
      </c>
      <c r="C114" s="29" t="str">
        <f>IF(ISNONTEXT(node_raw[[#This Row],[Column2]]), "", node_raw[[#This Row],[Column2]])</f>
        <v/>
      </c>
      <c r="D114" s="62" t="str">
        <f>IF(ISNUMBER(node_raw[[#This Row],[Column3]]), node_raw[[#This Row],[Column3]],"")</f>
        <v/>
      </c>
      <c r="E114" s="65" t="str">
        <f>IF(ISNUMBER(node_raw[[#This Row],[Column4]]), node_raw[[#This Row],[Column4]]/1048576,"")</f>
        <v/>
      </c>
      <c r="F114" s="91" t="str">
        <f>IF(ISNUMBER(node_raw[[#This Row],[Column5]]), node_raw[[#This Row],[Column5]],"")</f>
        <v/>
      </c>
      <c r="G114" s="80" t="str">
        <f t="shared" si="2"/>
        <v/>
      </c>
      <c r="H114" s="81" t="str">
        <f>IF(ISNUMBER(node_raw[[#This Row],[Column6]]), node_raw[[#This Row],[Column6]]/1048576,"")</f>
        <v/>
      </c>
      <c r="I114" s="82" t="str">
        <f t="shared" si="3"/>
        <v/>
      </c>
      <c r="J114" s="83" t="str">
        <f>IF(ISNONTEXT(node_raw[[#This Row],[Column7]]), "", node_raw[[#This Row],[Column7]]/100)</f>
        <v/>
      </c>
      <c r="K114" s="84" t="str">
        <f>IF(ISNONTEXT(node_raw[[#This Row],[Column8]]), "", node_raw[[#This Row],[Column8]]/100)</f>
        <v/>
      </c>
      <c r="L114" s="85" t="str">
        <f>IF(ISNONTEXT(node_raw[[#This Row],[Column9]]), "", node_raw[[#This Row],[Column9]]/1)</f>
        <v/>
      </c>
      <c r="M114" s="86" t="str">
        <f>IF(ISNONTEXT(node_raw[[#This Row],[Column10]]), "", node_raw[[#This Row],[Column10]]/1)</f>
        <v/>
      </c>
    </row>
    <row r="115" spans="2:13" ht="15.75" customHeight="1" x14ac:dyDescent="0.25">
      <c r="B115" s="32" t="str">
        <f>IF(ISNONTEXT(node_raw[[#This Row],[Column1]]), "", node_raw[[#This Row],[Column1]])</f>
        <v/>
      </c>
      <c r="C115" s="29" t="str">
        <f>IF(ISNONTEXT(node_raw[[#This Row],[Column2]]), "", node_raw[[#This Row],[Column2]])</f>
        <v/>
      </c>
      <c r="D115" s="62" t="str">
        <f>IF(ISNUMBER(node_raw[[#This Row],[Column3]]), node_raw[[#This Row],[Column3]],"")</f>
        <v/>
      </c>
      <c r="E115" s="65" t="str">
        <f>IF(ISNUMBER(node_raw[[#This Row],[Column4]]), node_raw[[#This Row],[Column4]]/1048576,"")</f>
        <v/>
      </c>
      <c r="F115" s="91" t="str">
        <f>IF(ISNUMBER(node_raw[[#This Row],[Column5]]), node_raw[[#This Row],[Column5]],"")</f>
        <v/>
      </c>
      <c r="G115" s="80" t="str">
        <f t="shared" si="2"/>
        <v/>
      </c>
      <c r="H115" s="81" t="str">
        <f>IF(ISNUMBER(node_raw[[#This Row],[Column6]]), node_raw[[#This Row],[Column6]]/1048576,"")</f>
        <v/>
      </c>
      <c r="I115" s="82" t="str">
        <f t="shared" si="3"/>
        <v/>
      </c>
      <c r="J115" s="83" t="str">
        <f>IF(ISNONTEXT(node_raw[[#This Row],[Column7]]), "", node_raw[[#This Row],[Column7]]/100)</f>
        <v/>
      </c>
      <c r="K115" s="84" t="str">
        <f>IF(ISNONTEXT(node_raw[[#This Row],[Column8]]), "", node_raw[[#This Row],[Column8]]/100)</f>
        <v/>
      </c>
      <c r="L115" s="85" t="str">
        <f>IF(ISNONTEXT(node_raw[[#This Row],[Column9]]), "", node_raw[[#This Row],[Column9]]/1)</f>
        <v/>
      </c>
      <c r="M115" s="86" t="str">
        <f>IF(ISNONTEXT(node_raw[[#This Row],[Column10]]), "", node_raw[[#This Row],[Column10]]/1)</f>
        <v/>
      </c>
    </row>
    <row r="116" spans="2:13" ht="15.75" customHeight="1" x14ac:dyDescent="0.25">
      <c r="B116" s="32" t="str">
        <f>IF(ISNONTEXT(node_raw[[#This Row],[Column1]]), "", node_raw[[#This Row],[Column1]])</f>
        <v/>
      </c>
      <c r="C116" s="29" t="str">
        <f>IF(ISNONTEXT(node_raw[[#This Row],[Column2]]), "", node_raw[[#This Row],[Column2]])</f>
        <v/>
      </c>
      <c r="D116" s="62" t="str">
        <f>IF(ISNUMBER(node_raw[[#This Row],[Column3]]), node_raw[[#This Row],[Column3]],"")</f>
        <v/>
      </c>
      <c r="E116" s="65" t="str">
        <f>IF(ISNUMBER(node_raw[[#This Row],[Column4]]), node_raw[[#This Row],[Column4]]/1048576,"")</f>
        <v/>
      </c>
      <c r="F116" s="91" t="str">
        <f>IF(ISNUMBER(node_raw[[#This Row],[Column5]]), node_raw[[#This Row],[Column5]],"")</f>
        <v/>
      </c>
      <c r="G116" s="80" t="str">
        <f t="shared" si="2"/>
        <v/>
      </c>
      <c r="H116" s="81" t="str">
        <f>IF(ISNUMBER(node_raw[[#This Row],[Column6]]), node_raw[[#This Row],[Column6]]/1048576,"")</f>
        <v/>
      </c>
      <c r="I116" s="82" t="str">
        <f t="shared" si="3"/>
        <v/>
      </c>
      <c r="J116" s="83" t="str">
        <f>IF(ISNONTEXT(node_raw[[#This Row],[Column7]]), "", node_raw[[#This Row],[Column7]]/100)</f>
        <v/>
      </c>
      <c r="K116" s="84" t="str">
        <f>IF(ISNONTEXT(node_raw[[#This Row],[Column8]]), "", node_raw[[#This Row],[Column8]]/100)</f>
        <v/>
      </c>
      <c r="L116" s="85" t="str">
        <f>IF(ISNONTEXT(node_raw[[#This Row],[Column9]]), "", node_raw[[#This Row],[Column9]]/1)</f>
        <v/>
      </c>
      <c r="M116" s="86" t="str">
        <f>IF(ISNONTEXT(node_raw[[#This Row],[Column10]]), "", node_raw[[#This Row],[Column10]]/1)</f>
        <v/>
      </c>
    </row>
    <row r="117" spans="2:13" ht="15.75" customHeight="1" x14ac:dyDescent="0.25">
      <c r="B117" s="32" t="str">
        <f>IF(ISNONTEXT(node_raw[[#This Row],[Column1]]), "", node_raw[[#This Row],[Column1]])</f>
        <v/>
      </c>
      <c r="C117" s="29" t="str">
        <f>IF(ISNONTEXT(node_raw[[#This Row],[Column2]]), "", node_raw[[#This Row],[Column2]])</f>
        <v/>
      </c>
      <c r="D117" s="62" t="str">
        <f>IF(ISNUMBER(node_raw[[#This Row],[Column3]]), node_raw[[#This Row],[Column3]],"")</f>
        <v/>
      </c>
      <c r="E117" s="65" t="str">
        <f>IF(ISNUMBER(node_raw[[#This Row],[Column4]]), node_raw[[#This Row],[Column4]]/1048576,"")</f>
        <v/>
      </c>
      <c r="F117" s="91" t="str">
        <f>IF(ISNUMBER(node_raw[[#This Row],[Column5]]), node_raw[[#This Row],[Column5]],"")</f>
        <v/>
      </c>
      <c r="G117" s="80" t="str">
        <f t="shared" si="2"/>
        <v/>
      </c>
      <c r="H117" s="81" t="str">
        <f>IF(ISNUMBER(node_raw[[#This Row],[Column6]]), node_raw[[#This Row],[Column6]]/1048576,"")</f>
        <v/>
      </c>
      <c r="I117" s="82" t="str">
        <f t="shared" si="3"/>
        <v/>
      </c>
      <c r="J117" s="83" t="str">
        <f>IF(ISNONTEXT(node_raw[[#This Row],[Column7]]), "", node_raw[[#This Row],[Column7]]/100)</f>
        <v/>
      </c>
      <c r="K117" s="84" t="str">
        <f>IF(ISNONTEXT(node_raw[[#This Row],[Column8]]), "", node_raw[[#This Row],[Column8]]/100)</f>
        <v/>
      </c>
      <c r="L117" s="85" t="str">
        <f>IF(ISNONTEXT(node_raw[[#This Row],[Column9]]), "", node_raw[[#This Row],[Column9]]/1)</f>
        <v/>
      </c>
      <c r="M117" s="86" t="str">
        <f>IF(ISNONTEXT(node_raw[[#This Row],[Column10]]), "", node_raw[[#This Row],[Column10]]/1)</f>
        <v/>
      </c>
    </row>
    <row r="118" spans="2:13" ht="15.75" customHeight="1" x14ac:dyDescent="0.25">
      <c r="B118" s="32" t="str">
        <f>IF(ISNONTEXT(node_raw[[#This Row],[Column1]]), "", node_raw[[#This Row],[Column1]])</f>
        <v/>
      </c>
      <c r="C118" s="29" t="str">
        <f>IF(ISNONTEXT(node_raw[[#This Row],[Column2]]), "", node_raw[[#This Row],[Column2]])</f>
        <v/>
      </c>
      <c r="D118" s="62" t="str">
        <f>IF(ISNUMBER(node_raw[[#This Row],[Column3]]), node_raw[[#This Row],[Column3]],"")</f>
        <v/>
      </c>
      <c r="E118" s="65" t="str">
        <f>IF(ISNUMBER(node_raw[[#This Row],[Column4]]), node_raw[[#This Row],[Column4]]/1048576,"")</f>
        <v/>
      </c>
      <c r="F118" s="91" t="str">
        <f>IF(ISNUMBER(node_raw[[#This Row],[Column5]]), node_raw[[#This Row],[Column5]],"")</f>
        <v/>
      </c>
      <c r="G118" s="80" t="str">
        <f t="shared" si="2"/>
        <v/>
      </c>
      <c r="H118" s="81" t="str">
        <f>IF(ISNUMBER(node_raw[[#This Row],[Column6]]), node_raw[[#This Row],[Column6]]/1048576,"")</f>
        <v/>
      </c>
      <c r="I118" s="82" t="str">
        <f t="shared" si="3"/>
        <v/>
      </c>
      <c r="J118" s="83" t="str">
        <f>IF(ISNONTEXT(node_raw[[#This Row],[Column7]]), "", node_raw[[#This Row],[Column7]]/100)</f>
        <v/>
      </c>
      <c r="K118" s="84" t="str">
        <f>IF(ISNONTEXT(node_raw[[#This Row],[Column8]]), "", node_raw[[#This Row],[Column8]]/100)</f>
        <v/>
      </c>
      <c r="L118" s="85" t="str">
        <f>IF(ISNONTEXT(node_raw[[#This Row],[Column9]]), "", node_raw[[#This Row],[Column9]]/1)</f>
        <v/>
      </c>
      <c r="M118" s="86" t="str">
        <f>IF(ISNONTEXT(node_raw[[#This Row],[Column10]]), "", node_raw[[#This Row],[Column10]]/1)</f>
        <v/>
      </c>
    </row>
    <row r="119" spans="2:13" ht="15.75" customHeight="1" x14ac:dyDescent="0.25">
      <c r="B119" s="32" t="str">
        <f>IF(ISNONTEXT(node_raw[[#This Row],[Column1]]), "", node_raw[[#This Row],[Column1]])</f>
        <v/>
      </c>
      <c r="C119" s="29" t="str">
        <f>IF(ISNONTEXT(node_raw[[#This Row],[Column2]]), "", node_raw[[#This Row],[Column2]])</f>
        <v/>
      </c>
      <c r="D119" s="62" t="str">
        <f>IF(ISNUMBER(node_raw[[#This Row],[Column3]]), node_raw[[#This Row],[Column3]],"")</f>
        <v/>
      </c>
      <c r="E119" s="65" t="str">
        <f>IF(ISNUMBER(node_raw[[#This Row],[Column4]]), node_raw[[#This Row],[Column4]]/1048576,"")</f>
        <v/>
      </c>
      <c r="F119" s="91" t="str">
        <f>IF(ISNUMBER(node_raw[[#This Row],[Column5]]), node_raw[[#This Row],[Column5]],"")</f>
        <v/>
      </c>
      <c r="G119" s="80" t="str">
        <f t="shared" si="2"/>
        <v/>
      </c>
      <c r="H119" s="81" t="str">
        <f>IF(ISNUMBER(node_raw[[#This Row],[Column6]]), node_raw[[#This Row],[Column6]]/1048576,"")</f>
        <v/>
      </c>
      <c r="I119" s="82" t="str">
        <f t="shared" si="3"/>
        <v/>
      </c>
      <c r="J119" s="83" t="str">
        <f>IF(ISNONTEXT(node_raw[[#This Row],[Column7]]), "", node_raw[[#This Row],[Column7]]/100)</f>
        <v/>
      </c>
      <c r="K119" s="84" t="str">
        <f>IF(ISNONTEXT(node_raw[[#This Row],[Column8]]), "", node_raw[[#This Row],[Column8]]/100)</f>
        <v/>
      </c>
      <c r="L119" s="85" t="str">
        <f>IF(ISNONTEXT(node_raw[[#This Row],[Column9]]), "", node_raw[[#This Row],[Column9]]/1)</f>
        <v/>
      </c>
      <c r="M119" s="86" t="str">
        <f>IF(ISNONTEXT(node_raw[[#This Row],[Column10]]), "", node_raw[[#This Row],[Column10]]/1)</f>
        <v/>
      </c>
    </row>
    <row r="120" spans="2:13" ht="15.75" customHeight="1" x14ac:dyDescent="0.25">
      <c r="B120" s="32" t="str">
        <f>IF(ISNONTEXT(node_raw[[#This Row],[Column1]]), "", node_raw[[#This Row],[Column1]])</f>
        <v/>
      </c>
      <c r="C120" s="29" t="str">
        <f>IF(ISNONTEXT(node_raw[[#This Row],[Column2]]), "", node_raw[[#This Row],[Column2]])</f>
        <v/>
      </c>
      <c r="D120" s="62" t="str">
        <f>IF(ISNUMBER(node_raw[[#This Row],[Column3]]), node_raw[[#This Row],[Column3]],"")</f>
        <v/>
      </c>
      <c r="E120" s="65" t="str">
        <f>IF(ISNUMBER(node_raw[[#This Row],[Column4]]), node_raw[[#This Row],[Column4]]/1048576,"")</f>
        <v/>
      </c>
      <c r="F120" s="91" t="str">
        <f>IF(ISNUMBER(node_raw[[#This Row],[Column5]]), node_raw[[#This Row],[Column5]],"")</f>
        <v/>
      </c>
      <c r="G120" s="80" t="str">
        <f t="shared" si="2"/>
        <v/>
      </c>
      <c r="H120" s="81" t="str">
        <f>IF(ISNUMBER(node_raw[[#This Row],[Column6]]), node_raw[[#This Row],[Column6]]/1048576,"")</f>
        <v/>
      </c>
      <c r="I120" s="82" t="str">
        <f t="shared" si="3"/>
        <v/>
      </c>
      <c r="J120" s="83" t="str">
        <f>IF(ISNONTEXT(node_raw[[#This Row],[Column7]]), "", node_raw[[#This Row],[Column7]]/100)</f>
        <v/>
      </c>
      <c r="K120" s="84" t="str">
        <f>IF(ISNONTEXT(node_raw[[#This Row],[Column8]]), "", node_raw[[#This Row],[Column8]]/100)</f>
        <v/>
      </c>
      <c r="L120" s="85" t="str">
        <f>IF(ISNONTEXT(node_raw[[#This Row],[Column9]]), "", node_raw[[#This Row],[Column9]]/1)</f>
        <v/>
      </c>
      <c r="M120" s="86" t="str">
        <f>IF(ISNONTEXT(node_raw[[#This Row],[Column10]]), "", node_raw[[#This Row],[Column10]]/1)</f>
        <v/>
      </c>
    </row>
    <row r="121" spans="2:13" ht="15.75" customHeight="1" x14ac:dyDescent="0.25">
      <c r="B121" s="32" t="str">
        <f>IF(ISNONTEXT(node_raw[[#This Row],[Column1]]), "", node_raw[[#This Row],[Column1]])</f>
        <v/>
      </c>
      <c r="C121" s="29" t="str">
        <f>IF(ISNONTEXT(node_raw[[#This Row],[Column2]]), "", node_raw[[#This Row],[Column2]])</f>
        <v/>
      </c>
      <c r="D121" s="62" t="str">
        <f>IF(ISNUMBER(node_raw[[#This Row],[Column3]]), node_raw[[#This Row],[Column3]],"")</f>
        <v/>
      </c>
      <c r="E121" s="65" t="str">
        <f>IF(ISNUMBER(node_raw[[#This Row],[Column4]]), node_raw[[#This Row],[Column4]]/1048576,"")</f>
        <v/>
      </c>
      <c r="F121" s="91" t="str">
        <f>IF(ISNUMBER(node_raw[[#This Row],[Column5]]), node_raw[[#This Row],[Column5]],"")</f>
        <v/>
      </c>
      <c r="G121" s="80" t="str">
        <f t="shared" si="2"/>
        <v/>
      </c>
      <c r="H121" s="81" t="str">
        <f>IF(ISNUMBER(node_raw[[#This Row],[Column6]]), node_raw[[#This Row],[Column6]]/1048576,"")</f>
        <v/>
      </c>
      <c r="I121" s="82" t="str">
        <f t="shared" si="3"/>
        <v/>
      </c>
      <c r="J121" s="83" t="str">
        <f>IF(ISNONTEXT(node_raw[[#This Row],[Column7]]), "", node_raw[[#This Row],[Column7]]/100)</f>
        <v/>
      </c>
      <c r="K121" s="84" t="str">
        <f>IF(ISNONTEXT(node_raw[[#This Row],[Column8]]), "", node_raw[[#This Row],[Column8]]/100)</f>
        <v/>
      </c>
      <c r="L121" s="85" t="str">
        <f>IF(ISNONTEXT(node_raw[[#This Row],[Column9]]), "", node_raw[[#This Row],[Column9]]/1)</f>
        <v/>
      </c>
      <c r="M121" s="86" t="str">
        <f>IF(ISNONTEXT(node_raw[[#This Row],[Column10]]), "", node_raw[[#This Row],[Column10]]/1)</f>
        <v/>
      </c>
    </row>
    <row r="122" spans="2:13" ht="15.75" customHeight="1" x14ac:dyDescent="0.25">
      <c r="B122" s="32" t="str">
        <f>IF(ISNONTEXT(node_raw[[#This Row],[Column1]]), "", node_raw[[#This Row],[Column1]])</f>
        <v/>
      </c>
      <c r="C122" s="29" t="str">
        <f>IF(ISNONTEXT(node_raw[[#This Row],[Column2]]), "", node_raw[[#This Row],[Column2]])</f>
        <v/>
      </c>
      <c r="D122" s="62" t="str">
        <f>IF(ISNUMBER(node_raw[[#This Row],[Column3]]), node_raw[[#This Row],[Column3]],"")</f>
        <v/>
      </c>
      <c r="E122" s="65" t="str">
        <f>IF(ISNUMBER(node_raw[[#This Row],[Column4]]), node_raw[[#This Row],[Column4]]/1048576,"")</f>
        <v/>
      </c>
      <c r="F122" s="91" t="str">
        <f>IF(ISNUMBER(node_raw[[#This Row],[Column5]]), node_raw[[#This Row],[Column5]],"")</f>
        <v/>
      </c>
      <c r="G122" s="80" t="str">
        <f t="shared" si="2"/>
        <v/>
      </c>
      <c r="H122" s="81" t="str">
        <f>IF(ISNUMBER(node_raw[[#This Row],[Column6]]), node_raw[[#This Row],[Column6]]/1048576,"")</f>
        <v/>
      </c>
      <c r="I122" s="82" t="str">
        <f t="shared" si="3"/>
        <v/>
      </c>
      <c r="J122" s="83" t="str">
        <f>IF(ISNONTEXT(node_raw[[#This Row],[Column7]]), "", node_raw[[#This Row],[Column7]]/100)</f>
        <v/>
      </c>
      <c r="K122" s="84" t="str">
        <f>IF(ISNONTEXT(node_raw[[#This Row],[Column8]]), "", node_raw[[#This Row],[Column8]]/100)</f>
        <v/>
      </c>
      <c r="L122" s="85" t="str">
        <f>IF(ISNONTEXT(node_raw[[#This Row],[Column9]]), "", node_raw[[#This Row],[Column9]]/1)</f>
        <v/>
      </c>
      <c r="M122" s="86" t="str">
        <f>IF(ISNONTEXT(node_raw[[#This Row],[Column10]]), "", node_raw[[#This Row],[Column10]]/1)</f>
        <v/>
      </c>
    </row>
    <row r="123" spans="2:13" ht="15.75" customHeight="1" x14ac:dyDescent="0.25">
      <c r="B123" s="32" t="str">
        <f>IF(ISNONTEXT(node_raw[[#This Row],[Column1]]), "", node_raw[[#This Row],[Column1]])</f>
        <v/>
      </c>
      <c r="C123" s="29" t="str">
        <f>IF(ISNONTEXT(node_raw[[#This Row],[Column2]]), "", node_raw[[#This Row],[Column2]])</f>
        <v/>
      </c>
      <c r="D123" s="62" t="str">
        <f>IF(ISNUMBER(node_raw[[#This Row],[Column3]]), node_raw[[#This Row],[Column3]],"")</f>
        <v/>
      </c>
      <c r="E123" s="65" t="str">
        <f>IF(ISNUMBER(node_raw[[#This Row],[Column4]]), node_raw[[#This Row],[Column4]]/1048576,"")</f>
        <v/>
      </c>
      <c r="F123" s="91" t="str">
        <f>IF(ISNUMBER(node_raw[[#This Row],[Column5]]), node_raw[[#This Row],[Column5]],"")</f>
        <v/>
      </c>
      <c r="G123" s="80" t="str">
        <f t="shared" si="2"/>
        <v/>
      </c>
      <c r="H123" s="81" t="str">
        <f>IF(ISNUMBER(node_raw[[#This Row],[Column6]]), node_raw[[#This Row],[Column6]]/1048576,"")</f>
        <v/>
      </c>
      <c r="I123" s="82" t="str">
        <f t="shared" si="3"/>
        <v/>
      </c>
      <c r="J123" s="83" t="str">
        <f>IF(ISNONTEXT(node_raw[[#This Row],[Column7]]), "", node_raw[[#This Row],[Column7]]/100)</f>
        <v/>
      </c>
      <c r="K123" s="84" t="str">
        <f>IF(ISNONTEXT(node_raw[[#This Row],[Column8]]), "", node_raw[[#This Row],[Column8]]/100)</f>
        <v/>
      </c>
      <c r="L123" s="85" t="str">
        <f>IF(ISNONTEXT(node_raw[[#This Row],[Column9]]), "", node_raw[[#This Row],[Column9]]/1)</f>
        <v/>
      </c>
      <c r="M123" s="86" t="str">
        <f>IF(ISNONTEXT(node_raw[[#This Row],[Column10]]), "", node_raw[[#This Row],[Column10]]/1)</f>
        <v/>
      </c>
    </row>
    <row r="124" spans="2:13" ht="15.75" customHeight="1" x14ac:dyDescent="0.25">
      <c r="B124" s="32" t="str">
        <f>IF(ISNONTEXT(node_raw[[#This Row],[Column1]]), "", node_raw[[#This Row],[Column1]])</f>
        <v/>
      </c>
      <c r="C124" s="29" t="str">
        <f>IF(ISNONTEXT(node_raw[[#This Row],[Column2]]), "", node_raw[[#This Row],[Column2]])</f>
        <v/>
      </c>
      <c r="D124" s="62" t="str">
        <f>IF(ISNUMBER(node_raw[[#This Row],[Column3]]), node_raw[[#This Row],[Column3]],"")</f>
        <v/>
      </c>
      <c r="E124" s="65" t="str">
        <f>IF(ISNUMBER(node_raw[[#This Row],[Column4]]), node_raw[[#This Row],[Column4]]/1048576,"")</f>
        <v/>
      </c>
      <c r="F124" s="91" t="str">
        <f>IF(ISNUMBER(node_raw[[#This Row],[Column5]]), node_raw[[#This Row],[Column5]],"")</f>
        <v/>
      </c>
      <c r="G124" s="80" t="str">
        <f t="shared" si="2"/>
        <v/>
      </c>
      <c r="H124" s="81" t="str">
        <f>IF(ISNUMBER(node_raw[[#This Row],[Column6]]), node_raw[[#This Row],[Column6]]/1048576,"")</f>
        <v/>
      </c>
      <c r="I124" s="82" t="str">
        <f t="shared" si="3"/>
        <v/>
      </c>
      <c r="J124" s="83" t="str">
        <f>IF(ISNONTEXT(node_raw[[#This Row],[Column7]]), "", node_raw[[#This Row],[Column7]]/100)</f>
        <v/>
      </c>
      <c r="K124" s="84" t="str">
        <f>IF(ISNONTEXT(node_raw[[#This Row],[Column8]]), "", node_raw[[#This Row],[Column8]]/100)</f>
        <v/>
      </c>
      <c r="L124" s="85" t="str">
        <f>IF(ISNONTEXT(node_raw[[#This Row],[Column9]]), "", node_raw[[#This Row],[Column9]]/1)</f>
        <v/>
      </c>
      <c r="M124" s="86" t="str">
        <f>IF(ISNONTEXT(node_raw[[#This Row],[Column10]]), "", node_raw[[#This Row],[Column10]]/1)</f>
        <v/>
      </c>
    </row>
    <row r="125" spans="2:13" ht="15.75" customHeight="1" x14ac:dyDescent="0.25">
      <c r="B125" s="32" t="str">
        <f>IF(ISNONTEXT(node_raw[[#This Row],[Column1]]), "", node_raw[[#This Row],[Column1]])</f>
        <v/>
      </c>
      <c r="C125" s="29" t="str">
        <f>IF(ISNONTEXT(node_raw[[#This Row],[Column2]]), "", node_raw[[#This Row],[Column2]])</f>
        <v/>
      </c>
      <c r="D125" s="62" t="str">
        <f>IF(ISNUMBER(node_raw[[#This Row],[Column3]]), node_raw[[#This Row],[Column3]],"")</f>
        <v/>
      </c>
      <c r="E125" s="65" t="str">
        <f>IF(ISNUMBER(node_raw[[#This Row],[Column4]]), node_raw[[#This Row],[Column4]]/1048576,"")</f>
        <v/>
      </c>
      <c r="F125" s="91" t="str">
        <f>IF(ISNUMBER(node_raw[[#This Row],[Column5]]), node_raw[[#This Row],[Column5]],"")</f>
        <v/>
      </c>
      <c r="G125" s="80" t="str">
        <f t="shared" si="2"/>
        <v/>
      </c>
      <c r="H125" s="81" t="str">
        <f>IF(ISNUMBER(node_raw[[#This Row],[Column6]]), node_raw[[#This Row],[Column6]]/1048576,"")</f>
        <v/>
      </c>
      <c r="I125" s="82" t="str">
        <f t="shared" si="3"/>
        <v/>
      </c>
      <c r="J125" s="83" t="str">
        <f>IF(ISNONTEXT(node_raw[[#This Row],[Column7]]), "", node_raw[[#This Row],[Column7]]/100)</f>
        <v/>
      </c>
      <c r="K125" s="84" t="str">
        <f>IF(ISNONTEXT(node_raw[[#This Row],[Column8]]), "", node_raw[[#This Row],[Column8]]/100)</f>
        <v/>
      </c>
      <c r="L125" s="85" t="str">
        <f>IF(ISNONTEXT(node_raw[[#This Row],[Column9]]), "", node_raw[[#This Row],[Column9]]/1)</f>
        <v/>
      </c>
      <c r="M125" s="86" t="str">
        <f>IF(ISNONTEXT(node_raw[[#This Row],[Column10]]), "", node_raw[[#This Row],[Column10]]/1)</f>
        <v/>
      </c>
    </row>
    <row r="126" spans="2:13" ht="15.75" customHeight="1" x14ac:dyDescent="0.25">
      <c r="B126" s="32" t="str">
        <f>IF(ISNONTEXT(node_raw[[#This Row],[Column1]]), "", node_raw[[#This Row],[Column1]])</f>
        <v/>
      </c>
      <c r="C126" s="29" t="str">
        <f>IF(ISNONTEXT(node_raw[[#This Row],[Column2]]), "", node_raw[[#This Row],[Column2]])</f>
        <v/>
      </c>
      <c r="D126" s="62" t="str">
        <f>IF(ISNUMBER(node_raw[[#This Row],[Column3]]), node_raw[[#This Row],[Column3]],"")</f>
        <v/>
      </c>
      <c r="E126" s="65" t="str">
        <f>IF(ISNUMBER(node_raw[[#This Row],[Column4]]), node_raw[[#This Row],[Column4]]/1048576,"")</f>
        <v/>
      </c>
      <c r="F126" s="91" t="str">
        <f>IF(ISNUMBER(node_raw[[#This Row],[Column5]]), node_raw[[#This Row],[Column5]],"")</f>
        <v/>
      </c>
      <c r="G126" s="80" t="str">
        <f t="shared" si="2"/>
        <v/>
      </c>
      <c r="H126" s="81" t="str">
        <f>IF(ISNUMBER(node_raw[[#This Row],[Column6]]), node_raw[[#This Row],[Column6]]/1048576,"")</f>
        <v/>
      </c>
      <c r="I126" s="82" t="str">
        <f t="shared" si="3"/>
        <v/>
      </c>
      <c r="J126" s="83" t="str">
        <f>IF(ISNONTEXT(node_raw[[#This Row],[Column7]]), "", node_raw[[#This Row],[Column7]]/100)</f>
        <v/>
      </c>
      <c r="K126" s="84" t="str">
        <f>IF(ISNONTEXT(node_raw[[#This Row],[Column8]]), "", node_raw[[#This Row],[Column8]]/100)</f>
        <v/>
      </c>
      <c r="L126" s="85" t="str">
        <f>IF(ISNONTEXT(node_raw[[#This Row],[Column9]]), "", node_raw[[#This Row],[Column9]]/1)</f>
        <v/>
      </c>
      <c r="M126" s="86" t="str">
        <f>IF(ISNONTEXT(node_raw[[#This Row],[Column10]]), "", node_raw[[#This Row],[Column10]]/1)</f>
        <v/>
      </c>
    </row>
    <row r="127" spans="2:13" ht="15.75" customHeight="1" x14ac:dyDescent="0.25">
      <c r="B127" s="32" t="str">
        <f>IF(ISNONTEXT(node_raw[[#This Row],[Column1]]), "", node_raw[[#This Row],[Column1]])</f>
        <v/>
      </c>
      <c r="C127" s="29" t="str">
        <f>IF(ISNONTEXT(node_raw[[#This Row],[Column2]]), "", node_raw[[#This Row],[Column2]])</f>
        <v/>
      </c>
      <c r="D127" s="62" t="str">
        <f>IF(ISNUMBER(node_raw[[#This Row],[Column3]]), node_raw[[#This Row],[Column3]],"")</f>
        <v/>
      </c>
      <c r="E127" s="65" t="str">
        <f>IF(ISNUMBER(node_raw[[#This Row],[Column4]]), node_raw[[#This Row],[Column4]]/1048576,"")</f>
        <v/>
      </c>
      <c r="F127" s="91" t="str">
        <f>IF(ISNUMBER(node_raw[[#This Row],[Column5]]), node_raw[[#This Row],[Column5]],"")</f>
        <v/>
      </c>
      <c r="G127" s="80" t="str">
        <f t="shared" si="2"/>
        <v/>
      </c>
      <c r="H127" s="81" t="str">
        <f>IF(ISNUMBER(node_raw[[#This Row],[Column6]]), node_raw[[#This Row],[Column6]]/1048576,"")</f>
        <v/>
      </c>
      <c r="I127" s="82" t="str">
        <f t="shared" si="3"/>
        <v/>
      </c>
      <c r="J127" s="83" t="str">
        <f>IF(ISNONTEXT(node_raw[[#This Row],[Column7]]), "", node_raw[[#This Row],[Column7]]/100)</f>
        <v/>
      </c>
      <c r="K127" s="84" t="str">
        <f>IF(ISNONTEXT(node_raw[[#This Row],[Column8]]), "", node_raw[[#This Row],[Column8]]/100)</f>
        <v/>
      </c>
      <c r="L127" s="85" t="str">
        <f>IF(ISNONTEXT(node_raw[[#This Row],[Column9]]), "", node_raw[[#This Row],[Column9]]/1)</f>
        <v/>
      </c>
      <c r="M127" s="86" t="str">
        <f>IF(ISNONTEXT(node_raw[[#This Row],[Column10]]), "", node_raw[[#This Row],[Column10]]/1)</f>
        <v/>
      </c>
    </row>
    <row r="128" spans="2:13" ht="15.75" customHeight="1" x14ac:dyDescent="0.25">
      <c r="B128" s="32" t="str">
        <f>IF(ISNONTEXT(node_raw[[#This Row],[Column1]]), "", node_raw[[#This Row],[Column1]])</f>
        <v/>
      </c>
      <c r="C128" s="29" t="str">
        <f>IF(ISNONTEXT(node_raw[[#This Row],[Column2]]), "", node_raw[[#This Row],[Column2]])</f>
        <v/>
      </c>
      <c r="D128" s="62" t="str">
        <f>IF(ISNUMBER(node_raw[[#This Row],[Column3]]), node_raw[[#This Row],[Column3]],"")</f>
        <v/>
      </c>
      <c r="E128" s="65" t="str">
        <f>IF(ISNUMBER(node_raw[[#This Row],[Column4]]), node_raw[[#This Row],[Column4]]/1048576,"")</f>
        <v/>
      </c>
      <c r="F128" s="91" t="str">
        <f>IF(ISNUMBER(node_raw[[#This Row],[Column5]]), node_raw[[#This Row],[Column5]],"")</f>
        <v/>
      </c>
      <c r="G128" s="80" t="str">
        <f t="shared" si="2"/>
        <v/>
      </c>
      <c r="H128" s="81" t="str">
        <f>IF(ISNUMBER(node_raw[[#This Row],[Column6]]), node_raw[[#This Row],[Column6]]/1048576,"")</f>
        <v/>
      </c>
      <c r="I128" s="82" t="str">
        <f t="shared" si="3"/>
        <v/>
      </c>
      <c r="J128" s="83" t="str">
        <f>IF(ISNONTEXT(node_raw[[#This Row],[Column7]]), "", node_raw[[#This Row],[Column7]]/100)</f>
        <v/>
      </c>
      <c r="K128" s="84" t="str">
        <f>IF(ISNONTEXT(node_raw[[#This Row],[Column8]]), "", node_raw[[#This Row],[Column8]]/100)</f>
        <v/>
      </c>
      <c r="L128" s="85" t="str">
        <f>IF(ISNONTEXT(node_raw[[#This Row],[Column9]]), "", node_raw[[#This Row],[Column9]]/1)</f>
        <v/>
      </c>
      <c r="M128" s="86" t="str">
        <f>IF(ISNONTEXT(node_raw[[#This Row],[Column10]]), "", node_raw[[#This Row],[Column10]]/1)</f>
        <v/>
      </c>
    </row>
    <row r="129" spans="2:13" ht="15.75" customHeight="1" x14ac:dyDescent="0.25">
      <c r="B129" s="32" t="str">
        <f>IF(ISNONTEXT(node_raw[[#This Row],[Column1]]), "", node_raw[[#This Row],[Column1]])</f>
        <v/>
      </c>
      <c r="C129" s="29" t="str">
        <f>IF(ISNONTEXT(node_raw[[#This Row],[Column2]]), "", node_raw[[#This Row],[Column2]])</f>
        <v/>
      </c>
      <c r="D129" s="62" t="str">
        <f>IF(ISNUMBER(node_raw[[#This Row],[Column3]]), node_raw[[#This Row],[Column3]],"")</f>
        <v/>
      </c>
      <c r="E129" s="65" t="str">
        <f>IF(ISNUMBER(node_raw[[#This Row],[Column4]]), node_raw[[#This Row],[Column4]]/1048576,"")</f>
        <v/>
      </c>
      <c r="F129" s="91" t="str">
        <f>IF(ISNUMBER(node_raw[[#This Row],[Column5]]), node_raw[[#This Row],[Column5]],"")</f>
        <v/>
      </c>
      <c r="G129" s="80" t="str">
        <f t="shared" si="2"/>
        <v/>
      </c>
      <c r="H129" s="81" t="str">
        <f>IF(ISNUMBER(node_raw[[#This Row],[Column6]]), node_raw[[#This Row],[Column6]]/1048576,"")</f>
        <v/>
      </c>
      <c r="I129" s="82" t="str">
        <f t="shared" si="3"/>
        <v/>
      </c>
      <c r="J129" s="83" t="str">
        <f>IF(ISNONTEXT(node_raw[[#This Row],[Column7]]), "", node_raw[[#This Row],[Column7]]/100)</f>
        <v/>
      </c>
      <c r="K129" s="84" t="str">
        <f>IF(ISNONTEXT(node_raw[[#This Row],[Column8]]), "", node_raw[[#This Row],[Column8]]/100)</f>
        <v/>
      </c>
      <c r="L129" s="85" t="str">
        <f>IF(ISNONTEXT(node_raw[[#This Row],[Column9]]), "", node_raw[[#This Row],[Column9]]/1)</f>
        <v/>
      </c>
      <c r="M129" s="86" t="str">
        <f>IF(ISNONTEXT(node_raw[[#This Row],[Column10]]), "", node_raw[[#This Row],[Column10]]/1)</f>
        <v/>
      </c>
    </row>
    <row r="130" spans="2:13" ht="15.75" customHeight="1" x14ac:dyDescent="0.25">
      <c r="B130" s="32" t="str">
        <f>IF(ISNONTEXT(node_raw[[#This Row],[Column1]]), "", node_raw[[#This Row],[Column1]])</f>
        <v/>
      </c>
      <c r="C130" s="29" t="str">
        <f>IF(ISNONTEXT(node_raw[[#This Row],[Column2]]), "", node_raw[[#This Row],[Column2]])</f>
        <v/>
      </c>
      <c r="D130" s="62" t="str">
        <f>IF(ISNUMBER(node_raw[[#This Row],[Column3]]), node_raw[[#This Row],[Column3]],"")</f>
        <v/>
      </c>
      <c r="E130" s="65" t="str">
        <f>IF(ISNUMBER(node_raw[[#This Row],[Column4]]), node_raw[[#This Row],[Column4]]/1048576,"")</f>
        <v/>
      </c>
      <c r="F130" s="91" t="str">
        <f>IF(ISNUMBER(node_raw[[#This Row],[Column5]]), node_raw[[#This Row],[Column5]],"")</f>
        <v/>
      </c>
      <c r="G130" s="80" t="str">
        <f t="shared" si="2"/>
        <v/>
      </c>
      <c r="H130" s="81" t="str">
        <f>IF(ISNUMBER(node_raw[[#This Row],[Column6]]), node_raw[[#This Row],[Column6]]/1048576,"")</f>
        <v/>
      </c>
      <c r="I130" s="82" t="str">
        <f t="shared" si="3"/>
        <v/>
      </c>
      <c r="J130" s="83" t="str">
        <f>IF(ISNONTEXT(node_raw[[#This Row],[Column7]]), "", node_raw[[#This Row],[Column7]]/100)</f>
        <v/>
      </c>
      <c r="K130" s="84" t="str">
        <f>IF(ISNONTEXT(node_raw[[#This Row],[Column8]]), "", node_raw[[#This Row],[Column8]]/100)</f>
        <v/>
      </c>
      <c r="L130" s="85" t="str">
        <f>IF(ISNONTEXT(node_raw[[#This Row],[Column9]]), "", node_raw[[#This Row],[Column9]]/1)</f>
        <v/>
      </c>
      <c r="M130" s="86" t="str">
        <f>IF(ISNONTEXT(node_raw[[#This Row],[Column10]]), "", node_raw[[#This Row],[Column10]]/1)</f>
        <v/>
      </c>
    </row>
    <row r="131" spans="2:13" ht="15.75" customHeight="1" x14ac:dyDescent="0.25">
      <c r="B131" s="32" t="str">
        <f>IF(ISNONTEXT(node_raw[[#This Row],[Column1]]), "", node_raw[[#This Row],[Column1]])</f>
        <v/>
      </c>
      <c r="C131" s="29" t="str">
        <f>IF(ISNONTEXT(node_raw[[#This Row],[Column2]]), "", node_raw[[#This Row],[Column2]])</f>
        <v/>
      </c>
      <c r="D131" s="62" t="str">
        <f>IF(ISNUMBER(node_raw[[#This Row],[Column3]]), node_raw[[#This Row],[Column3]],"")</f>
        <v/>
      </c>
      <c r="E131" s="65" t="str">
        <f>IF(ISNUMBER(node_raw[[#This Row],[Column4]]), node_raw[[#This Row],[Column4]]/1048576,"")</f>
        <v/>
      </c>
      <c r="F131" s="91" t="str">
        <f>IF(ISNUMBER(node_raw[[#This Row],[Column5]]), node_raw[[#This Row],[Column5]],"")</f>
        <v/>
      </c>
      <c r="G131" s="80" t="str">
        <f t="shared" ref="G131:G194" si="4">IF(ISNUMBER(F131), F131/D131, "")</f>
        <v/>
      </c>
      <c r="H131" s="81" t="str">
        <f>IF(ISNUMBER(node_raw[[#This Row],[Column6]]), node_raw[[#This Row],[Column6]]/1048576,"")</f>
        <v/>
      </c>
      <c r="I131" s="82" t="str">
        <f t="shared" ref="I131:I194" si="5">IF(ISNUMBER(H131), H131/E131, "")</f>
        <v/>
      </c>
      <c r="J131" s="83" t="str">
        <f>IF(ISNONTEXT(node_raw[[#This Row],[Column7]]), "", node_raw[[#This Row],[Column7]]/100)</f>
        <v/>
      </c>
      <c r="K131" s="84" t="str">
        <f>IF(ISNONTEXT(node_raw[[#This Row],[Column8]]), "", node_raw[[#This Row],[Column8]]/100)</f>
        <v/>
      </c>
      <c r="L131" s="85" t="str">
        <f>IF(ISNONTEXT(node_raw[[#This Row],[Column9]]), "", node_raw[[#This Row],[Column9]]/1)</f>
        <v/>
      </c>
      <c r="M131" s="86" t="str">
        <f>IF(ISNONTEXT(node_raw[[#This Row],[Column10]]), "", node_raw[[#This Row],[Column10]]/1)</f>
        <v/>
      </c>
    </row>
    <row r="132" spans="2:13" ht="15.75" customHeight="1" x14ac:dyDescent="0.25">
      <c r="B132" s="32" t="str">
        <f>IF(ISNONTEXT(node_raw[[#This Row],[Column1]]), "", node_raw[[#This Row],[Column1]])</f>
        <v/>
      </c>
      <c r="C132" s="29" t="str">
        <f>IF(ISNONTEXT(node_raw[[#This Row],[Column2]]), "", node_raw[[#This Row],[Column2]])</f>
        <v/>
      </c>
      <c r="D132" s="62" t="str">
        <f>IF(ISNUMBER(node_raw[[#This Row],[Column3]]), node_raw[[#This Row],[Column3]],"")</f>
        <v/>
      </c>
      <c r="E132" s="65" t="str">
        <f>IF(ISNUMBER(node_raw[[#This Row],[Column4]]), node_raw[[#This Row],[Column4]]/1048576,"")</f>
        <v/>
      </c>
      <c r="F132" s="91" t="str">
        <f>IF(ISNUMBER(node_raw[[#This Row],[Column5]]), node_raw[[#This Row],[Column5]],"")</f>
        <v/>
      </c>
      <c r="G132" s="80" t="str">
        <f t="shared" si="4"/>
        <v/>
      </c>
      <c r="H132" s="81" t="str">
        <f>IF(ISNUMBER(node_raw[[#This Row],[Column6]]), node_raw[[#This Row],[Column6]]/1048576,"")</f>
        <v/>
      </c>
      <c r="I132" s="82" t="str">
        <f t="shared" si="5"/>
        <v/>
      </c>
      <c r="J132" s="83" t="str">
        <f>IF(ISNONTEXT(node_raw[[#This Row],[Column7]]), "", node_raw[[#This Row],[Column7]]/100)</f>
        <v/>
      </c>
      <c r="K132" s="84" t="str">
        <f>IF(ISNONTEXT(node_raw[[#This Row],[Column8]]), "", node_raw[[#This Row],[Column8]]/100)</f>
        <v/>
      </c>
      <c r="L132" s="85" t="str">
        <f>IF(ISNONTEXT(node_raw[[#This Row],[Column9]]), "", node_raw[[#This Row],[Column9]]/1)</f>
        <v/>
      </c>
      <c r="M132" s="86" t="str">
        <f>IF(ISNONTEXT(node_raw[[#This Row],[Column10]]), "", node_raw[[#This Row],[Column10]]/1)</f>
        <v/>
      </c>
    </row>
    <row r="133" spans="2:13" ht="15.75" customHeight="1" x14ac:dyDescent="0.25">
      <c r="B133" s="32" t="str">
        <f>IF(ISNONTEXT(node_raw[[#This Row],[Column1]]), "", node_raw[[#This Row],[Column1]])</f>
        <v/>
      </c>
      <c r="C133" s="29" t="str">
        <f>IF(ISNONTEXT(node_raw[[#This Row],[Column2]]), "", node_raw[[#This Row],[Column2]])</f>
        <v/>
      </c>
      <c r="D133" s="62" t="str">
        <f>IF(ISNUMBER(node_raw[[#This Row],[Column3]]), node_raw[[#This Row],[Column3]],"")</f>
        <v/>
      </c>
      <c r="E133" s="65" t="str">
        <f>IF(ISNUMBER(node_raw[[#This Row],[Column4]]), node_raw[[#This Row],[Column4]]/1048576,"")</f>
        <v/>
      </c>
      <c r="F133" s="91" t="str">
        <f>IF(ISNUMBER(node_raw[[#This Row],[Column5]]), node_raw[[#This Row],[Column5]],"")</f>
        <v/>
      </c>
      <c r="G133" s="80" t="str">
        <f t="shared" si="4"/>
        <v/>
      </c>
      <c r="H133" s="81" t="str">
        <f>IF(ISNUMBER(node_raw[[#This Row],[Column6]]), node_raw[[#This Row],[Column6]]/1048576,"")</f>
        <v/>
      </c>
      <c r="I133" s="82" t="str">
        <f t="shared" si="5"/>
        <v/>
      </c>
      <c r="J133" s="83" t="str">
        <f>IF(ISNONTEXT(node_raw[[#This Row],[Column7]]), "", node_raw[[#This Row],[Column7]]/100)</f>
        <v/>
      </c>
      <c r="K133" s="84" t="str">
        <f>IF(ISNONTEXT(node_raw[[#This Row],[Column8]]), "", node_raw[[#This Row],[Column8]]/100)</f>
        <v/>
      </c>
      <c r="L133" s="85" t="str">
        <f>IF(ISNONTEXT(node_raw[[#This Row],[Column9]]), "", node_raw[[#This Row],[Column9]]/1)</f>
        <v/>
      </c>
      <c r="M133" s="86" t="str">
        <f>IF(ISNONTEXT(node_raw[[#This Row],[Column10]]), "", node_raw[[#This Row],[Column10]]/1)</f>
        <v/>
      </c>
    </row>
    <row r="134" spans="2:13" ht="15.75" customHeight="1" x14ac:dyDescent="0.25">
      <c r="B134" s="32" t="str">
        <f>IF(ISNONTEXT(node_raw[[#This Row],[Column1]]), "", node_raw[[#This Row],[Column1]])</f>
        <v/>
      </c>
      <c r="C134" s="29" t="str">
        <f>IF(ISNONTEXT(node_raw[[#This Row],[Column2]]), "", node_raw[[#This Row],[Column2]])</f>
        <v/>
      </c>
      <c r="D134" s="62" t="str">
        <f>IF(ISNUMBER(node_raw[[#This Row],[Column3]]), node_raw[[#This Row],[Column3]],"")</f>
        <v/>
      </c>
      <c r="E134" s="65" t="str">
        <f>IF(ISNUMBER(node_raw[[#This Row],[Column4]]), node_raw[[#This Row],[Column4]]/1048576,"")</f>
        <v/>
      </c>
      <c r="F134" s="91" t="str">
        <f>IF(ISNUMBER(node_raw[[#This Row],[Column5]]), node_raw[[#This Row],[Column5]],"")</f>
        <v/>
      </c>
      <c r="G134" s="80" t="str">
        <f t="shared" si="4"/>
        <v/>
      </c>
      <c r="H134" s="81" t="str">
        <f>IF(ISNUMBER(node_raw[[#This Row],[Column6]]), node_raw[[#This Row],[Column6]]/1048576,"")</f>
        <v/>
      </c>
      <c r="I134" s="82" t="str">
        <f t="shared" si="5"/>
        <v/>
      </c>
      <c r="J134" s="83" t="str">
        <f>IF(ISNONTEXT(node_raw[[#This Row],[Column7]]), "", node_raw[[#This Row],[Column7]]/100)</f>
        <v/>
      </c>
      <c r="K134" s="84" t="str">
        <f>IF(ISNONTEXT(node_raw[[#This Row],[Column8]]), "", node_raw[[#This Row],[Column8]]/100)</f>
        <v/>
      </c>
      <c r="L134" s="85" t="str">
        <f>IF(ISNONTEXT(node_raw[[#This Row],[Column9]]), "", node_raw[[#This Row],[Column9]]/1)</f>
        <v/>
      </c>
      <c r="M134" s="86" t="str">
        <f>IF(ISNONTEXT(node_raw[[#This Row],[Column10]]), "", node_raw[[#This Row],[Column10]]/1)</f>
        <v/>
      </c>
    </row>
    <row r="135" spans="2:13" ht="15.75" customHeight="1" x14ac:dyDescent="0.25">
      <c r="B135" s="32" t="str">
        <f>IF(ISNONTEXT(node_raw[[#This Row],[Column1]]), "", node_raw[[#This Row],[Column1]])</f>
        <v/>
      </c>
      <c r="C135" s="29" t="str">
        <f>IF(ISNONTEXT(node_raw[[#This Row],[Column2]]), "", node_raw[[#This Row],[Column2]])</f>
        <v/>
      </c>
      <c r="D135" s="62" t="str">
        <f>IF(ISNUMBER(node_raw[[#This Row],[Column3]]), node_raw[[#This Row],[Column3]],"")</f>
        <v/>
      </c>
      <c r="E135" s="65" t="str">
        <f>IF(ISNUMBER(node_raw[[#This Row],[Column4]]), node_raw[[#This Row],[Column4]]/1048576,"")</f>
        <v/>
      </c>
      <c r="F135" s="91" t="str">
        <f>IF(ISNUMBER(node_raw[[#This Row],[Column5]]), node_raw[[#This Row],[Column5]],"")</f>
        <v/>
      </c>
      <c r="G135" s="80" t="str">
        <f t="shared" si="4"/>
        <v/>
      </c>
      <c r="H135" s="81" t="str">
        <f>IF(ISNUMBER(node_raw[[#This Row],[Column6]]), node_raw[[#This Row],[Column6]]/1048576,"")</f>
        <v/>
      </c>
      <c r="I135" s="82" t="str">
        <f t="shared" si="5"/>
        <v/>
      </c>
      <c r="J135" s="83" t="str">
        <f>IF(ISNONTEXT(node_raw[[#This Row],[Column7]]), "", node_raw[[#This Row],[Column7]]/100)</f>
        <v/>
      </c>
      <c r="K135" s="84" t="str">
        <f>IF(ISNONTEXT(node_raw[[#This Row],[Column8]]), "", node_raw[[#This Row],[Column8]]/100)</f>
        <v/>
      </c>
      <c r="L135" s="85" t="str">
        <f>IF(ISNONTEXT(node_raw[[#This Row],[Column9]]), "", node_raw[[#This Row],[Column9]]/1)</f>
        <v/>
      </c>
      <c r="M135" s="86" t="str">
        <f>IF(ISNONTEXT(node_raw[[#This Row],[Column10]]), "", node_raw[[#This Row],[Column10]]/1)</f>
        <v/>
      </c>
    </row>
    <row r="136" spans="2:13" ht="15.75" customHeight="1" x14ac:dyDescent="0.25">
      <c r="B136" s="32" t="str">
        <f>IF(ISNONTEXT(node_raw[[#This Row],[Column1]]), "", node_raw[[#This Row],[Column1]])</f>
        <v/>
      </c>
      <c r="C136" s="29" t="str">
        <f>IF(ISNONTEXT(node_raw[[#This Row],[Column2]]), "", node_raw[[#This Row],[Column2]])</f>
        <v/>
      </c>
      <c r="D136" s="62" t="str">
        <f>IF(ISNUMBER(node_raw[[#This Row],[Column3]]), node_raw[[#This Row],[Column3]],"")</f>
        <v/>
      </c>
      <c r="E136" s="65" t="str">
        <f>IF(ISNUMBER(node_raw[[#This Row],[Column4]]), node_raw[[#This Row],[Column4]]/1048576,"")</f>
        <v/>
      </c>
      <c r="F136" s="91" t="str">
        <f>IF(ISNUMBER(node_raw[[#This Row],[Column5]]), node_raw[[#This Row],[Column5]],"")</f>
        <v/>
      </c>
      <c r="G136" s="80" t="str">
        <f t="shared" si="4"/>
        <v/>
      </c>
      <c r="H136" s="81" t="str">
        <f>IF(ISNUMBER(node_raw[[#This Row],[Column6]]), node_raw[[#This Row],[Column6]]/1048576,"")</f>
        <v/>
      </c>
      <c r="I136" s="82" t="str">
        <f t="shared" si="5"/>
        <v/>
      </c>
      <c r="J136" s="83" t="str">
        <f>IF(ISNONTEXT(node_raw[[#This Row],[Column7]]), "", node_raw[[#This Row],[Column7]]/100)</f>
        <v/>
      </c>
      <c r="K136" s="84" t="str">
        <f>IF(ISNONTEXT(node_raw[[#This Row],[Column8]]), "", node_raw[[#This Row],[Column8]]/100)</f>
        <v/>
      </c>
      <c r="L136" s="85" t="str">
        <f>IF(ISNONTEXT(node_raw[[#This Row],[Column9]]), "", node_raw[[#This Row],[Column9]]/1)</f>
        <v/>
      </c>
      <c r="M136" s="86" t="str">
        <f>IF(ISNONTEXT(node_raw[[#This Row],[Column10]]), "", node_raw[[#This Row],[Column10]]/1)</f>
        <v/>
      </c>
    </row>
    <row r="137" spans="2:13" ht="15.75" customHeight="1" x14ac:dyDescent="0.25">
      <c r="B137" s="32" t="str">
        <f>IF(ISNONTEXT(node_raw[[#This Row],[Column1]]), "", node_raw[[#This Row],[Column1]])</f>
        <v/>
      </c>
      <c r="C137" s="29" t="str">
        <f>IF(ISNONTEXT(node_raw[[#This Row],[Column2]]), "", node_raw[[#This Row],[Column2]])</f>
        <v/>
      </c>
      <c r="D137" s="62" t="str">
        <f>IF(ISNUMBER(node_raw[[#This Row],[Column3]]), node_raw[[#This Row],[Column3]],"")</f>
        <v/>
      </c>
      <c r="E137" s="65" t="str">
        <f>IF(ISNUMBER(node_raw[[#This Row],[Column4]]), node_raw[[#This Row],[Column4]]/1048576,"")</f>
        <v/>
      </c>
      <c r="F137" s="91" t="str">
        <f>IF(ISNUMBER(node_raw[[#This Row],[Column5]]), node_raw[[#This Row],[Column5]],"")</f>
        <v/>
      </c>
      <c r="G137" s="80" t="str">
        <f t="shared" si="4"/>
        <v/>
      </c>
      <c r="H137" s="81" t="str">
        <f>IF(ISNUMBER(node_raw[[#This Row],[Column6]]), node_raw[[#This Row],[Column6]]/1048576,"")</f>
        <v/>
      </c>
      <c r="I137" s="82" t="str">
        <f t="shared" si="5"/>
        <v/>
      </c>
      <c r="J137" s="83" t="str">
        <f>IF(ISNONTEXT(node_raw[[#This Row],[Column7]]), "", node_raw[[#This Row],[Column7]]/100)</f>
        <v/>
      </c>
      <c r="K137" s="84" t="str">
        <f>IF(ISNONTEXT(node_raw[[#This Row],[Column8]]), "", node_raw[[#This Row],[Column8]]/100)</f>
        <v/>
      </c>
      <c r="L137" s="85" t="str">
        <f>IF(ISNONTEXT(node_raw[[#This Row],[Column9]]), "", node_raw[[#This Row],[Column9]]/1)</f>
        <v/>
      </c>
      <c r="M137" s="86" t="str">
        <f>IF(ISNONTEXT(node_raw[[#This Row],[Column10]]), "", node_raw[[#This Row],[Column10]]/1)</f>
        <v/>
      </c>
    </row>
    <row r="138" spans="2:13" ht="15.75" customHeight="1" x14ac:dyDescent="0.25">
      <c r="B138" s="32" t="str">
        <f>IF(ISNONTEXT(node_raw[[#This Row],[Column1]]), "", node_raw[[#This Row],[Column1]])</f>
        <v/>
      </c>
      <c r="C138" s="29" t="str">
        <f>IF(ISNONTEXT(node_raw[[#This Row],[Column2]]), "", node_raw[[#This Row],[Column2]])</f>
        <v/>
      </c>
      <c r="D138" s="62" t="str">
        <f>IF(ISNUMBER(node_raw[[#This Row],[Column3]]), node_raw[[#This Row],[Column3]],"")</f>
        <v/>
      </c>
      <c r="E138" s="65" t="str">
        <f>IF(ISNUMBER(node_raw[[#This Row],[Column4]]), node_raw[[#This Row],[Column4]]/1048576,"")</f>
        <v/>
      </c>
      <c r="F138" s="91" t="str">
        <f>IF(ISNUMBER(node_raw[[#This Row],[Column5]]), node_raw[[#This Row],[Column5]],"")</f>
        <v/>
      </c>
      <c r="G138" s="80" t="str">
        <f t="shared" si="4"/>
        <v/>
      </c>
      <c r="H138" s="81" t="str">
        <f>IF(ISNUMBER(node_raw[[#This Row],[Column6]]), node_raw[[#This Row],[Column6]]/1048576,"")</f>
        <v/>
      </c>
      <c r="I138" s="82" t="str">
        <f t="shared" si="5"/>
        <v/>
      </c>
      <c r="J138" s="83" t="str">
        <f>IF(ISNONTEXT(node_raw[[#This Row],[Column7]]), "", node_raw[[#This Row],[Column7]]/100)</f>
        <v/>
      </c>
      <c r="K138" s="84" t="str">
        <f>IF(ISNONTEXT(node_raw[[#This Row],[Column8]]), "", node_raw[[#This Row],[Column8]]/100)</f>
        <v/>
      </c>
      <c r="L138" s="85" t="str">
        <f>IF(ISNONTEXT(node_raw[[#This Row],[Column9]]), "", node_raw[[#This Row],[Column9]]/1)</f>
        <v/>
      </c>
      <c r="M138" s="86" t="str">
        <f>IF(ISNONTEXT(node_raw[[#This Row],[Column10]]), "", node_raw[[#This Row],[Column10]]/1)</f>
        <v/>
      </c>
    </row>
    <row r="139" spans="2:13" ht="15.75" customHeight="1" x14ac:dyDescent="0.25">
      <c r="B139" s="32" t="str">
        <f>IF(ISNONTEXT(node_raw[[#This Row],[Column1]]), "", node_raw[[#This Row],[Column1]])</f>
        <v/>
      </c>
      <c r="C139" s="29" t="str">
        <f>IF(ISNONTEXT(node_raw[[#This Row],[Column2]]), "", node_raw[[#This Row],[Column2]])</f>
        <v/>
      </c>
      <c r="D139" s="62" t="str">
        <f>IF(ISNUMBER(node_raw[[#This Row],[Column3]]), node_raw[[#This Row],[Column3]],"")</f>
        <v/>
      </c>
      <c r="E139" s="65" t="str">
        <f>IF(ISNUMBER(node_raw[[#This Row],[Column4]]), node_raw[[#This Row],[Column4]]/1048576,"")</f>
        <v/>
      </c>
      <c r="F139" s="91" t="str">
        <f>IF(ISNUMBER(node_raw[[#This Row],[Column5]]), node_raw[[#This Row],[Column5]],"")</f>
        <v/>
      </c>
      <c r="G139" s="80" t="str">
        <f t="shared" si="4"/>
        <v/>
      </c>
      <c r="H139" s="81" t="str">
        <f>IF(ISNUMBER(node_raw[[#This Row],[Column6]]), node_raw[[#This Row],[Column6]]/1048576,"")</f>
        <v/>
      </c>
      <c r="I139" s="82" t="str">
        <f t="shared" si="5"/>
        <v/>
      </c>
      <c r="J139" s="83" t="str">
        <f>IF(ISNONTEXT(node_raw[[#This Row],[Column7]]), "", node_raw[[#This Row],[Column7]]/100)</f>
        <v/>
      </c>
      <c r="K139" s="84" t="str">
        <f>IF(ISNONTEXT(node_raw[[#This Row],[Column8]]), "", node_raw[[#This Row],[Column8]]/100)</f>
        <v/>
      </c>
      <c r="L139" s="85" t="str">
        <f>IF(ISNONTEXT(node_raw[[#This Row],[Column9]]), "", node_raw[[#This Row],[Column9]]/1)</f>
        <v/>
      </c>
      <c r="M139" s="86" t="str">
        <f>IF(ISNONTEXT(node_raw[[#This Row],[Column10]]), "", node_raw[[#This Row],[Column10]]/1)</f>
        <v/>
      </c>
    </row>
    <row r="140" spans="2:13" ht="15.75" customHeight="1" x14ac:dyDescent="0.25">
      <c r="B140" s="32" t="str">
        <f>IF(ISNONTEXT(node_raw[[#This Row],[Column1]]), "", node_raw[[#This Row],[Column1]])</f>
        <v/>
      </c>
      <c r="C140" s="29" t="str">
        <f>IF(ISNONTEXT(node_raw[[#This Row],[Column2]]), "", node_raw[[#This Row],[Column2]])</f>
        <v/>
      </c>
      <c r="D140" s="62" t="str">
        <f>IF(ISNUMBER(node_raw[[#This Row],[Column3]]), node_raw[[#This Row],[Column3]],"")</f>
        <v/>
      </c>
      <c r="E140" s="65" t="str">
        <f>IF(ISNUMBER(node_raw[[#This Row],[Column4]]), node_raw[[#This Row],[Column4]]/1048576,"")</f>
        <v/>
      </c>
      <c r="F140" s="91" t="str">
        <f>IF(ISNUMBER(node_raw[[#This Row],[Column5]]), node_raw[[#This Row],[Column5]],"")</f>
        <v/>
      </c>
      <c r="G140" s="80" t="str">
        <f t="shared" si="4"/>
        <v/>
      </c>
      <c r="H140" s="81" t="str">
        <f>IF(ISNUMBER(node_raw[[#This Row],[Column6]]), node_raw[[#This Row],[Column6]]/1048576,"")</f>
        <v/>
      </c>
      <c r="I140" s="82" t="str">
        <f t="shared" si="5"/>
        <v/>
      </c>
      <c r="J140" s="83" t="str">
        <f>IF(ISNONTEXT(node_raw[[#This Row],[Column7]]), "", node_raw[[#This Row],[Column7]]/100)</f>
        <v/>
      </c>
      <c r="K140" s="84" t="str">
        <f>IF(ISNONTEXT(node_raw[[#This Row],[Column8]]), "", node_raw[[#This Row],[Column8]]/100)</f>
        <v/>
      </c>
      <c r="L140" s="85" t="str">
        <f>IF(ISNONTEXT(node_raw[[#This Row],[Column9]]), "", node_raw[[#This Row],[Column9]]/1)</f>
        <v/>
      </c>
      <c r="M140" s="86" t="str">
        <f>IF(ISNONTEXT(node_raw[[#This Row],[Column10]]), "", node_raw[[#This Row],[Column10]]/1)</f>
        <v/>
      </c>
    </row>
    <row r="141" spans="2:13" ht="15.75" customHeight="1" x14ac:dyDescent="0.25">
      <c r="B141" s="32" t="str">
        <f>IF(ISNONTEXT(node_raw[[#This Row],[Column1]]), "", node_raw[[#This Row],[Column1]])</f>
        <v/>
      </c>
      <c r="C141" s="29" t="str">
        <f>IF(ISNONTEXT(node_raw[[#This Row],[Column2]]), "", node_raw[[#This Row],[Column2]])</f>
        <v/>
      </c>
      <c r="D141" s="62" t="str">
        <f>IF(ISNUMBER(node_raw[[#This Row],[Column3]]), node_raw[[#This Row],[Column3]],"")</f>
        <v/>
      </c>
      <c r="E141" s="65" t="str">
        <f>IF(ISNUMBER(node_raw[[#This Row],[Column4]]), node_raw[[#This Row],[Column4]]/1048576,"")</f>
        <v/>
      </c>
      <c r="F141" s="91" t="str">
        <f>IF(ISNUMBER(node_raw[[#This Row],[Column5]]), node_raw[[#This Row],[Column5]],"")</f>
        <v/>
      </c>
      <c r="G141" s="80" t="str">
        <f t="shared" si="4"/>
        <v/>
      </c>
      <c r="H141" s="81" t="str">
        <f>IF(ISNUMBER(node_raw[[#This Row],[Column6]]), node_raw[[#This Row],[Column6]]/1048576,"")</f>
        <v/>
      </c>
      <c r="I141" s="82" t="str">
        <f t="shared" si="5"/>
        <v/>
      </c>
      <c r="J141" s="83" t="str">
        <f>IF(ISNONTEXT(node_raw[[#This Row],[Column7]]), "", node_raw[[#This Row],[Column7]]/100)</f>
        <v/>
      </c>
      <c r="K141" s="84" t="str">
        <f>IF(ISNONTEXT(node_raw[[#This Row],[Column8]]), "", node_raw[[#This Row],[Column8]]/100)</f>
        <v/>
      </c>
      <c r="L141" s="85" t="str">
        <f>IF(ISNONTEXT(node_raw[[#This Row],[Column9]]), "", node_raw[[#This Row],[Column9]]/1)</f>
        <v/>
      </c>
      <c r="M141" s="86" t="str">
        <f>IF(ISNONTEXT(node_raw[[#This Row],[Column10]]), "", node_raw[[#This Row],[Column10]]/1)</f>
        <v/>
      </c>
    </row>
    <row r="142" spans="2:13" ht="15.75" customHeight="1" x14ac:dyDescent="0.25">
      <c r="B142" s="32" t="str">
        <f>IF(ISNONTEXT(node_raw[[#This Row],[Column1]]), "", node_raw[[#This Row],[Column1]])</f>
        <v/>
      </c>
      <c r="C142" s="29" t="str">
        <f>IF(ISNONTEXT(node_raw[[#This Row],[Column2]]), "", node_raw[[#This Row],[Column2]])</f>
        <v/>
      </c>
      <c r="D142" s="62" t="str">
        <f>IF(ISNUMBER(node_raw[[#This Row],[Column3]]), node_raw[[#This Row],[Column3]],"")</f>
        <v/>
      </c>
      <c r="E142" s="65" t="str">
        <f>IF(ISNUMBER(node_raw[[#This Row],[Column4]]), node_raw[[#This Row],[Column4]]/1048576,"")</f>
        <v/>
      </c>
      <c r="F142" s="91" t="str">
        <f>IF(ISNUMBER(node_raw[[#This Row],[Column5]]), node_raw[[#This Row],[Column5]],"")</f>
        <v/>
      </c>
      <c r="G142" s="80" t="str">
        <f t="shared" si="4"/>
        <v/>
      </c>
      <c r="H142" s="81" t="str">
        <f>IF(ISNUMBER(node_raw[[#This Row],[Column6]]), node_raw[[#This Row],[Column6]]/1048576,"")</f>
        <v/>
      </c>
      <c r="I142" s="82" t="str">
        <f t="shared" si="5"/>
        <v/>
      </c>
      <c r="J142" s="83" t="str">
        <f>IF(ISNONTEXT(node_raw[[#This Row],[Column7]]), "", node_raw[[#This Row],[Column7]]/100)</f>
        <v/>
      </c>
      <c r="K142" s="84" t="str">
        <f>IF(ISNONTEXT(node_raw[[#This Row],[Column8]]), "", node_raw[[#This Row],[Column8]]/100)</f>
        <v/>
      </c>
      <c r="L142" s="85" t="str">
        <f>IF(ISNONTEXT(node_raw[[#This Row],[Column9]]), "", node_raw[[#This Row],[Column9]]/1)</f>
        <v/>
      </c>
      <c r="M142" s="86" t="str">
        <f>IF(ISNONTEXT(node_raw[[#This Row],[Column10]]), "", node_raw[[#This Row],[Column10]]/1)</f>
        <v/>
      </c>
    </row>
    <row r="143" spans="2:13" ht="15.75" customHeight="1" x14ac:dyDescent="0.25">
      <c r="B143" s="32" t="str">
        <f>IF(ISNONTEXT(node_raw[[#This Row],[Column1]]), "", node_raw[[#This Row],[Column1]])</f>
        <v/>
      </c>
      <c r="C143" s="29" t="str">
        <f>IF(ISNONTEXT(node_raw[[#This Row],[Column2]]), "", node_raw[[#This Row],[Column2]])</f>
        <v/>
      </c>
      <c r="D143" s="62" t="str">
        <f>IF(ISNUMBER(node_raw[[#This Row],[Column3]]), node_raw[[#This Row],[Column3]],"")</f>
        <v/>
      </c>
      <c r="E143" s="65" t="str">
        <f>IF(ISNUMBER(node_raw[[#This Row],[Column4]]), node_raw[[#This Row],[Column4]]/1048576,"")</f>
        <v/>
      </c>
      <c r="F143" s="91" t="str">
        <f>IF(ISNUMBER(node_raw[[#This Row],[Column5]]), node_raw[[#This Row],[Column5]],"")</f>
        <v/>
      </c>
      <c r="G143" s="80" t="str">
        <f t="shared" si="4"/>
        <v/>
      </c>
      <c r="H143" s="81" t="str">
        <f>IF(ISNUMBER(node_raw[[#This Row],[Column6]]), node_raw[[#This Row],[Column6]]/1048576,"")</f>
        <v/>
      </c>
      <c r="I143" s="82" t="str">
        <f t="shared" si="5"/>
        <v/>
      </c>
      <c r="J143" s="83" t="str">
        <f>IF(ISNONTEXT(node_raw[[#This Row],[Column7]]), "", node_raw[[#This Row],[Column7]]/100)</f>
        <v/>
      </c>
      <c r="K143" s="84" t="str">
        <f>IF(ISNONTEXT(node_raw[[#This Row],[Column8]]), "", node_raw[[#This Row],[Column8]]/100)</f>
        <v/>
      </c>
      <c r="L143" s="85" t="str">
        <f>IF(ISNONTEXT(node_raw[[#This Row],[Column9]]), "", node_raw[[#This Row],[Column9]]/1)</f>
        <v/>
      </c>
      <c r="M143" s="86" t="str">
        <f>IF(ISNONTEXT(node_raw[[#This Row],[Column10]]), "", node_raw[[#This Row],[Column10]]/1)</f>
        <v/>
      </c>
    </row>
    <row r="144" spans="2:13" ht="15.75" customHeight="1" x14ac:dyDescent="0.25">
      <c r="B144" s="32" t="str">
        <f>IF(ISNONTEXT(node_raw[[#This Row],[Column1]]), "", node_raw[[#This Row],[Column1]])</f>
        <v/>
      </c>
      <c r="C144" s="29" t="str">
        <f>IF(ISNONTEXT(node_raw[[#This Row],[Column2]]), "", node_raw[[#This Row],[Column2]])</f>
        <v/>
      </c>
      <c r="D144" s="62" t="str">
        <f>IF(ISNUMBER(node_raw[[#This Row],[Column3]]), node_raw[[#This Row],[Column3]],"")</f>
        <v/>
      </c>
      <c r="E144" s="65" t="str">
        <f>IF(ISNUMBER(node_raw[[#This Row],[Column4]]), node_raw[[#This Row],[Column4]]/1048576,"")</f>
        <v/>
      </c>
      <c r="F144" s="91" t="str">
        <f>IF(ISNUMBER(node_raw[[#This Row],[Column5]]), node_raw[[#This Row],[Column5]],"")</f>
        <v/>
      </c>
      <c r="G144" s="80" t="str">
        <f t="shared" si="4"/>
        <v/>
      </c>
      <c r="H144" s="81" t="str">
        <f>IF(ISNUMBER(node_raw[[#This Row],[Column6]]), node_raw[[#This Row],[Column6]]/1048576,"")</f>
        <v/>
      </c>
      <c r="I144" s="82" t="str">
        <f t="shared" si="5"/>
        <v/>
      </c>
      <c r="J144" s="83" t="str">
        <f>IF(ISNONTEXT(node_raw[[#This Row],[Column7]]), "", node_raw[[#This Row],[Column7]]/100)</f>
        <v/>
      </c>
      <c r="K144" s="84" t="str">
        <f>IF(ISNONTEXT(node_raw[[#This Row],[Column8]]), "", node_raw[[#This Row],[Column8]]/100)</f>
        <v/>
      </c>
      <c r="L144" s="85" t="str">
        <f>IF(ISNONTEXT(node_raw[[#This Row],[Column9]]), "", node_raw[[#This Row],[Column9]]/1)</f>
        <v/>
      </c>
      <c r="M144" s="86" t="str">
        <f>IF(ISNONTEXT(node_raw[[#This Row],[Column10]]), "", node_raw[[#This Row],[Column10]]/1)</f>
        <v/>
      </c>
    </row>
    <row r="145" spans="2:13" ht="15.75" customHeight="1" x14ac:dyDescent="0.25">
      <c r="B145" s="32" t="str">
        <f>IF(ISNONTEXT(node_raw[[#This Row],[Column1]]), "", node_raw[[#This Row],[Column1]])</f>
        <v/>
      </c>
      <c r="C145" s="29" t="str">
        <f>IF(ISNONTEXT(node_raw[[#This Row],[Column2]]), "", node_raw[[#This Row],[Column2]])</f>
        <v/>
      </c>
      <c r="D145" s="62" t="str">
        <f>IF(ISNUMBER(node_raw[[#This Row],[Column3]]), node_raw[[#This Row],[Column3]],"")</f>
        <v/>
      </c>
      <c r="E145" s="65" t="str">
        <f>IF(ISNUMBER(node_raw[[#This Row],[Column4]]), node_raw[[#This Row],[Column4]]/1048576,"")</f>
        <v/>
      </c>
      <c r="F145" s="91" t="str">
        <f>IF(ISNUMBER(node_raw[[#This Row],[Column5]]), node_raw[[#This Row],[Column5]],"")</f>
        <v/>
      </c>
      <c r="G145" s="80" t="str">
        <f t="shared" si="4"/>
        <v/>
      </c>
      <c r="H145" s="81" t="str">
        <f>IF(ISNUMBER(node_raw[[#This Row],[Column6]]), node_raw[[#This Row],[Column6]]/1048576,"")</f>
        <v/>
      </c>
      <c r="I145" s="82" t="str">
        <f t="shared" si="5"/>
        <v/>
      </c>
      <c r="J145" s="83" t="str">
        <f>IF(ISNONTEXT(node_raw[[#This Row],[Column7]]), "", node_raw[[#This Row],[Column7]]/100)</f>
        <v/>
      </c>
      <c r="K145" s="84" t="str">
        <f>IF(ISNONTEXT(node_raw[[#This Row],[Column8]]), "", node_raw[[#This Row],[Column8]]/100)</f>
        <v/>
      </c>
      <c r="L145" s="85" t="str">
        <f>IF(ISNONTEXT(node_raw[[#This Row],[Column9]]), "", node_raw[[#This Row],[Column9]]/1)</f>
        <v/>
      </c>
      <c r="M145" s="86" t="str">
        <f>IF(ISNONTEXT(node_raw[[#This Row],[Column10]]), "", node_raw[[#This Row],[Column10]]/1)</f>
        <v/>
      </c>
    </row>
    <row r="146" spans="2:13" ht="15.75" customHeight="1" x14ac:dyDescent="0.25">
      <c r="B146" s="32" t="str">
        <f>IF(ISNONTEXT(node_raw[[#This Row],[Column1]]), "", node_raw[[#This Row],[Column1]])</f>
        <v/>
      </c>
      <c r="C146" s="29" t="str">
        <f>IF(ISNONTEXT(node_raw[[#This Row],[Column2]]), "", node_raw[[#This Row],[Column2]])</f>
        <v/>
      </c>
      <c r="D146" s="62" t="str">
        <f>IF(ISNUMBER(node_raw[[#This Row],[Column3]]), node_raw[[#This Row],[Column3]],"")</f>
        <v/>
      </c>
      <c r="E146" s="65" t="str">
        <f>IF(ISNUMBER(node_raw[[#This Row],[Column4]]), node_raw[[#This Row],[Column4]]/1048576,"")</f>
        <v/>
      </c>
      <c r="F146" s="91" t="str">
        <f>IF(ISNUMBER(node_raw[[#This Row],[Column5]]), node_raw[[#This Row],[Column5]],"")</f>
        <v/>
      </c>
      <c r="G146" s="80" t="str">
        <f t="shared" si="4"/>
        <v/>
      </c>
      <c r="H146" s="81" t="str">
        <f>IF(ISNUMBER(node_raw[[#This Row],[Column6]]), node_raw[[#This Row],[Column6]]/1048576,"")</f>
        <v/>
      </c>
      <c r="I146" s="82" t="str">
        <f t="shared" si="5"/>
        <v/>
      </c>
      <c r="J146" s="83" t="str">
        <f>IF(ISNONTEXT(node_raw[[#This Row],[Column7]]), "", node_raw[[#This Row],[Column7]]/100)</f>
        <v/>
      </c>
      <c r="K146" s="84" t="str">
        <f>IF(ISNONTEXT(node_raw[[#This Row],[Column8]]), "", node_raw[[#This Row],[Column8]]/100)</f>
        <v/>
      </c>
      <c r="L146" s="85" t="str">
        <f>IF(ISNONTEXT(node_raw[[#This Row],[Column9]]), "", node_raw[[#This Row],[Column9]]/1)</f>
        <v/>
      </c>
      <c r="M146" s="86" t="str">
        <f>IF(ISNONTEXT(node_raw[[#This Row],[Column10]]), "", node_raw[[#This Row],[Column10]]/1)</f>
        <v/>
      </c>
    </row>
    <row r="147" spans="2:13" ht="15.75" customHeight="1" x14ac:dyDescent="0.25">
      <c r="B147" s="32" t="str">
        <f>IF(ISNONTEXT(node_raw[[#This Row],[Column1]]), "", node_raw[[#This Row],[Column1]])</f>
        <v/>
      </c>
      <c r="C147" s="29" t="str">
        <f>IF(ISNONTEXT(node_raw[[#This Row],[Column2]]), "", node_raw[[#This Row],[Column2]])</f>
        <v/>
      </c>
      <c r="D147" s="62" t="str">
        <f>IF(ISNUMBER(node_raw[[#This Row],[Column3]]), node_raw[[#This Row],[Column3]],"")</f>
        <v/>
      </c>
      <c r="E147" s="65" t="str">
        <f>IF(ISNUMBER(node_raw[[#This Row],[Column4]]), node_raw[[#This Row],[Column4]]/1048576,"")</f>
        <v/>
      </c>
      <c r="F147" s="91" t="str">
        <f>IF(ISNUMBER(node_raw[[#This Row],[Column5]]), node_raw[[#This Row],[Column5]],"")</f>
        <v/>
      </c>
      <c r="G147" s="80" t="str">
        <f t="shared" si="4"/>
        <v/>
      </c>
      <c r="H147" s="81" t="str">
        <f>IF(ISNUMBER(node_raw[[#This Row],[Column6]]), node_raw[[#This Row],[Column6]]/1048576,"")</f>
        <v/>
      </c>
      <c r="I147" s="82" t="str">
        <f t="shared" si="5"/>
        <v/>
      </c>
      <c r="J147" s="83" t="str">
        <f>IF(ISNONTEXT(node_raw[[#This Row],[Column7]]), "", node_raw[[#This Row],[Column7]]/100)</f>
        <v/>
      </c>
      <c r="K147" s="84" t="str">
        <f>IF(ISNONTEXT(node_raw[[#This Row],[Column8]]), "", node_raw[[#This Row],[Column8]]/100)</f>
        <v/>
      </c>
      <c r="L147" s="85" t="str">
        <f>IF(ISNONTEXT(node_raw[[#This Row],[Column9]]), "", node_raw[[#This Row],[Column9]]/1)</f>
        <v/>
      </c>
      <c r="M147" s="86" t="str">
        <f>IF(ISNONTEXT(node_raw[[#This Row],[Column10]]), "", node_raw[[#This Row],[Column10]]/1)</f>
        <v/>
      </c>
    </row>
    <row r="148" spans="2:13" ht="15.75" customHeight="1" x14ac:dyDescent="0.25">
      <c r="B148" s="32" t="str">
        <f>IF(ISNONTEXT(node_raw[[#This Row],[Column1]]), "", node_raw[[#This Row],[Column1]])</f>
        <v/>
      </c>
      <c r="C148" s="29" t="str">
        <f>IF(ISNONTEXT(node_raw[[#This Row],[Column2]]), "", node_raw[[#This Row],[Column2]])</f>
        <v/>
      </c>
      <c r="D148" s="62" t="str">
        <f>IF(ISNUMBER(node_raw[[#This Row],[Column3]]), node_raw[[#This Row],[Column3]],"")</f>
        <v/>
      </c>
      <c r="E148" s="65" t="str">
        <f>IF(ISNUMBER(node_raw[[#This Row],[Column4]]), node_raw[[#This Row],[Column4]]/1048576,"")</f>
        <v/>
      </c>
      <c r="F148" s="91" t="str">
        <f>IF(ISNUMBER(node_raw[[#This Row],[Column5]]), node_raw[[#This Row],[Column5]],"")</f>
        <v/>
      </c>
      <c r="G148" s="80" t="str">
        <f t="shared" si="4"/>
        <v/>
      </c>
      <c r="H148" s="81" t="str">
        <f>IF(ISNUMBER(node_raw[[#This Row],[Column6]]), node_raw[[#This Row],[Column6]]/1048576,"")</f>
        <v/>
      </c>
      <c r="I148" s="82" t="str">
        <f t="shared" si="5"/>
        <v/>
      </c>
      <c r="J148" s="83" t="str">
        <f>IF(ISNONTEXT(node_raw[[#This Row],[Column7]]), "", node_raw[[#This Row],[Column7]]/100)</f>
        <v/>
      </c>
      <c r="K148" s="84" t="str">
        <f>IF(ISNONTEXT(node_raw[[#This Row],[Column8]]), "", node_raw[[#This Row],[Column8]]/100)</f>
        <v/>
      </c>
      <c r="L148" s="85" t="str">
        <f>IF(ISNONTEXT(node_raw[[#This Row],[Column9]]), "", node_raw[[#This Row],[Column9]]/1)</f>
        <v/>
      </c>
      <c r="M148" s="86" t="str">
        <f>IF(ISNONTEXT(node_raw[[#This Row],[Column10]]), "", node_raw[[#This Row],[Column10]]/1)</f>
        <v/>
      </c>
    </row>
    <row r="149" spans="2:13" ht="15.75" customHeight="1" x14ac:dyDescent="0.25">
      <c r="B149" s="32" t="str">
        <f>IF(ISNONTEXT(node_raw[[#This Row],[Column1]]), "", node_raw[[#This Row],[Column1]])</f>
        <v/>
      </c>
      <c r="C149" s="29" t="str">
        <f>IF(ISNONTEXT(node_raw[[#This Row],[Column2]]), "", node_raw[[#This Row],[Column2]])</f>
        <v/>
      </c>
      <c r="D149" s="62" t="str">
        <f>IF(ISNUMBER(node_raw[[#This Row],[Column3]]), node_raw[[#This Row],[Column3]],"")</f>
        <v/>
      </c>
      <c r="E149" s="65" t="str">
        <f>IF(ISNUMBER(node_raw[[#This Row],[Column4]]), node_raw[[#This Row],[Column4]]/1048576,"")</f>
        <v/>
      </c>
      <c r="F149" s="91" t="str">
        <f>IF(ISNUMBER(node_raw[[#This Row],[Column5]]), node_raw[[#This Row],[Column5]],"")</f>
        <v/>
      </c>
      <c r="G149" s="80" t="str">
        <f t="shared" si="4"/>
        <v/>
      </c>
      <c r="H149" s="81" t="str">
        <f>IF(ISNUMBER(node_raw[[#This Row],[Column6]]), node_raw[[#This Row],[Column6]]/1048576,"")</f>
        <v/>
      </c>
      <c r="I149" s="82" t="str">
        <f t="shared" si="5"/>
        <v/>
      </c>
      <c r="J149" s="83" t="str">
        <f>IF(ISNONTEXT(node_raw[[#This Row],[Column7]]), "", node_raw[[#This Row],[Column7]]/100)</f>
        <v/>
      </c>
      <c r="K149" s="84" t="str">
        <f>IF(ISNONTEXT(node_raw[[#This Row],[Column8]]), "", node_raw[[#This Row],[Column8]]/100)</f>
        <v/>
      </c>
      <c r="L149" s="85" t="str">
        <f>IF(ISNONTEXT(node_raw[[#This Row],[Column9]]), "", node_raw[[#This Row],[Column9]]/1)</f>
        <v/>
      </c>
      <c r="M149" s="86" t="str">
        <f>IF(ISNONTEXT(node_raw[[#This Row],[Column10]]), "", node_raw[[#This Row],[Column10]]/1)</f>
        <v/>
      </c>
    </row>
    <row r="150" spans="2:13" ht="15.75" customHeight="1" x14ac:dyDescent="0.25">
      <c r="B150" s="32" t="str">
        <f>IF(ISNONTEXT(node_raw[[#This Row],[Column1]]), "", node_raw[[#This Row],[Column1]])</f>
        <v/>
      </c>
      <c r="C150" s="29" t="str">
        <f>IF(ISNONTEXT(node_raw[[#This Row],[Column2]]), "", node_raw[[#This Row],[Column2]])</f>
        <v/>
      </c>
      <c r="D150" s="62" t="str">
        <f>IF(ISNUMBER(node_raw[[#This Row],[Column3]]), node_raw[[#This Row],[Column3]],"")</f>
        <v/>
      </c>
      <c r="E150" s="65" t="str">
        <f>IF(ISNUMBER(node_raw[[#This Row],[Column4]]), node_raw[[#This Row],[Column4]]/1048576,"")</f>
        <v/>
      </c>
      <c r="F150" s="91" t="str">
        <f>IF(ISNUMBER(node_raw[[#This Row],[Column5]]), node_raw[[#This Row],[Column5]],"")</f>
        <v/>
      </c>
      <c r="G150" s="80" t="str">
        <f t="shared" si="4"/>
        <v/>
      </c>
      <c r="H150" s="81" t="str">
        <f>IF(ISNUMBER(node_raw[[#This Row],[Column6]]), node_raw[[#This Row],[Column6]]/1048576,"")</f>
        <v/>
      </c>
      <c r="I150" s="82" t="str">
        <f t="shared" si="5"/>
        <v/>
      </c>
      <c r="J150" s="83" t="str">
        <f>IF(ISNONTEXT(node_raw[[#This Row],[Column7]]), "", node_raw[[#This Row],[Column7]]/100)</f>
        <v/>
      </c>
      <c r="K150" s="84" t="str">
        <f>IF(ISNONTEXT(node_raw[[#This Row],[Column8]]), "", node_raw[[#This Row],[Column8]]/100)</f>
        <v/>
      </c>
      <c r="L150" s="85" t="str">
        <f>IF(ISNONTEXT(node_raw[[#This Row],[Column9]]), "", node_raw[[#This Row],[Column9]]/1)</f>
        <v/>
      </c>
      <c r="M150" s="86" t="str">
        <f>IF(ISNONTEXT(node_raw[[#This Row],[Column10]]), "", node_raw[[#This Row],[Column10]]/1)</f>
        <v/>
      </c>
    </row>
    <row r="151" spans="2:13" ht="15.75" customHeight="1" x14ac:dyDescent="0.25">
      <c r="B151" s="32" t="str">
        <f>IF(ISNONTEXT(node_raw[[#This Row],[Column1]]), "", node_raw[[#This Row],[Column1]])</f>
        <v/>
      </c>
      <c r="C151" s="29" t="str">
        <f>IF(ISNONTEXT(node_raw[[#This Row],[Column2]]), "", node_raw[[#This Row],[Column2]])</f>
        <v/>
      </c>
      <c r="D151" s="62" t="str">
        <f>IF(ISNUMBER(node_raw[[#This Row],[Column3]]), node_raw[[#This Row],[Column3]],"")</f>
        <v/>
      </c>
      <c r="E151" s="65" t="str">
        <f>IF(ISNUMBER(node_raw[[#This Row],[Column4]]), node_raw[[#This Row],[Column4]]/1048576,"")</f>
        <v/>
      </c>
      <c r="F151" s="91" t="str">
        <f>IF(ISNUMBER(node_raw[[#This Row],[Column5]]), node_raw[[#This Row],[Column5]],"")</f>
        <v/>
      </c>
      <c r="G151" s="80" t="str">
        <f t="shared" si="4"/>
        <v/>
      </c>
      <c r="H151" s="81" t="str">
        <f>IF(ISNUMBER(node_raw[[#This Row],[Column6]]), node_raw[[#This Row],[Column6]]/1048576,"")</f>
        <v/>
      </c>
      <c r="I151" s="82" t="str">
        <f t="shared" si="5"/>
        <v/>
      </c>
      <c r="J151" s="83" t="str">
        <f>IF(ISNONTEXT(node_raw[[#This Row],[Column7]]), "", node_raw[[#This Row],[Column7]]/100)</f>
        <v/>
      </c>
      <c r="K151" s="84" t="str">
        <f>IF(ISNONTEXT(node_raw[[#This Row],[Column8]]), "", node_raw[[#This Row],[Column8]]/100)</f>
        <v/>
      </c>
      <c r="L151" s="85" t="str">
        <f>IF(ISNONTEXT(node_raw[[#This Row],[Column9]]), "", node_raw[[#This Row],[Column9]]/1)</f>
        <v/>
      </c>
      <c r="M151" s="86" t="str">
        <f>IF(ISNONTEXT(node_raw[[#This Row],[Column10]]), "", node_raw[[#This Row],[Column10]]/1)</f>
        <v/>
      </c>
    </row>
    <row r="152" spans="2:13" ht="15.75" customHeight="1" x14ac:dyDescent="0.25">
      <c r="B152" s="32" t="str">
        <f>IF(ISNONTEXT(node_raw[[#This Row],[Column1]]), "", node_raw[[#This Row],[Column1]])</f>
        <v/>
      </c>
      <c r="C152" s="29" t="str">
        <f>IF(ISNONTEXT(node_raw[[#This Row],[Column2]]), "", node_raw[[#This Row],[Column2]])</f>
        <v/>
      </c>
      <c r="D152" s="62" t="str">
        <f>IF(ISNUMBER(node_raw[[#This Row],[Column3]]), node_raw[[#This Row],[Column3]],"")</f>
        <v/>
      </c>
      <c r="E152" s="65" t="str">
        <f>IF(ISNUMBER(node_raw[[#This Row],[Column4]]), node_raw[[#This Row],[Column4]]/1048576,"")</f>
        <v/>
      </c>
      <c r="F152" s="91" t="str">
        <f>IF(ISNUMBER(node_raw[[#This Row],[Column5]]), node_raw[[#This Row],[Column5]],"")</f>
        <v/>
      </c>
      <c r="G152" s="80" t="str">
        <f t="shared" si="4"/>
        <v/>
      </c>
      <c r="H152" s="81" t="str">
        <f>IF(ISNUMBER(node_raw[[#This Row],[Column6]]), node_raw[[#This Row],[Column6]]/1048576,"")</f>
        <v/>
      </c>
      <c r="I152" s="82" t="str">
        <f t="shared" si="5"/>
        <v/>
      </c>
      <c r="J152" s="83" t="str">
        <f>IF(ISNONTEXT(node_raw[[#This Row],[Column7]]), "", node_raw[[#This Row],[Column7]]/100)</f>
        <v/>
      </c>
      <c r="K152" s="84" t="str">
        <f>IF(ISNONTEXT(node_raw[[#This Row],[Column8]]), "", node_raw[[#This Row],[Column8]]/100)</f>
        <v/>
      </c>
      <c r="L152" s="85" t="str">
        <f>IF(ISNONTEXT(node_raw[[#This Row],[Column9]]), "", node_raw[[#This Row],[Column9]]/1)</f>
        <v/>
      </c>
      <c r="M152" s="86" t="str">
        <f>IF(ISNONTEXT(node_raw[[#This Row],[Column10]]), "", node_raw[[#This Row],[Column10]]/1)</f>
        <v/>
      </c>
    </row>
    <row r="153" spans="2:13" ht="15.75" customHeight="1" x14ac:dyDescent="0.25">
      <c r="B153" s="32" t="str">
        <f>IF(ISNONTEXT(node_raw[[#This Row],[Column1]]), "", node_raw[[#This Row],[Column1]])</f>
        <v/>
      </c>
      <c r="C153" s="29" t="str">
        <f>IF(ISNONTEXT(node_raw[[#This Row],[Column2]]), "", node_raw[[#This Row],[Column2]])</f>
        <v/>
      </c>
      <c r="D153" s="62" t="str">
        <f>IF(ISNUMBER(node_raw[[#This Row],[Column3]]), node_raw[[#This Row],[Column3]],"")</f>
        <v/>
      </c>
      <c r="E153" s="65" t="str">
        <f>IF(ISNUMBER(node_raw[[#This Row],[Column4]]), node_raw[[#This Row],[Column4]]/1048576,"")</f>
        <v/>
      </c>
      <c r="F153" s="91" t="str">
        <f>IF(ISNUMBER(node_raw[[#This Row],[Column5]]), node_raw[[#This Row],[Column5]],"")</f>
        <v/>
      </c>
      <c r="G153" s="80" t="str">
        <f t="shared" si="4"/>
        <v/>
      </c>
      <c r="H153" s="81" t="str">
        <f>IF(ISNUMBER(node_raw[[#This Row],[Column6]]), node_raw[[#This Row],[Column6]]/1048576,"")</f>
        <v/>
      </c>
      <c r="I153" s="82" t="str">
        <f t="shared" si="5"/>
        <v/>
      </c>
      <c r="J153" s="83" t="str">
        <f>IF(ISNONTEXT(node_raw[[#This Row],[Column7]]), "", node_raw[[#This Row],[Column7]]/100)</f>
        <v/>
      </c>
      <c r="K153" s="84" t="str">
        <f>IF(ISNONTEXT(node_raw[[#This Row],[Column8]]), "", node_raw[[#This Row],[Column8]]/100)</f>
        <v/>
      </c>
      <c r="L153" s="85" t="str">
        <f>IF(ISNONTEXT(node_raw[[#This Row],[Column9]]), "", node_raw[[#This Row],[Column9]]/1)</f>
        <v/>
      </c>
      <c r="M153" s="86" t="str">
        <f>IF(ISNONTEXT(node_raw[[#This Row],[Column10]]), "", node_raw[[#This Row],[Column10]]/1)</f>
        <v/>
      </c>
    </row>
    <row r="154" spans="2:13" ht="15.75" customHeight="1" x14ac:dyDescent="0.25">
      <c r="B154" s="32" t="str">
        <f>IF(ISNONTEXT(node_raw[[#This Row],[Column1]]), "", node_raw[[#This Row],[Column1]])</f>
        <v/>
      </c>
      <c r="C154" s="29" t="str">
        <f>IF(ISNONTEXT(node_raw[[#This Row],[Column2]]), "", node_raw[[#This Row],[Column2]])</f>
        <v/>
      </c>
      <c r="D154" s="62" t="str">
        <f>IF(ISNUMBER(node_raw[[#This Row],[Column3]]), node_raw[[#This Row],[Column3]],"")</f>
        <v/>
      </c>
      <c r="E154" s="65" t="str">
        <f>IF(ISNUMBER(node_raw[[#This Row],[Column4]]), node_raw[[#This Row],[Column4]]/1048576,"")</f>
        <v/>
      </c>
      <c r="F154" s="91" t="str">
        <f>IF(ISNUMBER(node_raw[[#This Row],[Column5]]), node_raw[[#This Row],[Column5]],"")</f>
        <v/>
      </c>
      <c r="G154" s="80" t="str">
        <f t="shared" si="4"/>
        <v/>
      </c>
      <c r="H154" s="81" t="str">
        <f>IF(ISNUMBER(node_raw[[#This Row],[Column6]]), node_raw[[#This Row],[Column6]]/1048576,"")</f>
        <v/>
      </c>
      <c r="I154" s="82" t="str">
        <f t="shared" si="5"/>
        <v/>
      </c>
      <c r="J154" s="83" t="str">
        <f>IF(ISNONTEXT(node_raw[[#This Row],[Column7]]), "", node_raw[[#This Row],[Column7]]/100)</f>
        <v/>
      </c>
      <c r="K154" s="84" t="str">
        <f>IF(ISNONTEXT(node_raw[[#This Row],[Column8]]), "", node_raw[[#This Row],[Column8]]/100)</f>
        <v/>
      </c>
      <c r="L154" s="85" t="str">
        <f>IF(ISNONTEXT(node_raw[[#This Row],[Column9]]), "", node_raw[[#This Row],[Column9]]/1)</f>
        <v/>
      </c>
      <c r="M154" s="86" t="str">
        <f>IF(ISNONTEXT(node_raw[[#This Row],[Column10]]), "", node_raw[[#This Row],[Column10]]/1)</f>
        <v/>
      </c>
    </row>
    <row r="155" spans="2:13" ht="15.75" customHeight="1" x14ac:dyDescent="0.25">
      <c r="B155" s="32" t="str">
        <f>IF(ISNONTEXT(node_raw[[#This Row],[Column1]]), "", node_raw[[#This Row],[Column1]])</f>
        <v/>
      </c>
      <c r="C155" s="29" t="str">
        <f>IF(ISNONTEXT(node_raw[[#This Row],[Column2]]), "", node_raw[[#This Row],[Column2]])</f>
        <v/>
      </c>
      <c r="D155" s="62" t="str">
        <f>IF(ISNUMBER(node_raw[[#This Row],[Column3]]), node_raw[[#This Row],[Column3]],"")</f>
        <v/>
      </c>
      <c r="E155" s="65" t="str">
        <f>IF(ISNUMBER(node_raw[[#This Row],[Column4]]), node_raw[[#This Row],[Column4]]/1048576,"")</f>
        <v/>
      </c>
      <c r="F155" s="91" t="str">
        <f>IF(ISNUMBER(node_raw[[#This Row],[Column5]]), node_raw[[#This Row],[Column5]],"")</f>
        <v/>
      </c>
      <c r="G155" s="80" t="str">
        <f t="shared" si="4"/>
        <v/>
      </c>
      <c r="H155" s="81" t="str">
        <f>IF(ISNUMBER(node_raw[[#This Row],[Column6]]), node_raw[[#This Row],[Column6]]/1048576,"")</f>
        <v/>
      </c>
      <c r="I155" s="82" t="str">
        <f t="shared" si="5"/>
        <v/>
      </c>
      <c r="J155" s="83" t="str">
        <f>IF(ISNONTEXT(node_raw[[#This Row],[Column7]]), "", node_raw[[#This Row],[Column7]]/100)</f>
        <v/>
      </c>
      <c r="K155" s="84" t="str">
        <f>IF(ISNONTEXT(node_raw[[#This Row],[Column8]]), "", node_raw[[#This Row],[Column8]]/100)</f>
        <v/>
      </c>
      <c r="L155" s="85" t="str">
        <f>IF(ISNONTEXT(node_raw[[#This Row],[Column9]]), "", node_raw[[#This Row],[Column9]]/1)</f>
        <v/>
      </c>
      <c r="M155" s="86" t="str">
        <f>IF(ISNONTEXT(node_raw[[#This Row],[Column10]]), "", node_raw[[#This Row],[Column10]]/1)</f>
        <v/>
      </c>
    </row>
    <row r="156" spans="2:13" ht="15.75" customHeight="1" x14ac:dyDescent="0.25">
      <c r="B156" s="32" t="str">
        <f>IF(ISNONTEXT(node_raw[[#This Row],[Column1]]), "", node_raw[[#This Row],[Column1]])</f>
        <v/>
      </c>
      <c r="C156" s="29" t="str">
        <f>IF(ISNONTEXT(node_raw[[#This Row],[Column2]]), "", node_raw[[#This Row],[Column2]])</f>
        <v/>
      </c>
      <c r="D156" s="62" t="str">
        <f>IF(ISNUMBER(node_raw[[#This Row],[Column3]]), node_raw[[#This Row],[Column3]],"")</f>
        <v/>
      </c>
      <c r="E156" s="65" t="str">
        <f>IF(ISNUMBER(node_raw[[#This Row],[Column4]]), node_raw[[#This Row],[Column4]]/1048576,"")</f>
        <v/>
      </c>
      <c r="F156" s="91" t="str">
        <f>IF(ISNUMBER(node_raw[[#This Row],[Column5]]), node_raw[[#This Row],[Column5]],"")</f>
        <v/>
      </c>
      <c r="G156" s="80" t="str">
        <f t="shared" si="4"/>
        <v/>
      </c>
      <c r="H156" s="81" t="str">
        <f>IF(ISNUMBER(node_raw[[#This Row],[Column6]]), node_raw[[#This Row],[Column6]]/1048576,"")</f>
        <v/>
      </c>
      <c r="I156" s="82" t="str">
        <f t="shared" si="5"/>
        <v/>
      </c>
      <c r="J156" s="83" t="str">
        <f>IF(ISNONTEXT(node_raw[[#This Row],[Column7]]), "", node_raw[[#This Row],[Column7]]/100)</f>
        <v/>
      </c>
      <c r="K156" s="84" t="str">
        <f>IF(ISNONTEXT(node_raw[[#This Row],[Column8]]), "", node_raw[[#This Row],[Column8]]/100)</f>
        <v/>
      </c>
      <c r="L156" s="85" t="str">
        <f>IF(ISNONTEXT(node_raw[[#This Row],[Column9]]), "", node_raw[[#This Row],[Column9]]/1)</f>
        <v/>
      </c>
      <c r="M156" s="86" t="str">
        <f>IF(ISNONTEXT(node_raw[[#This Row],[Column10]]), "", node_raw[[#This Row],[Column10]]/1)</f>
        <v/>
      </c>
    </row>
    <row r="157" spans="2:13" ht="15.75" customHeight="1" x14ac:dyDescent="0.25">
      <c r="B157" s="32" t="str">
        <f>IF(ISNONTEXT(node_raw[[#This Row],[Column1]]), "", node_raw[[#This Row],[Column1]])</f>
        <v/>
      </c>
      <c r="C157" s="29" t="str">
        <f>IF(ISNONTEXT(node_raw[[#This Row],[Column2]]), "", node_raw[[#This Row],[Column2]])</f>
        <v/>
      </c>
      <c r="D157" s="62" t="str">
        <f>IF(ISNUMBER(node_raw[[#This Row],[Column3]]), node_raw[[#This Row],[Column3]],"")</f>
        <v/>
      </c>
      <c r="E157" s="65" t="str">
        <f>IF(ISNUMBER(node_raw[[#This Row],[Column4]]), node_raw[[#This Row],[Column4]]/1048576,"")</f>
        <v/>
      </c>
      <c r="F157" s="91" t="str">
        <f>IF(ISNUMBER(node_raw[[#This Row],[Column5]]), node_raw[[#This Row],[Column5]],"")</f>
        <v/>
      </c>
      <c r="G157" s="80" t="str">
        <f t="shared" si="4"/>
        <v/>
      </c>
      <c r="H157" s="81" t="str">
        <f>IF(ISNUMBER(node_raw[[#This Row],[Column6]]), node_raw[[#This Row],[Column6]]/1048576,"")</f>
        <v/>
      </c>
      <c r="I157" s="82" t="str">
        <f t="shared" si="5"/>
        <v/>
      </c>
      <c r="J157" s="83" t="str">
        <f>IF(ISNONTEXT(node_raw[[#This Row],[Column7]]), "", node_raw[[#This Row],[Column7]]/100)</f>
        <v/>
      </c>
      <c r="K157" s="84" t="str">
        <f>IF(ISNONTEXT(node_raw[[#This Row],[Column8]]), "", node_raw[[#This Row],[Column8]]/100)</f>
        <v/>
      </c>
      <c r="L157" s="85" t="str">
        <f>IF(ISNONTEXT(node_raw[[#This Row],[Column9]]), "", node_raw[[#This Row],[Column9]]/1)</f>
        <v/>
      </c>
      <c r="M157" s="86" t="str">
        <f>IF(ISNONTEXT(node_raw[[#This Row],[Column10]]), "", node_raw[[#This Row],[Column10]]/1)</f>
        <v/>
      </c>
    </row>
    <row r="158" spans="2:13" ht="15.75" customHeight="1" x14ac:dyDescent="0.25">
      <c r="B158" s="32" t="str">
        <f>IF(ISNONTEXT(node_raw[[#This Row],[Column1]]), "", node_raw[[#This Row],[Column1]])</f>
        <v/>
      </c>
      <c r="C158" s="29" t="str">
        <f>IF(ISNONTEXT(node_raw[[#This Row],[Column2]]), "", node_raw[[#This Row],[Column2]])</f>
        <v/>
      </c>
      <c r="D158" s="62" t="str">
        <f>IF(ISNUMBER(node_raw[[#This Row],[Column3]]), node_raw[[#This Row],[Column3]],"")</f>
        <v/>
      </c>
      <c r="E158" s="65" t="str">
        <f>IF(ISNUMBER(node_raw[[#This Row],[Column4]]), node_raw[[#This Row],[Column4]]/1048576,"")</f>
        <v/>
      </c>
      <c r="F158" s="91" t="str">
        <f>IF(ISNUMBER(node_raw[[#This Row],[Column5]]), node_raw[[#This Row],[Column5]],"")</f>
        <v/>
      </c>
      <c r="G158" s="80" t="str">
        <f t="shared" si="4"/>
        <v/>
      </c>
      <c r="H158" s="81" t="str">
        <f>IF(ISNUMBER(node_raw[[#This Row],[Column6]]), node_raw[[#This Row],[Column6]]/1048576,"")</f>
        <v/>
      </c>
      <c r="I158" s="82" t="str">
        <f t="shared" si="5"/>
        <v/>
      </c>
      <c r="J158" s="83" t="str">
        <f>IF(ISNONTEXT(node_raw[[#This Row],[Column7]]), "", node_raw[[#This Row],[Column7]]/100)</f>
        <v/>
      </c>
      <c r="K158" s="84" t="str">
        <f>IF(ISNONTEXT(node_raw[[#This Row],[Column8]]), "", node_raw[[#This Row],[Column8]]/100)</f>
        <v/>
      </c>
      <c r="L158" s="85" t="str">
        <f>IF(ISNONTEXT(node_raw[[#This Row],[Column9]]), "", node_raw[[#This Row],[Column9]]/1)</f>
        <v/>
      </c>
      <c r="M158" s="86" t="str">
        <f>IF(ISNONTEXT(node_raw[[#This Row],[Column10]]), "", node_raw[[#This Row],[Column10]]/1)</f>
        <v/>
      </c>
    </row>
    <row r="159" spans="2:13" ht="15.75" customHeight="1" x14ac:dyDescent="0.25">
      <c r="B159" s="32" t="str">
        <f>IF(ISNONTEXT(node_raw[[#This Row],[Column1]]), "", node_raw[[#This Row],[Column1]])</f>
        <v/>
      </c>
      <c r="C159" s="29" t="str">
        <f>IF(ISNONTEXT(node_raw[[#This Row],[Column2]]), "", node_raw[[#This Row],[Column2]])</f>
        <v/>
      </c>
      <c r="D159" s="62" t="str">
        <f>IF(ISNUMBER(node_raw[[#This Row],[Column3]]), node_raw[[#This Row],[Column3]],"")</f>
        <v/>
      </c>
      <c r="E159" s="65" t="str">
        <f>IF(ISNUMBER(node_raw[[#This Row],[Column4]]), node_raw[[#This Row],[Column4]]/1048576,"")</f>
        <v/>
      </c>
      <c r="F159" s="91" t="str">
        <f>IF(ISNUMBER(node_raw[[#This Row],[Column5]]), node_raw[[#This Row],[Column5]],"")</f>
        <v/>
      </c>
      <c r="G159" s="80" t="str">
        <f t="shared" si="4"/>
        <v/>
      </c>
      <c r="H159" s="81" t="str">
        <f>IF(ISNUMBER(node_raw[[#This Row],[Column6]]), node_raw[[#This Row],[Column6]]/1048576,"")</f>
        <v/>
      </c>
      <c r="I159" s="82" t="str">
        <f t="shared" si="5"/>
        <v/>
      </c>
      <c r="J159" s="83" t="str">
        <f>IF(ISNONTEXT(node_raw[[#This Row],[Column7]]), "", node_raw[[#This Row],[Column7]]/100)</f>
        <v/>
      </c>
      <c r="K159" s="84" t="str">
        <f>IF(ISNONTEXT(node_raw[[#This Row],[Column8]]), "", node_raw[[#This Row],[Column8]]/100)</f>
        <v/>
      </c>
      <c r="L159" s="85" t="str">
        <f>IF(ISNONTEXT(node_raw[[#This Row],[Column9]]), "", node_raw[[#This Row],[Column9]]/1)</f>
        <v/>
      </c>
      <c r="M159" s="86" t="str">
        <f>IF(ISNONTEXT(node_raw[[#This Row],[Column10]]), "", node_raw[[#This Row],[Column10]]/1)</f>
        <v/>
      </c>
    </row>
    <row r="160" spans="2:13" ht="15.75" customHeight="1" x14ac:dyDescent="0.25">
      <c r="B160" s="32" t="str">
        <f>IF(ISNONTEXT(node_raw[[#This Row],[Column1]]), "", node_raw[[#This Row],[Column1]])</f>
        <v/>
      </c>
      <c r="C160" s="29" t="str">
        <f>IF(ISNONTEXT(node_raw[[#This Row],[Column2]]), "", node_raw[[#This Row],[Column2]])</f>
        <v/>
      </c>
      <c r="D160" s="62" t="str">
        <f>IF(ISNUMBER(node_raw[[#This Row],[Column3]]), node_raw[[#This Row],[Column3]],"")</f>
        <v/>
      </c>
      <c r="E160" s="65" t="str">
        <f>IF(ISNUMBER(node_raw[[#This Row],[Column4]]), node_raw[[#This Row],[Column4]]/1048576,"")</f>
        <v/>
      </c>
      <c r="F160" s="91" t="str">
        <f>IF(ISNUMBER(node_raw[[#This Row],[Column5]]), node_raw[[#This Row],[Column5]],"")</f>
        <v/>
      </c>
      <c r="G160" s="80" t="str">
        <f t="shared" si="4"/>
        <v/>
      </c>
      <c r="H160" s="81" t="str">
        <f>IF(ISNUMBER(node_raw[[#This Row],[Column6]]), node_raw[[#This Row],[Column6]]/1048576,"")</f>
        <v/>
      </c>
      <c r="I160" s="82" t="str">
        <f t="shared" si="5"/>
        <v/>
      </c>
      <c r="J160" s="83" t="str">
        <f>IF(ISNONTEXT(node_raw[[#This Row],[Column7]]), "", node_raw[[#This Row],[Column7]]/100)</f>
        <v/>
      </c>
      <c r="K160" s="84" t="str">
        <f>IF(ISNONTEXT(node_raw[[#This Row],[Column8]]), "", node_raw[[#This Row],[Column8]]/100)</f>
        <v/>
      </c>
      <c r="L160" s="85" t="str">
        <f>IF(ISNONTEXT(node_raw[[#This Row],[Column9]]), "", node_raw[[#This Row],[Column9]]/1)</f>
        <v/>
      </c>
      <c r="M160" s="86" t="str">
        <f>IF(ISNONTEXT(node_raw[[#This Row],[Column10]]), "", node_raw[[#This Row],[Column10]]/1)</f>
        <v/>
      </c>
    </row>
    <row r="161" spans="2:13" ht="15.75" customHeight="1" x14ac:dyDescent="0.25">
      <c r="B161" s="32" t="str">
        <f>IF(ISNONTEXT(node_raw[[#This Row],[Column1]]), "", node_raw[[#This Row],[Column1]])</f>
        <v/>
      </c>
      <c r="C161" s="29" t="str">
        <f>IF(ISNONTEXT(node_raw[[#This Row],[Column2]]), "", node_raw[[#This Row],[Column2]])</f>
        <v/>
      </c>
      <c r="D161" s="62" t="str">
        <f>IF(ISNUMBER(node_raw[[#This Row],[Column3]]), node_raw[[#This Row],[Column3]],"")</f>
        <v/>
      </c>
      <c r="E161" s="65" t="str">
        <f>IF(ISNUMBER(node_raw[[#This Row],[Column4]]), node_raw[[#This Row],[Column4]]/1048576,"")</f>
        <v/>
      </c>
      <c r="F161" s="91" t="str">
        <f>IF(ISNUMBER(node_raw[[#This Row],[Column5]]), node_raw[[#This Row],[Column5]],"")</f>
        <v/>
      </c>
      <c r="G161" s="80" t="str">
        <f t="shared" si="4"/>
        <v/>
      </c>
      <c r="H161" s="81" t="str">
        <f>IF(ISNUMBER(node_raw[[#This Row],[Column6]]), node_raw[[#This Row],[Column6]]/1048576,"")</f>
        <v/>
      </c>
      <c r="I161" s="82" t="str">
        <f t="shared" si="5"/>
        <v/>
      </c>
      <c r="J161" s="83" t="str">
        <f>IF(ISNONTEXT(node_raw[[#This Row],[Column7]]), "", node_raw[[#This Row],[Column7]]/100)</f>
        <v/>
      </c>
      <c r="K161" s="84" t="str">
        <f>IF(ISNONTEXT(node_raw[[#This Row],[Column8]]), "", node_raw[[#This Row],[Column8]]/100)</f>
        <v/>
      </c>
      <c r="L161" s="85" t="str">
        <f>IF(ISNONTEXT(node_raw[[#This Row],[Column9]]), "", node_raw[[#This Row],[Column9]]/1)</f>
        <v/>
      </c>
      <c r="M161" s="86" t="str">
        <f>IF(ISNONTEXT(node_raw[[#This Row],[Column10]]), "", node_raw[[#This Row],[Column10]]/1)</f>
        <v/>
      </c>
    </row>
    <row r="162" spans="2:13" ht="15.75" customHeight="1" x14ac:dyDescent="0.25">
      <c r="B162" s="32" t="str">
        <f>IF(ISNONTEXT(node_raw[[#This Row],[Column1]]), "", node_raw[[#This Row],[Column1]])</f>
        <v/>
      </c>
      <c r="C162" s="29" t="str">
        <f>IF(ISNONTEXT(node_raw[[#This Row],[Column2]]), "", node_raw[[#This Row],[Column2]])</f>
        <v/>
      </c>
      <c r="D162" s="62" t="str">
        <f>IF(ISNUMBER(node_raw[[#This Row],[Column3]]), node_raw[[#This Row],[Column3]],"")</f>
        <v/>
      </c>
      <c r="E162" s="65" t="str">
        <f>IF(ISNUMBER(node_raw[[#This Row],[Column4]]), node_raw[[#This Row],[Column4]]/1048576,"")</f>
        <v/>
      </c>
      <c r="F162" s="91" t="str">
        <f>IF(ISNUMBER(node_raw[[#This Row],[Column5]]), node_raw[[#This Row],[Column5]],"")</f>
        <v/>
      </c>
      <c r="G162" s="80" t="str">
        <f t="shared" si="4"/>
        <v/>
      </c>
      <c r="H162" s="81" t="str">
        <f>IF(ISNUMBER(node_raw[[#This Row],[Column6]]), node_raw[[#This Row],[Column6]]/1048576,"")</f>
        <v/>
      </c>
      <c r="I162" s="82" t="str">
        <f t="shared" si="5"/>
        <v/>
      </c>
      <c r="J162" s="83" t="str">
        <f>IF(ISNONTEXT(node_raw[[#This Row],[Column7]]), "", node_raw[[#This Row],[Column7]]/100)</f>
        <v/>
      </c>
      <c r="K162" s="84" t="str">
        <f>IF(ISNONTEXT(node_raw[[#This Row],[Column8]]), "", node_raw[[#This Row],[Column8]]/100)</f>
        <v/>
      </c>
      <c r="L162" s="85" t="str">
        <f>IF(ISNONTEXT(node_raw[[#This Row],[Column9]]), "", node_raw[[#This Row],[Column9]]/1)</f>
        <v/>
      </c>
      <c r="M162" s="86" t="str">
        <f>IF(ISNONTEXT(node_raw[[#This Row],[Column10]]), "", node_raw[[#This Row],[Column10]]/1)</f>
        <v/>
      </c>
    </row>
    <row r="163" spans="2:13" ht="15.75" customHeight="1" x14ac:dyDescent="0.25">
      <c r="B163" s="32" t="str">
        <f>IF(ISNONTEXT(node_raw[[#This Row],[Column1]]), "", node_raw[[#This Row],[Column1]])</f>
        <v/>
      </c>
      <c r="C163" s="29" t="str">
        <f>IF(ISNONTEXT(node_raw[[#This Row],[Column2]]), "", node_raw[[#This Row],[Column2]])</f>
        <v/>
      </c>
      <c r="D163" s="62" t="str">
        <f>IF(ISNUMBER(node_raw[[#This Row],[Column3]]), node_raw[[#This Row],[Column3]],"")</f>
        <v/>
      </c>
      <c r="E163" s="65" t="str">
        <f>IF(ISNUMBER(node_raw[[#This Row],[Column4]]), node_raw[[#This Row],[Column4]]/1048576,"")</f>
        <v/>
      </c>
      <c r="F163" s="91" t="str">
        <f>IF(ISNUMBER(node_raw[[#This Row],[Column5]]), node_raw[[#This Row],[Column5]],"")</f>
        <v/>
      </c>
      <c r="G163" s="80" t="str">
        <f t="shared" si="4"/>
        <v/>
      </c>
      <c r="H163" s="81" t="str">
        <f>IF(ISNUMBER(node_raw[[#This Row],[Column6]]), node_raw[[#This Row],[Column6]]/1048576,"")</f>
        <v/>
      </c>
      <c r="I163" s="82" t="str">
        <f t="shared" si="5"/>
        <v/>
      </c>
      <c r="J163" s="83" t="str">
        <f>IF(ISNONTEXT(node_raw[[#This Row],[Column7]]), "", node_raw[[#This Row],[Column7]]/100)</f>
        <v/>
      </c>
      <c r="K163" s="84" t="str">
        <f>IF(ISNONTEXT(node_raw[[#This Row],[Column8]]), "", node_raw[[#This Row],[Column8]]/100)</f>
        <v/>
      </c>
      <c r="L163" s="85" t="str">
        <f>IF(ISNONTEXT(node_raw[[#This Row],[Column9]]), "", node_raw[[#This Row],[Column9]]/1)</f>
        <v/>
      </c>
      <c r="M163" s="86" t="str">
        <f>IF(ISNONTEXT(node_raw[[#This Row],[Column10]]), "", node_raw[[#This Row],[Column10]]/1)</f>
        <v/>
      </c>
    </row>
    <row r="164" spans="2:13" ht="15.75" customHeight="1" x14ac:dyDescent="0.25">
      <c r="B164" s="32" t="str">
        <f>IF(ISNONTEXT(node_raw[[#This Row],[Column1]]), "", node_raw[[#This Row],[Column1]])</f>
        <v/>
      </c>
      <c r="C164" s="29" t="str">
        <f>IF(ISNONTEXT(node_raw[[#This Row],[Column2]]), "", node_raw[[#This Row],[Column2]])</f>
        <v/>
      </c>
      <c r="D164" s="62" t="str">
        <f>IF(ISNUMBER(node_raw[[#This Row],[Column3]]), node_raw[[#This Row],[Column3]],"")</f>
        <v/>
      </c>
      <c r="E164" s="65" t="str">
        <f>IF(ISNUMBER(node_raw[[#This Row],[Column4]]), node_raw[[#This Row],[Column4]]/1048576,"")</f>
        <v/>
      </c>
      <c r="F164" s="91" t="str">
        <f>IF(ISNUMBER(node_raw[[#This Row],[Column5]]), node_raw[[#This Row],[Column5]],"")</f>
        <v/>
      </c>
      <c r="G164" s="80" t="str">
        <f t="shared" si="4"/>
        <v/>
      </c>
      <c r="H164" s="81" t="str">
        <f>IF(ISNUMBER(node_raw[[#This Row],[Column6]]), node_raw[[#This Row],[Column6]]/1048576,"")</f>
        <v/>
      </c>
      <c r="I164" s="82" t="str">
        <f t="shared" si="5"/>
        <v/>
      </c>
      <c r="J164" s="83" t="str">
        <f>IF(ISNONTEXT(node_raw[[#This Row],[Column7]]), "", node_raw[[#This Row],[Column7]]/100)</f>
        <v/>
      </c>
      <c r="K164" s="84" t="str">
        <f>IF(ISNONTEXT(node_raw[[#This Row],[Column8]]), "", node_raw[[#This Row],[Column8]]/100)</f>
        <v/>
      </c>
      <c r="L164" s="85" t="str">
        <f>IF(ISNONTEXT(node_raw[[#This Row],[Column9]]), "", node_raw[[#This Row],[Column9]]/1)</f>
        <v/>
      </c>
      <c r="M164" s="86" t="str">
        <f>IF(ISNONTEXT(node_raw[[#This Row],[Column10]]), "", node_raw[[#This Row],[Column10]]/1)</f>
        <v/>
      </c>
    </row>
    <row r="165" spans="2:13" ht="15.75" customHeight="1" x14ac:dyDescent="0.25">
      <c r="B165" s="32" t="str">
        <f>IF(ISNONTEXT(node_raw[[#This Row],[Column1]]), "", node_raw[[#This Row],[Column1]])</f>
        <v/>
      </c>
      <c r="C165" s="29" t="str">
        <f>IF(ISNONTEXT(node_raw[[#This Row],[Column2]]), "", node_raw[[#This Row],[Column2]])</f>
        <v/>
      </c>
      <c r="D165" s="62" t="str">
        <f>IF(ISNUMBER(node_raw[[#This Row],[Column3]]), node_raw[[#This Row],[Column3]],"")</f>
        <v/>
      </c>
      <c r="E165" s="65" t="str">
        <f>IF(ISNUMBER(node_raw[[#This Row],[Column4]]), node_raw[[#This Row],[Column4]]/1048576,"")</f>
        <v/>
      </c>
      <c r="F165" s="91" t="str">
        <f>IF(ISNUMBER(node_raw[[#This Row],[Column5]]), node_raw[[#This Row],[Column5]],"")</f>
        <v/>
      </c>
      <c r="G165" s="80" t="str">
        <f t="shared" si="4"/>
        <v/>
      </c>
      <c r="H165" s="81" t="str">
        <f>IF(ISNUMBER(node_raw[[#This Row],[Column6]]), node_raw[[#This Row],[Column6]]/1048576,"")</f>
        <v/>
      </c>
      <c r="I165" s="82" t="str">
        <f t="shared" si="5"/>
        <v/>
      </c>
      <c r="J165" s="83" t="str">
        <f>IF(ISNONTEXT(node_raw[[#This Row],[Column7]]), "", node_raw[[#This Row],[Column7]]/100)</f>
        <v/>
      </c>
      <c r="K165" s="84" t="str">
        <f>IF(ISNONTEXT(node_raw[[#This Row],[Column8]]), "", node_raw[[#This Row],[Column8]]/100)</f>
        <v/>
      </c>
      <c r="L165" s="85" t="str">
        <f>IF(ISNONTEXT(node_raw[[#This Row],[Column9]]), "", node_raw[[#This Row],[Column9]]/1)</f>
        <v/>
      </c>
      <c r="M165" s="86" t="str">
        <f>IF(ISNONTEXT(node_raw[[#This Row],[Column10]]), "", node_raw[[#This Row],[Column10]]/1)</f>
        <v/>
      </c>
    </row>
    <row r="166" spans="2:13" ht="15.75" customHeight="1" x14ac:dyDescent="0.25">
      <c r="B166" s="32" t="str">
        <f>IF(ISNONTEXT(node_raw[[#This Row],[Column1]]), "", node_raw[[#This Row],[Column1]])</f>
        <v/>
      </c>
      <c r="C166" s="29" t="str">
        <f>IF(ISNONTEXT(node_raw[[#This Row],[Column2]]), "", node_raw[[#This Row],[Column2]])</f>
        <v/>
      </c>
      <c r="D166" s="62" t="str">
        <f>IF(ISNUMBER(node_raw[[#This Row],[Column3]]), node_raw[[#This Row],[Column3]],"")</f>
        <v/>
      </c>
      <c r="E166" s="65" t="str">
        <f>IF(ISNUMBER(node_raw[[#This Row],[Column4]]), node_raw[[#This Row],[Column4]]/1048576,"")</f>
        <v/>
      </c>
      <c r="F166" s="91" t="str">
        <f>IF(ISNUMBER(node_raw[[#This Row],[Column5]]), node_raw[[#This Row],[Column5]],"")</f>
        <v/>
      </c>
      <c r="G166" s="80" t="str">
        <f t="shared" si="4"/>
        <v/>
      </c>
      <c r="H166" s="81" t="str">
        <f>IF(ISNUMBER(node_raw[[#This Row],[Column6]]), node_raw[[#This Row],[Column6]]/1048576,"")</f>
        <v/>
      </c>
      <c r="I166" s="82" t="str">
        <f t="shared" si="5"/>
        <v/>
      </c>
      <c r="J166" s="83" t="str">
        <f>IF(ISNONTEXT(node_raw[[#This Row],[Column7]]), "", node_raw[[#This Row],[Column7]]/100)</f>
        <v/>
      </c>
      <c r="K166" s="84" t="str">
        <f>IF(ISNONTEXT(node_raw[[#This Row],[Column8]]), "", node_raw[[#This Row],[Column8]]/100)</f>
        <v/>
      </c>
      <c r="L166" s="85" t="str">
        <f>IF(ISNONTEXT(node_raw[[#This Row],[Column9]]), "", node_raw[[#This Row],[Column9]]/1)</f>
        <v/>
      </c>
      <c r="M166" s="86" t="str">
        <f>IF(ISNONTEXT(node_raw[[#This Row],[Column10]]), "", node_raw[[#This Row],[Column10]]/1)</f>
        <v/>
      </c>
    </row>
    <row r="167" spans="2:13" ht="15.75" customHeight="1" x14ac:dyDescent="0.25">
      <c r="B167" s="32" t="str">
        <f>IF(ISNONTEXT(node_raw[[#This Row],[Column1]]), "", node_raw[[#This Row],[Column1]])</f>
        <v/>
      </c>
      <c r="C167" s="29" t="str">
        <f>IF(ISNONTEXT(node_raw[[#This Row],[Column2]]), "", node_raw[[#This Row],[Column2]])</f>
        <v/>
      </c>
      <c r="D167" s="62" t="str">
        <f>IF(ISNUMBER(node_raw[[#This Row],[Column3]]), node_raw[[#This Row],[Column3]],"")</f>
        <v/>
      </c>
      <c r="E167" s="65" t="str">
        <f>IF(ISNUMBER(node_raw[[#This Row],[Column4]]), node_raw[[#This Row],[Column4]]/1048576,"")</f>
        <v/>
      </c>
      <c r="F167" s="91" t="str">
        <f>IF(ISNUMBER(node_raw[[#This Row],[Column5]]), node_raw[[#This Row],[Column5]],"")</f>
        <v/>
      </c>
      <c r="G167" s="80" t="str">
        <f t="shared" si="4"/>
        <v/>
      </c>
      <c r="H167" s="81" t="str">
        <f>IF(ISNUMBER(node_raw[[#This Row],[Column6]]), node_raw[[#This Row],[Column6]]/1048576,"")</f>
        <v/>
      </c>
      <c r="I167" s="82" t="str">
        <f t="shared" si="5"/>
        <v/>
      </c>
      <c r="J167" s="83" t="str">
        <f>IF(ISNONTEXT(node_raw[[#This Row],[Column7]]), "", node_raw[[#This Row],[Column7]]/100)</f>
        <v/>
      </c>
      <c r="K167" s="84" t="str">
        <f>IF(ISNONTEXT(node_raw[[#This Row],[Column8]]), "", node_raw[[#This Row],[Column8]]/100)</f>
        <v/>
      </c>
      <c r="L167" s="85" t="str">
        <f>IF(ISNONTEXT(node_raw[[#This Row],[Column9]]), "", node_raw[[#This Row],[Column9]]/1)</f>
        <v/>
      </c>
      <c r="M167" s="86" t="str">
        <f>IF(ISNONTEXT(node_raw[[#This Row],[Column10]]), "", node_raw[[#This Row],[Column10]]/1)</f>
        <v/>
      </c>
    </row>
    <row r="168" spans="2:13" ht="15.75" customHeight="1" x14ac:dyDescent="0.25">
      <c r="B168" s="32" t="str">
        <f>IF(ISNONTEXT(node_raw[[#This Row],[Column1]]), "", node_raw[[#This Row],[Column1]])</f>
        <v/>
      </c>
      <c r="C168" s="29" t="str">
        <f>IF(ISNONTEXT(node_raw[[#This Row],[Column2]]), "", node_raw[[#This Row],[Column2]])</f>
        <v/>
      </c>
      <c r="D168" s="62" t="str">
        <f>IF(ISNUMBER(node_raw[[#This Row],[Column3]]), node_raw[[#This Row],[Column3]],"")</f>
        <v/>
      </c>
      <c r="E168" s="65" t="str">
        <f>IF(ISNUMBER(node_raw[[#This Row],[Column4]]), node_raw[[#This Row],[Column4]]/1048576,"")</f>
        <v/>
      </c>
      <c r="F168" s="91" t="str">
        <f>IF(ISNUMBER(node_raw[[#This Row],[Column5]]), node_raw[[#This Row],[Column5]],"")</f>
        <v/>
      </c>
      <c r="G168" s="80" t="str">
        <f t="shared" si="4"/>
        <v/>
      </c>
      <c r="H168" s="81" t="str">
        <f>IF(ISNUMBER(node_raw[[#This Row],[Column6]]), node_raw[[#This Row],[Column6]]/1048576,"")</f>
        <v/>
      </c>
      <c r="I168" s="82" t="str">
        <f t="shared" si="5"/>
        <v/>
      </c>
      <c r="J168" s="83" t="str">
        <f>IF(ISNONTEXT(node_raw[[#This Row],[Column7]]), "", node_raw[[#This Row],[Column7]]/100)</f>
        <v/>
      </c>
      <c r="K168" s="84" t="str">
        <f>IF(ISNONTEXT(node_raw[[#This Row],[Column8]]), "", node_raw[[#This Row],[Column8]]/100)</f>
        <v/>
      </c>
      <c r="L168" s="85" t="str">
        <f>IF(ISNONTEXT(node_raw[[#This Row],[Column9]]), "", node_raw[[#This Row],[Column9]]/1)</f>
        <v/>
      </c>
      <c r="M168" s="86" t="str">
        <f>IF(ISNONTEXT(node_raw[[#This Row],[Column10]]), "", node_raw[[#This Row],[Column10]]/1)</f>
        <v/>
      </c>
    </row>
    <row r="169" spans="2:13" ht="15.75" customHeight="1" x14ac:dyDescent="0.25">
      <c r="B169" s="32" t="str">
        <f>IF(ISNONTEXT(node_raw[[#This Row],[Column1]]), "", node_raw[[#This Row],[Column1]])</f>
        <v/>
      </c>
      <c r="C169" s="29" t="str">
        <f>IF(ISNONTEXT(node_raw[[#This Row],[Column2]]), "", node_raw[[#This Row],[Column2]])</f>
        <v/>
      </c>
      <c r="D169" s="62" t="str">
        <f>IF(ISNUMBER(node_raw[[#This Row],[Column3]]), node_raw[[#This Row],[Column3]],"")</f>
        <v/>
      </c>
      <c r="E169" s="65" t="str">
        <f>IF(ISNUMBER(node_raw[[#This Row],[Column4]]), node_raw[[#This Row],[Column4]]/1048576,"")</f>
        <v/>
      </c>
      <c r="F169" s="91" t="str">
        <f>IF(ISNUMBER(node_raw[[#This Row],[Column5]]), node_raw[[#This Row],[Column5]],"")</f>
        <v/>
      </c>
      <c r="G169" s="80" t="str">
        <f t="shared" si="4"/>
        <v/>
      </c>
      <c r="H169" s="81" t="str">
        <f>IF(ISNUMBER(node_raw[[#This Row],[Column6]]), node_raw[[#This Row],[Column6]]/1048576,"")</f>
        <v/>
      </c>
      <c r="I169" s="82" t="str">
        <f t="shared" si="5"/>
        <v/>
      </c>
      <c r="J169" s="83" t="str">
        <f>IF(ISNONTEXT(node_raw[[#This Row],[Column7]]), "", node_raw[[#This Row],[Column7]]/100)</f>
        <v/>
      </c>
      <c r="K169" s="84" t="str">
        <f>IF(ISNONTEXT(node_raw[[#This Row],[Column8]]), "", node_raw[[#This Row],[Column8]]/100)</f>
        <v/>
      </c>
      <c r="L169" s="85" t="str">
        <f>IF(ISNONTEXT(node_raw[[#This Row],[Column9]]), "", node_raw[[#This Row],[Column9]]/1)</f>
        <v/>
      </c>
      <c r="M169" s="86" t="str">
        <f>IF(ISNONTEXT(node_raw[[#This Row],[Column10]]), "", node_raw[[#This Row],[Column10]]/1)</f>
        <v/>
      </c>
    </row>
    <row r="170" spans="2:13" ht="15.75" customHeight="1" x14ac:dyDescent="0.25">
      <c r="B170" s="32" t="str">
        <f>IF(ISNONTEXT(node_raw[[#This Row],[Column1]]), "", node_raw[[#This Row],[Column1]])</f>
        <v/>
      </c>
      <c r="C170" s="29" t="str">
        <f>IF(ISNONTEXT(node_raw[[#This Row],[Column2]]), "", node_raw[[#This Row],[Column2]])</f>
        <v/>
      </c>
      <c r="D170" s="62" t="str">
        <f>IF(ISNUMBER(node_raw[[#This Row],[Column3]]), node_raw[[#This Row],[Column3]],"")</f>
        <v/>
      </c>
      <c r="E170" s="65" t="str">
        <f>IF(ISNUMBER(node_raw[[#This Row],[Column4]]), node_raw[[#This Row],[Column4]]/1048576,"")</f>
        <v/>
      </c>
      <c r="F170" s="91" t="str">
        <f>IF(ISNUMBER(node_raw[[#This Row],[Column5]]), node_raw[[#This Row],[Column5]],"")</f>
        <v/>
      </c>
      <c r="G170" s="80" t="str">
        <f t="shared" si="4"/>
        <v/>
      </c>
      <c r="H170" s="81" t="str">
        <f>IF(ISNUMBER(node_raw[[#This Row],[Column6]]), node_raw[[#This Row],[Column6]]/1048576,"")</f>
        <v/>
      </c>
      <c r="I170" s="82" t="str">
        <f t="shared" si="5"/>
        <v/>
      </c>
      <c r="J170" s="83" t="str">
        <f>IF(ISNONTEXT(node_raw[[#This Row],[Column7]]), "", node_raw[[#This Row],[Column7]]/100)</f>
        <v/>
      </c>
      <c r="K170" s="84" t="str">
        <f>IF(ISNONTEXT(node_raw[[#This Row],[Column8]]), "", node_raw[[#This Row],[Column8]]/100)</f>
        <v/>
      </c>
      <c r="L170" s="85" t="str">
        <f>IF(ISNONTEXT(node_raw[[#This Row],[Column9]]), "", node_raw[[#This Row],[Column9]]/1)</f>
        <v/>
      </c>
      <c r="M170" s="86" t="str">
        <f>IF(ISNONTEXT(node_raw[[#This Row],[Column10]]), "", node_raw[[#This Row],[Column10]]/1)</f>
        <v/>
      </c>
    </row>
    <row r="171" spans="2:13" ht="15.75" customHeight="1" x14ac:dyDescent="0.25">
      <c r="B171" s="32" t="str">
        <f>IF(ISNONTEXT(node_raw[[#This Row],[Column1]]), "", node_raw[[#This Row],[Column1]])</f>
        <v/>
      </c>
      <c r="C171" s="29" t="str">
        <f>IF(ISNONTEXT(node_raw[[#This Row],[Column2]]), "", node_raw[[#This Row],[Column2]])</f>
        <v/>
      </c>
      <c r="D171" s="62" t="str">
        <f>IF(ISNUMBER(node_raw[[#This Row],[Column3]]), node_raw[[#This Row],[Column3]],"")</f>
        <v/>
      </c>
      <c r="E171" s="65" t="str">
        <f>IF(ISNUMBER(node_raw[[#This Row],[Column4]]), node_raw[[#This Row],[Column4]]/1048576,"")</f>
        <v/>
      </c>
      <c r="F171" s="91" t="str">
        <f>IF(ISNUMBER(node_raw[[#This Row],[Column5]]), node_raw[[#This Row],[Column5]],"")</f>
        <v/>
      </c>
      <c r="G171" s="80" t="str">
        <f t="shared" si="4"/>
        <v/>
      </c>
      <c r="H171" s="81" t="str">
        <f>IF(ISNUMBER(node_raw[[#This Row],[Column6]]), node_raw[[#This Row],[Column6]]/1048576,"")</f>
        <v/>
      </c>
      <c r="I171" s="82" t="str">
        <f t="shared" si="5"/>
        <v/>
      </c>
      <c r="J171" s="83" t="str">
        <f>IF(ISNONTEXT(node_raw[[#This Row],[Column7]]), "", node_raw[[#This Row],[Column7]]/100)</f>
        <v/>
      </c>
      <c r="K171" s="84" t="str">
        <f>IF(ISNONTEXT(node_raw[[#This Row],[Column8]]), "", node_raw[[#This Row],[Column8]]/100)</f>
        <v/>
      </c>
      <c r="L171" s="85" t="str">
        <f>IF(ISNONTEXT(node_raw[[#This Row],[Column9]]), "", node_raw[[#This Row],[Column9]]/1)</f>
        <v/>
      </c>
      <c r="M171" s="86" t="str">
        <f>IF(ISNONTEXT(node_raw[[#This Row],[Column10]]), "", node_raw[[#This Row],[Column10]]/1)</f>
        <v/>
      </c>
    </row>
    <row r="172" spans="2:13" ht="15.75" customHeight="1" x14ac:dyDescent="0.25">
      <c r="B172" s="32" t="str">
        <f>IF(ISNONTEXT(node_raw[[#This Row],[Column1]]), "", node_raw[[#This Row],[Column1]])</f>
        <v/>
      </c>
      <c r="C172" s="29" t="str">
        <f>IF(ISNONTEXT(node_raw[[#This Row],[Column2]]), "", node_raw[[#This Row],[Column2]])</f>
        <v/>
      </c>
      <c r="D172" s="62" t="str">
        <f>IF(ISNUMBER(node_raw[[#This Row],[Column3]]), node_raw[[#This Row],[Column3]],"")</f>
        <v/>
      </c>
      <c r="E172" s="65" t="str">
        <f>IF(ISNUMBER(node_raw[[#This Row],[Column4]]), node_raw[[#This Row],[Column4]]/1048576,"")</f>
        <v/>
      </c>
      <c r="F172" s="91" t="str">
        <f>IF(ISNUMBER(node_raw[[#This Row],[Column5]]), node_raw[[#This Row],[Column5]],"")</f>
        <v/>
      </c>
      <c r="G172" s="80" t="str">
        <f t="shared" si="4"/>
        <v/>
      </c>
      <c r="H172" s="81" t="str">
        <f>IF(ISNUMBER(node_raw[[#This Row],[Column6]]), node_raw[[#This Row],[Column6]]/1048576,"")</f>
        <v/>
      </c>
      <c r="I172" s="82" t="str">
        <f t="shared" si="5"/>
        <v/>
      </c>
      <c r="J172" s="83" t="str">
        <f>IF(ISNONTEXT(node_raw[[#This Row],[Column7]]), "", node_raw[[#This Row],[Column7]]/100)</f>
        <v/>
      </c>
      <c r="K172" s="84" t="str">
        <f>IF(ISNONTEXT(node_raw[[#This Row],[Column8]]), "", node_raw[[#This Row],[Column8]]/100)</f>
        <v/>
      </c>
      <c r="L172" s="85" t="str">
        <f>IF(ISNONTEXT(node_raw[[#This Row],[Column9]]), "", node_raw[[#This Row],[Column9]]/1)</f>
        <v/>
      </c>
      <c r="M172" s="86" t="str">
        <f>IF(ISNONTEXT(node_raw[[#This Row],[Column10]]), "", node_raw[[#This Row],[Column10]]/1)</f>
        <v/>
      </c>
    </row>
    <row r="173" spans="2:13" ht="15.75" customHeight="1" x14ac:dyDescent="0.25">
      <c r="B173" s="32" t="str">
        <f>IF(ISNONTEXT(node_raw[[#This Row],[Column1]]), "", node_raw[[#This Row],[Column1]])</f>
        <v/>
      </c>
      <c r="C173" s="29" t="str">
        <f>IF(ISNONTEXT(node_raw[[#This Row],[Column2]]), "", node_raw[[#This Row],[Column2]])</f>
        <v/>
      </c>
      <c r="D173" s="62" t="str">
        <f>IF(ISNUMBER(node_raw[[#This Row],[Column3]]), node_raw[[#This Row],[Column3]],"")</f>
        <v/>
      </c>
      <c r="E173" s="65" t="str">
        <f>IF(ISNUMBER(node_raw[[#This Row],[Column4]]), node_raw[[#This Row],[Column4]]/1048576,"")</f>
        <v/>
      </c>
      <c r="F173" s="91" t="str">
        <f>IF(ISNUMBER(node_raw[[#This Row],[Column5]]), node_raw[[#This Row],[Column5]],"")</f>
        <v/>
      </c>
      <c r="G173" s="80" t="str">
        <f t="shared" si="4"/>
        <v/>
      </c>
      <c r="H173" s="81" t="str">
        <f>IF(ISNUMBER(node_raw[[#This Row],[Column6]]), node_raw[[#This Row],[Column6]]/1048576,"")</f>
        <v/>
      </c>
      <c r="I173" s="82" t="str">
        <f t="shared" si="5"/>
        <v/>
      </c>
      <c r="J173" s="83" t="str">
        <f>IF(ISNONTEXT(node_raw[[#This Row],[Column7]]), "", node_raw[[#This Row],[Column7]]/100)</f>
        <v/>
      </c>
      <c r="K173" s="84" t="str">
        <f>IF(ISNONTEXT(node_raw[[#This Row],[Column8]]), "", node_raw[[#This Row],[Column8]]/100)</f>
        <v/>
      </c>
      <c r="L173" s="85" t="str">
        <f>IF(ISNONTEXT(node_raw[[#This Row],[Column9]]), "", node_raw[[#This Row],[Column9]]/1)</f>
        <v/>
      </c>
      <c r="M173" s="86" t="str">
        <f>IF(ISNONTEXT(node_raw[[#This Row],[Column10]]), "", node_raw[[#This Row],[Column10]]/1)</f>
        <v/>
      </c>
    </row>
    <row r="174" spans="2:13" ht="15.75" customHeight="1" x14ac:dyDescent="0.25">
      <c r="B174" s="32" t="str">
        <f>IF(ISNONTEXT(node_raw[[#This Row],[Column1]]), "", node_raw[[#This Row],[Column1]])</f>
        <v/>
      </c>
      <c r="C174" s="29" t="str">
        <f>IF(ISNONTEXT(node_raw[[#This Row],[Column2]]), "", node_raw[[#This Row],[Column2]])</f>
        <v/>
      </c>
      <c r="D174" s="62" t="str">
        <f>IF(ISNUMBER(node_raw[[#This Row],[Column3]]), node_raw[[#This Row],[Column3]],"")</f>
        <v/>
      </c>
      <c r="E174" s="65" t="str">
        <f>IF(ISNUMBER(node_raw[[#This Row],[Column4]]), node_raw[[#This Row],[Column4]]/1048576,"")</f>
        <v/>
      </c>
      <c r="F174" s="91" t="str">
        <f>IF(ISNUMBER(node_raw[[#This Row],[Column5]]), node_raw[[#This Row],[Column5]],"")</f>
        <v/>
      </c>
      <c r="G174" s="80" t="str">
        <f t="shared" si="4"/>
        <v/>
      </c>
      <c r="H174" s="81" t="str">
        <f>IF(ISNUMBER(node_raw[[#This Row],[Column6]]), node_raw[[#This Row],[Column6]]/1048576,"")</f>
        <v/>
      </c>
      <c r="I174" s="82" t="str">
        <f t="shared" si="5"/>
        <v/>
      </c>
      <c r="J174" s="83" t="str">
        <f>IF(ISNONTEXT(node_raw[[#This Row],[Column7]]), "", node_raw[[#This Row],[Column7]]/100)</f>
        <v/>
      </c>
      <c r="K174" s="84" t="str">
        <f>IF(ISNONTEXT(node_raw[[#This Row],[Column8]]), "", node_raw[[#This Row],[Column8]]/100)</f>
        <v/>
      </c>
      <c r="L174" s="85" t="str">
        <f>IF(ISNONTEXT(node_raw[[#This Row],[Column9]]), "", node_raw[[#This Row],[Column9]]/1)</f>
        <v/>
      </c>
      <c r="M174" s="86" t="str">
        <f>IF(ISNONTEXT(node_raw[[#This Row],[Column10]]), "", node_raw[[#This Row],[Column10]]/1)</f>
        <v/>
      </c>
    </row>
    <row r="175" spans="2:13" ht="15.75" customHeight="1" x14ac:dyDescent="0.25">
      <c r="B175" s="32" t="str">
        <f>IF(ISNONTEXT(node_raw[[#This Row],[Column1]]), "", node_raw[[#This Row],[Column1]])</f>
        <v/>
      </c>
      <c r="C175" s="29" t="str">
        <f>IF(ISNONTEXT(node_raw[[#This Row],[Column2]]), "", node_raw[[#This Row],[Column2]])</f>
        <v/>
      </c>
      <c r="D175" s="62" t="str">
        <f>IF(ISNUMBER(node_raw[[#This Row],[Column3]]), node_raw[[#This Row],[Column3]],"")</f>
        <v/>
      </c>
      <c r="E175" s="65" t="str">
        <f>IF(ISNUMBER(node_raw[[#This Row],[Column4]]), node_raw[[#This Row],[Column4]]/1048576,"")</f>
        <v/>
      </c>
      <c r="F175" s="91" t="str">
        <f>IF(ISNUMBER(node_raw[[#This Row],[Column5]]), node_raw[[#This Row],[Column5]],"")</f>
        <v/>
      </c>
      <c r="G175" s="80" t="str">
        <f t="shared" si="4"/>
        <v/>
      </c>
      <c r="H175" s="81" t="str">
        <f>IF(ISNUMBER(node_raw[[#This Row],[Column6]]), node_raw[[#This Row],[Column6]]/1048576,"")</f>
        <v/>
      </c>
      <c r="I175" s="82" t="str">
        <f t="shared" si="5"/>
        <v/>
      </c>
      <c r="J175" s="83" t="str">
        <f>IF(ISNONTEXT(node_raw[[#This Row],[Column7]]), "", node_raw[[#This Row],[Column7]]/100)</f>
        <v/>
      </c>
      <c r="K175" s="84" t="str">
        <f>IF(ISNONTEXT(node_raw[[#This Row],[Column8]]), "", node_raw[[#This Row],[Column8]]/100)</f>
        <v/>
      </c>
      <c r="L175" s="85" t="str">
        <f>IF(ISNONTEXT(node_raw[[#This Row],[Column9]]), "", node_raw[[#This Row],[Column9]]/1)</f>
        <v/>
      </c>
      <c r="M175" s="86" t="str">
        <f>IF(ISNONTEXT(node_raw[[#This Row],[Column10]]), "", node_raw[[#This Row],[Column10]]/1)</f>
        <v/>
      </c>
    </row>
    <row r="176" spans="2:13" ht="15.75" customHeight="1" x14ac:dyDescent="0.25">
      <c r="B176" s="32" t="str">
        <f>IF(ISNONTEXT(node_raw[[#This Row],[Column1]]), "", node_raw[[#This Row],[Column1]])</f>
        <v/>
      </c>
      <c r="C176" s="29" t="str">
        <f>IF(ISNONTEXT(node_raw[[#This Row],[Column2]]), "", node_raw[[#This Row],[Column2]])</f>
        <v/>
      </c>
      <c r="D176" s="62" t="str">
        <f>IF(ISNUMBER(node_raw[[#This Row],[Column3]]), node_raw[[#This Row],[Column3]],"")</f>
        <v/>
      </c>
      <c r="E176" s="65" t="str">
        <f>IF(ISNUMBER(node_raw[[#This Row],[Column4]]), node_raw[[#This Row],[Column4]]/1048576,"")</f>
        <v/>
      </c>
      <c r="F176" s="91" t="str">
        <f>IF(ISNUMBER(node_raw[[#This Row],[Column5]]), node_raw[[#This Row],[Column5]],"")</f>
        <v/>
      </c>
      <c r="G176" s="80" t="str">
        <f t="shared" si="4"/>
        <v/>
      </c>
      <c r="H176" s="81" t="str">
        <f>IF(ISNUMBER(node_raw[[#This Row],[Column6]]), node_raw[[#This Row],[Column6]]/1048576,"")</f>
        <v/>
      </c>
      <c r="I176" s="82" t="str">
        <f t="shared" si="5"/>
        <v/>
      </c>
      <c r="J176" s="83" t="str">
        <f>IF(ISNONTEXT(node_raw[[#This Row],[Column7]]), "", node_raw[[#This Row],[Column7]]/100)</f>
        <v/>
      </c>
      <c r="K176" s="84" t="str">
        <f>IF(ISNONTEXT(node_raw[[#This Row],[Column8]]), "", node_raw[[#This Row],[Column8]]/100)</f>
        <v/>
      </c>
      <c r="L176" s="85" t="str">
        <f>IF(ISNONTEXT(node_raw[[#This Row],[Column9]]), "", node_raw[[#This Row],[Column9]]/1)</f>
        <v/>
      </c>
      <c r="M176" s="86" t="str">
        <f>IF(ISNONTEXT(node_raw[[#This Row],[Column10]]), "", node_raw[[#This Row],[Column10]]/1)</f>
        <v/>
      </c>
    </row>
    <row r="177" spans="2:13" ht="15.75" customHeight="1" x14ac:dyDescent="0.25">
      <c r="B177" s="32" t="str">
        <f>IF(ISNONTEXT(node_raw[[#This Row],[Column1]]), "", node_raw[[#This Row],[Column1]])</f>
        <v/>
      </c>
      <c r="C177" s="29" t="str">
        <f>IF(ISNONTEXT(node_raw[[#This Row],[Column2]]), "", node_raw[[#This Row],[Column2]])</f>
        <v/>
      </c>
      <c r="D177" s="62" t="str">
        <f>IF(ISNUMBER(node_raw[[#This Row],[Column3]]), node_raw[[#This Row],[Column3]],"")</f>
        <v/>
      </c>
      <c r="E177" s="65" t="str">
        <f>IF(ISNUMBER(node_raw[[#This Row],[Column4]]), node_raw[[#This Row],[Column4]]/1048576,"")</f>
        <v/>
      </c>
      <c r="F177" s="91" t="str">
        <f>IF(ISNUMBER(node_raw[[#This Row],[Column5]]), node_raw[[#This Row],[Column5]],"")</f>
        <v/>
      </c>
      <c r="G177" s="80" t="str">
        <f t="shared" si="4"/>
        <v/>
      </c>
      <c r="H177" s="81" t="str">
        <f>IF(ISNUMBER(node_raw[[#This Row],[Column6]]), node_raw[[#This Row],[Column6]]/1048576,"")</f>
        <v/>
      </c>
      <c r="I177" s="82" t="str">
        <f t="shared" si="5"/>
        <v/>
      </c>
      <c r="J177" s="83" t="str">
        <f>IF(ISNONTEXT(node_raw[[#This Row],[Column7]]), "", node_raw[[#This Row],[Column7]]/100)</f>
        <v/>
      </c>
      <c r="K177" s="84" t="str">
        <f>IF(ISNONTEXT(node_raw[[#This Row],[Column8]]), "", node_raw[[#This Row],[Column8]]/100)</f>
        <v/>
      </c>
      <c r="L177" s="85" t="str">
        <f>IF(ISNONTEXT(node_raw[[#This Row],[Column9]]), "", node_raw[[#This Row],[Column9]]/1)</f>
        <v/>
      </c>
      <c r="M177" s="86" t="str">
        <f>IF(ISNONTEXT(node_raw[[#This Row],[Column10]]), "", node_raw[[#This Row],[Column10]]/1)</f>
        <v/>
      </c>
    </row>
    <row r="178" spans="2:13" ht="15.75" customHeight="1" x14ac:dyDescent="0.25">
      <c r="B178" s="32" t="str">
        <f>IF(ISNONTEXT(node_raw[[#This Row],[Column1]]), "", node_raw[[#This Row],[Column1]])</f>
        <v/>
      </c>
      <c r="C178" s="29" t="str">
        <f>IF(ISNONTEXT(node_raw[[#This Row],[Column2]]), "", node_raw[[#This Row],[Column2]])</f>
        <v/>
      </c>
      <c r="D178" s="62" t="str">
        <f>IF(ISNUMBER(node_raw[[#This Row],[Column3]]), node_raw[[#This Row],[Column3]],"")</f>
        <v/>
      </c>
      <c r="E178" s="65" t="str">
        <f>IF(ISNUMBER(node_raw[[#This Row],[Column4]]), node_raw[[#This Row],[Column4]]/1048576,"")</f>
        <v/>
      </c>
      <c r="F178" s="91" t="str">
        <f>IF(ISNUMBER(node_raw[[#This Row],[Column5]]), node_raw[[#This Row],[Column5]],"")</f>
        <v/>
      </c>
      <c r="G178" s="80" t="str">
        <f t="shared" si="4"/>
        <v/>
      </c>
      <c r="H178" s="81" t="str">
        <f>IF(ISNUMBER(node_raw[[#This Row],[Column6]]), node_raw[[#This Row],[Column6]]/1048576,"")</f>
        <v/>
      </c>
      <c r="I178" s="82" t="str">
        <f t="shared" si="5"/>
        <v/>
      </c>
      <c r="J178" s="83" t="str">
        <f>IF(ISNONTEXT(node_raw[[#This Row],[Column7]]), "", node_raw[[#This Row],[Column7]]/100)</f>
        <v/>
      </c>
      <c r="K178" s="84" t="str">
        <f>IF(ISNONTEXT(node_raw[[#This Row],[Column8]]), "", node_raw[[#This Row],[Column8]]/100)</f>
        <v/>
      </c>
      <c r="L178" s="85" t="str">
        <f>IF(ISNONTEXT(node_raw[[#This Row],[Column9]]), "", node_raw[[#This Row],[Column9]]/1)</f>
        <v/>
      </c>
      <c r="M178" s="86" t="str">
        <f>IF(ISNONTEXT(node_raw[[#This Row],[Column10]]), "", node_raw[[#This Row],[Column10]]/1)</f>
        <v/>
      </c>
    </row>
    <row r="179" spans="2:13" ht="15.75" customHeight="1" x14ac:dyDescent="0.25">
      <c r="B179" s="32" t="str">
        <f>IF(ISNONTEXT(node_raw[[#This Row],[Column1]]), "", node_raw[[#This Row],[Column1]])</f>
        <v/>
      </c>
      <c r="C179" s="29" t="str">
        <f>IF(ISNONTEXT(node_raw[[#This Row],[Column2]]), "", node_raw[[#This Row],[Column2]])</f>
        <v/>
      </c>
      <c r="D179" s="62" t="str">
        <f>IF(ISNUMBER(node_raw[[#This Row],[Column3]]), node_raw[[#This Row],[Column3]],"")</f>
        <v/>
      </c>
      <c r="E179" s="65" t="str">
        <f>IF(ISNUMBER(node_raw[[#This Row],[Column4]]), node_raw[[#This Row],[Column4]]/1048576,"")</f>
        <v/>
      </c>
      <c r="F179" s="91" t="str">
        <f>IF(ISNUMBER(node_raw[[#This Row],[Column5]]), node_raw[[#This Row],[Column5]],"")</f>
        <v/>
      </c>
      <c r="G179" s="80" t="str">
        <f t="shared" si="4"/>
        <v/>
      </c>
      <c r="H179" s="81" t="str">
        <f>IF(ISNUMBER(node_raw[[#This Row],[Column6]]), node_raw[[#This Row],[Column6]]/1048576,"")</f>
        <v/>
      </c>
      <c r="I179" s="82" t="str">
        <f t="shared" si="5"/>
        <v/>
      </c>
      <c r="J179" s="83" t="str">
        <f>IF(ISNONTEXT(node_raw[[#This Row],[Column7]]), "", node_raw[[#This Row],[Column7]]/100)</f>
        <v/>
      </c>
      <c r="K179" s="84" t="str">
        <f>IF(ISNONTEXT(node_raw[[#This Row],[Column8]]), "", node_raw[[#This Row],[Column8]]/100)</f>
        <v/>
      </c>
      <c r="L179" s="85" t="str">
        <f>IF(ISNONTEXT(node_raw[[#This Row],[Column9]]), "", node_raw[[#This Row],[Column9]]/1)</f>
        <v/>
      </c>
      <c r="M179" s="86" t="str">
        <f>IF(ISNONTEXT(node_raw[[#This Row],[Column10]]), "", node_raw[[#This Row],[Column10]]/1)</f>
        <v/>
      </c>
    </row>
    <row r="180" spans="2:13" ht="15.75" customHeight="1" x14ac:dyDescent="0.25">
      <c r="B180" s="32" t="str">
        <f>IF(ISNONTEXT(node_raw[[#This Row],[Column1]]), "", node_raw[[#This Row],[Column1]])</f>
        <v/>
      </c>
      <c r="C180" s="29" t="str">
        <f>IF(ISNONTEXT(node_raw[[#This Row],[Column2]]), "", node_raw[[#This Row],[Column2]])</f>
        <v/>
      </c>
      <c r="D180" s="62" t="str">
        <f>IF(ISNUMBER(node_raw[[#This Row],[Column3]]), node_raw[[#This Row],[Column3]],"")</f>
        <v/>
      </c>
      <c r="E180" s="65" t="str">
        <f>IF(ISNUMBER(node_raw[[#This Row],[Column4]]), node_raw[[#This Row],[Column4]]/1048576,"")</f>
        <v/>
      </c>
      <c r="F180" s="91" t="str">
        <f>IF(ISNUMBER(node_raw[[#This Row],[Column5]]), node_raw[[#This Row],[Column5]],"")</f>
        <v/>
      </c>
      <c r="G180" s="80" t="str">
        <f t="shared" si="4"/>
        <v/>
      </c>
      <c r="H180" s="81" t="str">
        <f>IF(ISNUMBER(node_raw[[#This Row],[Column6]]), node_raw[[#This Row],[Column6]]/1048576,"")</f>
        <v/>
      </c>
      <c r="I180" s="82" t="str">
        <f t="shared" si="5"/>
        <v/>
      </c>
      <c r="J180" s="83" t="str">
        <f>IF(ISNONTEXT(node_raw[[#This Row],[Column7]]), "", node_raw[[#This Row],[Column7]]/100)</f>
        <v/>
      </c>
      <c r="K180" s="84" t="str">
        <f>IF(ISNONTEXT(node_raw[[#This Row],[Column8]]), "", node_raw[[#This Row],[Column8]]/100)</f>
        <v/>
      </c>
      <c r="L180" s="85" t="str">
        <f>IF(ISNONTEXT(node_raw[[#This Row],[Column9]]), "", node_raw[[#This Row],[Column9]]/1)</f>
        <v/>
      </c>
      <c r="M180" s="86" t="str">
        <f>IF(ISNONTEXT(node_raw[[#This Row],[Column10]]), "", node_raw[[#This Row],[Column10]]/1)</f>
        <v/>
      </c>
    </row>
    <row r="181" spans="2:13" ht="15.75" customHeight="1" x14ac:dyDescent="0.25">
      <c r="B181" s="32" t="str">
        <f>IF(ISNONTEXT(node_raw[[#This Row],[Column1]]), "", node_raw[[#This Row],[Column1]])</f>
        <v/>
      </c>
      <c r="C181" s="29" t="str">
        <f>IF(ISNONTEXT(node_raw[[#This Row],[Column2]]), "", node_raw[[#This Row],[Column2]])</f>
        <v/>
      </c>
      <c r="D181" s="62" t="str">
        <f>IF(ISNUMBER(node_raw[[#This Row],[Column3]]), node_raw[[#This Row],[Column3]],"")</f>
        <v/>
      </c>
      <c r="E181" s="65" t="str">
        <f>IF(ISNUMBER(node_raw[[#This Row],[Column4]]), node_raw[[#This Row],[Column4]]/1048576,"")</f>
        <v/>
      </c>
      <c r="F181" s="91" t="str">
        <f>IF(ISNUMBER(node_raw[[#This Row],[Column5]]), node_raw[[#This Row],[Column5]],"")</f>
        <v/>
      </c>
      <c r="G181" s="80" t="str">
        <f t="shared" si="4"/>
        <v/>
      </c>
      <c r="H181" s="81" t="str">
        <f>IF(ISNUMBER(node_raw[[#This Row],[Column6]]), node_raw[[#This Row],[Column6]]/1048576,"")</f>
        <v/>
      </c>
      <c r="I181" s="82" t="str">
        <f t="shared" si="5"/>
        <v/>
      </c>
      <c r="J181" s="83" t="str">
        <f>IF(ISNONTEXT(node_raw[[#This Row],[Column7]]), "", node_raw[[#This Row],[Column7]]/100)</f>
        <v/>
      </c>
      <c r="K181" s="84" t="str">
        <f>IF(ISNONTEXT(node_raw[[#This Row],[Column8]]), "", node_raw[[#This Row],[Column8]]/100)</f>
        <v/>
      </c>
      <c r="L181" s="85" t="str">
        <f>IF(ISNONTEXT(node_raw[[#This Row],[Column9]]), "", node_raw[[#This Row],[Column9]]/1)</f>
        <v/>
      </c>
      <c r="M181" s="86" t="str">
        <f>IF(ISNONTEXT(node_raw[[#This Row],[Column10]]), "", node_raw[[#This Row],[Column10]]/1)</f>
        <v/>
      </c>
    </row>
    <row r="182" spans="2:13" ht="15.75" customHeight="1" x14ac:dyDescent="0.25">
      <c r="B182" s="32" t="str">
        <f>IF(ISNONTEXT(node_raw[[#This Row],[Column1]]), "", node_raw[[#This Row],[Column1]])</f>
        <v/>
      </c>
      <c r="C182" s="29" t="str">
        <f>IF(ISNONTEXT(node_raw[[#This Row],[Column2]]), "", node_raw[[#This Row],[Column2]])</f>
        <v/>
      </c>
      <c r="D182" s="62" t="str">
        <f>IF(ISNUMBER(node_raw[[#This Row],[Column3]]), node_raw[[#This Row],[Column3]],"")</f>
        <v/>
      </c>
      <c r="E182" s="65" t="str">
        <f>IF(ISNUMBER(node_raw[[#This Row],[Column4]]), node_raw[[#This Row],[Column4]]/1048576,"")</f>
        <v/>
      </c>
      <c r="F182" s="91" t="str">
        <f>IF(ISNUMBER(node_raw[[#This Row],[Column5]]), node_raw[[#This Row],[Column5]],"")</f>
        <v/>
      </c>
      <c r="G182" s="80" t="str">
        <f t="shared" si="4"/>
        <v/>
      </c>
      <c r="H182" s="81" t="str">
        <f>IF(ISNUMBER(node_raw[[#This Row],[Column6]]), node_raw[[#This Row],[Column6]]/1048576,"")</f>
        <v/>
      </c>
      <c r="I182" s="82" t="str">
        <f t="shared" si="5"/>
        <v/>
      </c>
      <c r="J182" s="83" t="str">
        <f>IF(ISNONTEXT(node_raw[[#This Row],[Column7]]), "", node_raw[[#This Row],[Column7]]/100)</f>
        <v/>
      </c>
      <c r="K182" s="84" t="str">
        <f>IF(ISNONTEXT(node_raw[[#This Row],[Column8]]), "", node_raw[[#This Row],[Column8]]/100)</f>
        <v/>
      </c>
      <c r="L182" s="85" t="str">
        <f>IF(ISNONTEXT(node_raw[[#This Row],[Column9]]), "", node_raw[[#This Row],[Column9]]/1)</f>
        <v/>
      </c>
      <c r="M182" s="86" t="str">
        <f>IF(ISNONTEXT(node_raw[[#This Row],[Column10]]), "", node_raw[[#This Row],[Column10]]/1)</f>
        <v/>
      </c>
    </row>
    <row r="183" spans="2:13" ht="15.75" customHeight="1" x14ac:dyDescent="0.25">
      <c r="B183" s="32" t="str">
        <f>IF(ISNONTEXT(node_raw[[#This Row],[Column1]]), "", node_raw[[#This Row],[Column1]])</f>
        <v/>
      </c>
      <c r="C183" s="29" t="str">
        <f>IF(ISNONTEXT(node_raw[[#This Row],[Column2]]), "", node_raw[[#This Row],[Column2]])</f>
        <v/>
      </c>
      <c r="D183" s="62" t="str">
        <f>IF(ISNUMBER(node_raw[[#This Row],[Column3]]), node_raw[[#This Row],[Column3]],"")</f>
        <v/>
      </c>
      <c r="E183" s="65" t="str">
        <f>IF(ISNUMBER(node_raw[[#This Row],[Column4]]), node_raw[[#This Row],[Column4]]/1048576,"")</f>
        <v/>
      </c>
      <c r="F183" s="91" t="str">
        <f>IF(ISNUMBER(node_raw[[#This Row],[Column5]]), node_raw[[#This Row],[Column5]],"")</f>
        <v/>
      </c>
      <c r="G183" s="80" t="str">
        <f t="shared" si="4"/>
        <v/>
      </c>
      <c r="H183" s="81" t="str">
        <f>IF(ISNUMBER(node_raw[[#This Row],[Column6]]), node_raw[[#This Row],[Column6]]/1048576,"")</f>
        <v/>
      </c>
      <c r="I183" s="82" t="str">
        <f t="shared" si="5"/>
        <v/>
      </c>
      <c r="J183" s="83" t="str">
        <f>IF(ISNONTEXT(node_raw[[#This Row],[Column7]]), "", node_raw[[#This Row],[Column7]]/100)</f>
        <v/>
      </c>
      <c r="K183" s="84" t="str">
        <f>IF(ISNONTEXT(node_raw[[#This Row],[Column8]]), "", node_raw[[#This Row],[Column8]]/100)</f>
        <v/>
      </c>
      <c r="L183" s="85" t="str">
        <f>IF(ISNONTEXT(node_raw[[#This Row],[Column9]]), "", node_raw[[#This Row],[Column9]]/1)</f>
        <v/>
      </c>
      <c r="M183" s="86" t="str">
        <f>IF(ISNONTEXT(node_raw[[#This Row],[Column10]]), "", node_raw[[#This Row],[Column10]]/1)</f>
        <v/>
      </c>
    </row>
    <row r="184" spans="2:13" ht="15.75" customHeight="1" x14ac:dyDescent="0.25">
      <c r="B184" s="32" t="str">
        <f>IF(ISNONTEXT(node_raw[[#This Row],[Column1]]), "", node_raw[[#This Row],[Column1]])</f>
        <v/>
      </c>
      <c r="C184" s="29" t="str">
        <f>IF(ISNONTEXT(node_raw[[#This Row],[Column2]]), "", node_raw[[#This Row],[Column2]])</f>
        <v/>
      </c>
      <c r="D184" s="62" t="str">
        <f>IF(ISNUMBER(node_raw[[#This Row],[Column3]]), node_raw[[#This Row],[Column3]],"")</f>
        <v/>
      </c>
      <c r="E184" s="65" t="str">
        <f>IF(ISNUMBER(node_raw[[#This Row],[Column4]]), node_raw[[#This Row],[Column4]]/1048576,"")</f>
        <v/>
      </c>
      <c r="F184" s="91" t="str">
        <f>IF(ISNUMBER(node_raw[[#This Row],[Column5]]), node_raw[[#This Row],[Column5]],"")</f>
        <v/>
      </c>
      <c r="G184" s="80" t="str">
        <f t="shared" si="4"/>
        <v/>
      </c>
      <c r="H184" s="81" t="str">
        <f>IF(ISNUMBER(node_raw[[#This Row],[Column6]]), node_raw[[#This Row],[Column6]]/1048576,"")</f>
        <v/>
      </c>
      <c r="I184" s="82" t="str">
        <f t="shared" si="5"/>
        <v/>
      </c>
      <c r="J184" s="83" t="str">
        <f>IF(ISNONTEXT(node_raw[[#This Row],[Column7]]), "", node_raw[[#This Row],[Column7]]/100)</f>
        <v/>
      </c>
      <c r="K184" s="84" t="str">
        <f>IF(ISNONTEXT(node_raw[[#This Row],[Column8]]), "", node_raw[[#This Row],[Column8]]/100)</f>
        <v/>
      </c>
      <c r="L184" s="85" t="str">
        <f>IF(ISNONTEXT(node_raw[[#This Row],[Column9]]), "", node_raw[[#This Row],[Column9]]/1)</f>
        <v/>
      </c>
      <c r="M184" s="86" t="str">
        <f>IF(ISNONTEXT(node_raw[[#This Row],[Column10]]), "", node_raw[[#This Row],[Column10]]/1)</f>
        <v/>
      </c>
    </row>
    <row r="185" spans="2:13" ht="15.75" customHeight="1" x14ac:dyDescent="0.25">
      <c r="B185" s="32" t="str">
        <f>IF(ISNONTEXT(node_raw[[#This Row],[Column1]]), "", node_raw[[#This Row],[Column1]])</f>
        <v/>
      </c>
      <c r="C185" s="29" t="str">
        <f>IF(ISNONTEXT(node_raw[[#This Row],[Column2]]), "", node_raw[[#This Row],[Column2]])</f>
        <v/>
      </c>
      <c r="D185" s="62" t="str">
        <f>IF(ISNUMBER(node_raw[[#This Row],[Column3]]), node_raw[[#This Row],[Column3]],"")</f>
        <v/>
      </c>
      <c r="E185" s="65" t="str">
        <f>IF(ISNUMBER(node_raw[[#This Row],[Column4]]), node_raw[[#This Row],[Column4]]/1048576,"")</f>
        <v/>
      </c>
      <c r="F185" s="91" t="str">
        <f>IF(ISNUMBER(node_raw[[#This Row],[Column5]]), node_raw[[#This Row],[Column5]],"")</f>
        <v/>
      </c>
      <c r="G185" s="80" t="str">
        <f t="shared" si="4"/>
        <v/>
      </c>
      <c r="H185" s="81" t="str">
        <f>IF(ISNUMBER(node_raw[[#This Row],[Column6]]), node_raw[[#This Row],[Column6]]/1048576,"")</f>
        <v/>
      </c>
      <c r="I185" s="82" t="str">
        <f t="shared" si="5"/>
        <v/>
      </c>
      <c r="J185" s="83" t="str">
        <f>IF(ISNONTEXT(node_raw[[#This Row],[Column7]]), "", node_raw[[#This Row],[Column7]]/100)</f>
        <v/>
      </c>
      <c r="K185" s="84" t="str">
        <f>IF(ISNONTEXT(node_raw[[#This Row],[Column8]]), "", node_raw[[#This Row],[Column8]]/100)</f>
        <v/>
      </c>
      <c r="L185" s="85" t="str">
        <f>IF(ISNONTEXT(node_raw[[#This Row],[Column9]]), "", node_raw[[#This Row],[Column9]]/1)</f>
        <v/>
      </c>
      <c r="M185" s="86" t="str">
        <f>IF(ISNONTEXT(node_raw[[#This Row],[Column10]]), "", node_raw[[#This Row],[Column10]]/1)</f>
        <v/>
      </c>
    </row>
    <row r="186" spans="2:13" ht="15.75" customHeight="1" x14ac:dyDescent="0.25">
      <c r="B186" s="32" t="str">
        <f>IF(ISNONTEXT(node_raw[[#This Row],[Column1]]), "", node_raw[[#This Row],[Column1]])</f>
        <v/>
      </c>
      <c r="C186" s="29" t="str">
        <f>IF(ISNONTEXT(node_raw[[#This Row],[Column2]]), "", node_raw[[#This Row],[Column2]])</f>
        <v/>
      </c>
      <c r="D186" s="62" t="str">
        <f>IF(ISNUMBER(node_raw[[#This Row],[Column3]]), node_raw[[#This Row],[Column3]],"")</f>
        <v/>
      </c>
      <c r="E186" s="65" t="str">
        <f>IF(ISNUMBER(node_raw[[#This Row],[Column4]]), node_raw[[#This Row],[Column4]]/1048576,"")</f>
        <v/>
      </c>
      <c r="F186" s="91" t="str">
        <f>IF(ISNUMBER(node_raw[[#This Row],[Column5]]), node_raw[[#This Row],[Column5]],"")</f>
        <v/>
      </c>
      <c r="G186" s="80" t="str">
        <f t="shared" si="4"/>
        <v/>
      </c>
      <c r="H186" s="81" t="str">
        <f>IF(ISNUMBER(node_raw[[#This Row],[Column6]]), node_raw[[#This Row],[Column6]]/1048576,"")</f>
        <v/>
      </c>
      <c r="I186" s="82" t="str">
        <f t="shared" si="5"/>
        <v/>
      </c>
      <c r="J186" s="83" t="str">
        <f>IF(ISNONTEXT(node_raw[[#This Row],[Column7]]), "", node_raw[[#This Row],[Column7]]/100)</f>
        <v/>
      </c>
      <c r="K186" s="84" t="str">
        <f>IF(ISNONTEXT(node_raw[[#This Row],[Column8]]), "", node_raw[[#This Row],[Column8]]/100)</f>
        <v/>
      </c>
      <c r="L186" s="85" t="str">
        <f>IF(ISNONTEXT(node_raw[[#This Row],[Column9]]), "", node_raw[[#This Row],[Column9]]/1)</f>
        <v/>
      </c>
      <c r="M186" s="86" t="str">
        <f>IF(ISNONTEXT(node_raw[[#This Row],[Column10]]), "", node_raw[[#This Row],[Column10]]/1)</f>
        <v/>
      </c>
    </row>
    <row r="187" spans="2:13" ht="15.75" customHeight="1" x14ac:dyDescent="0.25">
      <c r="B187" s="32" t="str">
        <f>IF(ISNONTEXT(node_raw[[#This Row],[Column1]]), "", node_raw[[#This Row],[Column1]])</f>
        <v/>
      </c>
      <c r="C187" s="29" t="str">
        <f>IF(ISNONTEXT(node_raw[[#This Row],[Column2]]), "", node_raw[[#This Row],[Column2]])</f>
        <v/>
      </c>
      <c r="D187" s="62" t="str">
        <f>IF(ISNUMBER(node_raw[[#This Row],[Column3]]), node_raw[[#This Row],[Column3]],"")</f>
        <v/>
      </c>
      <c r="E187" s="65" t="str">
        <f>IF(ISNUMBER(node_raw[[#This Row],[Column4]]), node_raw[[#This Row],[Column4]]/1048576,"")</f>
        <v/>
      </c>
      <c r="F187" s="91" t="str">
        <f>IF(ISNUMBER(node_raw[[#This Row],[Column5]]), node_raw[[#This Row],[Column5]],"")</f>
        <v/>
      </c>
      <c r="G187" s="80" t="str">
        <f t="shared" si="4"/>
        <v/>
      </c>
      <c r="H187" s="81" t="str">
        <f>IF(ISNUMBER(node_raw[[#This Row],[Column6]]), node_raw[[#This Row],[Column6]]/1048576,"")</f>
        <v/>
      </c>
      <c r="I187" s="82" t="str">
        <f t="shared" si="5"/>
        <v/>
      </c>
      <c r="J187" s="83" t="str">
        <f>IF(ISNONTEXT(node_raw[[#This Row],[Column7]]), "", node_raw[[#This Row],[Column7]]/100)</f>
        <v/>
      </c>
      <c r="K187" s="84" t="str">
        <f>IF(ISNONTEXT(node_raw[[#This Row],[Column8]]), "", node_raw[[#This Row],[Column8]]/100)</f>
        <v/>
      </c>
      <c r="L187" s="85" t="str">
        <f>IF(ISNONTEXT(node_raw[[#This Row],[Column9]]), "", node_raw[[#This Row],[Column9]]/1)</f>
        <v/>
      </c>
      <c r="M187" s="86" t="str">
        <f>IF(ISNONTEXT(node_raw[[#This Row],[Column10]]), "", node_raw[[#This Row],[Column10]]/1)</f>
        <v/>
      </c>
    </row>
    <row r="188" spans="2:13" ht="15.75" customHeight="1" x14ac:dyDescent="0.25">
      <c r="B188" s="32" t="str">
        <f>IF(ISNONTEXT(node_raw[[#This Row],[Column1]]), "", node_raw[[#This Row],[Column1]])</f>
        <v/>
      </c>
      <c r="C188" s="29" t="str">
        <f>IF(ISNONTEXT(node_raw[[#This Row],[Column2]]), "", node_raw[[#This Row],[Column2]])</f>
        <v/>
      </c>
      <c r="D188" s="62" t="str">
        <f>IF(ISNUMBER(node_raw[[#This Row],[Column3]]), node_raw[[#This Row],[Column3]],"")</f>
        <v/>
      </c>
      <c r="E188" s="65" t="str">
        <f>IF(ISNUMBER(node_raw[[#This Row],[Column4]]), node_raw[[#This Row],[Column4]]/1048576,"")</f>
        <v/>
      </c>
      <c r="F188" s="91" t="str">
        <f>IF(ISNUMBER(node_raw[[#This Row],[Column5]]), node_raw[[#This Row],[Column5]],"")</f>
        <v/>
      </c>
      <c r="G188" s="80" t="str">
        <f t="shared" si="4"/>
        <v/>
      </c>
      <c r="H188" s="81" t="str">
        <f>IF(ISNUMBER(node_raw[[#This Row],[Column6]]), node_raw[[#This Row],[Column6]]/1048576,"")</f>
        <v/>
      </c>
      <c r="I188" s="82" t="str">
        <f t="shared" si="5"/>
        <v/>
      </c>
      <c r="J188" s="83" t="str">
        <f>IF(ISNONTEXT(node_raw[[#This Row],[Column7]]), "", node_raw[[#This Row],[Column7]]/100)</f>
        <v/>
      </c>
      <c r="K188" s="84" t="str">
        <f>IF(ISNONTEXT(node_raw[[#This Row],[Column8]]), "", node_raw[[#This Row],[Column8]]/100)</f>
        <v/>
      </c>
      <c r="L188" s="85" t="str">
        <f>IF(ISNONTEXT(node_raw[[#This Row],[Column9]]), "", node_raw[[#This Row],[Column9]]/1)</f>
        <v/>
      </c>
      <c r="M188" s="86" t="str">
        <f>IF(ISNONTEXT(node_raw[[#This Row],[Column10]]), "", node_raw[[#This Row],[Column10]]/1)</f>
        <v/>
      </c>
    </row>
    <row r="189" spans="2:13" ht="15.75" customHeight="1" x14ac:dyDescent="0.25">
      <c r="B189" s="32" t="str">
        <f>IF(ISNONTEXT(node_raw[[#This Row],[Column1]]), "", node_raw[[#This Row],[Column1]])</f>
        <v/>
      </c>
      <c r="C189" s="29" t="str">
        <f>IF(ISNONTEXT(node_raw[[#This Row],[Column2]]), "", node_raw[[#This Row],[Column2]])</f>
        <v/>
      </c>
      <c r="D189" s="62" t="str">
        <f>IF(ISNUMBER(node_raw[[#This Row],[Column3]]), node_raw[[#This Row],[Column3]],"")</f>
        <v/>
      </c>
      <c r="E189" s="65" t="str">
        <f>IF(ISNUMBER(node_raw[[#This Row],[Column4]]), node_raw[[#This Row],[Column4]]/1048576,"")</f>
        <v/>
      </c>
      <c r="F189" s="91" t="str">
        <f>IF(ISNUMBER(node_raw[[#This Row],[Column5]]), node_raw[[#This Row],[Column5]],"")</f>
        <v/>
      </c>
      <c r="G189" s="80" t="str">
        <f t="shared" si="4"/>
        <v/>
      </c>
      <c r="H189" s="81" t="str">
        <f>IF(ISNUMBER(node_raw[[#This Row],[Column6]]), node_raw[[#This Row],[Column6]]/1048576,"")</f>
        <v/>
      </c>
      <c r="I189" s="82" t="str">
        <f t="shared" si="5"/>
        <v/>
      </c>
      <c r="J189" s="83" t="str">
        <f>IF(ISNONTEXT(node_raw[[#This Row],[Column7]]), "", node_raw[[#This Row],[Column7]]/100)</f>
        <v/>
      </c>
      <c r="K189" s="84" t="str">
        <f>IF(ISNONTEXT(node_raw[[#This Row],[Column8]]), "", node_raw[[#This Row],[Column8]]/100)</f>
        <v/>
      </c>
      <c r="L189" s="85" t="str">
        <f>IF(ISNONTEXT(node_raw[[#This Row],[Column9]]), "", node_raw[[#This Row],[Column9]]/1)</f>
        <v/>
      </c>
      <c r="M189" s="86" t="str">
        <f>IF(ISNONTEXT(node_raw[[#This Row],[Column10]]), "", node_raw[[#This Row],[Column10]]/1)</f>
        <v/>
      </c>
    </row>
    <row r="190" spans="2:13" ht="15.75" customHeight="1" x14ac:dyDescent="0.25">
      <c r="B190" s="32" t="str">
        <f>IF(ISNONTEXT(node_raw[[#This Row],[Column1]]), "", node_raw[[#This Row],[Column1]])</f>
        <v/>
      </c>
      <c r="C190" s="29" t="str">
        <f>IF(ISNONTEXT(node_raw[[#This Row],[Column2]]), "", node_raw[[#This Row],[Column2]])</f>
        <v/>
      </c>
      <c r="D190" s="62" t="str">
        <f>IF(ISNUMBER(node_raw[[#This Row],[Column3]]), node_raw[[#This Row],[Column3]],"")</f>
        <v/>
      </c>
      <c r="E190" s="65" t="str">
        <f>IF(ISNUMBER(node_raw[[#This Row],[Column4]]), node_raw[[#This Row],[Column4]]/1048576,"")</f>
        <v/>
      </c>
      <c r="F190" s="91" t="str">
        <f>IF(ISNUMBER(node_raw[[#This Row],[Column5]]), node_raw[[#This Row],[Column5]],"")</f>
        <v/>
      </c>
      <c r="G190" s="80" t="str">
        <f t="shared" si="4"/>
        <v/>
      </c>
      <c r="H190" s="81" t="str">
        <f>IF(ISNUMBER(node_raw[[#This Row],[Column6]]), node_raw[[#This Row],[Column6]]/1048576,"")</f>
        <v/>
      </c>
      <c r="I190" s="82" t="str">
        <f t="shared" si="5"/>
        <v/>
      </c>
      <c r="J190" s="83" t="str">
        <f>IF(ISNONTEXT(node_raw[[#This Row],[Column7]]), "", node_raw[[#This Row],[Column7]]/100)</f>
        <v/>
      </c>
      <c r="K190" s="84" t="str">
        <f>IF(ISNONTEXT(node_raw[[#This Row],[Column8]]), "", node_raw[[#This Row],[Column8]]/100)</f>
        <v/>
      </c>
      <c r="L190" s="85" t="str">
        <f>IF(ISNONTEXT(node_raw[[#This Row],[Column9]]), "", node_raw[[#This Row],[Column9]]/1)</f>
        <v/>
      </c>
      <c r="M190" s="86" t="str">
        <f>IF(ISNONTEXT(node_raw[[#This Row],[Column10]]), "", node_raw[[#This Row],[Column10]]/1)</f>
        <v/>
      </c>
    </row>
    <row r="191" spans="2:13" ht="15.75" customHeight="1" x14ac:dyDescent="0.25">
      <c r="B191" s="32" t="str">
        <f>IF(ISNONTEXT(node_raw[[#This Row],[Column1]]), "", node_raw[[#This Row],[Column1]])</f>
        <v/>
      </c>
      <c r="C191" s="29" t="str">
        <f>IF(ISNONTEXT(node_raw[[#This Row],[Column2]]), "", node_raw[[#This Row],[Column2]])</f>
        <v/>
      </c>
      <c r="D191" s="62" t="str">
        <f>IF(ISNUMBER(node_raw[[#This Row],[Column3]]), node_raw[[#This Row],[Column3]],"")</f>
        <v/>
      </c>
      <c r="E191" s="65" t="str">
        <f>IF(ISNUMBER(node_raw[[#This Row],[Column4]]), node_raw[[#This Row],[Column4]]/1048576,"")</f>
        <v/>
      </c>
      <c r="F191" s="91" t="str">
        <f>IF(ISNUMBER(node_raw[[#This Row],[Column5]]), node_raw[[#This Row],[Column5]],"")</f>
        <v/>
      </c>
      <c r="G191" s="80" t="str">
        <f t="shared" si="4"/>
        <v/>
      </c>
      <c r="H191" s="81" t="str">
        <f>IF(ISNUMBER(node_raw[[#This Row],[Column6]]), node_raw[[#This Row],[Column6]]/1048576,"")</f>
        <v/>
      </c>
      <c r="I191" s="82" t="str">
        <f t="shared" si="5"/>
        <v/>
      </c>
      <c r="J191" s="83" t="str">
        <f>IF(ISNONTEXT(node_raw[[#This Row],[Column7]]), "", node_raw[[#This Row],[Column7]]/100)</f>
        <v/>
      </c>
      <c r="K191" s="84" t="str">
        <f>IF(ISNONTEXT(node_raw[[#This Row],[Column8]]), "", node_raw[[#This Row],[Column8]]/100)</f>
        <v/>
      </c>
      <c r="L191" s="85" t="str">
        <f>IF(ISNONTEXT(node_raw[[#This Row],[Column9]]), "", node_raw[[#This Row],[Column9]]/1)</f>
        <v/>
      </c>
      <c r="M191" s="86" t="str">
        <f>IF(ISNONTEXT(node_raw[[#This Row],[Column10]]), "", node_raw[[#This Row],[Column10]]/1)</f>
        <v/>
      </c>
    </row>
    <row r="192" spans="2:13" ht="15.75" customHeight="1" x14ac:dyDescent="0.25">
      <c r="B192" s="32" t="str">
        <f>IF(ISNONTEXT(node_raw[[#This Row],[Column1]]), "", node_raw[[#This Row],[Column1]])</f>
        <v/>
      </c>
      <c r="C192" s="29" t="str">
        <f>IF(ISNONTEXT(node_raw[[#This Row],[Column2]]), "", node_raw[[#This Row],[Column2]])</f>
        <v/>
      </c>
      <c r="D192" s="62" t="str">
        <f>IF(ISNUMBER(node_raw[[#This Row],[Column3]]), node_raw[[#This Row],[Column3]],"")</f>
        <v/>
      </c>
      <c r="E192" s="65" t="str">
        <f>IF(ISNUMBER(node_raw[[#This Row],[Column4]]), node_raw[[#This Row],[Column4]]/1048576,"")</f>
        <v/>
      </c>
      <c r="F192" s="91" t="str">
        <f>IF(ISNUMBER(node_raw[[#This Row],[Column5]]), node_raw[[#This Row],[Column5]],"")</f>
        <v/>
      </c>
      <c r="G192" s="80" t="str">
        <f t="shared" si="4"/>
        <v/>
      </c>
      <c r="H192" s="81" t="str">
        <f>IF(ISNUMBER(node_raw[[#This Row],[Column6]]), node_raw[[#This Row],[Column6]]/1048576,"")</f>
        <v/>
      </c>
      <c r="I192" s="82" t="str">
        <f t="shared" si="5"/>
        <v/>
      </c>
      <c r="J192" s="83" t="str">
        <f>IF(ISNONTEXT(node_raw[[#This Row],[Column7]]), "", node_raw[[#This Row],[Column7]]/100)</f>
        <v/>
      </c>
      <c r="K192" s="84" t="str">
        <f>IF(ISNONTEXT(node_raw[[#This Row],[Column8]]), "", node_raw[[#This Row],[Column8]]/100)</f>
        <v/>
      </c>
      <c r="L192" s="85" t="str">
        <f>IF(ISNONTEXT(node_raw[[#This Row],[Column9]]), "", node_raw[[#This Row],[Column9]]/1)</f>
        <v/>
      </c>
      <c r="M192" s="86" t="str">
        <f>IF(ISNONTEXT(node_raw[[#This Row],[Column10]]), "", node_raw[[#This Row],[Column10]]/1)</f>
        <v/>
      </c>
    </row>
    <row r="193" spans="2:13" ht="15.75" customHeight="1" x14ac:dyDescent="0.25">
      <c r="B193" s="32" t="str">
        <f>IF(ISNONTEXT(node_raw[[#This Row],[Column1]]), "", node_raw[[#This Row],[Column1]])</f>
        <v/>
      </c>
      <c r="C193" s="29" t="str">
        <f>IF(ISNONTEXT(node_raw[[#This Row],[Column2]]), "", node_raw[[#This Row],[Column2]])</f>
        <v/>
      </c>
      <c r="D193" s="62" t="str">
        <f>IF(ISNUMBER(node_raw[[#This Row],[Column3]]), node_raw[[#This Row],[Column3]],"")</f>
        <v/>
      </c>
      <c r="E193" s="65" t="str">
        <f>IF(ISNUMBER(node_raw[[#This Row],[Column4]]), node_raw[[#This Row],[Column4]]/1048576,"")</f>
        <v/>
      </c>
      <c r="F193" s="91" t="str">
        <f>IF(ISNUMBER(node_raw[[#This Row],[Column5]]), node_raw[[#This Row],[Column5]],"")</f>
        <v/>
      </c>
      <c r="G193" s="80" t="str">
        <f t="shared" si="4"/>
        <v/>
      </c>
      <c r="H193" s="81" t="str">
        <f>IF(ISNUMBER(node_raw[[#This Row],[Column6]]), node_raw[[#This Row],[Column6]]/1048576,"")</f>
        <v/>
      </c>
      <c r="I193" s="82" t="str">
        <f t="shared" si="5"/>
        <v/>
      </c>
      <c r="J193" s="83" t="str">
        <f>IF(ISNONTEXT(node_raw[[#This Row],[Column7]]), "", node_raw[[#This Row],[Column7]]/100)</f>
        <v/>
      </c>
      <c r="K193" s="84" t="str">
        <f>IF(ISNONTEXT(node_raw[[#This Row],[Column8]]), "", node_raw[[#This Row],[Column8]]/100)</f>
        <v/>
      </c>
      <c r="L193" s="85" t="str">
        <f>IF(ISNONTEXT(node_raw[[#This Row],[Column9]]), "", node_raw[[#This Row],[Column9]]/1)</f>
        <v/>
      </c>
      <c r="M193" s="86" t="str">
        <f>IF(ISNONTEXT(node_raw[[#This Row],[Column10]]), "", node_raw[[#This Row],[Column10]]/1)</f>
        <v/>
      </c>
    </row>
    <row r="194" spans="2:13" ht="15.75" customHeight="1" x14ac:dyDescent="0.25">
      <c r="B194" s="32" t="str">
        <f>IF(ISNONTEXT(node_raw[[#This Row],[Column1]]), "", node_raw[[#This Row],[Column1]])</f>
        <v/>
      </c>
      <c r="C194" s="29" t="str">
        <f>IF(ISNONTEXT(node_raw[[#This Row],[Column2]]), "", node_raw[[#This Row],[Column2]])</f>
        <v/>
      </c>
      <c r="D194" s="62" t="str">
        <f>IF(ISNUMBER(node_raw[[#This Row],[Column3]]), node_raw[[#This Row],[Column3]],"")</f>
        <v/>
      </c>
      <c r="E194" s="65" t="str">
        <f>IF(ISNUMBER(node_raw[[#This Row],[Column4]]), node_raw[[#This Row],[Column4]]/1048576,"")</f>
        <v/>
      </c>
      <c r="F194" s="91" t="str">
        <f>IF(ISNUMBER(node_raw[[#This Row],[Column5]]), node_raw[[#This Row],[Column5]],"")</f>
        <v/>
      </c>
      <c r="G194" s="80" t="str">
        <f t="shared" si="4"/>
        <v/>
      </c>
      <c r="H194" s="81" t="str">
        <f>IF(ISNUMBER(node_raw[[#This Row],[Column6]]), node_raw[[#This Row],[Column6]]/1048576,"")</f>
        <v/>
      </c>
      <c r="I194" s="82" t="str">
        <f t="shared" si="5"/>
        <v/>
      </c>
      <c r="J194" s="83" t="str">
        <f>IF(ISNONTEXT(node_raw[[#This Row],[Column7]]), "", node_raw[[#This Row],[Column7]]/100)</f>
        <v/>
      </c>
      <c r="K194" s="84" t="str">
        <f>IF(ISNONTEXT(node_raw[[#This Row],[Column8]]), "", node_raw[[#This Row],[Column8]]/100)</f>
        <v/>
      </c>
      <c r="L194" s="85" t="str">
        <f>IF(ISNONTEXT(node_raw[[#This Row],[Column9]]), "", node_raw[[#This Row],[Column9]]/1)</f>
        <v/>
      </c>
      <c r="M194" s="86" t="str">
        <f>IF(ISNONTEXT(node_raw[[#This Row],[Column10]]), "", node_raw[[#This Row],[Column10]]/1)</f>
        <v/>
      </c>
    </row>
    <row r="195" spans="2:13" ht="15.75" customHeight="1" x14ac:dyDescent="0.25">
      <c r="B195" s="32" t="str">
        <f>IF(ISNONTEXT(node_raw[[#This Row],[Column1]]), "", node_raw[[#This Row],[Column1]])</f>
        <v/>
      </c>
      <c r="C195" s="29" t="str">
        <f>IF(ISNONTEXT(node_raw[[#This Row],[Column2]]), "", node_raw[[#This Row],[Column2]])</f>
        <v/>
      </c>
      <c r="D195" s="62" t="str">
        <f>IF(ISNUMBER(node_raw[[#This Row],[Column3]]), node_raw[[#This Row],[Column3]],"")</f>
        <v/>
      </c>
      <c r="E195" s="65" t="str">
        <f>IF(ISNUMBER(node_raw[[#This Row],[Column4]]), node_raw[[#This Row],[Column4]]/1048576,"")</f>
        <v/>
      </c>
      <c r="F195" s="91" t="str">
        <f>IF(ISNUMBER(node_raw[[#This Row],[Column5]]), node_raw[[#This Row],[Column5]],"")</f>
        <v/>
      </c>
      <c r="G195" s="80" t="str">
        <f t="shared" ref="G195:G258" si="6">IF(ISNUMBER(F195), F195/D195, "")</f>
        <v/>
      </c>
      <c r="H195" s="81" t="str">
        <f>IF(ISNUMBER(node_raw[[#This Row],[Column6]]), node_raw[[#This Row],[Column6]]/1048576,"")</f>
        <v/>
      </c>
      <c r="I195" s="82" t="str">
        <f t="shared" ref="I195:I258" si="7">IF(ISNUMBER(H195), H195/E195, "")</f>
        <v/>
      </c>
      <c r="J195" s="83" t="str">
        <f>IF(ISNONTEXT(node_raw[[#This Row],[Column7]]), "", node_raw[[#This Row],[Column7]]/100)</f>
        <v/>
      </c>
      <c r="K195" s="84" t="str">
        <f>IF(ISNONTEXT(node_raw[[#This Row],[Column8]]), "", node_raw[[#This Row],[Column8]]/100)</f>
        <v/>
      </c>
      <c r="L195" s="85" t="str">
        <f>IF(ISNONTEXT(node_raw[[#This Row],[Column9]]), "", node_raw[[#This Row],[Column9]]/1)</f>
        <v/>
      </c>
      <c r="M195" s="86" t="str">
        <f>IF(ISNONTEXT(node_raw[[#This Row],[Column10]]), "", node_raw[[#This Row],[Column10]]/1)</f>
        <v/>
      </c>
    </row>
    <row r="196" spans="2:13" ht="15.75" customHeight="1" x14ac:dyDescent="0.25">
      <c r="B196" s="32" t="str">
        <f>IF(ISNONTEXT(node_raw[[#This Row],[Column1]]), "", node_raw[[#This Row],[Column1]])</f>
        <v/>
      </c>
      <c r="C196" s="29" t="str">
        <f>IF(ISNONTEXT(node_raw[[#This Row],[Column2]]), "", node_raw[[#This Row],[Column2]])</f>
        <v/>
      </c>
      <c r="D196" s="62" t="str">
        <f>IF(ISNUMBER(node_raw[[#This Row],[Column3]]), node_raw[[#This Row],[Column3]],"")</f>
        <v/>
      </c>
      <c r="E196" s="65" t="str">
        <f>IF(ISNUMBER(node_raw[[#This Row],[Column4]]), node_raw[[#This Row],[Column4]]/1048576,"")</f>
        <v/>
      </c>
      <c r="F196" s="91" t="str">
        <f>IF(ISNUMBER(node_raw[[#This Row],[Column5]]), node_raw[[#This Row],[Column5]],"")</f>
        <v/>
      </c>
      <c r="G196" s="80" t="str">
        <f t="shared" si="6"/>
        <v/>
      </c>
      <c r="H196" s="81" t="str">
        <f>IF(ISNUMBER(node_raw[[#This Row],[Column6]]), node_raw[[#This Row],[Column6]]/1048576,"")</f>
        <v/>
      </c>
      <c r="I196" s="82" t="str">
        <f t="shared" si="7"/>
        <v/>
      </c>
      <c r="J196" s="83" t="str">
        <f>IF(ISNONTEXT(node_raw[[#This Row],[Column7]]), "", node_raw[[#This Row],[Column7]]/100)</f>
        <v/>
      </c>
      <c r="K196" s="84" t="str">
        <f>IF(ISNONTEXT(node_raw[[#This Row],[Column8]]), "", node_raw[[#This Row],[Column8]]/100)</f>
        <v/>
      </c>
      <c r="L196" s="85" t="str">
        <f>IF(ISNONTEXT(node_raw[[#This Row],[Column9]]), "", node_raw[[#This Row],[Column9]]/1)</f>
        <v/>
      </c>
      <c r="M196" s="86" t="str">
        <f>IF(ISNONTEXT(node_raw[[#This Row],[Column10]]), "", node_raw[[#This Row],[Column10]]/1)</f>
        <v/>
      </c>
    </row>
    <row r="197" spans="2:13" ht="15.75" customHeight="1" x14ac:dyDescent="0.25">
      <c r="B197" s="32" t="str">
        <f>IF(ISNONTEXT(node_raw[[#This Row],[Column1]]), "", node_raw[[#This Row],[Column1]])</f>
        <v/>
      </c>
      <c r="C197" s="29" t="str">
        <f>IF(ISNONTEXT(node_raw[[#This Row],[Column2]]), "", node_raw[[#This Row],[Column2]])</f>
        <v/>
      </c>
      <c r="D197" s="62" t="str">
        <f>IF(ISNUMBER(node_raw[[#This Row],[Column3]]), node_raw[[#This Row],[Column3]],"")</f>
        <v/>
      </c>
      <c r="E197" s="65" t="str">
        <f>IF(ISNUMBER(node_raw[[#This Row],[Column4]]), node_raw[[#This Row],[Column4]]/1048576,"")</f>
        <v/>
      </c>
      <c r="F197" s="91" t="str">
        <f>IF(ISNUMBER(node_raw[[#This Row],[Column5]]), node_raw[[#This Row],[Column5]],"")</f>
        <v/>
      </c>
      <c r="G197" s="80" t="str">
        <f t="shared" si="6"/>
        <v/>
      </c>
      <c r="H197" s="81" t="str">
        <f>IF(ISNUMBER(node_raw[[#This Row],[Column6]]), node_raw[[#This Row],[Column6]]/1048576,"")</f>
        <v/>
      </c>
      <c r="I197" s="82" t="str">
        <f t="shared" si="7"/>
        <v/>
      </c>
      <c r="J197" s="83" t="str">
        <f>IF(ISNONTEXT(node_raw[[#This Row],[Column7]]), "", node_raw[[#This Row],[Column7]]/100)</f>
        <v/>
      </c>
      <c r="K197" s="84" t="str">
        <f>IF(ISNONTEXT(node_raw[[#This Row],[Column8]]), "", node_raw[[#This Row],[Column8]]/100)</f>
        <v/>
      </c>
      <c r="L197" s="85" t="str">
        <f>IF(ISNONTEXT(node_raw[[#This Row],[Column9]]), "", node_raw[[#This Row],[Column9]]/1)</f>
        <v/>
      </c>
      <c r="M197" s="86" t="str">
        <f>IF(ISNONTEXT(node_raw[[#This Row],[Column10]]), "", node_raw[[#This Row],[Column10]]/1)</f>
        <v/>
      </c>
    </row>
    <row r="198" spans="2:13" ht="15.75" customHeight="1" x14ac:dyDescent="0.25">
      <c r="B198" s="32" t="str">
        <f>IF(ISNONTEXT(node_raw[[#This Row],[Column1]]), "", node_raw[[#This Row],[Column1]])</f>
        <v/>
      </c>
      <c r="C198" s="29" t="str">
        <f>IF(ISNONTEXT(node_raw[[#This Row],[Column2]]), "", node_raw[[#This Row],[Column2]])</f>
        <v/>
      </c>
      <c r="D198" s="62" t="str">
        <f>IF(ISNUMBER(node_raw[[#This Row],[Column3]]), node_raw[[#This Row],[Column3]],"")</f>
        <v/>
      </c>
      <c r="E198" s="65" t="str">
        <f>IF(ISNUMBER(node_raw[[#This Row],[Column4]]), node_raw[[#This Row],[Column4]]/1048576,"")</f>
        <v/>
      </c>
      <c r="F198" s="91" t="str">
        <f>IF(ISNUMBER(node_raw[[#This Row],[Column5]]), node_raw[[#This Row],[Column5]],"")</f>
        <v/>
      </c>
      <c r="G198" s="80" t="str">
        <f t="shared" si="6"/>
        <v/>
      </c>
      <c r="H198" s="81" t="str">
        <f>IF(ISNUMBER(node_raw[[#This Row],[Column6]]), node_raw[[#This Row],[Column6]]/1048576,"")</f>
        <v/>
      </c>
      <c r="I198" s="82" t="str">
        <f t="shared" si="7"/>
        <v/>
      </c>
      <c r="J198" s="83" t="str">
        <f>IF(ISNONTEXT(node_raw[[#This Row],[Column7]]), "", node_raw[[#This Row],[Column7]]/100)</f>
        <v/>
      </c>
      <c r="K198" s="84" t="str">
        <f>IF(ISNONTEXT(node_raw[[#This Row],[Column8]]), "", node_raw[[#This Row],[Column8]]/100)</f>
        <v/>
      </c>
      <c r="L198" s="85" t="str">
        <f>IF(ISNONTEXT(node_raw[[#This Row],[Column9]]), "", node_raw[[#This Row],[Column9]]/1)</f>
        <v/>
      </c>
      <c r="M198" s="86" t="str">
        <f>IF(ISNONTEXT(node_raw[[#This Row],[Column10]]), "", node_raw[[#This Row],[Column10]]/1)</f>
        <v/>
      </c>
    </row>
    <row r="199" spans="2:13" ht="15.75" customHeight="1" x14ac:dyDescent="0.25">
      <c r="B199" s="32" t="str">
        <f>IF(ISNONTEXT(node_raw[[#This Row],[Column1]]), "", node_raw[[#This Row],[Column1]])</f>
        <v/>
      </c>
      <c r="C199" s="29" t="str">
        <f>IF(ISNONTEXT(node_raw[[#This Row],[Column2]]), "", node_raw[[#This Row],[Column2]])</f>
        <v/>
      </c>
      <c r="D199" s="62" t="str">
        <f>IF(ISNUMBER(node_raw[[#This Row],[Column3]]), node_raw[[#This Row],[Column3]],"")</f>
        <v/>
      </c>
      <c r="E199" s="65" t="str">
        <f>IF(ISNUMBER(node_raw[[#This Row],[Column4]]), node_raw[[#This Row],[Column4]]/1048576,"")</f>
        <v/>
      </c>
      <c r="F199" s="91" t="str">
        <f>IF(ISNUMBER(node_raw[[#This Row],[Column5]]), node_raw[[#This Row],[Column5]],"")</f>
        <v/>
      </c>
      <c r="G199" s="80" t="str">
        <f t="shared" si="6"/>
        <v/>
      </c>
      <c r="H199" s="81" t="str">
        <f>IF(ISNUMBER(node_raw[[#This Row],[Column6]]), node_raw[[#This Row],[Column6]]/1048576,"")</f>
        <v/>
      </c>
      <c r="I199" s="82" t="str">
        <f t="shared" si="7"/>
        <v/>
      </c>
      <c r="J199" s="83" t="str">
        <f>IF(ISNONTEXT(node_raw[[#This Row],[Column7]]), "", node_raw[[#This Row],[Column7]]/100)</f>
        <v/>
      </c>
      <c r="K199" s="84" t="str">
        <f>IF(ISNONTEXT(node_raw[[#This Row],[Column8]]), "", node_raw[[#This Row],[Column8]]/100)</f>
        <v/>
      </c>
      <c r="L199" s="85" t="str">
        <f>IF(ISNONTEXT(node_raw[[#This Row],[Column9]]), "", node_raw[[#This Row],[Column9]]/1)</f>
        <v/>
      </c>
      <c r="M199" s="86" t="str">
        <f>IF(ISNONTEXT(node_raw[[#This Row],[Column10]]), "", node_raw[[#This Row],[Column10]]/1)</f>
        <v/>
      </c>
    </row>
    <row r="200" spans="2:13" ht="15.75" customHeight="1" x14ac:dyDescent="0.25">
      <c r="B200" s="32" t="str">
        <f>IF(ISNONTEXT(node_raw[[#This Row],[Column1]]), "", node_raw[[#This Row],[Column1]])</f>
        <v/>
      </c>
      <c r="C200" s="29" t="str">
        <f>IF(ISNONTEXT(node_raw[[#This Row],[Column2]]), "", node_raw[[#This Row],[Column2]])</f>
        <v/>
      </c>
      <c r="D200" s="62" t="str">
        <f>IF(ISNUMBER(node_raw[[#This Row],[Column3]]), node_raw[[#This Row],[Column3]],"")</f>
        <v/>
      </c>
      <c r="E200" s="65" t="str">
        <f>IF(ISNUMBER(node_raw[[#This Row],[Column4]]), node_raw[[#This Row],[Column4]]/1048576,"")</f>
        <v/>
      </c>
      <c r="F200" s="91" t="str">
        <f>IF(ISNUMBER(node_raw[[#This Row],[Column5]]), node_raw[[#This Row],[Column5]],"")</f>
        <v/>
      </c>
      <c r="G200" s="80" t="str">
        <f t="shared" si="6"/>
        <v/>
      </c>
      <c r="H200" s="81" t="str">
        <f>IF(ISNUMBER(node_raw[[#This Row],[Column6]]), node_raw[[#This Row],[Column6]]/1048576,"")</f>
        <v/>
      </c>
      <c r="I200" s="82" t="str">
        <f t="shared" si="7"/>
        <v/>
      </c>
      <c r="J200" s="83" t="str">
        <f>IF(ISNONTEXT(node_raw[[#This Row],[Column7]]), "", node_raw[[#This Row],[Column7]]/100)</f>
        <v/>
      </c>
      <c r="K200" s="84" t="str">
        <f>IF(ISNONTEXT(node_raw[[#This Row],[Column8]]), "", node_raw[[#This Row],[Column8]]/100)</f>
        <v/>
      </c>
      <c r="L200" s="85" t="str">
        <f>IF(ISNONTEXT(node_raw[[#This Row],[Column9]]), "", node_raw[[#This Row],[Column9]]/1)</f>
        <v/>
      </c>
      <c r="M200" s="86" t="str">
        <f>IF(ISNONTEXT(node_raw[[#This Row],[Column10]]), "", node_raw[[#This Row],[Column10]]/1)</f>
        <v/>
      </c>
    </row>
    <row r="201" spans="2:13" ht="15.75" customHeight="1" x14ac:dyDescent="0.25">
      <c r="B201" s="32" t="str">
        <f>IF(ISNONTEXT(node_raw[[#This Row],[Column1]]), "", node_raw[[#This Row],[Column1]])</f>
        <v/>
      </c>
      <c r="C201" s="29" t="str">
        <f>IF(ISNONTEXT(node_raw[[#This Row],[Column2]]), "", node_raw[[#This Row],[Column2]])</f>
        <v/>
      </c>
      <c r="D201" s="62" t="str">
        <f>IF(ISNUMBER(node_raw[[#This Row],[Column3]]), node_raw[[#This Row],[Column3]],"")</f>
        <v/>
      </c>
      <c r="E201" s="65" t="str">
        <f>IF(ISNUMBER(node_raw[[#This Row],[Column4]]), node_raw[[#This Row],[Column4]]/1048576,"")</f>
        <v/>
      </c>
      <c r="F201" s="91" t="str">
        <f>IF(ISNUMBER(node_raw[[#This Row],[Column5]]), node_raw[[#This Row],[Column5]],"")</f>
        <v/>
      </c>
      <c r="G201" s="80" t="str">
        <f t="shared" si="6"/>
        <v/>
      </c>
      <c r="H201" s="81" t="str">
        <f>IF(ISNUMBER(node_raw[[#This Row],[Column6]]), node_raw[[#This Row],[Column6]]/1048576,"")</f>
        <v/>
      </c>
      <c r="I201" s="82" t="str">
        <f t="shared" si="7"/>
        <v/>
      </c>
      <c r="J201" s="83" t="str">
        <f>IF(ISNONTEXT(node_raw[[#This Row],[Column7]]), "", node_raw[[#This Row],[Column7]]/100)</f>
        <v/>
      </c>
      <c r="K201" s="84" t="str">
        <f>IF(ISNONTEXT(node_raw[[#This Row],[Column8]]), "", node_raw[[#This Row],[Column8]]/100)</f>
        <v/>
      </c>
      <c r="L201" s="85" t="str">
        <f>IF(ISNONTEXT(node_raw[[#This Row],[Column9]]), "", node_raw[[#This Row],[Column9]]/1)</f>
        <v/>
      </c>
      <c r="M201" s="86" t="str">
        <f>IF(ISNONTEXT(node_raw[[#This Row],[Column10]]), "", node_raw[[#This Row],[Column10]]/1)</f>
        <v/>
      </c>
    </row>
    <row r="202" spans="2:13" ht="15.75" customHeight="1" x14ac:dyDescent="0.25">
      <c r="B202" s="32" t="str">
        <f>IF(ISNONTEXT(node_raw[[#This Row],[Column1]]), "", node_raw[[#This Row],[Column1]])</f>
        <v/>
      </c>
      <c r="C202" s="29" t="str">
        <f>IF(ISNONTEXT(node_raw[[#This Row],[Column2]]), "", node_raw[[#This Row],[Column2]])</f>
        <v/>
      </c>
      <c r="D202" s="62" t="str">
        <f>IF(ISNUMBER(node_raw[[#This Row],[Column3]]), node_raw[[#This Row],[Column3]],"")</f>
        <v/>
      </c>
      <c r="E202" s="65" t="str">
        <f>IF(ISNUMBER(node_raw[[#This Row],[Column4]]), node_raw[[#This Row],[Column4]]/1048576,"")</f>
        <v/>
      </c>
      <c r="F202" s="91" t="str">
        <f>IF(ISNUMBER(node_raw[[#This Row],[Column5]]), node_raw[[#This Row],[Column5]],"")</f>
        <v/>
      </c>
      <c r="G202" s="80" t="str">
        <f t="shared" si="6"/>
        <v/>
      </c>
      <c r="H202" s="81" t="str">
        <f>IF(ISNUMBER(node_raw[[#This Row],[Column6]]), node_raw[[#This Row],[Column6]]/1048576,"")</f>
        <v/>
      </c>
      <c r="I202" s="82" t="str">
        <f t="shared" si="7"/>
        <v/>
      </c>
      <c r="J202" s="83" t="str">
        <f>IF(ISNONTEXT(node_raw[[#This Row],[Column7]]), "", node_raw[[#This Row],[Column7]]/100)</f>
        <v/>
      </c>
      <c r="K202" s="84" t="str">
        <f>IF(ISNONTEXT(node_raw[[#This Row],[Column8]]), "", node_raw[[#This Row],[Column8]]/100)</f>
        <v/>
      </c>
      <c r="L202" s="85" t="str">
        <f>IF(ISNONTEXT(node_raw[[#This Row],[Column9]]), "", node_raw[[#This Row],[Column9]]/1)</f>
        <v/>
      </c>
      <c r="M202" s="86" t="str">
        <f>IF(ISNONTEXT(node_raw[[#This Row],[Column10]]), "", node_raw[[#This Row],[Column10]]/1)</f>
        <v/>
      </c>
    </row>
    <row r="203" spans="2:13" ht="15.75" customHeight="1" x14ac:dyDescent="0.25">
      <c r="B203" s="32" t="str">
        <f>IF(ISNONTEXT(node_raw[[#This Row],[Column1]]), "", node_raw[[#This Row],[Column1]])</f>
        <v/>
      </c>
      <c r="C203" s="29" t="str">
        <f>IF(ISNONTEXT(node_raw[[#This Row],[Column2]]), "", node_raw[[#This Row],[Column2]])</f>
        <v/>
      </c>
      <c r="D203" s="62" t="str">
        <f>IF(ISNUMBER(node_raw[[#This Row],[Column3]]), node_raw[[#This Row],[Column3]],"")</f>
        <v/>
      </c>
      <c r="E203" s="65" t="str">
        <f>IF(ISNUMBER(node_raw[[#This Row],[Column4]]), node_raw[[#This Row],[Column4]]/1048576,"")</f>
        <v/>
      </c>
      <c r="F203" s="91" t="str">
        <f>IF(ISNUMBER(node_raw[[#This Row],[Column5]]), node_raw[[#This Row],[Column5]],"")</f>
        <v/>
      </c>
      <c r="G203" s="80" t="str">
        <f t="shared" si="6"/>
        <v/>
      </c>
      <c r="H203" s="81" t="str">
        <f>IF(ISNUMBER(node_raw[[#This Row],[Column6]]), node_raw[[#This Row],[Column6]]/1048576,"")</f>
        <v/>
      </c>
      <c r="I203" s="82" t="str">
        <f t="shared" si="7"/>
        <v/>
      </c>
      <c r="J203" s="83" t="str">
        <f>IF(ISNONTEXT(node_raw[[#This Row],[Column7]]), "", node_raw[[#This Row],[Column7]]/100)</f>
        <v/>
      </c>
      <c r="K203" s="84" t="str">
        <f>IF(ISNONTEXT(node_raw[[#This Row],[Column8]]), "", node_raw[[#This Row],[Column8]]/100)</f>
        <v/>
      </c>
      <c r="L203" s="85" t="str">
        <f>IF(ISNONTEXT(node_raw[[#This Row],[Column9]]), "", node_raw[[#This Row],[Column9]]/1)</f>
        <v/>
      </c>
      <c r="M203" s="86" t="str">
        <f>IF(ISNONTEXT(node_raw[[#This Row],[Column10]]), "", node_raw[[#This Row],[Column10]]/1)</f>
        <v/>
      </c>
    </row>
    <row r="204" spans="2:13" ht="15.75" customHeight="1" x14ac:dyDescent="0.25">
      <c r="B204" s="32" t="str">
        <f>IF(ISNONTEXT(node_raw[[#This Row],[Column1]]), "", node_raw[[#This Row],[Column1]])</f>
        <v/>
      </c>
      <c r="C204" s="29" t="str">
        <f>IF(ISNONTEXT(node_raw[[#This Row],[Column2]]), "", node_raw[[#This Row],[Column2]])</f>
        <v/>
      </c>
      <c r="D204" s="62" t="str">
        <f>IF(ISNUMBER(node_raw[[#This Row],[Column3]]), node_raw[[#This Row],[Column3]],"")</f>
        <v/>
      </c>
      <c r="E204" s="65" t="str">
        <f>IF(ISNUMBER(node_raw[[#This Row],[Column4]]), node_raw[[#This Row],[Column4]]/1048576,"")</f>
        <v/>
      </c>
      <c r="F204" s="91" t="str">
        <f>IF(ISNUMBER(node_raw[[#This Row],[Column5]]), node_raw[[#This Row],[Column5]],"")</f>
        <v/>
      </c>
      <c r="G204" s="80" t="str">
        <f t="shared" si="6"/>
        <v/>
      </c>
      <c r="H204" s="81" t="str">
        <f>IF(ISNUMBER(node_raw[[#This Row],[Column6]]), node_raw[[#This Row],[Column6]]/1048576,"")</f>
        <v/>
      </c>
      <c r="I204" s="82" t="str">
        <f t="shared" si="7"/>
        <v/>
      </c>
      <c r="J204" s="83" t="str">
        <f>IF(ISNONTEXT(node_raw[[#This Row],[Column7]]), "", node_raw[[#This Row],[Column7]]/100)</f>
        <v/>
      </c>
      <c r="K204" s="84" t="str">
        <f>IF(ISNONTEXT(node_raw[[#This Row],[Column8]]), "", node_raw[[#This Row],[Column8]]/100)</f>
        <v/>
      </c>
      <c r="L204" s="85" t="str">
        <f>IF(ISNONTEXT(node_raw[[#This Row],[Column9]]), "", node_raw[[#This Row],[Column9]]/1)</f>
        <v/>
      </c>
      <c r="M204" s="86" t="str">
        <f>IF(ISNONTEXT(node_raw[[#This Row],[Column10]]), "", node_raw[[#This Row],[Column10]]/1)</f>
        <v/>
      </c>
    </row>
    <row r="205" spans="2:13" ht="15.75" customHeight="1" x14ac:dyDescent="0.25">
      <c r="B205" s="32" t="str">
        <f>IF(ISNONTEXT(node_raw[[#This Row],[Column1]]), "", node_raw[[#This Row],[Column1]])</f>
        <v/>
      </c>
      <c r="C205" s="29" t="str">
        <f>IF(ISNONTEXT(node_raw[[#This Row],[Column2]]), "", node_raw[[#This Row],[Column2]])</f>
        <v/>
      </c>
      <c r="D205" s="62" t="str">
        <f>IF(ISNUMBER(node_raw[[#This Row],[Column3]]), node_raw[[#This Row],[Column3]],"")</f>
        <v/>
      </c>
      <c r="E205" s="65" t="str">
        <f>IF(ISNUMBER(node_raw[[#This Row],[Column4]]), node_raw[[#This Row],[Column4]]/1048576,"")</f>
        <v/>
      </c>
      <c r="F205" s="91" t="str">
        <f>IF(ISNUMBER(node_raw[[#This Row],[Column5]]), node_raw[[#This Row],[Column5]],"")</f>
        <v/>
      </c>
      <c r="G205" s="80" t="str">
        <f t="shared" si="6"/>
        <v/>
      </c>
      <c r="H205" s="81" t="str">
        <f>IF(ISNUMBER(node_raw[[#This Row],[Column6]]), node_raw[[#This Row],[Column6]]/1048576,"")</f>
        <v/>
      </c>
      <c r="I205" s="82" t="str">
        <f t="shared" si="7"/>
        <v/>
      </c>
      <c r="J205" s="83" t="str">
        <f>IF(ISNONTEXT(node_raw[[#This Row],[Column7]]), "", node_raw[[#This Row],[Column7]]/100)</f>
        <v/>
      </c>
      <c r="K205" s="84" t="str">
        <f>IF(ISNONTEXT(node_raw[[#This Row],[Column8]]), "", node_raw[[#This Row],[Column8]]/100)</f>
        <v/>
      </c>
      <c r="L205" s="85" t="str">
        <f>IF(ISNONTEXT(node_raw[[#This Row],[Column9]]), "", node_raw[[#This Row],[Column9]]/1)</f>
        <v/>
      </c>
      <c r="M205" s="86" t="str">
        <f>IF(ISNONTEXT(node_raw[[#This Row],[Column10]]), "", node_raw[[#This Row],[Column10]]/1)</f>
        <v/>
      </c>
    </row>
    <row r="206" spans="2:13" ht="15.75" customHeight="1" x14ac:dyDescent="0.25">
      <c r="B206" s="32" t="str">
        <f>IF(ISNONTEXT(node_raw[[#This Row],[Column1]]), "", node_raw[[#This Row],[Column1]])</f>
        <v/>
      </c>
      <c r="C206" s="29" t="str">
        <f>IF(ISNONTEXT(node_raw[[#This Row],[Column2]]), "", node_raw[[#This Row],[Column2]])</f>
        <v/>
      </c>
      <c r="D206" s="62" t="str">
        <f>IF(ISNUMBER(node_raw[[#This Row],[Column3]]), node_raw[[#This Row],[Column3]],"")</f>
        <v/>
      </c>
      <c r="E206" s="65" t="str">
        <f>IF(ISNUMBER(node_raw[[#This Row],[Column4]]), node_raw[[#This Row],[Column4]]/1048576,"")</f>
        <v/>
      </c>
      <c r="F206" s="91" t="str">
        <f>IF(ISNUMBER(node_raw[[#This Row],[Column5]]), node_raw[[#This Row],[Column5]],"")</f>
        <v/>
      </c>
      <c r="G206" s="80" t="str">
        <f t="shared" si="6"/>
        <v/>
      </c>
      <c r="H206" s="81" t="str">
        <f>IF(ISNUMBER(node_raw[[#This Row],[Column6]]), node_raw[[#This Row],[Column6]]/1048576,"")</f>
        <v/>
      </c>
      <c r="I206" s="82" t="str">
        <f t="shared" si="7"/>
        <v/>
      </c>
      <c r="J206" s="83" t="str">
        <f>IF(ISNONTEXT(node_raw[[#This Row],[Column7]]), "", node_raw[[#This Row],[Column7]]/100)</f>
        <v/>
      </c>
      <c r="K206" s="84" t="str">
        <f>IF(ISNONTEXT(node_raw[[#This Row],[Column8]]), "", node_raw[[#This Row],[Column8]]/100)</f>
        <v/>
      </c>
      <c r="L206" s="85" t="str">
        <f>IF(ISNONTEXT(node_raw[[#This Row],[Column9]]), "", node_raw[[#This Row],[Column9]]/1)</f>
        <v/>
      </c>
      <c r="M206" s="86" t="str">
        <f>IF(ISNONTEXT(node_raw[[#This Row],[Column10]]), "", node_raw[[#This Row],[Column10]]/1)</f>
        <v/>
      </c>
    </row>
    <row r="207" spans="2:13" ht="15.75" customHeight="1" x14ac:dyDescent="0.25">
      <c r="B207" s="32" t="str">
        <f>IF(ISNONTEXT(node_raw[[#This Row],[Column1]]), "", node_raw[[#This Row],[Column1]])</f>
        <v/>
      </c>
      <c r="C207" s="29" t="str">
        <f>IF(ISNONTEXT(node_raw[[#This Row],[Column2]]), "", node_raw[[#This Row],[Column2]])</f>
        <v/>
      </c>
      <c r="D207" s="62" t="str">
        <f>IF(ISNUMBER(node_raw[[#This Row],[Column3]]), node_raw[[#This Row],[Column3]],"")</f>
        <v/>
      </c>
      <c r="E207" s="65" t="str">
        <f>IF(ISNUMBER(node_raw[[#This Row],[Column4]]), node_raw[[#This Row],[Column4]]/1048576,"")</f>
        <v/>
      </c>
      <c r="F207" s="91" t="str">
        <f>IF(ISNUMBER(node_raw[[#This Row],[Column5]]), node_raw[[#This Row],[Column5]],"")</f>
        <v/>
      </c>
      <c r="G207" s="80" t="str">
        <f t="shared" si="6"/>
        <v/>
      </c>
      <c r="H207" s="81" t="str">
        <f>IF(ISNUMBER(node_raw[[#This Row],[Column6]]), node_raw[[#This Row],[Column6]]/1048576,"")</f>
        <v/>
      </c>
      <c r="I207" s="82" t="str">
        <f t="shared" si="7"/>
        <v/>
      </c>
      <c r="J207" s="83" t="str">
        <f>IF(ISNONTEXT(node_raw[[#This Row],[Column7]]), "", node_raw[[#This Row],[Column7]]/100)</f>
        <v/>
      </c>
      <c r="K207" s="84" t="str">
        <f>IF(ISNONTEXT(node_raw[[#This Row],[Column8]]), "", node_raw[[#This Row],[Column8]]/100)</f>
        <v/>
      </c>
      <c r="L207" s="85" t="str">
        <f>IF(ISNONTEXT(node_raw[[#This Row],[Column9]]), "", node_raw[[#This Row],[Column9]]/1)</f>
        <v/>
      </c>
      <c r="M207" s="86" t="str">
        <f>IF(ISNONTEXT(node_raw[[#This Row],[Column10]]), "", node_raw[[#This Row],[Column10]]/1)</f>
        <v/>
      </c>
    </row>
    <row r="208" spans="2:13" ht="15.75" customHeight="1" x14ac:dyDescent="0.25">
      <c r="B208" s="32" t="str">
        <f>IF(ISNONTEXT(node_raw[[#This Row],[Column1]]), "", node_raw[[#This Row],[Column1]])</f>
        <v/>
      </c>
      <c r="C208" s="29" t="str">
        <f>IF(ISNONTEXT(node_raw[[#This Row],[Column2]]), "", node_raw[[#This Row],[Column2]])</f>
        <v/>
      </c>
      <c r="D208" s="62" t="str">
        <f>IF(ISNUMBER(node_raw[[#This Row],[Column3]]), node_raw[[#This Row],[Column3]],"")</f>
        <v/>
      </c>
      <c r="E208" s="65" t="str">
        <f>IF(ISNUMBER(node_raw[[#This Row],[Column4]]), node_raw[[#This Row],[Column4]]/1048576,"")</f>
        <v/>
      </c>
      <c r="F208" s="91" t="str">
        <f>IF(ISNUMBER(node_raw[[#This Row],[Column5]]), node_raw[[#This Row],[Column5]],"")</f>
        <v/>
      </c>
      <c r="G208" s="80" t="str">
        <f t="shared" si="6"/>
        <v/>
      </c>
      <c r="H208" s="81" t="str">
        <f>IF(ISNUMBER(node_raw[[#This Row],[Column6]]), node_raw[[#This Row],[Column6]]/1048576,"")</f>
        <v/>
      </c>
      <c r="I208" s="82" t="str">
        <f t="shared" si="7"/>
        <v/>
      </c>
      <c r="J208" s="83" t="str">
        <f>IF(ISNONTEXT(node_raw[[#This Row],[Column7]]), "", node_raw[[#This Row],[Column7]]/100)</f>
        <v/>
      </c>
      <c r="K208" s="84" t="str">
        <f>IF(ISNONTEXT(node_raw[[#This Row],[Column8]]), "", node_raw[[#This Row],[Column8]]/100)</f>
        <v/>
      </c>
      <c r="L208" s="85" t="str">
        <f>IF(ISNONTEXT(node_raw[[#This Row],[Column9]]), "", node_raw[[#This Row],[Column9]]/1)</f>
        <v/>
      </c>
      <c r="M208" s="86" t="str">
        <f>IF(ISNONTEXT(node_raw[[#This Row],[Column10]]), "", node_raw[[#This Row],[Column10]]/1)</f>
        <v/>
      </c>
    </row>
    <row r="209" spans="2:13" ht="15.75" customHeight="1" x14ac:dyDescent="0.25">
      <c r="B209" s="32" t="str">
        <f>IF(ISNONTEXT(node_raw[[#This Row],[Column1]]), "", node_raw[[#This Row],[Column1]])</f>
        <v/>
      </c>
      <c r="C209" s="29" t="str">
        <f>IF(ISNONTEXT(node_raw[[#This Row],[Column2]]), "", node_raw[[#This Row],[Column2]])</f>
        <v/>
      </c>
      <c r="D209" s="62" t="str">
        <f>IF(ISNUMBER(node_raw[[#This Row],[Column3]]), node_raw[[#This Row],[Column3]],"")</f>
        <v/>
      </c>
      <c r="E209" s="65" t="str">
        <f>IF(ISNUMBER(node_raw[[#This Row],[Column4]]), node_raw[[#This Row],[Column4]]/1048576,"")</f>
        <v/>
      </c>
      <c r="F209" s="91" t="str">
        <f>IF(ISNUMBER(node_raw[[#This Row],[Column5]]), node_raw[[#This Row],[Column5]],"")</f>
        <v/>
      </c>
      <c r="G209" s="80" t="str">
        <f t="shared" si="6"/>
        <v/>
      </c>
      <c r="H209" s="81" t="str">
        <f>IF(ISNUMBER(node_raw[[#This Row],[Column6]]), node_raw[[#This Row],[Column6]]/1048576,"")</f>
        <v/>
      </c>
      <c r="I209" s="82" t="str">
        <f t="shared" si="7"/>
        <v/>
      </c>
      <c r="J209" s="83" t="str">
        <f>IF(ISNONTEXT(node_raw[[#This Row],[Column7]]), "", node_raw[[#This Row],[Column7]]/100)</f>
        <v/>
      </c>
      <c r="K209" s="84" t="str">
        <f>IF(ISNONTEXT(node_raw[[#This Row],[Column8]]), "", node_raw[[#This Row],[Column8]]/100)</f>
        <v/>
      </c>
      <c r="L209" s="85" t="str">
        <f>IF(ISNONTEXT(node_raw[[#This Row],[Column9]]), "", node_raw[[#This Row],[Column9]]/1)</f>
        <v/>
      </c>
      <c r="M209" s="86" t="str">
        <f>IF(ISNONTEXT(node_raw[[#This Row],[Column10]]), "", node_raw[[#This Row],[Column10]]/1)</f>
        <v/>
      </c>
    </row>
    <row r="210" spans="2:13" ht="15.75" customHeight="1" x14ac:dyDescent="0.25">
      <c r="B210" s="32" t="str">
        <f>IF(ISNONTEXT(node_raw[[#This Row],[Column1]]), "", node_raw[[#This Row],[Column1]])</f>
        <v/>
      </c>
      <c r="C210" s="29" t="str">
        <f>IF(ISNONTEXT(node_raw[[#This Row],[Column2]]), "", node_raw[[#This Row],[Column2]])</f>
        <v/>
      </c>
      <c r="D210" s="62" t="str">
        <f>IF(ISNUMBER(node_raw[[#This Row],[Column3]]), node_raw[[#This Row],[Column3]],"")</f>
        <v/>
      </c>
      <c r="E210" s="65" t="str">
        <f>IF(ISNUMBER(node_raw[[#This Row],[Column4]]), node_raw[[#This Row],[Column4]]/1048576,"")</f>
        <v/>
      </c>
      <c r="F210" s="91" t="str">
        <f>IF(ISNUMBER(node_raw[[#This Row],[Column5]]), node_raw[[#This Row],[Column5]],"")</f>
        <v/>
      </c>
      <c r="G210" s="80" t="str">
        <f t="shared" si="6"/>
        <v/>
      </c>
      <c r="H210" s="81" t="str">
        <f>IF(ISNUMBER(node_raw[[#This Row],[Column6]]), node_raw[[#This Row],[Column6]]/1048576,"")</f>
        <v/>
      </c>
      <c r="I210" s="82" t="str">
        <f t="shared" si="7"/>
        <v/>
      </c>
      <c r="J210" s="83" t="str">
        <f>IF(ISNONTEXT(node_raw[[#This Row],[Column7]]), "", node_raw[[#This Row],[Column7]]/100)</f>
        <v/>
      </c>
      <c r="K210" s="84" t="str">
        <f>IF(ISNONTEXT(node_raw[[#This Row],[Column8]]), "", node_raw[[#This Row],[Column8]]/100)</f>
        <v/>
      </c>
      <c r="L210" s="85" t="str">
        <f>IF(ISNONTEXT(node_raw[[#This Row],[Column9]]), "", node_raw[[#This Row],[Column9]]/1)</f>
        <v/>
      </c>
      <c r="M210" s="86" t="str">
        <f>IF(ISNONTEXT(node_raw[[#This Row],[Column10]]), "", node_raw[[#This Row],[Column10]]/1)</f>
        <v/>
      </c>
    </row>
    <row r="211" spans="2:13" ht="15.75" customHeight="1" x14ac:dyDescent="0.25">
      <c r="B211" s="32" t="str">
        <f>IF(ISNONTEXT(node_raw[[#This Row],[Column1]]), "", node_raw[[#This Row],[Column1]])</f>
        <v/>
      </c>
      <c r="C211" s="29" t="str">
        <f>IF(ISNONTEXT(node_raw[[#This Row],[Column2]]), "", node_raw[[#This Row],[Column2]])</f>
        <v/>
      </c>
      <c r="D211" s="62" t="str">
        <f>IF(ISNUMBER(node_raw[[#This Row],[Column3]]), node_raw[[#This Row],[Column3]],"")</f>
        <v/>
      </c>
      <c r="E211" s="65" t="str">
        <f>IF(ISNUMBER(node_raw[[#This Row],[Column4]]), node_raw[[#This Row],[Column4]]/1048576,"")</f>
        <v/>
      </c>
      <c r="F211" s="91" t="str">
        <f>IF(ISNUMBER(node_raw[[#This Row],[Column5]]), node_raw[[#This Row],[Column5]],"")</f>
        <v/>
      </c>
      <c r="G211" s="80" t="str">
        <f t="shared" si="6"/>
        <v/>
      </c>
      <c r="H211" s="81" t="str">
        <f>IF(ISNUMBER(node_raw[[#This Row],[Column6]]), node_raw[[#This Row],[Column6]]/1048576,"")</f>
        <v/>
      </c>
      <c r="I211" s="82" t="str">
        <f t="shared" si="7"/>
        <v/>
      </c>
      <c r="J211" s="83" t="str">
        <f>IF(ISNONTEXT(node_raw[[#This Row],[Column7]]), "", node_raw[[#This Row],[Column7]]/100)</f>
        <v/>
      </c>
      <c r="K211" s="84" t="str">
        <f>IF(ISNONTEXT(node_raw[[#This Row],[Column8]]), "", node_raw[[#This Row],[Column8]]/100)</f>
        <v/>
      </c>
      <c r="L211" s="85" t="str">
        <f>IF(ISNONTEXT(node_raw[[#This Row],[Column9]]), "", node_raw[[#This Row],[Column9]]/1)</f>
        <v/>
      </c>
      <c r="M211" s="86" t="str">
        <f>IF(ISNONTEXT(node_raw[[#This Row],[Column10]]), "", node_raw[[#This Row],[Column10]]/1)</f>
        <v/>
      </c>
    </row>
    <row r="212" spans="2:13" ht="15.75" customHeight="1" x14ac:dyDescent="0.25">
      <c r="B212" s="32" t="str">
        <f>IF(ISNONTEXT(node_raw[[#This Row],[Column1]]), "", node_raw[[#This Row],[Column1]])</f>
        <v/>
      </c>
      <c r="C212" s="29" t="str">
        <f>IF(ISNONTEXT(node_raw[[#This Row],[Column2]]), "", node_raw[[#This Row],[Column2]])</f>
        <v/>
      </c>
      <c r="D212" s="62" t="str">
        <f>IF(ISNUMBER(node_raw[[#This Row],[Column3]]), node_raw[[#This Row],[Column3]],"")</f>
        <v/>
      </c>
      <c r="E212" s="65" t="str">
        <f>IF(ISNUMBER(node_raw[[#This Row],[Column4]]), node_raw[[#This Row],[Column4]]/1048576,"")</f>
        <v/>
      </c>
      <c r="F212" s="91" t="str">
        <f>IF(ISNUMBER(node_raw[[#This Row],[Column5]]), node_raw[[#This Row],[Column5]],"")</f>
        <v/>
      </c>
      <c r="G212" s="80" t="str">
        <f t="shared" si="6"/>
        <v/>
      </c>
      <c r="H212" s="81" t="str">
        <f>IF(ISNUMBER(node_raw[[#This Row],[Column6]]), node_raw[[#This Row],[Column6]]/1048576,"")</f>
        <v/>
      </c>
      <c r="I212" s="82" t="str">
        <f t="shared" si="7"/>
        <v/>
      </c>
      <c r="J212" s="83" t="str">
        <f>IF(ISNONTEXT(node_raw[[#This Row],[Column7]]), "", node_raw[[#This Row],[Column7]]/100)</f>
        <v/>
      </c>
      <c r="K212" s="84" t="str">
        <f>IF(ISNONTEXT(node_raw[[#This Row],[Column8]]), "", node_raw[[#This Row],[Column8]]/100)</f>
        <v/>
      </c>
      <c r="L212" s="85" t="str">
        <f>IF(ISNONTEXT(node_raw[[#This Row],[Column9]]), "", node_raw[[#This Row],[Column9]]/1)</f>
        <v/>
      </c>
      <c r="M212" s="86" t="str">
        <f>IF(ISNONTEXT(node_raw[[#This Row],[Column10]]), "", node_raw[[#This Row],[Column10]]/1)</f>
        <v/>
      </c>
    </row>
    <row r="213" spans="2:13" ht="15.75" customHeight="1" x14ac:dyDescent="0.25">
      <c r="B213" s="32" t="str">
        <f>IF(ISNONTEXT(node_raw[[#This Row],[Column1]]), "", node_raw[[#This Row],[Column1]])</f>
        <v/>
      </c>
      <c r="C213" s="29" t="str">
        <f>IF(ISNONTEXT(node_raw[[#This Row],[Column2]]), "", node_raw[[#This Row],[Column2]])</f>
        <v/>
      </c>
      <c r="D213" s="62" t="str">
        <f>IF(ISNUMBER(node_raw[[#This Row],[Column3]]), node_raw[[#This Row],[Column3]],"")</f>
        <v/>
      </c>
      <c r="E213" s="65" t="str">
        <f>IF(ISNUMBER(node_raw[[#This Row],[Column4]]), node_raw[[#This Row],[Column4]]/1048576,"")</f>
        <v/>
      </c>
      <c r="F213" s="91" t="str">
        <f>IF(ISNUMBER(node_raw[[#This Row],[Column5]]), node_raw[[#This Row],[Column5]],"")</f>
        <v/>
      </c>
      <c r="G213" s="80" t="str">
        <f t="shared" si="6"/>
        <v/>
      </c>
      <c r="H213" s="81" t="str">
        <f>IF(ISNUMBER(node_raw[[#This Row],[Column6]]), node_raw[[#This Row],[Column6]]/1048576,"")</f>
        <v/>
      </c>
      <c r="I213" s="82" t="str">
        <f t="shared" si="7"/>
        <v/>
      </c>
      <c r="J213" s="83" t="str">
        <f>IF(ISNONTEXT(node_raw[[#This Row],[Column7]]), "", node_raw[[#This Row],[Column7]]/100)</f>
        <v/>
      </c>
      <c r="K213" s="84" t="str">
        <f>IF(ISNONTEXT(node_raw[[#This Row],[Column8]]), "", node_raw[[#This Row],[Column8]]/100)</f>
        <v/>
      </c>
      <c r="L213" s="85" t="str">
        <f>IF(ISNONTEXT(node_raw[[#This Row],[Column9]]), "", node_raw[[#This Row],[Column9]]/1)</f>
        <v/>
      </c>
      <c r="M213" s="86" t="str">
        <f>IF(ISNONTEXT(node_raw[[#This Row],[Column10]]), "", node_raw[[#This Row],[Column10]]/1)</f>
        <v/>
      </c>
    </row>
    <row r="214" spans="2:13" ht="15.75" customHeight="1" x14ac:dyDescent="0.25">
      <c r="B214" s="32" t="str">
        <f>IF(ISNONTEXT(node_raw[[#This Row],[Column1]]), "", node_raw[[#This Row],[Column1]])</f>
        <v/>
      </c>
      <c r="C214" s="29" t="str">
        <f>IF(ISNONTEXT(node_raw[[#This Row],[Column2]]), "", node_raw[[#This Row],[Column2]])</f>
        <v/>
      </c>
      <c r="D214" s="62" t="str">
        <f>IF(ISNUMBER(node_raw[[#This Row],[Column3]]), node_raw[[#This Row],[Column3]],"")</f>
        <v/>
      </c>
      <c r="E214" s="65" t="str">
        <f>IF(ISNUMBER(node_raw[[#This Row],[Column4]]), node_raw[[#This Row],[Column4]]/1048576,"")</f>
        <v/>
      </c>
      <c r="F214" s="91" t="str">
        <f>IF(ISNUMBER(node_raw[[#This Row],[Column5]]), node_raw[[#This Row],[Column5]],"")</f>
        <v/>
      </c>
      <c r="G214" s="80" t="str">
        <f t="shared" si="6"/>
        <v/>
      </c>
      <c r="H214" s="81" t="str">
        <f>IF(ISNUMBER(node_raw[[#This Row],[Column6]]), node_raw[[#This Row],[Column6]]/1048576,"")</f>
        <v/>
      </c>
      <c r="I214" s="82" t="str">
        <f t="shared" si="7"/>
        <v/>
      </c>
      <c r="J214" s="83" t="str">
        <f>IF(ISNONTEXT(node_raw[[#This Row],[Column7]]), "", node_raw[[#This Row],[Column7]]/100)</f>
        <v/>
      </c>
      <c r="K214" s="84" t="str">
        <f>IF(ISNONTEXT(node_raw[[#This Row],[Column8]]), "", node_raw[[#This Row],[Column8]]/100)</f>
        <v/>
      </c>
      <c r="L214" s="85" t="str">
        <f>IF(ISNONTEXT(node_raw[[#This Row],[Column9]]), "", node_raw[[#This Row],[Column9]]/1)</f>
        <v/>
      </c>
      <c r="M214" s="86" t="str">
        <f>IF(ISNONTEXT(node_raw[[#This Row],[Column10]]), "", node_raw[[#This Row],[Column10]]/1)</f>
        <v/>
      </c>
    </row>
    <row r="215" spans="2:13" ht="15.75" customHeight="1" x14ac:dyDescent="0.25">
      <c r="B215" s="32" t="str">
        <f>IF(ISNONTEXT(node_raw[[#This Row],[Column1]]), "", node_raw[[#This Row],[Column1]])</f>
        <v/>
      </c>
      <c r="C215" s="29" t="str">
        <f>IF(ISNONTEXT(node_raw[[#This Row],[Column2]]), "", node_raw[[#This Row],[Column2]])</f>
        <v/>
      </c>
      <c r="D215" s="62" t="str">
        <f>IF(ISNUMBER(node_raw[[#This Row],[Column3]]), node_raw[[#This Row],[Column3]],"")</f>
        <v/>
      </c>
      <c r="E215" s="65" t="str">
        <f>IF(ISNUMBER(node_raw[[#This Row],[Column4]]), node_raw[[#This Row],[Column4]]/1048576,"")</f>
        <v/>
      </c>
      <c r="F215" s="91" t="str">
        <f>IF(ISNUMBER(node_raw[[#This Row],[Column5]]), node_raw[[#This Row],[Column5]],"")</f>
        <v/>
      </c>
      <c r="G215" s="80" t="str">
        <f t="shared" si="6"/>
        <v/>
      </c>
      <c r="H215" s="81" t="str">
        <f>IF(ISNUMBER(node_raw[[#This Row],[Column6]]), node_raw[[#This Row],[Column6]]/1048576,"")</f>
        <v/>
      </c>
      <c r="I215" s="82" t="str">
        <f t="shared" si="7"/>
        <v/>
      </c>
      <c r="J215" s="83" t="str">
        <f>IF(ISNONTEXT(node_raw[[#This Row],[Column7]]), "", node_raw[[#This Row],[Column7]]/100)</f>
        <v/>
      </c>
      <c r="K215" s="84" t="str">
        <f>IF(ISNONTEXT(node_raw[[#This Row],[Column8]]), "", node_raw[[#This Row],[Column8]]/100)</f>
        <v/>
      </c>
      <c r="L215" s="85" t="str">
        <f>IF(ISNONTEXT(node_raw[[#This Row],[Column9]]), "", node_raw[[#This Row],[Column9]]/1)</f>
        <v/>
      </c>
      <c r="M215" s="86" t="str">
        <f>IF(ISNONTEXT(node_raw[[#This Row],[Column10]]), "", node_raw[[#This Row],[Column10]]/1)</f>
        <v/>
      </c>
    </row>
    <row r="216" spans="2:13" ht="15.75" customHeight="1" x14ac:dyDescent="0.25">
      <c r="B216" s="32" t="str">
        <f>IF(ISNONTEXT(node_raw[[#This Row],[Column1]]), "", node_raw[[#This Row],[Column1]])</f>
        <v/>
      </c>
      <c r="C216" s="29" t="str">
        <f>IF(ISNONTEXT(node_raw[[#This Row],[Column2]]), "", node_raw[[#This Row],[Column2]])</f>
        <v/>
      </c>
      <c r="D216" s="62" t="str">
        <f>IF(ISNUMBER(node_raw[[#This Row],[Column3]]), node_raw[[#This Row],[Column3]],"")</f>
        <v/>
      </c>
      <c r="E216" s="65" t="str">
        <f>IF(ISNUMBER(node_raw[[#This Row],[Column4]]), node_raw[[#This Row],[Column4]]/1048576,"")</f>
        <v/>
      </c>
      <c r="F216" s="91" t="str">
        <f>IF(ISNUMBER(node_raw[[#This Row],[Column5]]), node_raw[[#This Row],[Column5]],"")</f>
        <v/>
      </c>
      <c r="G216" s="80" t="str">
        <f t="shared" si="6"/>
        <v/>
      </c>
      <c r="H216" s="81" t="str">
        <f>IF(ISNUMBER(node_raw[[#This Row],[Column6]]), node_raw[[#This Row],[Column6]]/1048576,"")</f>
        <v/>
      </c>
      <c r="I216" s="82" t="str">
        <f t="shared" si="7"/>
        <v/>
      </c>
      <c r="J216" s="83" t="str">
        <f>IF(ISNONTEXT(node_raw[[#This Row],[Column7]]), "", node_raw[[#This Row],[Column7]]/100)</f>
        <v/>
      </c>
      <c r="K216" s="84" t="str">
        <f>IF(ISNONTEXT(node_raw[[#This Row],[Column8]]), "", node_raw[[#This Row],[Column8]]/100)</f>
        <v/>
      </c>
      <c r="L216" s="85" t="str">
        <f>IF(ISNONTEXT(node_raw[[#This Row],[Column9]]), "", node_raw[[#This Row],[Column9]]/1)</f>
        <v/>
      </c>
      <c r="M216" s="86" t="str">
        <f>IF(ISNONTEXT(node_raw[[#This Row],[Column10]]), "", node_raw[[#This Row],[Column10]]/1)</f>
        <v/>
      </c>
    </row>
    <row r="217" spans="2:13" ht="15.75" customHeight="1" x14ac:dyDescent="0.25">
      <c r="B217" s="32" t="str">
        <f>IF(ISNONTEXT(node_raw[[#This Row],[Column1]]), "", node_raw[[#This Row],[Column1]])</f>
        <v/>
      </c>
      <c r="C217" s="29" t="str">
        <f>IF(ISNONTEXT(node_raw[[#This Row],[Column2]]), "", node_raw[[#This Row],[Column2]])</f>
        <v/>
      </c>
      <c r="D217" s="62" t="str">
        <f>IF(ISNUMBER(node_raw[[#This Row],[Column3]]), node_raw[[#This Row],[Column3]],"")</f>
        <v/>
      </c>
      <c r="E217" s="65" t="str">
        <f>IF(ISNUMBER(node_raw[[#This Row],[Column4]]), node_raw[[#This Row],[Column4]]/1048576,"")</f>
        <v/>
      </c>
      <c r="F217" s="91" t="str">
        <f>IF(ISNUMBER(node_raw[[#This Row],[Column5]]), node_raw[[#This Row],[Column5]],"")</f>
        <v/>
      </c>
      <c r="G217" s="80" t="str">
        <f t="shared" si="6"/>
        <v/>
      </c>
      <c r="H217" s="81" t="str">
        <f>IF(ISNUMBER(node_raw[[#This Row],[Column6]]), node_raw[[#This Row],[Column6]]/1048576,"")</f>
        <v/>
      </c>
      <c r="I217" s="82" t="str">
        <f t="shared" si="7"/>
        <v/>
      </c>
      <c r="J217" s="83" t="str">
        <f>IF(ISNONTEXT(node_raw[[#This Row],[Column7]]), "", node_raw[[#This Row],[Column7]]/100)</f>
        <v/>
      </c>
      <c r="K217" s="84" t="str">
        <f>IF(ISNONTEXT(node_raw[[#This Row],[Column8]]), "", node_raw[[#This Row],[Column8]]/100)</f>
        <v/>
      </c>
      <c r="L217" s="85" t="str">
        <f>IF(ISNONTEXT(node_raw[[#This Row],[Column9]]), "", node_raw[[#This Row],[Column9]]/1)</f>
        <v/>
      </c>
      <c r="M217" s="86" t="str">
        <f>IF(ISNONTEXT(node_raw[[#This Row],[Column10]]), "", node_raw[[#This Row],[Column10]]/1)</f>
        <v/>
      </c>
    </row>
    <row r="218" spans="2:13" ht="15.75" customHeight="1" x14ac:dyDescent="0.25">
      <c r="B218" s="32" t="str">
        <f>IF(ISNONTEXT(node_raw[[#This Row],[Column1]]), "", node_raw[[#This Row],[Column1]])</f>
        <v/>
      </c>
      <c r="C218" s="29" t="str">
        <f>IF(ISNONTEXT(node_raw[[#This Row],[Column2]]), "", node_raw[[#This Row],[Column2]])</f>
        <v/>
      </c>
      <c r="D218" s="62" t="str">
        <f>IF(ISNUMBER(node_raw[[#This Row],[Column3]]), node_raw[[#This Row],[Column3]],"")</f>
        <v/>
      </c>
      <c r="E218" s="65" t="str">
        <f>IF(ISNUMBER(node_raw[[#This Row],[Column4]]), node_raw[[#This Row],[Column4]]/1048576,"")</f>
        <v/>
      </c>
      <c r="F218" s="91" t="str">
        <f>IF(ISNUMBER(node_raw[[#This Row],[Column5]]), node_raw[[#This Row],[Column5]],"")</f>
        <v/>
      </c>
      <c r="G218" s="80" t="str">
        <f t="shared" si="6"/>
        <v/>
      </c>
      <c r="H218" s="81" t="str">
        <f>IF(ISNUMBER(node_raw[[#This Row],[Column6]]), node_raw[[#This Row],[Column6]]/1048576,"")</f>
        <v/>
      </c>
      <c r="I218" s="82" t="str">
        <f t="shared" si="7"/>
        <v/>
      </c>
      <c r="J218" s="83" t="str">
        <f>IF(ISNONTEXT(node_raw[[#This Row],[Column7]]), "", node_raw[[#This Row],[Column7]]/100)</f>
        <v/>
      </c>
      <c r="K218" s="84" t="str">
        <f>IF(ISNONTEXT(node_raw[[#This Row],[Column8]]), "", node_raw[[#This Row],[Column8]]/100)</f>
        <v/>
      </c>
      <c r="L218" s="85" t="str">
        <f>IF(ISNONTEXT(node_raw[[#This Row],[Column9]]), "", node_raw[[#This Row],[Column9]]/1)</f>
        <v/>
      </c>
      <c r="M218" s="86" t="str">
        <f>IF(ISNONTEXT(node_raw[[#This Row],[Column10]]), "", node_raw[[#This Row],[Column10]]/1)</f>
        <v/>
      </c>
    </row>
    <row r="219" spans="2:13" ht="15.75" customHeight="1" x14ac:dyDescent="0.25">
      <c r="B219" s="32" t="str">
        <f>IF(ISNONTEXT(node_raw[[#This Row],[Column1]]), "", node_raw[[#This Row],[Column1]])</f>
        <v/>
      </c>
      <c r="C219" s="29" t="str">
        <f>IF(ISNONTEXT(node_raw[[#This Row],[Column2]]), "", node_raw[[#This Row],[Column2]])</f>
        <v/>
      </c>
      <c r="D219" s="62" t="str">
        <f>IF(ISNUMBER(node_raw[[#This Row],[Column3]]), node_raw[[#This Row],[Column3]],"")</f>
        <v/>
      </c>
      <c r="E219" s="65" t="str">
        <f>IF(ISNUMBER(node_raw[[#This Row],[Column4]]), node_raw[[#This Row],[Column4]]/1048576,"")</f>
        <v/>
      </c>
      <c r="F219" s="91" t="str">
        <f>IF(ISNUMBER(node_raw[[#This Row],[Column5]]), node_raw[[#This Row],[Column5]],"")</f>
        <v/>
      </c>
      <c r="G219" s="80" t="str">
        <f t="shared" si="6"/>
        <v/>
      </c>
      <c r="H219" s="81" t="str">
        <f>IF(ISNUMBER(node_raw[[#This Row],[Column6]]), node_raw[[#This Row],[Column6]]/1048576,"")</f>
        <v/>
      </c>
      <c r="I219" s="82" t="str">
        <f t="shared" si="7"/>
        <v/>
      </c>
      <c r="J219" s="83" t="str">
        <f>IF(ISNONTEXT(node_raw[[#This Row],[Column7]]), "", node_raw[[#This Row],[Column7]]/100)</f>
        <v/>
      </c>
      <c r="K219" s="84" t="str">
        <f>IF(ISNONTEXT(node_raw[[#This Row],[Column8]]), "", node_raw[[#This Row],[Column8]]/100)</f>
        <v/>
      </c>
      <c r="L219" s="85" t="str">
        <f>IF(ISNONTEXT(node_raw[[#This Row],[Column9]]), "", node_raw[[#This Row],[Column9]]/1)</f>
        <v/>
      </c>
      <c r="M219" s="86" t="str">
        <f>IF(ISNONTEXT(node_raw[[#This Row],[Column10]]), "", node_raw[[#This Row],[Column10]]/1)</f>
        <v/>
      </c>
    </row>
    <row r="220" spans="2:13" ht="15.75" customHeight="1" x14ac:dyDescent="0.25">
      <c r="B220" s="32" t="str">
        <f>IF(ISNONTEXT(node_raw[[#This Row],[Column1]]), "", node_raw[[#This Row],[Column1]])</f>
        <v/>
      </c>
      <c r="C220" s="29" t="str">
        <f>IF(ISNONTEXT(node_raw[[#This Row],[Column2]]), "", node_raw[[#This Row],[Column2]])</f>
        <v/>
      </c>
      <c r="D220" s="62" t="str">
        <f>IF(ISNUMBER(node_raw[[#This Row],[Column3]]), node_raw[[#This Row],[Column3]],"")</f>
        <v/>
      </c>
      <c r="E220" s="65" t="str">
        <f>IF(ISNUMBER(node_raw[[#This Row],[Column4]]), node_raw[[#This Row],[Column4]]/1048576,"")</f>
        <v/>
      </c>
      <c r="F220" s="91" t="str">
        <f>IF(ISNUMBER(node_raw[[#This Row],[Column5]]), node_raw[[#This Row],[Column5]],"")</f>
        <v/>
      </c>
      <c r="G220" s="80" t="str">
        <f t="shared" si="6"/>
        <v/>
      </c>
      <c r="H220" s="81" t="str">
        <f>IF(ISNUMBER(node_raw[[#This Row],[Column6]]), node_raw[[#This Row],[Column6]]/1048576,"")</f>
        <v/>
      </c>
      <c r="I220" s="82" t="str">
        <f t="shared" si="7"/>
        <v/>
      </c>
      <c r="J220" s="83" t="str">
        <f>IF(ISNONTEXT(node_raw[[#This Row],[Column7]]), "", node_raw[[#This Row],[Column7]]/100)</f>
        <v/>
      </c>
      <c r="K220" s="84" t="str">
        <f>IF(ISNONTEXT(node_raw[[#This Row],[Column8]]), "", node_raw[[#This Row],[Column8]]/100)</f>
        <v/>
      </c>
      <c r="L220" s="85" t="str">
        <f>IF(ISNONTEXT(node_raw[[#This Row],[Column9]]), "", node_raw[[#This Row],[Column9]]/1)</f>
        <v/>
      </c>
      <c r="M220" s="86" t="str">
        <f>IF(ISNONTEXT(node_raw[[#This Row],[Column10]]), "", node_raw[[#This Row],[Column10]]/1)</f>
        <v/>
      </c>
    </row>
    <row r="221" spans="2:13" ht="15.75" customHeight="1" x14ac:dyDescent="0.25">
      <c r="B221" s="32" t="str">
        <f>IF(ISNONTEXT(node_raw[[#This Row],[Column1]]), "", node_raw[[#This Row],[Column1]])</f>
        <v/>
      </c>
      <c r="C221" s="29" t="str">
        <f>IF(ISNONTEXT(node_raw[[#This Row],[Column2]]), "", node_raw[[#This Row],[Column2]])</f>
        <v/>
      </c>
      <c r="D221" s="62" t="str">
        <f>IF(ISNUMBER(node_raw[[#This Row],[Column3]]), node_raw[[#This Row],[Column3]],"")</f>
        <v/>
      </c>
      <c r="E221" s="65" t="str">
        <f>IF(ISNUMBER(node_raw[[#This Row],[Column4]]), node_raw[[#This Row],[Column4]]/1048576,"")</f>
        <v/>
      </c>
      <c r="F221" s="91" t="str">
        <f>IF(ISNUMBER(node_raw[[#This Row],[Column5]]), node_raw[[#This Row],[Column5]],"")</f>
        <v/>
      </c>
      <c r="G221" s="80" t="str">
        <f t="shared" si="6"/>
        <v/>
      </c>
      <c r="H221" s="81" t="str">
        <f>IF(ISNUMBER(node_raw[[#This Row],[Column6]]), node_raw[[#This Row],[Column6]]/1048576,"")</f>
        <v/>
      </c>
      <c r="I221" s="82" t="str">
        <f t="shared" si="7"/>
        <v/>
      </c>
      <c r="J221" s="83" t="str">
        <f>IF(ISNONTEXT(node_raw[[#This Row],[Column7]]), "", node_raw[[#This Row],[Column7]]/100)</f>
        <v/>
      </c>
      <c r="K221" s="84" t="str">
        <f>IF(ISNONTEXT(node_raw[[#This Row],[Column8]]), "", node_raw[[#This Row],[Column8]]/100)</f>
        <v/>
      </c>
      <c r="L221" s="85" t="str">
        <f>IF(ISNONTEXT(node_raw[[#This Row],[Column9]]), "", node_raw[[#This Row],[Column9]]/1)</f>
        <v/>
      </c>
      <c r="M221" s="86" t="str">
        <f>IF(ISNONTEXT(node_raw[[#This Row],[Column10]]), "", node_raw[[#This Row],[Column10]]/1)</f>
        <v/>
      </c>
    </row>
    <row r="222" spans="2:13" ht="15.75" customHeight="1" x14ac:dyDescent="0.25">
      <c r="B222" s="32" t="str">
        <f>IF(ISNONTEXT(node_raw[[#This Row],[Column1]]), "", node_raw[[#This Row],[Column1]])</f>
        <v/>
      </c>
      <c r="C222" s="29" t="str">
        <f>IF(ISNONTEXT(node_raw[[#This Row],[Column2]]), "", node_raw[[#This Row],[Column2]])</f>
        <v/>
      </c>
      <c r="D222" s="62" t="str">
        <f>IF(ISNUMBER(node_raw[[#This Row],[Column3]]), node_raw[[#This Row],[Column3]],"")</f>
        <v/>
      </c>
      <c r="E222" s="65" t="str">
        <f>IF(ISNUMBER(node_raw[[#This Row],[Column4]]), node_raw[[#This Row],[Column4]]/1048576,"")</f>
        <v/>
      </c>
      <c r="F222" s="91" t="str">
        <f>IF(ISNUMBER(node_raw[[#This Row],[Column5]]), node_raw[[#This Row],[Column5]],"")</f>
        <v/>
      </c>
      <c r="G222" s="80" t="str">
        <f t="shared" si="6"/>
        <v/>
      </c>
      <c r="H222" s="81" t="str">
        <f>IF(ISNUMBER(node_raw[[#This Row],[Column6]]), node_raw[[#This Row],[Column6]]/1048576,"")</f>
        <v/>
      </c>
      <c r="I222" s="82" t="str">
        <f t="shared" si="7"/>
        <v/>
      </c>
      <c r="J222" s="83" t="str">
        <f>IF(ISNONTEXT(node_raw[[#This Row],[Column7]]), "", node_raw[[#This Row],[Column7]]/100)</f>
        <v/>
      </c>
      <c r="K222" s="84" t="str">
        <f>IF(ISNONTEXT(node_raw[[#This Row],[Column8]]), "", node_raw[[#This Row],[Column8]]/100)</f>
        <v/>
      </c>
      <c r="L222" s="85" t="str">
        <f>IF(ISNONTEXT(node_raw[[#This Row],[Column9]]), "", node_raw[[#This Row],[Column9]]/1)</f>
        <v/>
      </c>
      <c r="M222" s="86" t="str">
        <f>IF(ISNONTEXT(node_raw[[#This Row],[Column10]]), "", node_raw[[#This Row],[Column10]]/1)</f>
        <v/>
      </c>
    </row>
    <row r="223" spans="2:13" ht="15.75" customHeight="1" x14ac:dyDescent="0.25">
      <c r="B223" s="32" t="str">
        <f>IF(ISNONTEXT(node_raw[[#This Row],[Column1]]), "", node_raw[[#This Row],[Column1]])</f>
        <v/>
      </c>
      <c r="C223" s="29" t="str">
        <f>IF(ISNONTEXT(node_raw[[#This Row],[Column2]]), "", node_raw[[#This Row],[Column2]])</f>
        <v/>
      </c>
      <c r="D223" s="62" t="str">
        <f>IF(ISNUMBER(node_raw[[#This Row],[Column3]]), node_raw[[#This Row],[Column3]],"")</f>
        <v/>
      </c>
      <c r="E223" s="65" t="str">
        <f>IF(ISNUMBER(node_raw[[#This Row],[Column4]]), node_raw[[#This Row],[Column4]]/1048576,"")</f>
        <v/>
      </c>
      <c r="F223" s="91" t="str">
        <f>IF(ISNUMBER(node_raw[[#This Row],[Column5]]), node_raw[[#This Row],[Column5]],"")</f>
        <v/>
      </c>
      <c r="G223" s="80" t="str">
        <f t="shared" si="6"/>
        <v/>
      </c>
      <c r="H223" s="81" t="str">
        <f>IF(ISNUMBER(node_raw[[#This Row],[Column6]]), node_raw[[#This Row],[Column6]]/1048576,"")</f>
        <v/>
      </c>
      <c r="I223" s="82" t="str">
        <f t="shared" si="7"/>
        <v/>
      </c>
      <c r="J223" s="83" t="str">
        <f>IF(ISNONTEXT(node_raw[[#This Row],[Column7]]), "", node_raw[[#This Row],[Column7]]/100)</f>
        <v/>
      </c>
      <c r="K223" s="84" t="str">
        <f>IF(ISNONTEXT(node_raw[[#This Row],[Column8]]), "", node_raw[[#This Row],[Column8]]/100)</f>
        <v/>
      </c>
      <c r="L223" s="85" t="str">
        <f>IF(ISNONTEXT(node_raw[[#This Row],[Column9]]), "", node_raw[[#This Row],[Column9]]/1)</f>
        <v/>
      </c>
      <c r="M223" s="86" t="str">
        <f>IF(ISNONTEXT(node_raw[[#This Row],[Column10]]), "", node_raw[[#This Row],[Column10]]/1)</f>
        <v/>
      </c>
    </row>
    <row r="224" spans="2:13" ht="15.75" customHeight="1" x14ac:dyDescent="0.25">
      <c r="B224" s="32" t="str">
        <f>IF(ISNONTEXT(node_raw[[#This Row],[Column1]]), "", node_raw[[#This Row],[Column1]])</f>
        <v/>
      </c>
      <c r="C224" s="29" t="str">
        <f>IF(ISNONTEXT(node_raw[[#This Row],[Column2]]), "", node_raw[[#This Row],[Column2]])</f>
        <v/>
      </c>
      <c r="D224" s="62" t="str">
        <f>IF(ISNUMBER(node_raw[[#This Row],[Column3]]), node_raw[[#This Row],[Column3]],"")</f>
        <v/>
      </c>
      <c r="E224" s="65" t="str">
        <f>IF(ISNUMBER(node_raw[[#This Row],[Column4]]), node_raw[[#This Row],[Column4]]/1048576,"")</f>
        <v/>
      </c>
      <c r="F224" s="91" t="str">
        <f>IF(ISNUMBER(node_raw[[#This Row],[Column5]]), node_raw[[#This Row],[Column5]],"")</f>
        <v/>
      </c>
      <c r="G224" s="80" t="str">
        <f t="shared" si="6"/>
        <v/>
      </c>
      <c r="H224" s="81" t="str">
        <f>IF(ISNUMBER(node_raw[[#This Row],[Column6]]), node_raw[[#This Row],[Column6]]/1048576,"")</f>
        <v/>
      </c>
      <c r="I224" s="82" t="str">
        <f t="shared" si="7"/>
        <v/>
      </c>
      <c r="J224" s="83" t="str">
        <f>IF(ISNONTEXT(node_raw[[#This Row],[Column7]]), "", node_raw[[#This Row],[Column7]]/100)</f>
        <v/>
      </c>
      <c r="K224" s="84" t="str">
        <f>IF(ISNONTEXT(node_raw[[#This Row],[Column8]]), "", node_raw[[#This Row],[Column8]]/100)</f>
        <v/>
      </c>
      <c r="L224" s="85" t="str">
        <f>IF(ISNONTEXT(node_raw[[#This Row],[Column9]]), "", node_raw[[#This Row],[Column9]]/1)</f>
        <v/>
      </c>
      <c r="M224" s="86" t="str">
        <f>IF(ISNONTEXT(node_raw[[#This Row],[Column10]]), "", node_raw[[#This Row],[Column10]]/1)</f>
        <v/>
      </c>
    </row>
    <row r="225" spans="2:13" ht="15.75" customHeight="1" x14ac:dyDescent="0.25">
      <c r="B225" s="32" t="str">
        <f>IF(ISNONTEXT(node_raw[[#This Row],[Column1]]), "", node_raw[[#This Row],[Column1]])</f>
        <v/>
      </c>
      <c r="C225" s="29" t="str">
        <f>IF(ISNONTEXT(node_raw[[#This Row],[Column2]]), "", node_raw[[#This Row],[Column2]])</f>
        <v/>
      </c>
      <c r="D225" s="62" t="str">
        <f>IF(ISNUMBER(node_raw[[#This Row],[Column3]]), node_raw[[#This Row],[Column3]],"")</f>
        <v/>
      </c>
      <c r="E225" s="65" t="str">
        <f>IF(ISNUMBER(node_raw[[#This Row],[Column4]]), node_raw[[#This Row],[Column4]]/1048576,"")</f>
        <v/>
      </c>
      <c r="F225" s="91" t="str">
        <f>IF(ISNUMBER(node_raw[[#This Row],[Column5]]), node_raw[[#This Row],[Column5]],"")</f>
        <v/>
      </c>
      <c r="G225" s="80" t="str">
        <f t="shared" si="6"/>
        <v/>
      </c>
      <c r="H225" s="81" t="str">
        <f>IF(ISNUMBER(node_raw[[#This Row],[Column6]]), node_raw[[#This Row],[Column6]]/1048576,"")</f>
        <v/>
      </c>
      <c r="I225" s="82" t="str">
        <f t="shared" si="7"/>
        <v/>
      </c>
      <c r="J225" s="83" t="str">
        <f>IF(ISNONTEXT(node_raw[[#This Row],[Column7]]), "", node_raw[[#This Row],[Column7]]/100)</f>
        <v/>
      </c>
      <c r="K225" s="84" t="str">
        <f>IF(ISNONTEXT(node_raw[[#This Row],[Column8]]), "", node_raw[[#This Row],[Column8]]/100)</f>
        <v/>
      </c>
      <c r="L225" s="85" t="str">
        <f>IF(ISNONTEXT(node_raw[[#This Row],[Column9]]), "", node_raw[[#This Row],[Column9]]/1)</f>
        <v/>
      </c>
      <c r="M225" s="86" t="str">
        <f>IF(ISNONTEXT(node_raw[[#This Row],[Column10]]), "", node_raw[[#This Row],[Column10]]/1)</f>
        <v/>
      </c>
    </row>
    <row r="226" spans="2:13" ht="15.75" customHeight="1" x14ac:dyDescent="0.25">
      <c r="B226" s="32" t="str">
        <f>IF(ISNONTEXT(node_raw[[#This Row],[Column1]]), "", node_raw[[#This Row],[Column1]])</f>
        <v/>
      </c>
      <c r="C226" s="29" t="str">
        <f>IF(ISNONTEXT(node_raw[[#This Row],[Column2]]), "", node_raw[[#This Row],[Column2]])</f>
        <v/>
      </c>
      <c r="D226" s="62" t="str">
        <f>IF(ISNUMBER(node_raw[[#This Row],[Column3]]), node_raw[[#This Row],[Column3]],"")</f>
        <v/>
      </c>
      <c r="E226" s="65" t="str">
        <f>IF(ISNUMBER(node_raw[[#This Row],[Column4]]), node_raw[[#This Row],[Column4]]/1048576,"")</f>
        <v/>
      </c>
      <c r="F226" s="91" t="str">
        <f>IF(ISNUMBER(node_raw[[#This Row],[Column5]]), node_raw[[#This Row],[Column5]],"")</f>
        <v/>
      </c>
      <c r="G226" s="80" t="str">
        <f t="shared" si="6"/>
        <v/>
      </c>
      <c r="H226" s="81" t="str">
        <f>IF(ISNUMBER(node_raw[[#This Row],[Column6]]), node_raw[[#This Row],[Column6]]/1048576,"")</f>
        <v/>
      </c>
      <c r="I226" s="82" t="str">
        <f t="shared" si="7"/>
        <v/>
      </c>
      <c r="J226" s="83" t="str">
        <f>IF(ISNONTEXT(node_raw[[#This Row],[Column7]]), "", node_raw[[#This Row],[Column7]]/100)</f>
        <v/>
      </c>
      <c r="K226" s="84" t="str">
        <f>IF(ISNONTEXT(node_raw[[#This Row],[Column8]]), "", node_raw[[#This Row],[Column8]]/100)</f>
        <v/>
      </c>
      <c r="L226" s="85" t="str">
        <f>IF(ISNONTEXT(node_raw[[#This Row],[Column9]]), "", node_raw[[#This Row],[Column9]]/1)</f>
        <v/>
      </c>
      <c r="M226" s="86" t="str">
        <f>IF(ISNONTEXT(node_raw[[#This Row],[Column10]]), "", node_raw[[#This Row],[Column10]]/1)</f>
        <v/>
      </c>
    </row>
    <row r="227" spans="2:13" ht="15.75" customHeight="1" x14ac:dyDescent="0.25">
      <c r="B227" s="32" t="str">
        <f>IF(ISNONTEXT(node_raw[[#This Row],[Column1]]), "", node_raw[[#This Row],[Column1]])</f>
        <v/>
      </c>
      <c r="C227" s="29" t="str">
        <f>IF(ISNONTEXT(node_raw[[#This Row],[Column2]]), "", node_raw[[#This Row],[Column2]])</f>
        <v/>
      </c>
      <c r="D227" s="62" t="str">
        <f>IF(ISNUMBER(node_raw[[#This Row],[Column3]]), node_raw[[#This Row],[Column3]],"")</f>
        <v/>
      </c>
      <c r="E227" s="65" t="str">
        <f>IF(ISNUMBER(node_raw[[#This Row],[Column4]]), node_raw[[#This Row],[Column4]]/1048576,"")</f>
        <v/>
      </c>
      <c r="F227" s="91" t="str">
        <f>IF(ISNUMBER(node_raw[[#This Row],[Column5]]), node_raw[[#This Row],[Column5]],"")</f>
        <v/>
      </c>
      <c r="G227" s="80" t="str">
        <f t="shared" si="6"/>
        <v/>
      </c>
      <c r="H227" s="81" t="str">
        <f>IF(ISNUMBER(node_raw[[#This Row],[Column6]]), node_raw[[#This Row],[Column6]]/1048576,"")</f>
        <v/>
      </c>
      <c r="I227" s="82" t="str">
        <f t="shared" si="7"/>
        <v/>
      </c>
      <c r="J227" s="83" t="str">
        <f>IF(ISNONTEXT(node_raw[[#This Row],[Column7]]), "", node_raw[[#This Row],[Column7]]/100)</f>
        <v/>
      </c>
      <c r="K227" s="84" t="str">
        <f>IF(ISNONTEXT(node_raw[[#This Row],[Column8]]), "", node_raw[[#This Row],[Column8]]/100)</f>
        <v/>
      </c>
      <c r="L227" s="85" t="str">
        <f>IF(ISNONTEXT(node_raw[[#This Row],[Column9]]), "", node_raw[[#This Row],[Column9]]/1)</f>
        <v/>
      </c>
      <c r="M227" s="86" t="str">
        <f>IF(ISNONTEXT(node_raw[[#This Row],[Column10]]), "", node_raw[[#This Row],[Column10]]/1)</f>
        <v/>
      </c>
    </row>
    <row r="228" spans="2:13" ht="15.75" customHeight="1" x14ac:dyDescent="0.25">
      <c r="B228" s="32" t="str">
        <f>IF(ISNONTEXT(node_raw[[#This Row],[Column1]]), "", node_raw[[#This Row],[Column1]])</f>
        <v/>
      </c>
      <c r="C228" s="29" t="str">
        <f>IF(ISNONTEXT(node_raw[[#This Row],[Column2]]), "", node_raw[[#This Row],[Column2]])</f>
        <v/>
      </c>
      <c r="D228" s="62" t="str">
        <f>IF(ISNUMBER(node_raw[[#This Row],[Column3]]), node_raw[[#This Row],[Column3]],"")</f>
        <v/>
      </c>
      <c r="E228" s="65" t="str">
        <f>IF(ISNUMBER(node_raw[[#This Row],[Column4]]), node_raw[[#This Row],[Column4]]/1048576,"")</f>
        <v/>
      </c>
      <c r="F228" s="91" t="str">
        <f>IF(ISNUMBER(node_raw[[#This Row],[Column5]]), node_raw[[#This Row],[Column5]],"")</f>
        <v/>
      </c>
      <c r="G228" s="80" t="str">
        <f t="shared" si="6"/>
        <v/>
      </c>
      <c r="H228" s="81" t="str">
        <f>IF(ISNUMBER(node_raw[[#This Row],[Column6]]), node_raw[[#This Row],[Column6]]/1048576,"")</f>
        <v/>
      </c>
      <c r="I228" s="82" t="str">
        <f t="shared" si="7"/>
        <v/>
      </c>
      <c r="J228" s="83" t="str">
        <f>IF(ISNONTEXT(node_raw[[#This Row],[Column7]]), "", node_raw[[#This Row],[Column7]]/100)</f>
        <v/>
      </c>
      <c r="K228" s="84" t="str">
        <f>IF(ISNONTEXT(node_raw[[#This Row],[Column8]]), "", node_raw[[#This Row],[Column8]]/100)</f>
        <v/>
      </c>
      <c r="L228" s="85" t="str">
        <f>IF(ISNONTEXT(node_raw[[#This Row],[Column9]]), "", node_raw[[#This Row],[Column9]]/1)</f>
        <v/>
      </c>
      <c r="M228" s="86" t="str">
        <f>IF(ISNONTEXT(node_raw[[#This Row],[Column10]]), "", node_raw[[#This Row],[Column10]]/1)</f>
        <v/>
      </c>
    </row>
    <row r="229" spans="2:13" ht="15.75" customHeight="1" x14ac:dyDescent="0.25">
      <c r="B229" s="32" t="str">
        <f>IF(ISNONTEXT(node_raw[[#This Row],[Column1]]), "", node_raw[[#This Row],[Column1]])</f>
        <v/>
      </c>
      <c r="C229" s="29" t="str">
        <f>IF(ISNONTEXT(node_raw[[#This Row],[Column2]]), "", node_raw[[#This Row],[Column2]])</f>
        <v/>
      </c>
      <c r="D229" s="62" t="str">
        <f>IF(ISNUMBER(node_raw[[#This Row],[Column3]]), node_raw[[#This Row],[Column3]],"")</f>
        <v/>
      </c>
      <c r="E229" s="65" t="str">
        <f>IF(ISNUMBER(node_raw[[#This Row],[Column4]]), node_raw[[#This Row],[Column4]]/1048576,"")</f>
        <v/>
      </c>
      <c r="F229" s="91" t="str">
        <f>IF(ISNUMBER(node_raw[[#This Row],[Column5]]), node_raw[[#This Row],[Column5]],"")</f>
        <v/>
      </c>
      <c r="G229" s="80" t="str">
        <f t="shared" si="6"/>
        <v/>
      </c>
      <c r="H229" s="81" t="str">
        <f>IF(ISNUMBER(node_raw[[#This Row],[Column6]]), node_raw[[#This Row],[Column6]]/1048576,"")</f>
        <v/>
      </c>
      <c r="I229" s="82" t="str">
        <f t="shared" si="7"/>
        <v/>
      </c>
      <c r="J229" s="83" t="str">
        <f>IF(ISNONTEXT(node_raw[[#This Row],[Column7]]), "", node_raw[[#This Row],[Column7]]/100)</f>
        <v/>
      </c>
      <c r="K229" s="84" t="str">
        <f>IF(ISNONTEXT(node_raw[[#This Row],[Column8]]), "", node_raw[[#This Row],[Column8]]/100)</f>
        <v/>
      </c>
      <c r="L229" s="85" t="str">
        <f>IF(ISNONTEXT(node_raw[[#This Row],[Column9]]), "", node_raw[[#This Row],[Column9]]/1)</f>
        <v/>
      </c>
      <c r="M229" s="86" t="str">
        <f>IF(ISNONTEXT(node_raw[[#This Row],[Column10]]), "", node_raw[[#This Row],[Column10]]/1)</f>
        <v/>
      </c>
    </row>
    <row r="230" spans="2:13" ht="15.75" customHeight="1" x14ac:dyDescent="0.25">
      <c r="B230" s="32" t="str">
        <f>IF(ISNONTEXT(node_raw[[#This Row],[Column1]]), "", node_raw[[#This Row],[Column1]])</f>
        <v/>
      </c>
      <c r="C230" s="29" t="str">
        <f>IF(ISNONTEXT(node_raw[[#This Row],[Column2]]), "", node_raw[[#This Row],[Column2]])</f>
        <v/>
      </c>
      <c r="D230" s="62" t="str">
        <f>IF(ISNUMBER(node_raw[[#This Row],[Column3]]), node_raw[[#This Row],[Column3]],"")</f>
        <v/>
      </c>
      <c r="E230" s="65" t="str">
        <f>IF(ISNUMBER(node_raw[[#This Row],[Column4]]), node_raw[[#This Row],[Column4]]/1048576,"")</f>
        <v/>
      </c>
      <c r="F230" s="91" t="str">
        <f>IF(ISNUMBER(node_raw[[#This Row],[Column5]]), node_raw[[#This Row],[Column5]],"")</f>
        <v/>
      </c>
      <c r="G230" s="80" t="str">
        <f t="shared" si="6"/>
        <v/>
      </c>
      <c r="H230" s="81" t="str">
        <f>IF(ISNUMBER(node_raw[[#This Row],[Column6]]), node_raw[[#This Row],[Column6]]/1048576,"")</f>
        <v/>
      </c>
      <c r="I230" s="82" t="str">
        <f t="shared" si="7"/>
        <v/>
      </c>
      <c r="J230" s="83" t="str">
        <f>IF(ISNONTEXT(node_raw[[#This Row],[Column7]]), "", node_raw[[#This Row],[Column7]]/100)</f>
        <v/>
      </c>
      <c r="K230" s="84" t="str">
        <f>IF(ISNONTEXT(node_raw[[#This Row],[Column8]]), "", node_raw[[#This Row],[Column8]]/100)</f>
        <v/>
      </c>
      <c r="L230" s="85" t="str">
        <f>IF(ISNONTEXT(node_raw[[#This Row],[Column9]]), "", node_raw[[#This Row],[Column9]]/1)</f>
        <v/>
      </c>
      <c r="M230" s="86" t="str">
        <f>IF(ISNONTEXT(node_raw[[#This Row],[Column10]]), "", node_raw[[#This Row],[Column10]]/1)</f>
        <v/>
      </c>
    </row>
    <row r="231" spans="2:13" ht="15.75" customHeight="1" x14ac:dyDescent="0.25">
      <c r="B231" s="32" t="str">
        <f>IF(ISNONTEXT(node_raw[[#This Row],[Column1]]), "", node_raw[[#This Row],[Column1]])</f>
        <v/>
      </c>
      <c r="C231" s="29" t="str">
        <f>IF(ISNONTEXT(node_raw[[#This Row],[Column2]]), "", node_raw[[#This Row],[Column2]])</f>
        <v/>
      </c>
      <c r="D231" s="62" t="str">
        <f>IF(ISNUMBER(node_raw[[#This Row],[Column3]]), node_raw[[#This Row],[Column3]],"")</f>
        <v/>
      </c>
      <c r="E231" s="65" t="str">
        <f>IF(ISNUMBER(node_raw[[#This Row],[Column4]]), node_raw[[#This Row],[Column4]]/1048576,"")</f>
        <v/>
      </c>
      <c r="F231" s="91" t="str">
        <f>IF(ISNUMBER(node_raw[[#This Row],[Column5]]), node_raw[[#This Row],[Column5]],"")</f>
        <v/>
      </c>
      <c r="G231" s="80" t="str">
        <f t="shared" si="6"/>
        <v/>
      </c>
      <c r="H231" s="81" t="str">
        <f>IF(ISNUMBER(node_raw[[#This Row],[Column6]]), node_raw[[#This Row],[Column6]]/1048576,"")</f>
        <v/>
      </c>
      <c r="I231" s="82" t="str">
        <f t="shared" si="7"/>
        <v/>
      </c>
      <c r="J231" s="83" t="str">
        <f>IF(ISNONTEXT(node_raw[[#This Row],[Column7]]), "", node_raw[[#This Row],[Column7]]/100)</f>
        <v/>
      </c>
      <c r="K231" s="84" t="str">
        <f>IF(ISNONTEXT(node_raw[[#This Row],[Column8]]), "", node_raw[[#This Row],[Column8]]/100)</f>
        <v/>
      </c>
      <c r="L231" s="85" t="str">
        <f>IF(ISNONTEXT(node_raw[[#This Row],[Column9]]), "", node_raw[[#This Row],[Column9]]/1)</f>
        <v/>
      </c>
      <c r="M231" s="86" t="str">
        <f>IF(ISNONTEXT(node_raw[[#This Row],[Column10]]), "", node_raw[[#This Row],[Column10]]/1)</f>
        <v/>
      </c>
    </row>
    <row r="232" spans="2:13" ht="15.75" customHeight="1" x14ac:dyDescent="0.25">
      <c r="B232" s="32" t="str">
        <f>IF(ISNONTEXT(node_raw[[#This Row],[Column1]]), "", node_raw[[#This Row],[Column1]])</f>
        <v/>
      </c>
      <c r="C232" s="29" t="str">
        <f>IF(ISNONTEXT(node_raw[[#This Row],[Column2]]), "", node_raw[[#This Row],[Column2]])</f>
        <v/>
      </c>
      <c r="D232" s="62" t="str">
        <f>IF(ISNUMBER(node_raw[[#This Row],[Column3]]), node_raw[[#This Row],[Column3]],"")</f>
        <v/>
      </c>
      <c r="E232" s="65" t="str">
        <f>IF(ISNUMBER(node_raw[[#This Row],[Column4]]), node_raw[[#This Row],[Column4]]/1048576,"")</f>
        <v/>
      </c>
      <c r="F232" s="91" t="str">
        <f>IF(ISNUMBER(node_raw[[#This Row],[Column5]]), node_raw[[#This Row],[Column5]],"")</f>
        <v/>
      </c>
      <c r="G232" s="80" t="str">
        <f t="shared" si="6"/>
        <v/>
      </c>
      <c r="H232" s="81" t="str">
        <f>IF(ISNUMBER(node_raw[[#This Row],[Column6]]), node_raw[[#This Row],[Column6]]/1048576,"")</f>
        <v/>
      </c>
      <c r="I232" s="82" t="str">
        <f t="shared" si="7"/>
        <v/>
      </c>
      <c r="J232" s="83" t="str">
        <f>IF(ISNONTEXT(node_raw[[#This Row],[Column7]]), "", node_raw[[#This Row],[Column7]]/100)</f>
        <v/>
      </c>
      <c r="K232" s="84" t="str">
        <f>IF(ISNONTEXT(node_raw[[#This Row],[Column8]]), "", node_raw[[#This Row],[Column8]]/100)</f>
        <v/>
      </c>
      <c r="L232" s="85" t="str">
        <f>IF(ISNONTEXT(node_raw[[#This Row],[Column9]]), "", node_raw[[#This Row],[Column9]]/1)</f>
        <v/>
      </c>
      <c r="M232" s="86" t="str">
        <f>IF(ISNONTEXT(node_raw[[#This Row],[Column10]]), "", node_raw[[#This Row],[Column10]]/1)</f>
        <v/>
      </c>
    </row>
    <row r="233" spans="2:13" ht="15.75" customHeight="1" x14ac:dyDescent="0.25">
      <c r="B233" s="32" t="str">
        <f>IF(ISNONTEXT(node_raw[[#This Row],[Column1]]), "", node_raw[[#This Row],[Column1]])</f>
        <v/>
      </c>
      <c r="C233" s="29" t="str">
        <f>IF(ISNONTEXT(node_raw[[#This Row],[Column2]]), "", node_raw[[#This Row],[Column2]])</f>
        <v/>
      </c>
      <c r="D233" s="62" t="str">
        <f>IF(ISNUMBER(node_raw[[#This Row],[Column3]]), node_raw[[#This Row],[Column3]],"")</f>
        <v/>
      </c>
      <c r="E233" s="65" t="str">
        <f>IF(ISNUMBER(node_raw[[#This Row],[Column4]]), node_raw[[#This Row],[Column4]]/1048576,"")</f>
        <v/>
      </c>
      <c r="F233" s="91" t="str">
        <f>IF(ISNUMBER(node_raw[[#This Row],[Column5]]), node_raw[[#This Row],[Column5]],"")</f>
        <v/>
      </c>
      <c r="G233" s="80" t="str">
        <f t="shared" si="6"/>
        <v/>
      </c>
      <c r="H233" s="81" t="str">
        <f>IF(ISNUMBER(node_raw[[#This Row],[Column6]]), node_raw[[#This Row],[Column6]]/1048576,"")</f>
        <v/>
      </c>
      <c r="I233" s="82" t="str">
        <f t="shared" si="7"/>
        <v/>
      </c>
      <c r="J233" s="83" t="str">
        <f>IF(ISNONTEXT(node_raw[[#This Row],[Column7]]), "", node_raw[[#This Row],[Column7]]/100)</f>
        <v/>
      </c>
      <c r="K233" s="84" t="str">
        <f>IF(ISNONTEXT(node_raw[[#This Row],[Column8]]), "", node_raw[[#This Row],[Column8]]/100)</f>
        <v/>
      </c>
      <c r="L233" s="85" t="str">
        <f>IF(ISNONTEXT(node_raw[[#This Row],[Column9]]), "", node_raw[[#This Row],[Column9]]/1)</f>
        <v/>
      </c>
      <c r="M233" s="86" t="str">
        <f>IF(ISNONTEXT(node_raw[[#This Row],[Column10]]), "", node_raw[[#This Row],[Column10]]/1)</f>
        <v/>
      </c>
    </row>
    <row r="234" spans="2:13" ht="15.75" customHeight="1" x14ac:dyDescent="0.25">
      <c r="B234" s="32" t="str">
        <f>IF(ISNONTEXT(node_raw[[#This Row],[Column1]]), "", node_raw[[#This Row],[Column1]])</f>
        <v/>
      </c>
      <c r="C234" s="29" t="str">
        <f>IF(ISNONTEXT(node_raw[[#This Row],[Column2]]), "", node_raw[[#This Row],[Column2]])</f>
        <v/>
      </c>
      <c r="D234" s="62" t="str">
        <f>IF(ISNUMBER(node_raw[[#This Row],[Column3]]), node_raw[[#This Row],[Column3]],"")</f>
        <v/>
      </c>
      <c r="E234" s="65" t="str">
        <f>IF(ISNUMBER(node_raw[[#This Row],[Column4]]), node_raw[[#This Row],[Column4]]/1048576,"")</f>
        <v/>
      </c>
      <c r="F234" s="91" t="str">
        <f>IF(ISNUMBER(node_raw[[#This Row],[Column5]]), node_raw[[#This Row],[Column5]],"")</f>
        <v/>
      </c>
      <c r="G234" s="80" t="str">
        <f t="shared" si="6"/>
        <v/>
      </c>
      <c r="H234" s="81" t="str">
        <f>IF(ISNUMBER(node_raw[[#This Row],[Column6]]), node_raw[[#This Row],[Column6]]/1048576,"")</f>
        <v/>
      </c>
      <c r="I234" s="82" t="str">
        <f t="shared" si="7"/>
        <v/>
      </c>
      <c r="J234" s="83" t="str">
        <f>IF(ISNONTEXT(node_raw[[#This Row],[Column7]]), "", node_raw[[#This Row],[Column7]]/100)</f>
        <v/>
      </c>
      <c r="K234" s="84" t="str">
        <f>IF(ISNONTEXT(node_raw[[#This Row],[Column8]]), "", node_raw[[#This Row],[Column8]]/100)</f>
        <v/>
      </c>
      <c r="L234" s="85" t="str">
        <f>IF(ISNONTEXT(node_raw[[#This Row],[Column9]]), "", node_raw[[#This Row],[Column9]]/1)</f>
        <v/>
      </c>
      <c r="M234" s="86" t="str">
        <f>IF(ISNONTEXT(node_raw[[#This Row],[Column10]]), "", node_raw[[#This Row],[Column10]]/1)</f>
        <v/>
      </c>
    </row>
    <row r="235" spans="2:13" ht="15.75" customHeight="1" x14ac:dyDescent="0.25">
      <c r="B235" s="32" t="str">
        <f>IF(ISNONTEXT(node_raw[[#This Row],[Column1]]), "", node_raw[[#This Row],[Column1]])</f>
        <v/>
      </c>
      <c r="C235" s="29" t="str">
        <f>IF(ISNONTEXT(node_raw[[#This Row],[Column2]]), "", node_raw[[#This Row],[Column2]])</f>
        <v/>
      </c>
      <c r="D235" s="62" t="str">
        <f>IF(ISNUMBER(node_raw[[#This Row],[Column3]]), node_raw[[#This Row],[Column3]],"")</f>
        <v/>
      </c>
      <c r="E235" s="65" t="str">
        <f>IF(ISNUMBER(node_raw[[#This Row],[Column4]]), node_raw[[#This Row],[Column4]]/1048576,"")</f>
        <v/>
      </c>
      <c r="F235" s="91" t="str">
        <f>IF(ISNUMBER(node_raw[[#This Row],[Column5]]), node_raw[[#This Row],[Column5]],"")</f>
        <v/>
      </c>
      <c r="G235" s="80" t="str">
        <f t="shared" si="6"/>
        <v/>
      </c>
      <c r="H235" s="81" t="str">
        <f>IF(ISNUMBER(node_raw[[#This Row],[Column6]]), node_raw[[#This Row],[Column6]]/1048576,"")</f>
        <v/>
      </c>
      <c r="I235" s="82" t="str">
        <f t="shared" si="7"/>
        <v/>
      </c>
      <c r="J235" s="83" t="str">
        <f>IF(ISNONTEXT(node_raw[[#This Row],[Column7]]), "", node_raw[[#This Row],[Column7]]/100)</f>
        <v/>
      </c>
      <c r="K235" s="84" t="str">
        <f>IF(ISNONTEXT(node_raw[[#This Row],[Column8]]), "", node_raw[[#This Row],[Column8]]/100)</f>
        <v/>
      </c>
      <c r="L235" s="85" t="str">
        <f>IF(ISNONTEXT(node_raw[[#This Row],[Column9]]), "", node_raw[[#This Row],[Column9]]/1)</f>
        <v/>
      </c>
      <c r="M235" s="86" t="str">
        <f>IF(ISNONTEXT(node_raw[[#This Row],[Column10]]), "", node_raw[[#This Row],[Column10]]/1)</f>
        <v/>
      </c>
    </row>
    <row r="236" spans="2:13" ht="15.75" customHeight="1" x14ac:dyDescent="0.25">
      <c r="B236" s="32" t="str">
        <f>IF(ISNONTEXT(node_raw[[#This Row],[Column1]]), "", node_raw[[#This Row],[Column1]])</f>
        <v/>
      </c>
      <c r="C236" s="29" t="str">
        <f>IF(ISNONTEXT(node_raw[[#This Row],[Column2]]), "", node_raw[[#This Row],[Column2]])</f>
        <v/>
      </c>
      <c r="D236" s="62" t="str">
        <f>IF(ISNUMBER(node_raw[[#This Row],[Column3]]), node_raw[[#This Row],[Column3]],"")</f>
        <v/>
      </c>
      <c r="E236" s="65" t="str">
        <f>IF(ISNUMBER(node_raw[[#This Row],[Column4]]), node_raw[[#This Row],[Column4]]/1048576,"")</f>
        <v/>
      </c>
      <c r="F236" s="91" t="str">
        <f>IF(ISNUMBER(node_raw[[#This Row],[Column5]]), node_raw[[#This Row],[Column5]],"")</f>
        <v/>
      </c>
      <c r="G236" s="80" t="str">
        <f t="shared" si="6"/>
        <v/>
      </c>
      <c r="H236" s="81" t="str">
        <f>IF(ISNUMBER(node_raw[[#This Row],[Column6]]), node_raw[[#This Row],[Column6]]/1048576,"")</f>
        <v/>
      </c>
      <c r="I236" s="82" t="str">
        <f t="shared" si="7"/>
        <v/>
      </c>
      <c r="J236" s="83" t="str">
        <f>IF(ISNONTEXT(node_raw[[#This Row],[Column7]]), "", node_raw[[#This Row],[Column7]]/100)</f>
        <v/>
      </c>
      <c r="K236" s="84" t="str">
        <f>IF(ISNONTEXT(node_raw[[#This Row],[Column8]]), "", node_raw[[#This Row],[Column8]]/100)</f>
        <v/>
      </c>
      <c r="L236" s="85" t="str">
        <f>IF(ISNONTEXT(node_raw[[#This Row],[Column9]]), "", node_raw[[#This Row],[Column9]]/1)</f>
        <v/>
      </c>
      <c r="M236" s="86" t="str">
        <f>IF(ISNONTEXT(node_raw[[#This Row],[Column10]]), "", node_raw[[#This Row],[Column10]]/1)</f>
        <v/>
      </c>
    </row>
    <row r="237" spans="2:13" ht="15.75" customHeight="1" x14ac:dyDescent="0.25">
      <c r="B237" s="32" t="str">
        <f>IF(ISNONTEXT(node_raw[[#This Row],[Column1]]), "", node_raw[[#This Row],[Column1]])</f>
        <v/>
      </c>
      <c r="C237" s="29" t="str">
        <f>IF(ISNONTEXT(node_raw[[#This Row],[Column2]]), "", node_raw[[#This Row],[Column2]])</f>
        <v/>
      </c>
      <c r="D237" s="62" t="str">
        <f>IF(ISNUMBER(node_raw[[#This Row],[Column3]]), node_raw[[#This Row],[Column3]],"")</f>
        <v/>
      </c>
      <c r="E237" s="65" t="str">
        <f>IF(ISNUMBER(node_raw[[#This Row],[Column4]]), node_raw[[#This Row],[Column4]]/1048576,"")</f>
        <v/>
      </c>
      <c r="F237" s="91" t="str">
        <f>IF(ISNUMBER(node_raw[[#This Row],[Column5]]), node_raw[[#This Row],[Column5]],"")</f>
        <v/>
      </c>
      <c r="G237" s="80" t="str">
        <f t="shared" si="6"/>
        <v/>
      </c>
      <c r="H237" s="81" t="str">
        <f>IF(ISNUMBER(node_raw[[#This Row],[Column6]]), node_raw[[#This Row],[Column6]]/1048576,"")</f>
        <v/>
      </c>
      <c r="I237" s="82" t="str">
        <f t="shared" si="7"/>
        <v/>
      </c>
      <c r="J237" s="83" t="str">
        <f>IF(ISNONTEXT(node_raw[[#This Row],[Column7]]), "", node_raw[[#This Row],[Column7]]/100)</f>
        <v/>
      </c>
      <c r="K237" s="84" t="str">
        <f>IF(ISNONTEXT(node_raw[[#This Row],[Column8]]), "", node_raw[[#This Row],[Column8]]/100)</f>
        <v/>
      </c>
      <c r="L237" s="85" t="str">
        <f>IF(ISNONTEXT(node_raw[[#This Row],[Column9]]), "", node_raw[[#This Row],[Column9]]/1)</f>
        <v/>
      </c>
      <c r="M237" s="86" t="str">
        <f>IF(ISNONTEXT(node_raw[[#This Row],[Column10]]), "", node_raw[[#This Row],[Column10]]/1)</f>
        <v/>
      </c>
    </row>
    <row r="238" spans="2:13" ht="15.75" customHeight="1" x14ac:dyDescent="0.25">
      <c r="B238" s="32" t="str">
        <f>IF(ISNONTEXT(node_raw[[#This Row],[Column1]]), "", node_raw[[#This Row],[Column1]])</f>
        <v/>
      </c>
      <c r="C238" s="29" t="str">
        <f>IF(ISNONTEXT(node_raw[[#This Row],[Column2]]), "", node_raw[[#This Row],[Column2]])</f>
        <v/>
      </c>
      <c r="D238" s="62" t="str">
        <f>IF(ISNUMBER(node_raw[[#This Row],[Column3]]), node_raw[[#This Row],[Column3]],"")</f>
        <v/>
      </c>
      <c r="E238" s="65" t="str">
        <f>IF(ISNUMBER(node_raw[[#This Row],[Column4]]), node_raw[[#This Row],[Column4]]/1048576,"")</f>
        <v/>
      </c>
      <c r="F238" s="91" t="str">
        <f>IF(ISNUMBER(node_raw[[#This Row],[Column5]]), node_raw[[#This Row],[Column5]],"")</f>
        <v/>
      </c>
      <c r="G238" s="80" t="str">
        <f t="shared" si="6"/>
        <v/>
      </c>
      <c r="H238" s="81" t="str">
        <f>IF(ISNUMBER(node_raw[[#This Row],[Column6]]), node_raw[[#This Row],[Column6]]/1048576,"")</f>
        <v/>
      </c>
      <c r="I238" s="82" t="str">
        <f t="shared" si="7"/>
        <v/>
      </c>
      <c r="J238" s="83" t="str">
        <f>IF(ISNONTEXT(node_raw[[#This Row],[Column7]]), "", node_raw[[#This Row],[Column7]]/100)</f>
        <v/>
      </c>
      <c r="K238" s="84" t="str">
        <f>IF(ISNONTEXT(node_raw[[#This Row],[Column8]]), "", node_raw[[#This Row],[Column8]]/100)</f>
        <v/>
      </c>
      <c r="L238" s="85" t="str">
        <f>IF(ISNONTEXT(node_raw[[#This Row],[Column9]]), "", node_raw[[#This Row],[Column9]]/1)</f>
        <v/>
      </c>
      <c r="M238" s="86" t="str">
        <f>IF(ISNONTEXT(node_raw[[#This Row],[Column10]]), "", node_raw[[#This Row],[Column10]]/1)</f>
        <v/>
      </c>
    </row>
    <row r="239" spans="2:13" ht="15.75" customHeight="1" x14ac:dyDescent="0.25">
      <c r="B239" s="32" t="str">
        <f>IF(ISNONTEXT(node_raw[[#This Row],[Column1]]), "", node_raw[[#This Row],[Column1]])</f>
        <v/>
      </c>
      <c r="C239" s="29" t="str">
        <f>IF(ISNONTEXT(node_raw[[#This Row],[Column2]]), "", node_raw[[#This Row],[Column2]])</f>
        <v/>
      </c>
      <c r="D239" s="62" t="str">
        <f>IF(ISNUMBER(node_raw[[#This Row],[Column3]]), node_raw[[#This Row],[Column3]],"")</f>
        <v/>
      </c>
      <c r="E239" s="65" t="str">
        <f>IF(ISNUMBER(node_raw[[#This Row],[Column4]]), node_raw[[#This Row],[Column4]]/1048576,"")</f>
        <v/>
      </c>
      <c r="F239" s="91" t="str">
        <f>IF(ISNUMBER(node_raw[[#This Row],[Column5]]), node_raw[[#This Row],[Column5]],"")</f>
        <v/>
      </c>
      <c r="G239" s="80" t="str">
        <f t="shared" si="6"/>
        <v/>
      </c>
      <c r="H239" s="81" t="str">
        <f>IF(ISNUMBER(node_raw[[#This Row],[Column6]]), node_raw[[#This Row],[Column6]]/1048576,"")</f>
        <v/>
      </c>
      <c r="I239" s="82" t="str">
        <f t="shared" si="7"/>
        <v/>
      </c>
      <c r="J239" s="83" t="str">
        <f>IF(ISNONTEXT(node_raw[[#This Row],[Column7]]), "", node_raw[[#This Row],[Column7]]/100)</f>
        <v/>
      </c>
      <c r="K239" s="84" t="str">
        <f>IF(ISNONTEXT(node_raw[[#This Row],[Column8]]), "", node_raw[[#This Row],[Column8]]/100)</f>
        <v/>
      </c>
      <c r="L239" s="85" t="str">
        <f>IF(ISNONTEXT(node_raw[[#This Row],[Column9]]), "", node_raw[[#This Row],[Column9]]/1)</f>
        <v/>
      </c>
      <c r="M239" s="86" t="str">
        <f>IF(ISNONTEXT(node_raw[[#This Row],[Column10]]), "", node_raw[[#This Row],[Column10]]/1)</f>
        <v/>
      </c>
    </row>
    <row r="240" spans="2:13" ht="15.75" customHeight="1" x14ac:dyDescent="0.25">
      <c r="B240" s="32" t="str">
        <f>IF(ISNONTEXT(node_raw[[#This Row],[Column1]]), "", node_raw[[#This Row],[Column1]])</f>
        <v/>
      </c>
      <c r="C240" s="29" t="str">
        <f>IF(ISNONTEXT(node_raw[[#This Row],[Column2]]), "", node_raw[[#This Row],[Column2]])</f>
        <v/>
      </c>
      <c r="D240" s="62" t="str">
        <f>IF(ISNUMBER(node_raw[[#This Row],[Column3]]), node_raw[[#This Row],[Column3]],"")</f>
        <v/>
      </c>
      <c r="E240" s="65" t="str">
        <f>IF(ISNUMBER(node_raw[[#This Row],[Column4]]), node_raw[[#This Row],[Column4]]/1048576,"")</f>
        <v/>
      </c>
      <c r="F240" s="91" t="str">
        <f>IF(ISNUMBER(node_raw[[#This Row],[Column5]]), node_raw[[#This Row],[Column5]],"")</f>
        <v/>
      </c>
      <c r="G240" s="80" t="str">
        <f t="shared" si="6"/>
        <v/>
      </c>
      <c r="H240" s="81" t="str">
        <f>IF(ISNUMBER(node_raw[[#This Row],[Column6]]), node_raw[[#This Row],[Column6]]/1048576,"")</f>
        <v/>
      </c>
      <c r="I240" s="82" t="str">
        <f t="shared" si="7"/>
        <v/>
      </c>
      <c r="J240" s="83" t="str">
        <f>IF(ISNONTEXT(node_raw[[#This Row],[Column7]]), "", node_raw[[#This Row],[Column7]]/100)</f>
        <v/>
      </c>
      <c r="K240" s="84" t="str">
        <f>IF(ISNONTEXT(node_raw[[#This Row],[Column8]]), "", node_raw[[#This Row],[Column8]]/100)</f>
        <v/>
      </c>
      <c r="L240" s="85" t="str">
        <f>IF(ISNONTEXT(node_raw[[#This Row],[Column9]]), "", node_raw[[#This Row],[Column9]]/1)</f>
        <v/>
      </c>
      <c r="M240" s="86" t="str">
        <f>IF(ISNONTEXT(node_raw[[#This Row],[Column10]]), "", node_raw[[#This Row],[Column10]]/1)</f>
        <v/>
      </c>
    </row>
    <row r="241" spans="2:13" ht="15.75" customHeight="1" x14ac:dyDescent="0.25">
      <c r="B241" s="32" t="str">
        <f>IF(ISNONTEXT(node_raw[[#This Row],[Column1]]), "", node_raw[[#This Row],[Column1]])</f>
        <v/>
      </c>
      <c r="C241" s="29" t="str">
        <f>IF(ISNONTEXT(node_raw[[#This Row],[Column2]]), "", node_raw[[#This Row],[Column2]])</f>
        <v/>
      </c>
      <c r="D241" s="62" t="str">
        <f>IF(ISNUMBER(node_raw[[#This Row],[Column3]]), node_raw[[#This Row],[Column3]],"")</f>
        <v/>
      </c>
      <c r="E241" s="65" t="str">
        <f>IF(ISNUMBER(node_raw[[#This Row],[Column4]]), node_raw[[#This Row],[Column4]]/1048576,"")</f>
        <v/>
      </c>
      <c r="F241" s="91" t="str">
        <f>IF(ISNUMBER(node_raw[[#This Row],[Column5]]), node_raw[[#This Row],[Column5]],"")</f>
        <v/>
      </c>
      <c r="G241" s="80" t="str">
        <f t="shared" si="6"/>
        <v/>
      </c>
      <c r="H241" s="81" t="str">
        <f>IF(ISNUMBER(node_raw[[#This Row],[Column6]]), node_raw[[#This Row],[Column6]]/1048576,"")</f>
        <v/>
      </c>
      <c r="I241" s="82" t="str">
        <f t="shared" si="7"/>
        <v/>
      </c>
      <c r="J241" s="83" t="str">
        <f>IF(ISNONTEXT(node_raw[[#This Row],[Column7]]), "", node_raw[[#This Row],[Column7]]/100)</f>
        <v/>
      </c>
      <c r="K241" s="84" t="str">
        <f>IF(ISNONTEXT(node_raw[[#This Row],[Column8]]), "", node_raw[[#This Row],[Column8]]/100)</f>
        <v/>
      </c>
      <c r="L241" s="85" t="str">
        <f>IF(ISNONTEXT(node_raw[[#This Row],[Column9]]), "", node_raw[[#This Row],[Column9]]/1)</f>
        <v/>
      </c>
      <c r="M241" s="86" t="str">
        <f>IF(ISNONTEXT(node_raw[[#This Row],[Column10]]), "", node_raw[[#This Row],[Column10]]/1)</f>
        <v/>
      </c>
    </row>
    <row r="242" spans="2:13" ht="15.75" customHeight="1" x14ac:dyDescent="0.25">
      <c r="B242" s="32" t="str">
        <f>IF(ISNONTEXT(node_raw[[#This Row],[Column1]]), "", node_raw[[#This Row],[Column1]])</f>
        <v/>
      </c>
      <c r="C242" s="29" t="str">
        <f>IF(ISNONTEXT(node_raw[[#This Row],[Column2]]), "", node_raw[[#This Row],[Column2]])</f>
        <v/>
      </c>
      <c r="D242" s="62" t="str">
        <f>IF(ISNUMBER(node_raw[[#This Row],[Column3]]), node_raw[[#This Row],[Column3]],"")</f>
        <v/>
      </c>
      <c r="E242" s="65" t="str">
        <f>IF(ISNUMBER(node_raw[[#This Row],[Column4]]), node_raw[[#This Row],[Column4]]/1048576,"")</f>
        <v/>
      </c>
      <c r="F242" s="91" t="str">
        <f>IF(ISNUMBER(node_raw[[#This Row],[Column5]]), node_raw[[#This Row],[Column5]],"")</f>
        <v/>
      </c>
      <c r="G242" s="80" t="str">
        <f t="shared" si="6"/>
        <v/>
      </c>
      <c r="H242" s="81" t="str">
        <f>IF(ISNUMBER(node_raw[[#This Row],[Column6]]), node_raw[[#This Row],[Column6]]/1048576,"")</f>
        <v/>
      </c>
      <c r="I242" s="82" t="str">
        <f t="shared" si="7"/>
        <v/>
      </c>
      <c r="J242" s="83" t="str">
        <f>IF(ISNONTEXT(node_raw[[#This Row],[Column7]]), "", node_raw[[#This Row],[Column7]]/100)</f>
        <v/>
      </c>
      <c r="K242" s="84" t="str">
        <f>IF(ISNONTEXT(node_raw[[#This Row],[Column8]]), "", node_raw[[#This Row],[Column8]]/100)</f>
        <v/>
      </c>
      <c r="L242" s="85" t="str">
        <f>IF(ISNONTEXT(node_raw[[#This Row],[Column9]]), "", node_raw[[#This Row],[Column9]]/1)</f>
        <v/>
      </c>
      <c r="M242" s="86" t="str">
        <f>IF(ISNONTEXT(node_raw[[#This Row],[Column10]]), "", node_raw[[#This Row],[Column10]]/1)</f>
        <v/>
      </c>
    </row>
    <row r="243" spans="2:13" ht="15.75" customHeight="1" x14ac:dyDescent="0.25">
      <c r="B243" s="32" t="str">
        <f>IF(ISNONTEXT(node_raw[[#This Row],[Column1]]), "", node_raw[[#This Row],[Column1]])</f>
        <v/>
      </c>
      <c r="C243" s="29" t="str">
        <f>IF(ISNONTEXT(node_raw[[#This Row],[Column2]]), "", node_raw[[#This Row],[Column2]])</f>
        <v/>
      </c>
      <c r="D243" s="62" t="str">
        <f>IF(ISNUMBER(node_raw[[#This Row],[Column3]]), node_raw[[#This Row],[Column3]],"")</f>
        <v/>
      </c>
      <c r="E243" s="65" t="str">
        <f>IF(ISNUMBER(node_raw[[#This Row],[Column4]]), node_raw[[#This Row],[Column4]]/1048576,"")</f>
        <v/>
      </c>
      <c r="F243" s="91" t="str">
        <f>IF(ISNUMBER(node_raw[[#This Row],[Column5]]), node_raw[[#This Row],[Column5]],"")</f>
        <v/>
      </c>
      <c r="G243" s="80" t="str">
        <f t="shared" si="6"/>
        <v/>
      </c>
      <c r="H243" s="81" t="str">
        <f>IF(ISNUMBER(node_raw[[#This Row],[Column6]]), node_raw[[#This Row],[Column6]]/1048576,"")</f>
        <v/>
      </c>
      <c r="I243" s="82" t="str">
        <f t="shared" si="7"/>
        <v/>
      </c>
      <c r="J243" s="83" t="str">
        <f>IF(ISNONTEXT(node_raw[[#This Row],[Column7]]), "", node_raw[[#This Row],[Column7]]/100)</f>
        <v/>
      </c>
      <c r="K243" s="84" t="str">
        <f>IF(ISNONTEXT(node_raw[[#This Row],[Column8]]), "", node_raw[[#This Row],[Column8]]/100)</f>
        <v/>
      </c>
      <c r="L243" s="85" t="str">
        <f>IF(ISNONTEXT(node_raw[[#This Row],[Column9]]), "", node_raw[[#This Row],[Column9]]/1)</f>
        <v/>
      </c>
      <c r="M243" s="86" t="str">
        <f>IF(ISNONTEXT(node_raw[[#This Row],[Column10]]), "", node_raw[[#This Row],[Column10]]/1)</f>
        <v/>
      </c>
    </row>
    <row r="244" spans="2:13" ht="15.75" customHeight="1" x14ac:dyDescent="0.25">
      <c r="B244" s="32" t="str">
        <f>IF(ISNONTEXT(node_raw[[#This Row],[Column1]]), "", node_raw[[#This Row],[Column1]])</f>
        <v/>
      </c>
      <c r="C244" s="29" t="str">
        <f>IF(ISNONTEXT(node_raw[[#This Row],[Column2]]), "", node_raw[[#This Row],[Column2]])</f>
        <v/>
      </c>
      <c r="D244" s="62" t="str">
        <f>IF(ISNUMBER(node_raw[[#This Row],[Column3]]), node_raw[[#This Row],[Column3]],"")</f>
        <v/>
      </c>
      <c r="E244" s="65" t="str">
        <f>IF(ISNUMBER(node_raw[[#This Row],[Column4]]), node_raw[[#This Row],[Column4]]/1048576,"")</f>
        <v/>
      </c>
      <c r="F244" s="91" t="str">
        <f>IF(ISNUMBER(node_raw[[#This Row],[Column5]]), node_raw[[#This Row],[Column5]],"")</f>
        <v/>
      </c>
      <c r="G244" s="80" t="str">
        <f t="shared" si="6"/>
        <v/>
      </c>
      <c r="H244" s="81" t="str">
        <f>IF(ISNUMBER(node_raw[[#This Row],[Column6]]), node_raw[[#This Row],[Column6]]/1048576,"")</f>
        <v/>
      </c>
      <c r="I244" s="82" t="str">
        <f t="shared" si="7"/>
        <v/>
      </c>
      <c r="J244" s="83" t="str">
        <f>IF(ISNONTEXT(node_raw[[#This Row],[Column7]]), "", node_raw[[#This Row],[Column7]]/100)</f>
        <v/>
      </c>
      <c r="K244" s="84" t="str">
        <f>IF(ISNONTEXT(node_raw[[#This Row],[Column8]]), "", node_raw[[#This Row],[Column8]]/100)</f>
        <v/>
      </c>
      <c r="L244" s="85" t="str">
        <f>IF(ISNONTEXT(node_raw[[#This Row],[Column9]]), "", node_raw[[#This Row],[Column9]]/1)</f>
        <v/>
      </c>
      <c r="M244" s="86" t="str">
        <f>IF(ISNONTEXT(node_raw[[#This Row],[Column10]]), "", node_raw[[#This Row],[Column10]]/1)</f>
        <v/>
      </c>
    </row>
    <row r="245" spans="2:13" ht="15.75" customHeight="1" x14ac:dyDescent="0.25">
      <c r="B245" s="32" t="str">
        <f>IF(ISNONTEXT(node_raw[[#This Row],[Column1]]), "", node_raw[[#This Row],[Column1]])</f>
        <v/>
      </c>
      <c r="C245" s="29" t="str">
        <f>IF(ISNONTEXT(node_raw[[#This Row],[Column2]]), "", node_raw[[#This Row],[Column2]])</f>
        <v/>
      </c>
      <c r="D245" s="62" t="str">
        <f>IF(ISNUMBER(node_raw[[#This Row],[Column3]]), node_raw[[#This Row],[Column3]],"")</f>
        <v/>
      </c>
      <c r="E245" s="65" t="str">
        <f>IF(ISNUMBER(node_raw[[#This Row],[Column4]]), node_raw[[#This Row],[Column4]]/1048576,"")</f>
        <v/>
      </c>
      <c r="F245" s="91" t="str">
        <f>IF(ISNUMBER(node_raw[[#This Row],[Column5]]), node_raw[[#This Row],[Column5]],"")</f>
        <v/>
      </c>
      <c r="G245" s="80" t="str">
        <f t="shared" si="6"/>
        <v/>
      </c>
      <c r="H245" s="81" t="str">
        <f>IF(ISNUMBER(node_raw[[#This Row],[Column6]]), node_raw[[#This Row],[Column6]]/1048576,"")</f>
        <v/>
      </c>
      <c r="I245" s="82" t="str">
        <f t="shared" si="7"/>
        <v/>
      </c>
      <c r="J245" s="83" t="str">
        <f>IF(ISNONTEXT(node_raw[[#This Row],[Column7]]), "", node_raw[[#This Row],[Column7]]/100)</f>
        <v/>
      </c>
      <c r="K245" s="84" t="str">
        <f>IF(ISNONTEXT(node_raw[[#This Row],[Column8]]), "", node_raw[[#This Row],[Column8]]/100)</f>
        <v/>
      </c>
      <c r="L245" s="85" t="str">
        <f>IF(ISNONTEXT(node_raw[[#This Row],[Column9]]), "", node_raw[[#This Row],[Column9]]/1)</f>
        <v/>
      </c>
      <c r="M245" s="86" t="str">
        <f>IF(ISNONTEXT(node_raw[[#This Row],[Column10]]), "", node_raw[[#This Row],[Column10]]/1)</f>
        <v/>
      </c>
    </row>
    <row r="246" spans="2:13" ht="15.75" customHeight="1" x14ac:dyDescent="0.25">
      <c r="B246" s="32" t="str">
        <f>IF(ISNONTEXT(node_raw[[#This Row],[Column1]]), "", node_raw[[#This Row],[Column1]])</f>
        <v/>
      </c>
      <c r="C246" s="29" t="str">
        <f>IF(ISNONTEXT(node_raw[[#This Row],[Column2]]), "", node_raw[[#This Row],[Column2]])</f>
        <v/>
      </c>
      <c r="D246" s="62" t="str">
        <f>IF(ISNUMBER(node_raw[[#This Row],[Column3]]), node_raw[[#This Row],[Column3]],"")</f>
        <v/>
      </c>
      <c r="E246" s="65" t="str">
        <f>IF(ISNUMBER(node_raw[[#This Row],[Column4]]), node_raw[[#This Row],[Column4]]/1048576,"")</f>
        <v/>
      </c>
      <c r="F246" s="91" t="str">
        <f>IF(ISNUMBER(node_raw[[#This Row],[Column5]]), node_raw[[#This Row],[Column5]],"")</f>
        <v/>
      </c>
      <c r="G246" s="80" t="str">
        <f t="shared" si="6"/>
        <v/>
      </c>
      <c r="H246" s="81" t="str">
        <f>IF(ISNUMBER(node_raw[[#This Row],[Column6]]), node_raw[[#This Row],[Column6]]/1048576,"")</f>
        <v/>
      </c>
      <c r="I246" s="82" t="str">
        <f t="shared" si="7"/>
        <v/>
      </c>
      <c r="J246" s="83" t="str">
        <f>IF(ISNONTEXT(node_raw[[#This Row],[Column7]]), "", node_raw[[#This Row],[Column7]]/100)</f>
        <v/>
      </c>
      <c r="K246" s="84" t="str">
        <f>IF(ISNONTEXT(node_raw[[#This Row],[Column8]]), "", node_raw[[#This Row],[Column8]]/100)</f>
        <v/>
      </c>
      <c r="L246" s="85" t="str">
        <f>IF(ISNONTEXT(node_raw[[#This Row],[Column9]]), "", node_raw[[#This Row],[Column9]]/1)</f>
        <v/>
      </c>
      <c r="M246" s="86" t="str">
        <f>IF(ISNONTEXT(node_raw[[#This Row],[Column10]]), "", node_raw[[#This Row],[Column10]]/1)</f>
        <v/>
      </c>
    </row>
    <row r="247" spans="2:13" ht="15.75" customHeight="1" x14ac:dyDescent="0.25">
      <c r="B247" s="32" t="str">
        <f>IF(ISNONTEXT(node_raw[[#This Row],[Column1]]), "", node_raw[[#This Row],[Column1]])</f>
        <v/>
      </c>
      <c r="C247" s="29" t="str">
        <f>IF(ISNONTEXT(node_raw[[#This Row],[Column2]]), "", node_raw[[#This Row],[Column2]])</f>
        <v/>
      </c>
      <c r="D247" s="62" t="str">
        <f>IF(ISNUMBER(node_raw[[#This Row],[Column3]]), node_raw[[#This Row],[Column3]],"")</f>
        <v/>
      </c>
      <c r="E247" s="65" t="str">
        <f>IF(ISNUMBER(node_raw[[#This Row],[Column4]]), node_raw[[#This Row],[Column4]]/1048576,"")</f>
        <v/>
      </c>
      <c r="F247" s="91" t="str">
        <f>IF(ISNUMBER(node_raw[[#This Row],[Column5]]), node_raw[[#This Row],[Column5]],"")</f>
        <v/>
      </c>
      <c r="G247" s="80" t="str">
        <f t="shared" si="6"/>
        <v/>
      </c>
      <c r="H247" s="81" t="str">
        <f>IF(ISNUMBER(node_raw[[#This Row],[Column6]]), node_raw[[#This Row],[Column6]]/1048576,"")</f>
        <v/>
      </c>
      <c r="I247" s="82" t="str">
        <f t="shared" si="7"/>
        <v/>
      </c>
      <c r="J247" s="83" t="str">
        <f>IF(ISNONTEXT(node_raw[[#This Row],[Column7]]), "", node_raw[[#This Row],[Column7]]/100)</f>
        <v/>
      </c>
      <c r="K247" s="84" t="str">
        <f>IF(ISNONTEXT(node_raw[[#This Row],[Column8]]), "", node_raw[[#This Row],[Column8]]/100)</f>
        <v/>
      </c>
      <c r="L247" s="85" t="str">
        <f>IF(ISNONTEXT(node_raw[[#This Row],[Column9]]), "", node_raw[[#This Row],[Column9]]/1)</f>
        <v/>
      </c>
      <c r="M247" s="86" t="str">
        <f>IF(ISNONTEXT(node_raw[[#This Row],[Column10]]), "", node_raw[[#This Row],[Column10]]/1)</f>
        <v/>
      </c>
    </row>
    <row r="248" spans="2:13" ht="15.75" customHeight="1" x14ac:dyDescent="0.25">
      <c r="B248" s="32" t="str">
        <f>IF(ISNONTEXT(node_raw[[#This Row],[Column1]]), "", node_raw[[#This Row],[Column1]])</f>
        <v/>
      </c>
      <c r="C248" s="29" t="str">
        <f>IF(ISNONTEXT(node_raw[[#This Row],[Column2]]), "", node_raw[[#This Row],[Column2]])</f>
        <v/>
      </c>
      <c r="D248" s="62" t="str">
        <f>IF(ISNUMBER(node_raw[[#This Row],[Column3]]), node_raw[[#This Row],[Column3]],"")</f>
        <v/>
      </c>
      <c r="E248" s="65" t="str">
        <f>IF(ISNUMBER(node_raw[[#This Row],[Column4]]), node_raw[[#This Row],[Column4]]/1048576,"")</f>
        <v/>
      </c>
      <c r="F248" s="91" t="str">
        <f>IF(ISNUMBER(node_raw[[#This Row],[Column5]]), node_raw[[#This Row],[Column5]],"")</f>
        <v/>
      </c>
      <c r="G248" s="80" t="str">
        <f t="shared" si="6"/>
        <v/>
      </c>
      <c r="H248" s="81" t="str">
        <f>IF(ISNUMBER(node_raw[[#This Row],[Column6]]), node_raw[[#This Row],[Column6]]/1048576,"")</f>
        <v/>
      </c>
      <c r="I248" s="82" t="str">
        <f t="shared" si="7"/>
        <v/>
      </c>
      <c r="J248" s="83" t="str">
        <f>IF(ISNONTEXT(node_raw[[#This Row],[Column7]]), "", node_raw[[#This Row],[Column7]]/100)</f>
        <v/>
      </c>
      <c r="K248" s="84" t="str">
        <f>IF(ISNONTEXT(node_raw[[#This Row],[Column8]]), "", node_raw[[#This Row],[Column8]]/100)</f>
        <v/>
      </c>
      <c r="L248" s="85" t="str">
        <f>IF(ISNONTEXT(node_raw[[#This Row],[Column9]]), "", node_raw[[#This Row],[Column9]]/1)</f>
        <v/>
      </c>
      <c r="M248" s="86" t="str">
        <f>IF(ISNONTEXT(node_raw[[#This Row],[Column10]]), "", node_raw[[#This Row],[Column10]]/1)</f>
        <v/>
      </c>
    </row>
    <row r="249" spans="2:13" ht="15.75" customHeight="1" x14ac:dyDescent="0.25">
      <c r="B249" s="32" t="str">
        <f>IF(ISNONTEXT(node_raw[[#This Row],[Column1]]), "", node_raw[[#This Row],[Column1]])</f>
        <v/>
      </c>
      <c r="C249" s="29" t="str">
        <f>IF(ISNONTEXT(node_raw[[#This Row],[Column2]]), "", node_raw[[#This Row],[Column2]])</f>
        <v/>
      </c>
      <c r="D249" s="62" t="str">
        <f>IF(ISNUMBER(node_raw[[#This Row],[Column3]]), node_raw[[#This Row],[Column3]],"")</f>
        <v/>
      </c>
      <c r="E249" s="65" t="str">
        <f>IF(ISNUMBER(node_raw[[#This Row],[Column4]]), node_raw[[#This Row],[Column4]]/1048576,"")</f>
        <v/>
      </c>
      <c r="F249" s="91" t="str">
        <f>IF(ISNUMBER(node_raw[[#This Row],[Column5]]), node_raw[[#This Row],[Column5]],"")</f>
        <v/>
      </c>
      <c r="G249" s="80" t="str">
        <f t="shared" si="6"/>
        <v/>
      </c>
      <c r="H249" s="81" t="str">
        <f>IF(ISNUMBER(node_raw[[#This Row],[Column6]]), node_raw[[#This Row],[Column6]]/1048576,"")</f>
        <v/>
      </c>
      <c r="I249" s="82" t="str">
        <f t="shared" si="7"/>
        <v/>
      </c>
      <c r="J249" s="83" t="str">
        <f>IF(ISNONTEXT(node_raw[[#This Row],[Column7]]), "", node_raw[[#This Row],[Column7]]/100)</f>
        <v/>
      </c>
      <c r="K249" s="84" t="str">
        <f>IF(ISNONTEXT(node_raw[[#This Row],[Column8]]), "", node_raw[[#This Row],[Column8]]/100)</f>
        <v/>
      </c>
      <c r="L249" s="85" t="str">
        <f>IF(ISNONTEXT(node_raw[[#This Row],[Column9]]), "", node_raw[[#This Row],[Column9]]/1)</f>
        <v/>
      </c>
      <c r="M249" s="86" t="str">
        <f>IF(ISNONTEXT(node_raw[[#This Row],[Column10]]), "", node_raw[[#This Row],[Column10]]/1)</f>
        <v/>
      </c>
    </row>
    <row r="250" spans="2:13" ht="15.75" customHeight="1" x14ac:dyDescent="0.25">
      <c r="B250" s="32" t="str">
        <f>IF(ISNONTEXT(node_raw[[#This Row],[Column1]]), "", node_raw[[#This Row],[Column1]])</f>
        <v/>
      </c>
      <c r="C250" s="29" t="str">
        <f>IF(ISNONTEXT(node_raw[[#This Row],[Column2]]), "", node_raw[[#This Row],[Column2]])</f>
        <v/>
      </c>
      <c r="D250" s="62" t="str">
        <f>IF(ISNUMBER(node_raw[[#This Row],[Column3]]), node_raw[[#This Row],[Column3]],"")</f>
        <v/>
      </c>
      <c r="E250" s="65" t="str">
        <f>IF(ISNUMBER(node_raw[[#This Row],[Column4]]), node_raw[[#This Row],[Column4]]/1048576,"")</f>
        <v/>
      </c>
      <c r="F250" s="91" t="str">
        <f>IF(ISNUMBER(node_raw[[#This Row],[Column5]]), node_raw[[#This Row],[Column5]],"")</f>
        <v/>
      </c>
      <c r="G250" s="80" t="str">
        <f t="shared" si="6"/>
        <v/>
      </c>
      <c r="H250" s="81" t="str">
        <f>IF(ISNUMBER(node_raw[[#This Row],[Column6]]), node_raw[[#This Row],[Column6]]/1048576,"")</f>
        <v/>
      </c>
      <c r="I250" s="82" t="str">
        <f t="shared" si="7"/>
        <v/>
      </c>
      <c r="J250" s="83" t="str">
        <f>IF(ISNONTEXT(node_raw[[#This Row],[Column7]]), "", node_raw[[#This Row],[Column7]]/100)</f>
        <v/>
      </c>
      <c r="K250" s="84" t="str">
        <f>IF(ISNONTEXT(node_raw[[#This Row],[Column8]]), "", node_raw[[#This Row],[Column8]]/100)</f>
        <v/>
      </c>
      <c r="L250" s="85" t="str">
        <f>IF(ISNONTEXT(node_raw[[#This Row],[Column9]]), "", node_raw[[#This Row],[Column9]]/1)</f>
        <v/>
      </c>
      <c r="M250" s="86" t="str">
        <f>IF(ISNONTEXT(node_raw[[#This Row],[Column10]]), "", node_raw[[#This Row],[Column10]]/1)</f>
        <v/>
      </c>
    </row>
    <row r="251" spans="2:13" ht="15.75" customHeight="1" x14ac:dyDescent="0.25">
      <c r="B251" s="32" t="str">
        <f>IF(ISNONTEXT(node_raw[[#This Row],[Column1]]), "", node_raw[[#This Row],[Column1]])</f>
        <v/>
      </c>
      <c r="C251" s="29" t="str">
        <f>IF(ISNONTEXT(node_raw[[#This Row],[Column2]]), "", node_raw[[#This Row],[Column2]])</f>
        <v/>
      </c>
      <c r="D251" s="62" t="str">
        <f>IF(ISNUMBER(node_raw[[#This Row],[Column3]]), node_raw[[#This Row],[Column3]],"")</f>
        <v/>
      </c>
      <c r="E251" s="65" t="str">
        <f>IF(ISNUMBER(node_raw[[#This Row],[Column4]]), node_raw[[#This Row],[Column4]]/1048576,"")</f>
        <v/>
      </c>
      <c r="F251" s="91" t="str">
        <f>IF(ISNUMBER(node_raw[[#This Row],[Column5]]), node_raw[[#This Row],[Column5]],"")</f>
        <v/>
      </c>
      <c r="G251" s="80" t="str">
        <f t="shared" si="6"/>
        <v/>
      </c>
      <c r="H251" s="81" t="str">
        <f>IF(ISNUMBER(node_raw[[#This Row],[Column6]]), node_raw[[#This Row],[Column6]]/1048576,"")</f>
        <v/>
      </c>
      <c r="I251" s="82" t="str">
        <f t="shared" si="7"/>
        <v/>
      </c>
      <c r="J251" s="83" t="str">
        <f>IF(ISNONTEXT(node_raw[[#This Row],[Column7]]), "", node_raw[[#This Row],[Column7]]/100)</f>
        <v/>
      </c>
      <c r="K251" s="84" t="str">
        <f>IF(ISNONTEXT(node_raw[[#This Row],[Column8]]), "", node_raw[[#This Row],[Column8]]/100)</f>
        <v/>
      </c>
      <c r="L251" s="85" t="str">
        <f>IF(ISNONTEXT(node_raw[[#This Row],[Column9]]), "", node_raw[[#This Row],[Column9]]/1)</f>
        <v/>
      </c>
      <c r="M251" s="86" t="str">
        <f>IF(ISNONTEXT(node_raw[[#This Row],[Column10]]), "", node_raw[[#This Row],[Column10]]/1)</f>
        <v/>
      </c>
    </row>
    <row r="252" spans="2:13" ht="15.75" customHeight="1" x14ac:dyDescent="0.25">
      <c r="B252" s="32" t="str">
        <f>IF(ISNONTEXT(node_raw[[#This Row],[Column1]]), "", node_raw[[#This Row],[Column1]])</f>
        <v/>
      </c>
      <c r="C252" s="29" t="str">
        <f>IF(ISNONTEXT(node_raw[[#This Row],[Column2]]), "", node_raw[[#This Row],[Column2]])</f>
        <v/>
      </c>
      <c r="D252" s="62" t="str">
        <f>IF(ISNUMBER(node_raw[[#This Row],[Column3]]), node_raw[[#This Row],[Column3]],"")</f>
        <v/>
      </c>
      <c r="E252" s="65" t="str">
        <f>IF(ISNUMBER(node_raw[[#This Row],[Column4]]), node_raw[[#This Row],[Column4]]/1048576,"")</f>
        <v/>
      </c>
      <c r="F252" s="91" t="str">
        <f>IF(ISNUMBER(node_raw[[#This Row],[Column5]]), node_raw[[#This Row],[Column5]],"")</f>
        <v/>
      </c>
      <c r="G252" s="80" t="str">
        <f t="shared" si="6"/>
        <v/>
      </c>
      <c r="H252" s="81" t="str">
        <f>IF(ISNUMBER(node_raw[[#This Row],[Column6]]), node_raw[[#This Row],[Column6]]/1048576,"")</f>
        <v/>
      </c>
      <c r="I252" s="82" t="str">
        <f t="shared" si="7"/>
        <v/>
      </c>
      <c r="J252" s="83" t="str">
        <f>IF(ISNONTEXT(node_raw[[#This Row],[Column7]]), "", node_raw[[#This Row],[Column7]]/100)</f>
        <v/>
      </c>
      <c r="K252" s="84" t="str">
        <f>IF(ISNONTEXT(node_raw[[#This Row],[Column8]]), "", node_raw[[#This Row],[Column8]]/100)</f>
        <v/>
      </c>
      <c r="L252" s="85" t="str">
        <f>IF(ISNONTEXT(node_raw[[#This Row],[Column9]]), "", node_raw[[#This Row],[Column9]]/1)</f>
        <v/>
      </c>
      <c r="M252" s="86" t="str">
        <f>IF(ISNONTEXT(node_raw[[#This Row],[Column10]]), "", node_raw[[#This Row],[Column10]]/1)</f>
        <v/>
      </c>
    </row>
    <row r="253" spans="2:13" ht="15.75" customHeight="1" x14ac:dyDescent="0.25">
      <c r="B253" s="32" t="str">
        <f>IF(ISNONTEXT(node_raw[[#This Row],[Column1]]), "", node_raw[[#This Row],[Column1]])</f>
        <v/>
      </c>
      <c r="C253" s="29" t="str">
        <f>IF(ISNONTEXT(node_raw[[#This Row],[Column2]]), "", node_raw[[#This Row],[Column2]])</f>
        <v/>
      </c>
      <c r="D253" s="62" t="str">
        <f>IF(ISNUMBER(node_raw[[#This Row],[Column3]]), node_raw[[#This Row],[Column3]],"")</f>
        <v/>
      </c>
      <c r="E253" s="65" t="str">
        <f>IF(ISNUMBER(node_raw[[#This Row],[Column4]]), node_raw[[#This Row],[Column4]]/1048576,"")</f>
        <v/>
      </c>
      <c r="F253" s="91" t="str">
        <f>IF(ISNUMBER(node_raw[[#This Row],[Column5]]), node_raw[[#This Row],[Column5]],"")</f>
        <v/>
      </c>
      <c r="G253" s="80" t="str">
        <f t="shared" si="6"/>
        <v/>
      </c>
      <c r="H253" s="81" t="str">
        <f>IF(ISNUMBER(node_raw[[#This Row],[Column6]]), node_raw[[#This Row],[Column6]]/1048576,"")</f>
        <v/>
      </c>
      <c r="I253" s="82" t="str">
        <f t="shared" si="7"/>
        <v/>
      </c>
      <c r="J253" s="83" t="str">
        <f>IF(ISNONTEXT(node_raw[[#This Row],[Column7]]), "", node_raw[[#This Row],[Column7]]/100)</f>
        <v/>
      </c>
      <c r="K253" s="84" t="str">
        <f>IF(ISNONTEXT(node_raw[[#This Row],[Column8]]), "", node_raw[[#This Row],[Column8]]/100)</f>
        <v/>
      </c>
      <c r="L253" s="85" t="str">
        <f>IF(ISNONTEXT(node_raw[[#This Row],[Column9]]), "", node_raw[[#This Row],[Column9]]/1)</f>
        <v/>
      </c>
      <c r="M253" s="86" t="str">
        <f>IF(ISNONTEXT(node_raw[[#This Row],[Column10]]), "", node_raw[[#This Row],[Column10]]/1)</f>
        <v/>
      </c>
    </row>
    <row r="254" spans="2:13" ht="15.75" customHeight="1" x14ac:dyDescent="0.25">
      <c r="B254" s="32" t="str">
        <f>IF(ISNONTEXT(node_raw[[#This Row],[Column1]]), "", node_raw[[#This Row],[Column1]])</f>
        <v/>
      </c>
      <c r="C254" s="29" t="str">
        <f>IF(ISNONTEXT(node_raw[[#This Row],[Column2]]), "", node_raw[[#This Row],[Column2]])</f>
        <v/>
      </c>
      <c r="D254" s="62" t="str">
        <f>IF(ISNUMBER(node_raw[[#This Row],[Column3]]), node_raw[[#This Row],[Column3]],"")</f>
        <v/>
      </c>
      <c r="E254" s="65" t="str">
        <f>IF(ISNUMBER(node_raw[[#This Row],[Column4]]), node_raw[[#This Row],[Column4]]/1048576,"")</f>
        <v/>
      </c>
      <c r="F254" s="91" t="str">
        <f>IF(ISNUMBER(node_raw[[#This Row],[Column5]]), node_raw[[#This Row],[Column5]],"")</f>
        <v/>
      </c>
      <c r="G254" s="80" t="str">
        <f t="shared" si="6"/>
        <v/>
      </c>
      <c r="H254" s="81" t="str">
        <f>IF(ISNUMBER(node_raw[[#This Row],[Column6]]), node_raw[[#This Row],[Column6]]/1048576,"")</f>
        <v/>
      </c>
      <c r="I254" s="82" t="str">
        <f t="shared" si="7"/>
        <v/>
      </c>
      <c r="J254" s="83" t="str">
        <f>IF(ISNONTEXT(node_raw[[#This Row],[Column7]]), "", node_raw[[#This Row],[Column7]]/100)</f>
        <v/>
      </c>
      <c r="K254" s="84" t="str">
        <f>IF(ISNONTEXT(node_raw[[#This Row],[Column8]]), "", node_raw[[#This Row],[Column8]]/100)</f>
        <v/>
      </c>
      <c r="L254" s="85" t="str">
        <f>IF(ISNONTEXT(node_raw[[#This Row],[Column9]]), "", node_raw[[#This Row],[Column9]]/1)</f>
        <v/>
      </c>
      <c r="M254" s="86" t="str">
        <f>IF(ISNONTEXT(node_raw[[#This Row],[Column10]]), "", node_raw[[#This Row],[Column10]]/1)</f>
        <v/>
      </c>
    </row>
    <row r="255" spans="2:13" ht="15.75" customHeight="1" x14ac:dyDescent="0.25">
      <c r="B255" s="32" t="str">
        <f>IF(ISNONTEXT(node_raw[[#This Row],[Column1]]), "", node_raw[[#This Row],[Column1]])</f>
        <v/>
      </c>
      <c r="C255" s="29" t="str">
        <f>IF(ISNONTEXT(node_raw[[#This Row],[Column2]]), "", node_raw[[#This Row],[Column2]])</f>
        <v/>
      </c>
      <c r="D255" s="62" t="str">
        <f>IF(ISNUMBER(node_raw[[#This Row],[Column3]]), node_raw[[#This Row],[Column3]],"")</f>
        <v/>
      </c>
      <c r="E255" s="65" t="str">
        <f>IF(ISNUMBER(node_raw[[#This Row],[Column4]]), node_raw[[#This Row],[Column4]]/1048576,"")</f>
        <v/>
      </c>
      <c r="F255" s="91" t="str">
        <f>IF(ISNUMBER(node_raw[[#This Row],[Column5]]), node_raw[[#This Row],[Column5]],"")</f>
        <v/>
      </c>
      <c r="G255" s="80" t="str">
        <f t="shared" si="6"/>
        <v/>
      </c>
      <c r="H255" s="81" t="str">
        <f>IF(ISNUMBER(node_raw[[#This Row],[Column6]]), node_raw[[#This Row],[Column6]]/1048576,"")</f>
        <v/>
      </c>
      <c r="I255" s="82" t="str">
        <f t="shared" si="7"/>
        <v/>
      </c>
      <c r="J255" s="83" t="str">
        <f>IF(ISNONTEXT(node_raw[[#This Row],[Column7]]), "", node_raw[[#This Row],[Column7]]/100)</f>
        <v/>
      </c>
      <c r="K255" s="84" t="str">
        <f>IF(ISNONTEXT(node_raw[[#This Row],[Column8]]), "", node_raw[[#This Row],[Column8]]/100)</f>
        <v/>
      </c>
      <c r="L255" s="85" t="str">
        <f>IF(ISNONTEXT(node_raw[[#This Row],[Column9]]), "", node_raw[[#This Row],[Column9]]/1)</f>
        <v/>
      </c>
      <c r="M255" s="86" t="str">
        <f>IF(ISNONTEXT(node_raw[[#This Row],[Column10]]), "", node_raw[[#This Row],[Column10]]/1)</f>
        <v/>
      </c>
    </row>
    <row r="256" spans="2:13" ht="15.75" customHeight="1" x14ac:dyDescent="0.25">
      <c r="B256" s="32" t="str">
        <f>IF(ISNONTEXT(node_raw[[#This Row],[Column1]]), "", node_raw[[#This Row],[Column1]])</f>
        <v/>
      </c>
      <c r="C256" s="29" t="str">
        <f>IF(ISNONTEXT(node_raw[[#This Row],[Column2]]), "", node_raw[[#This Row],[Column2]])</f>
        <v/>
      </c>
      <c r="D256" s="62" t="str">
        <f>IF(ISNUMBER(node_raw[[#This Row],[Column3]]), node_raw[[#This Row],[Column3]],"")</f>
        <v/>
      </c>
      <c r="E256" s="65" t="str">
        <f>IF(ISNUMBER(node_raw[[#This Row],[Column4]]), node_raw[[#This Row],[Column4]]/1048576,"")</f>
        <v/>
      </c>
      <c r="F256" s="91" t="str">
        <f>IF(ISNUMBER(node_raw[[#This Row],[Column5]]), node_raw[[#This Row],[Column5]],"")</f>
        <v/>
      </c>
      <c r="G256" s="80" t="str">
        <f t="shared" si="6"/>
        <v/>
      </c>
      <c r="H256" s="81" t="str">
        <f>IF(ISNUMBER(node_raw[[#This Row],[Column6]]), node_raw[[#This Row],[Column6]]/1048576,"")</f>
        <v/>
      </c>
      <c r="I256" s="82" t="str">
        <f t="shared" si="7"/>
        <v/>
      </c>
      <c r="J256" s="83" t="str">
        <f>IF(ISNONTEXT(node_raw[[#This Row],[Column7]]), "", node_raw[[#This Row],[Column7]]/100)</f>
        <v/>
      </c>
      <c r="K256" s="84" t="str">
        <f>IF(ISNONTEXT(node_raw[[#This Row],[Column8]]), "", node_raw[[#This Row],[Column8]]/100)</f>
        <v/>
      </c>
      <c r="L256" s="85" t="str">
        <f>IF(ISNONTEXT(node_raw[[#This Row],[Column9]]), "", node_raw[[#This Row],[Column9]]/1)</f>
        <v/>
      </c>
      <c r="M256" s="86" t="str">
        <f>IF(ISNONTEXT(node_raw[[#This Row],[Column10]]), "", node_raw[[#This Row],[Column10]]/1)</f>
        <v/>
      </c>
    </row>
    <row r="257" spans="2:13" ht="15.75" customHeight="1" x14ac:dyDescent="0.25">
      <c r="B257" s="32" t="str">
        <f>IF(ISNONTEXT(node_raw[[#This Row],[Column1]]), "", node_raw[[#This Row],[Column1]])</f>
        <v/>
      </c>
      <c r="C257" s="29" t="str">
        <f>IF(ISNONTEXT(node_raw[[#This Row],[Column2]]), "", node_raw[[#This Row],[Column2]])</f>
        <v/>
      </c>
      <c r="D257" s="62" t="str">
        <f>IF(ISNUMBER(node_raw[[#This Row],[Column3]]), node_raw[[#This Row],[Column3]],"")</f>
        <v/>
      </c>
      <c r="E257" s="65" t="str">
        <f>IF(ISNUMBER(node_raw[[#This Row],[Column4]]), node_raw[[#This Row],[Column4]]/1048576,"")</f>
        <v/>
      </c>
      <c r="F257" s="91" t="str">
        <f>IF(ISNUMBER(node_raw[[#This Row],[Column5]]), node_raw[[#This Row],[Column5]],"")</f>
        <v/>
      </c>
      <c r="G257" s="80" t="str">
        <f t="shared" si="6"/>
        <v/>
      </c>
      <c r="H257" s="81" t="str">
        <f>IF(ISNUMBER(node_raw[[#This Row],[Column6]]), node_raw[[#This Row],[Column6]]/1048576,"")</f>
        <v/>
      </c>
      <c r="I257" s="82" t="str">
        <f t="shared" si="7"/>
        <v/>
      </c>
      <c r="J257" s="83" t="str">
        <f>IF(ISNONTEXT(node_raw[[#This Row],[Column7]]), "", node_raw[[#This Row],[Column7]]/100)</f>
        <v/>
      </c>
      <c r="K257" s="84" t="str">
        <f>IF(ISNONTEXT(node_raw[[#This Row],[Column8]]), "", node_raw[[#This Row],[Column8]]/100)</f>
        <v/>
      </c>
      <c r="L257" s="85" t="str">
        <f>IF(ISNONTEXT(node_raw[[#This Row],[Column9]]), "", node_raw[[#This Row],[Column9]]/1)</f>
        <v/>
      </c>
      <c r="M257" s="86" t="str">
        <f>IF(ISNONTEXT(node_raw[[#This Row],[Column10]]), "", node_raw[[#This Row],[Column10]]/1)</f>
        <v/>
      </c>
    </row>
    <row r="258" spans="2:13" ht="15.75" customHeight="1" x14ac:dyDescent="0.25">
      <c r="B258" s="32" t="str">
        <f>IF(ISNONTEXT(node_raw[[#This Row],[Column1]]), "", node_raw[[#This Row],[Column1]])</f>
        <v/>
      </c>
      <c r="C258" s="29" t="str">
        <f>IF(ISNONTEXT(node_raw[[#This Row],[Column2]]), "", node_raw[[#This Row],[Column2]])</f>
        <v/>
      </c>
      <c r="D258" s="62" t="str">
        <f>IF(ISNUMBER(node_raw[[#This Row],[Column3]]), node_raw[[#This Row],[Column3]],"")</f>
        <v/>
      </c>
      <c r="E258" s="65" t="str">
        <f>IF(ISNUMBER(node_raw[[#This Row],[Column4]]), node_raw[[#This Row],[Column4]]/1048576,"")</f>
        <v/>
      </c>
      <c r="F258" s="91" t="str">
        <f>IF(ISNUMBER(node_raw[[#This Row],[Column5]]), node_raw[[#This Row],[Column5]],"")</f>
        <v/>
      </c>
      <c r="G258" s="80" t="str">
        <f t="shared" si="6"/>
        <v/>
      </c>
      <c r="H258" s="81" t="str">
        <f>IF(ISNUMBER(node_raw[[#This Row],[Column6]]), node_raw[[#This Row],[Column6]]/1048576,"")</f>
        <v/>
      </c>
      <c r="I258" s="82" t="str">
        <f t="shared" si="7"/>
        <v/>
      </c>
      <c r="J258" s="83" t="str">
        <f>IF(ISNONTEXT(node_raw[[#This Row],[Column7]]), "", node_raw[[#This Row],[Column7]]/100)</f>
        <v/>
      </c>
      <c r="K258" s="84" t="str">
        <f>IF(ISNONTEXT(node_raw[[#This Row],[Column8]]), "", node_raw[[#This Row],[Column8]]/100)</f>
        <v/>
      </c>
      <c r="L258" s="85" t="str">
        <f>IF(ISNONTEXT(node_raw[[#This Row],[Column9]]), "", node_raw[[#This Row],[Column9]]/1)</f>
        <v/>
      </c>
      <c r="M258" s="86" t="str">
        <f>IF(ISNONTEXT(node_raw[[#This Row],[Column10]]), "", node_raw[[#This Row],[Column10]]/1)</f>
        <v/>
      </c>
    </row>
    <row r="259" spans="2:13" ht="15.75" customHeight="1" x14ac:dyDescent="0.25">
      <c r="B259" s="32" t="str">
        <f>IF(ISNONTEXT(node_raw[[#This Row],[Column1]]), "", node_raw[[#This Row],[Column1]])</f>
        <v/>
      </c>
      <c r="C259" s="29" t="str">
        <f>IF(ISNONTEXT(node_raw[[#This Row],[Column2]]), "", node_raw[[#This Row],[Column2]])</f>
        <v/>
      </c>
      <c r="D259" s="62" t="str">
        <f>IF(ISNUMBER(node_raw[[#This Row],[Column3]]), node_raw[[#This Row],[Column3]],"")</f>
        <v/>
      </c>
      <c r="E259" s="65" t="str">
        <f>IF(ISNUMBER(node_raw[[#This Row],[Column4]]), node_raw[[#This Row],[Column4]]/1048576,"")</f>
        <v/>
      </c>
      <c r="F259" s="91" t="str">
        <f>IF(ISNUMBER(node_raw[[#This Row],[Column5]]), node_raw[[#This Row],[Column5]],"")</f>
        <v/>
      </c>
      <c r="G259" s="80" t="str">
        <f t="shared" ref="G259:G322" si="8">IF(ISNUMBER(F259), F259/D259, "")</f>
        <v/>
      </c>
      <c r="H259" s="81" t="str">
        <f>IF(ISNUMBER(node_raw[[#This Row],[Column6]]), node_raw[[#This Row],[Column6]]/1048576,"")</f>
        <v/>
      </c>
      <c r="I259" s="82" t="str">
        <f t="shared" ref="I259:I322" si="9">IF(ISNUMBER(H259), H259/E259, "")</f>
        <v/>
      </c>
      <c r="J259" s="83" t="str">
        <f>IF(ISNONTEXT(node_raw[[#This Row],[Column7]]), "", node_raw[[#This Row],[Column7]]/100)</f>
        <v/>
      </c>
      <c r="K259" s="84" t="str">
        <f>IF(ISNONTEXT(node_raw[[#This Row],[Column8]]), "", node_raw[[#This Row],[Column8]]/100)</f>
        <v/>
      </c>
      <c r="L259" s="85" t="str">
        <f>IF(ISNONTEXT(node_raw[[#This Row],[Column9]]), "", node_raw[[#This Row],[Column9]]/1)</f>
        <v/>
      </c>
      <c r="M259" s="86" t="str">
        <f>IF(ISNONTEXT(node_raw[[#This Row],[Column10]]), "", node_raw[[#This Row],[Column10]]/1)</f>
        <v/>
      </c>
    </row>
    <row r="260" spans="2:13" ht="15.75" customHeight="1" x14ac:dyDescent="0.25">
      <c r="B260" s="32" t="str">
        <f>IF(ISNONTEXT(node_raw[[#This Row],[Column1]]), "", node_raw[[#This Row],[Column1]])</f>
        <v/>
      </c>
      <c r="C260" s="29" t="str">
        <f>IF(ISNONTEXT(node_raw[[#This Row],[Column2]]), "", node_raw[[#This Row],[Column2]])</f>
        <v/>
      </c>
      <c r="D260" s="62" t="str">
        <f>IF(ISNUMBER(node_raw[[#This Row],[Column3]]), node_raw[[#This Row],[Column3]],"")</f>
        <v/>
      </c>
      <c r="E260" s="65" t="str">
        <f>IF(ISNUMBER(node_raw[[#This Row],[Column4]]), node_raw[[#This Row],[Column4]]/1048576,"")</f>
        <v/>
      </c>
      <c r="F260" s="91" t="str">
        <f>IF(ISNUMBER(node_raw[[#This Row],[Column5]]), node_raw[[#This Row],[Column5]],"")</f>
        <v/>
      </c>
      <c r="G260" s="80" t="str">
        <f t="shared" si="8"/>
        <v/>
      </c>
      <c r="H260" s="81" t="str">
        <f>IF(ISNUMBER(node_raw[[#This Row],[Column6]]), node_raw[[#This Row],[Column6]]/1048576,"")</f>
        <v/>
      </c>
      <c r="I260" s="82" t="str">
        <f t="shared" si="9"/>
        <v/>
      </c>
      <c r="J260" s="83" t="str">
        <f>IF(ISNONTEXT(node_raw[[#This Row],[Column7]]), "", node_raw[[#This Row],[Column7]]/100)</f>
        <v/>
      </c>
      <c r="K260" s="84" t="str">
        <f>IF(ISNONTEXT(node_raw[[#This Row],[Column8]]), "", node_raw[[#This Row],[Column8]]/100)</f>
        <v/>
      </c>
      <c r="L260" s="85" t="str">
        <f>IF(ISNONTEXT(node_raw[[#This Row],[Column9]]), "", node_raw[[#This Row],[Column9]]/1)</f>
        <v/>
      </c>
      <c r="M260" s="86" t="str">
        <f>IF(ISNONTEXT(node_raw[[#This Row],[Column10]]), "", node_raw[[#This Row],[Column10]]/1)</f>
        <v/>
      </c>
    </row>
    <row r="261" spans="2:13" ht="15.75" customHeight="1" x14ac:dyDescent="0.25">
      <c r="B261" s="32" t="str">
        <f>IF(ISNONTEXT(node_raw[[#This Row],[Column1]]), "", node_raw[[#This Row],[Column1]])</f>
        <v/>
      </c>
      <c r="C261" s="29" t="str">
        <f>IF(ISNONTEXT(node_raw[[#This Row],[Column2]]), "", node_raw[[#This Row],[Column2]])</f>
        <v/>
      </c>
      <c r="D261" s="62" t="str">
        <f>IF(ISNUMBER(node_raw[[#This Row],[Column3]]), node_raw[[#This Row],[Column3]],"")</f>
        <v/>
      </c>
      <c r="E261" s="65" t="str">
        <f>IF(ISNUMBER(node_raw[[#This Row],[Column4]]), node_raw[[#This Row],[Column4]]/1048576,"")</f>
        <v/>
      </c>
      <c r="F261" s="91" t="str">
        <f>IF(ISNUMBER(node_raw[[#This Row],[Column5]]), node_raw[[#This Row],[Column5]],"")</f>
        <v/>
      </c>
      <c r="G261" s="80" t="str">
        <f t="shared" si="8"/>
        <v/>
      </c>
      <c r="H261" s="81" t="str">
        <f>IF(ISNUMBER(node_raw[[#This Row],[Column6]]), node_raw[[#This Row],[Column6]]/1048576,"")</f>
        <v/>
      </c>
      <c r="I261" s="82" t="str">
        <f t="shared" si="9"/>
        <v/>
      </c>
      <c r="J261" s="83" t="str">
        <f>IF(ISNONTEXT(node_raw[[#This Row],[Column7]]), "", node_raw[[#This Row],[Column7]]/100)</f>
        <v/>
      </c>
      <c r="K261" s="84" t="str">
        <f>IF(ISNONTEXT(node_raw[[#This Row],[Column8]]), "", node_raw[[#This Row],[Column8]]/100)</f>
        <v/>
      </c>
      <c r="L261" s="85" t="str">
        <f>IF(ISNONTEXT(node_raw[[#This Row],[Column9]]), "", node_raw[[#This Row],[Column9]]/1)</f>
        <v/>
      </c>
      <c r="M261" s="86" t="str">
        <f>IF(ISNONTEXT(node_raw[[#This Row],[Column10]]), "", node_raw[[#This Row],[Column10]]/1)</f>
        <v/>
      </c>
    </row>
    <row r="262" spans="2:13" ht="15.75" customHeight="1" x14ac:dyDescent="0.25">
      <c r="B262" s="32" t="str">
        <f>IF(ISNONTEXT(node_raw[[#This Row],[Column1]]), "", node_raw[[#This Row],[Column1]])</f>
        <v/>
      </c>
      <c r="C262" s="29" t="str">
        <f>IF(ISNONTEXT(node_raw[[#This Row],[Column2]]), "", node_raw[[#This Row],[Column2]])</f>
        <v/>
      </c>
      <c r="D262" s="62" t="str">
        <f>IF(ISNUMBER(node_raw[[#This Row],[Column3]]), node_raw[[#This Row],[Column3]],"")</f>
        <v/>
      </c>
      <c r="E262" s="65" t="str">
        <f>IF(ISNUMBER(node_raw[[#This Row],[Column4]]), node_raw[[#This Row],[Column4]]/1048576,"")</f>
        <v/>
      </c>
      <c r="F262" s="91" t="str">
        <f>IF(ISNUMBER(node_raw[[#This Row],[Column5]]), node_raw[[#This Row],[Column5]],"")</f>
        <v/>
      </c>
      <c r="G262" s="80" t="str">
        <f t="shared" si="8"/>
        <v/>
      </c>
      <c r="H262" s="81" t="str">
        <f>IF(ISNUMBER(node_raw[[#This Row],[Column6]]), node_raw[[#This Row],[Column6]]/1048576,"")</f>
        <v/>
      </c>
      <c r="I262" s="82" t="str">
        <f t="shared" si="9"/>
        <v/>
      </c>
      <c r="J262" s="83" t="str">
        <f>IF(ISNONTEXT(node_raw[[#This Row],[Column7]]), "", node_raw[[#This Row],[Column7]]/100)</f>
        <v/>
      </c>
      <c r="K262" s="84" t="str">
        <f>IF(ISNONTEXT(node_raw[[#This Row],[Column8]]), "", node_raw[[#This Row],[Column8]]/100)</f>
        <v/>
      </c>
      <c r="L262" s="85" t="str">
        <f>IF(ISNONTEXT(node_raw[[#This Row],[Column9]]), "", node_raw[[#This Row],[Column9]]/1)</f>
        <v/>
      </c>
      <c r="M262" s="86" t="str">
        <f>IF(ISNONTEXT(node_raw[[#This Row],[Column10]]), "", node_raw[[#This Row],[Column10]]/1)</f>
        <v/>
      </c>
    </row>
    <row r="263" spans="2:13" ht="15.75" customHeight="1" x14ac:dyDescent="0.25">
      <c r="B263" s="32" t="str">
        <f>IF(ISNONTEXT(node_raw[[#This Row],[Column1]]), "", node_raw[[#This Row],[Column1]])</f>
        <v/>
      </c>
      <c r="C263" s="29" t="str">
        <f>IF(ISNONTEXT(node_raw[[#This Row],[Column2]]), "", node_raw[[#This Row],[Column2]])</f>
        <v/>
      </c>
      <c r="D263" s="62" t="str">
        <f>IF(ISNUMBER(node_raw[[#This Row],[Column3]]), node_raw[[#This Row],[Column3]],"")</f>
        <v/>
      </c>
      <c r="E263" s="65" t="str">
        <f>IF(ISNUMBER(node_raw[[#This Row],[Column4]]), node_raw[[#This Row],[Column4]]/1048576,"")</f>
        <v/>
      </c>
      <c r="F263" s="91" t="str">
        <f>IF(ISNUMBER(node_raw[[#This Row],[Column5]]), node_raw[[#This Row],[Column5]],"")</f>
        <v/>
      </c>
      <c r="G263" s="80" t="str">
        <f t="shared" si="8"/>
        <v/>
      </c>
      <c r="H263" s="81" t="str">
        <f>IF(ISNUMBER(node_raw[[#This Row],[Column6]]), node_raw[[#This Row],[Column6]]/1048576,"")</f>
        <v/>
      </c>
      <c r="I263" s="82" t="str">
        <f t="shared" si="9"/>
        <v/>
      </c>
      <c r="J263" s="83" t="str">
        <f>IF(ISNONTEXT(node_raw[[#This Row],[Column7]]), "", node_raw[[#This Row],[Column7]]/100)</f>
        <v/>
      </c>
      <c r="K263" s="84" t="str">
        <f>IF(ISNONTEXT(node_raw[[#This Row],[Column8]]), "", node_raw[[#This Row],[Column8]]/100)</f>
        <v/>
      </c>
      <c r="L263" s="85" t="str">
        <f>IF(ISNONTEXT(node_raw[[#This Row],[Column9]]), "", node_raw[[#This Row],[Column9]]/1)</f>
        <v/>
      </c>
      <c r="M263" s="86" t="str">
        <f>IF(ISNONTEXT(node_raw[[#This Row],[Column10]]), "", node_raw[[#This Row],[Column10]]/1)</f>
        <v/>
      </c>
    </row>
    <row r="264" spans="2:13" ht="15.75" customHeight="1" x14ac:dyDescent="0.25">
      <c r="B264" s="32" t="str">
        <f>IF(ISNONTEXT(node_raw[[#This Row],[Column1]]), "", node_raw[[#This Row],[Column1]])</f>
        <v/>
      </c>
      <c r="C264" s="29" t="str">
        <f>IF(ISNONTEXT(node_raw[[#This Row],[Column2]]), "", node_raw[[#This Row],[Column2]])</f>
        <v/>
      </c>
      <c r="D264" s="62" t="str">
        <f>IF(ISNUMBER(node_raw[[#This Row],[Column3]]), node_raw[[#This Row],[Column3]],"")</f>
        <v/>
      </c>
      <c r="E264" s="65" t="str">
        <f>IF(ISNUMBER(node_raw[[#This Row],[Column4]]), node_raw[[#This Row],[Column4]]/1048576,"")</f>
        <v/>
      </c>
      <c r="F264" s="91" t="str">
        <f>IF(ISNUMBER(node_raw[[#This Row],[Column5]]), node_raw[[#This Row],[Column5]],"")</f>
        <v/>
      </c>
      <c r="G264" s="80" t="str">
        <f t="shared" si="8"/>
        <v/>
      </c>
      <c r="H264" s="81" t="str">
        <f>IF(ISNUMBER(node_raw[[#This Row],[Column6]]), node_raw[[#This Row],[Column6]]/1048576,"")</f>
        <v/>
      </c>
      <c r="I264" s="82" t="str">
        <f t="shared" si="9"/>
        <v/>
      </c>
      <c r="J264" s="83" t="str">
        <f>IF(ISNONTEXT(node_raw[[#This Row],[Column7]]), "", node_raw[[#This Row],[Column7]]/100)</f>
        <v/>
      </c>
      <c r="K264" s="84" t="str">
        <f>IF(ISNONTEXT(node_raw[[#This Row],[Column8]]), "", node_raw[[#This Row],[Column8]]/100)</f>
        <v/>
      </c>
      <c r="L264" s="85" t="str">
        <f>IF(ISNONTEXT(node_raw[[#This Row],[Column9]]), "", node_raw[[#This Row],[Column9]]/1)</f>
        <v/>
      </c>
      <c r="M264" s="86" t="str">
        <f>IF(ISNONTEXT(node_raw[[#This Row],[Column10]]), "", node_raw[[#This Row],[Column10]]/1)</f>
        <v/>
      </c>
    </row>
    <row r="265" spans="2:13" ht="15.75" customHeight="1" x14ac:dyDescent="0.25">
      <c r="B265" s="32" t="str">
        <f>IF(ISNONTEXT(node_raw[[#This Row],[Column1]]), "", node_raw[[#This Row],[Column1]])</f>
        <v/>
      </c>
      <c r="C265" s="29" t="str">
        <f>IF(ISNONTEXT(node_raw[[#This Row],[Column2]]), "", node_raw[[#This Row],[Column2]])</f>
        <v/>
      </c>
      <c r="D265" s="62" t="str">
        <f>IF(ISNUMBER(node_raw[[#This Row],[Column3]]), node_raw[[#This Row],[Column3]],"")</f>
        <v/>
      </c>
      <c r="E265" s="65" t="str">
        <f>IF(ISNUMBER(node_raw[[#This Row],[Column4]]), node_raw[[#This Row],[Column4]]/1048576,"")</f>
        <v/>
      </c>
      <c r="F265" s="91" t="str">
        <f>IF(ISNUMBER(node_raw[[#This Row],[Column5]]), node_raw[[#This Row],[Column5]],"")</f>
        <v/>
      </c>
      <c r="G265" s="80" t="str">
        <f t="shared" si="8"/>
        <v/>
      </c>
      <c r="H265" s="81" t="str">
        <f>IF(ISNUMBER(node_raw[[#This Row],[Column6]]), node_raw[[#This Row],[Column6]]/1048576,"")</f>
        <v/>
      </c>
      <c r="I265" s="82" t="str">
        <f t="shared" si="9"/>
        <v/>
      </c>
      <c r="J265" s="83" t="str">
        <f>IF(ISNONTEXT(node_raw[[#This Row],[Column7]]), "", node_raw[[#This Row],[Column7]]/100)</f>
        <v/>
      </c>
      <c r="K265" s="84" t="str">
        <f>IF(ISNONTEXT(node_raw[[#This Row],[Column8]]), "", node_raw[[#This Row],[Column8]]/100)</f>
        <v/>
      </c>
      <c r="L265" s="85" t="str">
        <f>IF(ISNONTEXT(node_raw[[#This Row],[Column9]]), "", node_raw[[#This Row],[Column9]]/1)</f>
        <v/>
      </c>
      <c r="M265" s="86" t="str">
        <f>IF(ISNONTEXT(node_raw[[#This Row],[Column10]]), "", node_raw[[#This Row],[Column10]]/1)</f>
        <v/>
      </c>
    </row>
    <row r="266" spans="2:13" ht="15.75" customHeight="1" x14ac:dyDescent="0.25">
      <c r="B266" s="32" t="str">
        <f>IF(ISNONTEXT(node_raw[[#This Row],[Column1]]), "", node_raw[[#This Row],[Column1]])</f>
        <v/>
      </c>
      <c r="C266" s="29" t="str">
        <f>IF(ISNONTEXT(node_raw[[#This Row],[Column2]]), "", node_raw[[#This Row],[Column2]])</f>
        <v/>
      </c>
      <c r="D266" s="62" t="str">
        <f>IF(ISNUMBER(node_raw[[#This Row],[Column3]]), node_raw[[#This Row],[Column3]],"")</f>
        <v/>
      </c>
      <c r="E266" s="65" t="str">
        <f>IF(ISNUMBER(node_raw[[#This Row],[Column4]]), node_raw[[#This Row],[Column4]]/1048576,"")</f>
        <v/>
      </c>
      <c r="F266" s="91" t="str">
        <f>IF(ISNUMBER(node_raw[[#This Row],[Column5]]), node_raw[[#This Row],[Column5]],"")</f>
        <v/>
      </c>
      <c r="G266" s="80" t="str">
        <f t="shared" si="8"/>
        <v/>
      </c>
      <c r="H266" s="81" t="str">
        <f>IF(ISNUMBER(node_raw[[#This Row],[Column6]]), node_raw[[#This Row],[Column6]]/1048576,"")</f>
        <v/>
      </c>
      <c r="I266" s="82" t="str">
        <f t="shared" si="9"/>
        <v/>
      </c>
      <c r="J266" s="83" t="str">
        <f>IF(ISNONTEXT(node_raw[[#This Row],[Column7]]), "", node_raw[[#This Row],[Column7]]/100)</f>
        <v/>
      </c>
      <c r="K266" s="84" t="str">
        <f>IF(ISNONTEXT(node_raw[[#This Row],[Column8]]), "", node_raw[[#This Row],[Column8]]/100)</f>
        <v/>
      </c>
      <c r="L266" s="85" t="str">
        <f>IF(ISNONTEXT(node_raw[[#This Row],[Column9]]), "", node_raw[[#This Row],[Column9]]/1)</f>
        <v/>
      </c>
      <c r="M266" s="86" t="str">
        <f>IF(ISNONTEXT(node_raw[[#This Row],[Column10]]), "", node_raw[[#This Row],[Column10]]/1)</f>
        <v/>
      </c>
    </row>
    <row r="267" spans="2:13" ht="15.75" customHeight="1" x14ac:dyDescent="0.25">
      <c r="B267" s="32" t="str">
        <f>IF(ISNONTEXT(node_raw[[#This Row],[Column1]]), "", node_raw[[#This Row],[Column1]])</f>
        <v/>
      </c>
      <c r="C267" s="29" t="str">
        <f>IF(ISNONTEXT(node_raw[[#This Row],[Column2]]), "", node_raw[[#This Row],[Column2]])</f>
        <v/>
      </c>
      <c r="D267" s="62" t="str">
        <f>IF(ISNUMBER(node_raw[[#This Row],[Column3]]), node_raw[[#This Row],[Column3]],"")</f>
        <v/>
      </c>
      <c r="E267" s="65" t="str">
        <f>IF(ISNUMBER(node_raw[[#This Row],[Column4]]), node_raw[[#This Row],[Column4]]/1048576,"")</f>
        <v/>
      </c>
      <c r="F267" s="91" t="str">
        <f>IF(ISNUMBER(node_raw[[#This Row],[Column5]]), node_raw[[#This Row],[Column5]],"")</f>
        <v/>
      </c>
      <c r="G267" s="80" t="str">
        <f t="shared" si="8"/>
        <v/>
      </c>
      <c r="H267" s="81" t="str">
        <f>IF(ISNUMBER(node_raw[[#This Row],[Column6]]), node_raw[[#This Row],[Column6]]/1048576,"")</f>
        <v/>
      </c>
      <c r="I267" s="82" t="str">
        <f t="shared" si="9"/>
        <v/>
      </c>
      <c r="J267" s="83" t="str">
        <f>IF(ISNONTEXT(node_raw[[#This Row],[Column7]]), "", node_raw[[#This Row],[Column7]]/100)</f>
        <v/>
      </c>
      <c r="K267" s="84" t="str">
        <f>IF(ISNONTEXT(node_raw[[#This Row],[Column8]]), "", node_raw[[#This Row],[Column8]]/100)</f>
        <v/>
      </c>
      <c r="L267" s="85" t="str">
        <f>IF(ISNONTEXT(node_raw[[#This Row],[Column9]]), "", node_raw[[#This Row],[Column9]]/1)</f>
        <v/>
      </c>
      <c r="M267" s="86" t="str">
        <f>IF(ISNONTEXT(node_raw[[#This Row],[Column10]]), "", node_raw[[#This Row],[Column10]]/1)</f>
        <v/>
      </c>
    </row>
    <row r="268" spans="2:13" ht="15.75" customHeight="1" x14ac:dyDescent="0.25">
      <c r="B268" s="32" t="str">
        <f>IF(ISNONTEXT(node_raw[[#This Row],[Column1]]), "", node_raw[[#This Row],[Column1]])</f>
        <v/>
      </c>
      <c r="C268" s="29" t="str">
        <f>IF(ISNONTEXT(node_raw[[#This Row],[Column2]]), "", node_raw[[#This Row],[Column2]])</f>
        <v/>
      </c>
      <c r="D268" s="62" t="str">
        <f>IF(ISNUMBER(node_raw[[#This Row],[Column3]]), node_raw[[#This Row],[Column3]],"")</f>
        <v/>
      </c>
      <c r="E268" s="65" t="str">
        <f>IF(ISNUMBER(node_raw[[#This Row],[Column4]]), node_raw[[#This Row],[Column4]]/1048576,"")</f>
        <v/>
      </c>
      <c r="F268" s="91" t="str">
        <f>IF(ISNUMBER(node_raw[[#This Row],[Column5]]), node_raw[[#This Row],[Column5]],"")</f>
        <v/>
      </c>
      <c r="G268" s="80" t="str">
        <f t="shared" si="8"/>
        <v/>
      </c>
      <c r="H268" s="81" t="str">
        <f>IF(ISNUMBER(node_raw[[#This Row],[Column6]]), node_raw[[#This Row],[Column6]]/1048576,"")</f>
        <v/>
      </c>
      <c r="I268" s="82" t="str">
        <f t="shared" si="9"/>
        <v/>
      </c>
      <c r="J268" s="83" t="str">
        <f>IF(ISNONTEXT(node_raw[[#This Row],[Column7]]), "", node_raw[[#This Row],[Column7]]/100)</f>
        <v/>
      </c>
      <c r="K268" s="84" t="str">
        <f>IF(ISNONTEXT(node_raw[[#This Row],[Column8]]), "", node_raw[[#This Row],[Column8]]/100)</f>
        <v/>
      </c>
      <c r="L268" s="85" t="str">
        <f>IF(ISNONTEXT(node_raw[[#This Row],[Column9]]), "", node_raw[[#This Row],[Column9]]/1)</f>
        <v/>
      </c>
      <c r="M268" s="86" t="str">
        <f>IF(ISNONTEXT(node_raw[[#This Row],[Column10]]), "", node_raw[[#This Row],[Column10]]/1)</f>
        <v/>
      </c>
    </row>
    <row r="269" spans="2:13" ht="15.75" customHeight="1" x14ac:dyDescent="0.25">
      <c r="B269" s="32" t="str">
        <f>IF(ISNONTEXT(node_raw[[#This Row],[Column1]]), "", node_raw[[#This Row],[Column1]])</f>
        <v/>
      </c>
      <c r="C269" s="29" t="str">
        <f>IF(ISNONTEXT(node_raw[[#This Row],[Column2]]), "", node_raw[[#This Row],[Column2]])</f>
        <v/>
      </c>
      <c r="D269" s="62" t="str">
        <f>IF(ISNUMBER(node_raw[[#This Row],[Column3]]), node_raw[[#This Row],[Column3]],"")</f>
        <v/>
      </c>
      <c r="E269" s="65" t="str">
        <f>IF(ISNUMBER(node_raw[[#This Row],[Column4]]), node_raw[[#This Row],[Column4]]/1048576,"")</f>
        <v/>
      </c>
      <c r="F269" s="91" t="str">
        <f>IF(ISNUMBER(node_raw[[#This Row],[Column5]]), node_raw[[#This Row],[Column5]],"")</f>
        <v/>
      </c>
      <c r="G269" s="80" t="str">
        <f t="shared" si="8"/>
        <v/>
      </c>
      <c r="H269" s="81" t="str">
        <f>IF(ISNUMBER(node_raw[[#This Row],[Column6]]), node_raw[[#This Row],[Column6]]/1048576,"")</f>
        <v/>
      </c>
      <c r="I269" s="82" t="str">
        <f t="shared" si="9"/>
        <v/>
      </c>
      <c r="J269" s="83" t="str">
        <f>IF(ISNONTEXT(node_raw[[#This Row],[Column7]]), "", node_raw[[#This Row],[Column7]]/100)</f>
        <v/>
      </c>
      <c r="K269" s="84" t="str">
        <f>IF(ISNONTEXT(node_raw[[#This Row],[Column8]]), "", node_raw[[#This Row],[Column8]]/100)</f>
        <v/>
      </c>
      <c r="L269" s="85" t="str">
        <f>IF(ISNONTEXT(node_raw[[#This Row],[Column9]]), "", node_raw[[#This Row],[Column9]]/1)</f>
        <v/>
      </c>
      <c r="M269" s="86" t="str">
        <f>IF(ISNONTEXT(node_raw[[#This Row],[Column10]]), "", node_raw[[#This Row],[Column10]]/1)</f>
        <v/>
      </c>
    </row>
    <row r="270" spans="2:13" ht="15.75" customHeight="1" x14ac:dyDescent="0.25">
      <c r="B270" s="32" t="str">
        <f>IF(ISNONTEXT(node_raw[[#This Row],[Column1]]), "", node_raw[[#This Row],[Column1]])</f>
        <v/>
      </c>
      <c r="C270" s="29" t="str">
        <f>IF(ISNONTEXT(node_raw[[#This Row],[Column2]]), "", node_raw[[#This Row],[Column2]])</f>
        <v/>
      </c>
      <c r="D270" s="62" t="str">
        <f>IF(ISNUMBER(node_raw[[#This Row],[Column3]]), node_raw[[#This Row],[Column3]],"")</f>
        <v/>
      </c>
      <c r="E270" s="65" t="str">
        <f>IF(ISNUMBER(node_raw[[#This Row],[Column4]]), node_raw[[#This Row],[Column4]]/1048576,"")</f>
        <v/>
      </c>
      <c r="F270" s="91" t="str">
        <f>IF(ISNUMBER(node_raw[[#This Row],[Column5]]), node_raw[[#This Row],[Column5]],"")</f>
        <v/>
      </c>
      <c r="G270" s="80" t="str">
        <f t="shared" si="8"/>
        <v/>
      </c>
      <c r="H270" s="81" t="str">
        <f>IF(ISNUMBER(node_raw[[#This Row],[Column6]]), node_raw[[#This Row],[Column6]]/1048576,"")</f>
        <v/>
      </c>
      <c r="I270" s="82" t="str">
        <f t="shared" si="9"/>
        <v/>
      </c>
      <c r="J270" s="83" t="str">
        <f>IF(ISNONTEXT(node_raw[[#This Row],[Column7]]), "", node_raw[[#This Row],[Column7]]/100)</f>
        <v/>
      </c>
      <c r="K270" s="84" t="str">
        <f>IF(ISNONTEXT(node_raw[[#This Row],[Column8]]), "", node_raw[[#This Row],[Column8]]/100)</f>
        <v/>
      </c>
      <c r="L270" s="85" t="str">
        <f>IF(ISNONTEXT(node_raw[[#This Row],[Column9]]), "", node_raw[[#This Row],[Column9]]/1)</f>
        <v/>
      </c>
      <c r="M270" s="86" t="str">
        <f>IF(ISNONTEXT(node_raw[[#This Row],[Column10]]), "", node_raw[[#This Row],[Column10]]/1)</f>
        <v/>
      </c>
    </row>
    <row r="271" spans="2:13" ht="15.75" customHeight="1" x14ac:dyDescent="0.25">
      <c r="B271" s="32" t="str">
        <f>IF(ISNONTEXT(node_raw[[#This Row],[Column1]]), "", node_raw[[#This Row],[Column1]])</f>
        <v/>
      </c>
      <c r="C271" s="29" t="str">
        <f>IF(ISNONTEXT(node_raw[[#This Row],[Column2]]), "", node_raw[[#This Row],[Column2]])</f>
        <v/>
      </c>
      <c r="D271" s="62" t="str">
        <f>IF(ISNUMBER(node_raw[[#This Row],[Column3]]), node_raw[[#This Row],[Column3]],"")</f>
        <v/>
      </c>
      <c r="E271" s="65" t="str">
        <f>IF(ISNUMBER(node_raw[[#This Row],[Column4]]), node_raw[[#This Row],[Column4]]/1048576,"")</f>
        <v/>
      </c>
      <c r="F271" s="91" t="str">
        <f>IF(ISNUMBER(node_raw[[#This Row],[Column5]]), node_raw[[#This Row],[Column5]],"")</f>
        <v/>
      </c>
      <c r="G271" s="80" t="str">
        <f t="shared" si="8"/>
        <v/>
      </c>
      <c r="H271" s="81" t="str">
        <f>IF(ISNUMBER(node_raw[[#This Row],[Column6]]), node_raw[[#This Row],[Column6]]/1048576,"")</f>
        <v/>
      </c>
      <c r="I271" s="82" t="str">
        <f t="shared" si="9"/>
        <v/>
      </c>
      <c r="J271" s="83" t="str">
        <f>IF(ISNONTEXT(node_raw[[#This Row],[Column7]]), "", node_raw[[#This Row],[Column7]]/100)</f>
        <v/>
      </c>
      <c r="K271" s="84" t="str">
        <f>IF(ISNONTEXT(node_raw[[#This Row],[Column8]]), "", node_raw[[#This Row],[Column8]]/100)</f>
        <v/>
      </c>
      <c r="L271" s="85" t="str">
        <f>IF(ISNONTEXT(node_raw[[#This Row],[Column9]]), "", node_raw[[#This Row],[Column9]]/1)</f>
        <v/>
      </c>
      <c r="M271" s="86" t="str">
        <f>IF(ISNONTEXT(node_raw[[#This Row],[Column10]]), "", node_raw[[#This Row],[Column10]]/1)</f>
        <v/>
      </c>
    </row>
    <row r="272" spans="2:13" ht="15.75" customHeight="1" x14ac:dyDescent="0.25">
      <c r="B272" s="32" t="str">
        <f>IF(ISNONTEXT(node_raw[[#This Row],[Column1]]), "", node_raw[[#This Row],[Column1]])</f>
        <v/>
      </c>
      <c r="C272" s="29" t="str">
        <f>IF(ISNONTEXT(node_raw[[#This Row],[Column2]]), "", node_raw[[#This Row],[Column2]])</f>
        <v/>
      </c>
      <c r="D272" s="62" t="str">
        <f>IF(ISNUMBER(node_raw[[#This Row],[Column3]]), node_raw[[#This Row],[Column3]],"")</f>
        <v/>
      </c>
      <c r="E272" s="65" t="str">
        <f>IF(ISNUMBER(node_raw[[#This Row],[Column4]]), node_raw[[#This Row],[Column4]]/1048576,"")</f>
        <v/>
      </c>
      <c r="F272" s="91" t="str">
        <f>IF(ISNUMBER(node_raw[[#This Row],[Column5]]), node_raw[[#This Row],[Column5]],"")</f>
        <v/>
      </c>
      <c r="G272" s="80" t="str">
        <f t="shared" si="8"/>
        <v/>
      </c>
      <c r="H272" s="81" t="str">
        <f>IF(ISNUMBER(node_raw[[#This Row],[Column6]]), node_raw[[#This Row],[Column6]]/1048576,"")</f>
        <v/>
      </c>
      <c r="I272" s="82" t="str">
        <f t="shared" si="9"/>
        <v/>
      </c>
      <c r="J272" s="83" t="str">
        <f>IF(ISNONTEXT(node_raw[[#This Row],[Column7]]), "", node_raw[[#This Row],[Column7]]/100)</f>
        <v/>
      </c>
      <c r="K272" s="84" t="str">
        <f>IF(ISNONTEXT(node_raw[[#This Row],[Column8]]), "", node_raw[[#This Row],[Column8]]/100)</f>
        <v/>
      </c>
      <c r="L272" s="85" t="str">
        <f>IF(ISNONTEXT(node_raw[[#This Row],[Column9]]), "", node_raw[[#This Row],[Column9]]/1)</f>
        <v/>
      </c>
      <c r="M272" s="86" t="str">
        <f>IF(ISNONTEXT(node_raw[[#This Row],[Column10]]), "", node_raw[[#This Row],[Column10]]/1)</f>
        <v/>
      </c>
    </row>
    <row r="273" spans="2:13" ht="15.75" customHeight="1" x14ac:dyDescent="0.25">
      <c r="B273" s="32" t="str">
        <f>IF(ISNONTEXT(node_raw[[#This Row],[Column1]]), "", node_raw[[#This Row],[Column1]])</f>
        <v/>
      </c>
      <c r="C273" s="29" t="str">
        <f>IF(ISNONTEXT(node_raw[[#This Row],[Column2]]), "", node_raw[[#This Row],[Column2]])</f>
        <v/>
      </c>
      <c r="D273" s="62" t="str">
        <f>IF(ISNUMBER(node_raw[[#This Row],[Column3]]), node_raw[[#This Row],[Column3]],"")</f>
        <v/>
      </c>
      <c r="E273" s="65" t="str">
        <f>IF(ISNUMBER(node_raw[[#This Row],[Column4]]), node_raw[[#This Row],[Column4]]/1048576,"")</f>
        <v/>
      </c>
      <c r="F273" s="91" t="str">
        <f>IF(ISNUMBER(node_raw[[#This Row],[Column5]]), node_raw[[#This Row],[Column5]],"")</f>
        <v/>
      </c>
      <c r="G273" s="80" t="str">
        <f t="shared" si="8"/>
        <v/>
      </c>
      <c r="H273" s="81" t="str">
        <f>IF(ISNUMBER(node_raw[[#This Row],[Column6]]), node_raw[[#This Row],[Column6]]/1048576,"")</f>
        <v/>
      </c>
      <c r="I273" s="82" t="str">
        <f t="shared" si="9"/>
        <v/>
      </c>
      <c r="J273" s="83" t="str">
        <f>IF(ISNONTEXT(node_raw[[#This Row],[Column7]]), "", node_raw[[#This Row],[Column7]]/100)</f>
        <v/>
      </c>
      <c r="K273" s="84" t="str">
        <f>IF(ISNONTEXT(node_raw[[#This Row],[Column8]]), "", node_raw[[#This Row],[Column8]]/100)</f>
        <v/>
      </c>
      <c r="L273" s="85" t="str">
        <f>IF(ISNONTEXT(node_raw[[#This Row],[Column9]]), "", node_raw[[#This Row],[Column9]]/1)</f>
        <v/>
      </c>
      <c r="M273" s="86" t="str">
        <f>IF(ISNONTEXT(node_raw[[#This Row],[Column10]]), "", node_raw[[#This Row],[Column10]]/1)</f>
        <v/>
      </c>
    </row>
    <row r="274" spans="2:13" ht="15.75" customHeight="1" x14ac:dyDescent="0.25">
      <c r="B274" s="32" t="str">
        <f>IF(ISNONTEXT(node_raw[[#This Row],[Column1]]), "", node_raw[[#This Row],[Column1]])</f>
        <v/>
      </c>
      <c r="C274" s="29" t="str">
        <f>IF(ISNONTEXT(node_raw[[#This Row],[Column2]]), "", node_raw[[#This Row],[Column2]])</f>
        <v/>
      </c>
      <c r="D274" s="62" t="str">
        <f>IF(ISNUMBER(node_raw[[#This Row],[Column3]]), node_raw[[#This Row],[Column3]],"")</f>
        <v/>
      </c>
      <c r="E274" s="65" t="str">
        <f>IF(ISNUMBER(node_raw[[#This Row],[Column4]]), node_raw[[#This Row],[Column4]]/1048576,"")</f>
        <v/>
      </c>
      <c r="F274" s="91" t="str">
        <f>IF(ISNUMBER(node_raw[[#This Row],[Column5]]), node_raw[[#This Row],[Column5]],"")</f>
        <v/>
      </c>
      <c r="G274" s="80" t="str">
        <f t="shared" si="8"/>
        <v/>
      </c>
      <c r="H274" s="81" t="str">
        <f>IF(ISNUMBER(node_raw[[#This Row],[Column6]]), node_raw[[#This Row],[Column6]]/1048576,"")</f>
        <v/>
      </c>
      <c r="I274" s="82" t="str">
        <f t="shared" si="9"/>
        <v/>
      </c>
      <c r="J274" s="83" t="str">
        <f>IF(ISNONTEXT(node_raw[[#This Row],[Column7]]), "", node_raw[[#This Row],[Column7]]/100)</f>
        <v/>
      </c>
      <c r="K274" s="84" t="str">
        <f>IF(ISNONTEXT(node_raw[[#This Row],[Column8]]), "", node_raw[[#This Row],[Column8]]/100)</f>
        <v/>
      </c>
      <c r="L274" s="85" t="str">
        <f>IF(ISNONTEXT(node_raw[[#This Row],[Column9]]), "", node_raw[[#This Row],[Column9]]/1)</f>
        <v/>
      </c>
      <c r="M274" s="86" t="str">
        <f>IF(ISNONTEXT(node_raw[[#This Row],[Column10]]), "", node_raw[[#This Row],[Column10]]/1)</f>
        <v/>
      </c>
    </row>
    <row r="275" spans="2:13" ht="15.75" customHeight="1" x14ac:dyDescent="0.25">
      <c r="B275" s="32" t="str">
        <f>IF(ISNONTEXT(node_raw[[#This Row],[Column1]]), "", node_raw[[#This Row],[Column1]])</f>
        <v/>
      </c>
      <c r="C275" s="29" t="str">
        <f>IF(ISNONTEXT(node_raw[[#This Row],[Column2]]), "", node_raw[[#This Row],[Column2]])</f>
        <v/>
      </c>
      <c r="D275" s="62" t="str">
        <f>IF(ISNUMBER(node_raw[[#This Row],[Column3]]), node_raw[[#This Row],[Column3]],"")</f>
        <v/>
      </c>
      <c r="E275" s="65" t="str">
        <f>IF(ISNUMBER(node_raw[[#This Row],[Column4]]), node_raw[[#This Row],[Column4]]/1048576,"")</f>
        <v/>
      </c>
      <c r="F275" s="91" t="str">
        <f>IF(ISNUMBER(node_raw[[#This Row],[Column5]]), node_raw[[#This Row],[Column5]],"")</f>
        <v/>
      </c>
      <c r="G275" s="80" t="str">
        <f t="shared" si="8"/>
        <v/>
      </c>
      <c r="H275" s="81" t="str">
        <f>IF(ISNUMBER(node_raw[[#This Row],[Column6]]), node_raw[[#This Row],[Column6]]/1048576,"")</f>
        <v/>
      </c>
      <c r="I275" s="82" t="str">
        <f t="shared" si="9"/>
        <v/>
      </c>
      <c r="J275" s="83" t="str">
        <f>IF(ISNONTEXT(node_raw[[#This Row],[Column7]]), "", node_raw[[#This Row],[Column7]]/100)</f>
        <v/>
      </c>
      <c r="K275" s="84" t="str">
        <f>IF(ISNONTEXT(node_raw[[#This Row],[Column8]]), "", node_raw[[#This Row],[Column8]]/100)</f>
        <v/>
      </c>
      <c r="L275" s="85" t="str">
        <f>IF(ISNONTEXT(node_raw[[#This Row],[Column9]]), "", node_raw[[#This Row],[Column9]]/1)</f>
        <v/>
      </c>
      <c r="M275" s="86" t="str">
        <f>IF(ISNONTEXT(node_raw[[#This Row],[Column10]]), "", node_raw[[#This Row],[Column10]]/1)</f>
        <v/>
      </c>
    </row>
    <row r="276" spans="2:13" ht="15.75" customHeight="1" x14ac:dyDescent="0.25">
      <c r="B276" s="32" t="str">
        <f>IF(ISNONTEXT(node_raw[[#This Row],[Column1]]), "", node_raw[[#This Row],[Column1]])</f>
        <v/>
      </c>
      <c r="C276" s="29" t="str">
        <f>IF(ISNONTEXT(node_raw[[#This Row],[Column2]]), "", node_raw[[#This Row],[Column2]])</f>
        <v/>
      </c>
      <c r="D276" s="62" t="str">
        <f>IF(ISNUMBER(node_raw[[#This Row],[Column3]]), node_raw[[#This Row],[Column3]],"")</f>
        <v/>
      </c>
      <c r="E276" s="65" t="str">
        <f>IF(ISNUMBER(node_raw[[#This Row],[Column4]]), node_raw[[#This Row],[Column4]]/1048576,"")</f>
        <v/>
      </c>
      <c r="F276" s="91" t="str">
        <f>IF(ISNUMBER(node_raw[[#This Row],[Column5]]), node_raw[[#This Row],[Column5]],"")</f>
        <v/>
      </c>
      <c r="G276" s="80" t="str">
        <f t="shared" si="8"/>
        <v/>
      </c>
      <c r="H276" s="81" t="str">
        <f>IF(ISNUMBER(node_raw[[#This Row],[Column6]]), node_raw[[#This Row],[Column6]]/1048576,"")</f>
        <v/>
      </c>
      <c r="I276" s="82" t="str">
        <f t="shared" si="9"/>
        <v/>
      </c>
      <c r="J276" s="83" t="str">
        <f>IF(ISNONTEXT(node_raw[[#This Row],[Column7]]), "", node_raw[[#This Row],[Column7]]/100)</f>
        <v/>
      </c>
      <c r="K276" s="84" t="str">
        <f>IF(ISNONTEXT(node_raw[[#This Row],[Column8]]), "", node_raw[[#This Row],[Column8]]/100)</f>
        <v/>
      </c>
      <c r="L276" s="85" t="str">
        <f>IF(ISNONTEXT(node_raw[[#This Row],[Column9]]), "", node_raw[[#This Row],[Column9]]/1)</f>
        <v/>
      </c>
      <c r="M276" s="86" t="str">
        <f>IF(ISNONTEXT(node_raw[[#This Row],[Column10]]), "", node_raw[[#This Row],[Column10]]/1)</f>
        <v/>
      </c>
    </row>
    <row r="277" spans="2:13" ht="15.75" customHeight="1" x14ac:dyDescent="0.25">
      <c r="B277" s="32" t="str">
        <f>IF(ISNONTEXT(node_raw[[#This Row],[Column1]]), "", node_raw[[#This Row],[Column1]])</f>
        <v/>
      </c>
      <c r="C277" s="29" t="str">
        <f>IF(ISNONTEXT(node_raw[[#This Row],[Column2]]), "", node_raw[[#This Row],[Column2]])</f>
        <v/>
      </c>
      <c r="D277" s="62" t="str">
        <f>IF(ISNUMBER(node_raw[[#This Row],[Column3]]), node_raw[[#This Row],[Column3]],"")</f>
        <v/>
      </c>
      <c r="E277" s="65" t="str">
        <f>IF(ISNUMBER(node_raw[[#This Row],[Column4]]), node_raw[[#This Row],[Column4]]/1048576,"")</f>
        <v/>
      </c>
      <c r="F277" s="91" t="str">
        <f>IF(ISNUMBER(node_raw[[#This Row],[Column5]]), node_raw[[#This Row],[Column5]],"")</f>
        <v/>
      </c>
      <c r="G277" s="80" t="str">
        <f t="shared" si="8"/>
        <v/>
      </c>
      <c r="H277" s="81" t="str">
        <f>IF(ISNUMBER(node_raw[[#This Row],[Column6]]), node_raw[[#This Row],[Column6]]/1048576,"")</f>
        <v/>
      </c>
      <c r="I277" s="82" t="str">
        <f t="shared" si="9"/>
        <v/>
      </c>
      <c r="J277" s="83" t="str">
        <f>IF(ISNONTEXT(node_raw[[#This Row],[Column7]]), "", node_raw[[#This Row],[Column7]]/100)</f>
        <v/>
      </c>
      <c r="K277" s="84" t="str">
        <f>IF(ISNONTEXT(node_raw[[#This Row],[Column8]]), "", node_raw[[#This Row],[Column8]]/100)</f>
        <v/>
      </c>
      <c r="L277" s="85" t="str">
        <f>IF(ISNONTEXT(node_raw[[#This Row],[Column9]]), "", node_raw[[#This Row],[Column9]]/1)</f>
        <v/>
      </c>
      <c r="M277" s="86" t="str">
        <f>IF(ISNONTEXT(node_raw[[#This Row],[Column10]]), "", node_raw[[#This Row],[Column10]]/1)</f>
        <v/>
      </c>
    </row>
    <row r="278" spans="2:13" ht="15.75" customHeight="1" x14ac:dyDescent="0.25">
      <c r="B278" s="32" t="str">
        <f>IF(ISNONTEXT(node_raw[[#This Row],[Column1]]), "", node_raw[[#This Row],[Column1]])</f>
        <v/>
      </c>
      <c r="C278" s="29" t="str">
        <f>IF(ISNONTEXT(node_raw[[#This Row],[Column2]]), "", node_raw[[#This Row],[Column2]])</f>
        <v/>
      </c>
      <c r="D278" s="62" t="str">
        <f>IF(ISNUMBER(node_raw[[#This Row],[Column3]]), node_raw[[#This Row],[Column3]],"")</f>
        <v/>
      </c>
      <c r="E278" s="65" t="str">
        <f>IF(ISNUMBER(node_raw[[#This Row],[Column4]]), node_raw[[#This Row],[Column4]]/1048576,"")</f>
        <v/>
      </c>
      <c r="F278" s="91" t="str">
        <f>IF(ISNUMBER(node_raw[[#This Row],[Column5]]), node_raw[[#This Row],[Column5]],"")</f>
        <v/>
      </c>
      <c r="G278" s="80" t="str">
        <f t="shared" si="8"/>
        <v/>
      </c>
      <c r="H278" s="81" t="str">
        <f>IF(ISNUMBER(node_raw[[#This Row],[Column6]]), node_raw[[#This Row],[Column6]]/1048576,"")</f>
        <v/>
      </c>
      <c r="I278" s="82" t="str">
        <f t="shared" si="9"/>
        <v/>
      </c>
      <c r="J278" s="83" t="str">
        <f>IF(ISNONTEXT(node_raw[[#This Row],[Column7]]), "", node_raw[[#This Row],[Column7]]/100)</f>
        <v/>
      </c>
      <c r="K278" s="84" t="str">
        <f>IF(ISNONTEXT(node_raw[[#This Row],[Column8]]), "", node_raw[[#This Row],[Column8]]/100)</f>
        <v/>
      </c>
      <c r="L278" s="85" t="str">
        <f>IF(ISNONTEXT(node_raw[[#This Row],[Column9]]), "", node_raw[[#This Row],[Column9]]/1)</f>
        <v/>
      </c>
      <c r="M278" s="86" t="str">
        <f>IF(ISNONTEXT(node_raw[[#This Row],[Column10]]), "", node_raw[[#This Row],[Column10]]/1)</f>
        <v/>
      </c>
    </row>
    <row r="279" spans="2:13" ht="15.75" customHeight="1" x14ac:dyDescent="0.25">
      <c r="B279" s="32" t="str">
        <f>IF(ISNONTEXT(node_raw[[#This Row],[Column1]]), "", node_raw[[#This Row],[Column1]])</f>
        <v/>
      </c>
      <c r="C279" s="29" t="str">
        <f>IF(ISNONTEXT(node_raw[[#This Row],[Column2]]), "", node_raw[[#This Row],[Column2]])</f>
        <v/>
      </c>
      <c r="D279" s="62" t="str">
        <f>IF(ISNUMBER(node_raw[[#This Row],[Column3]]), node_raw[[#This Row],[Column3]],"")</f>
        <v/>
      </c>
      <c r="E279" s="65" t="str">
        <f>IF(ISNUMBER(node_raw[[#This Row],[Column4]]), node_raw[[#This Row],[Column4]]/1048576,"")</f>
        <v/>
      </c>
      <c r="F279" s="91" t="str">
        <f>IF(ISNUMBER(node_raw[[#This Row],[Column5]]), node_raw[[#This Row],[Column5]],"")</f>
        <v/>
      </c>
      <c r="G279" s="80" t="str">
        <f t="shared" si="8"/>
        <v/>
      </c>
      <c r="H279" s="81" t="str">
        <f>IF(ISNUMBER(node_raw[[#This Row],[Column6]]), node_raw[[#This Row],[Column6]]/1048576,"")</f>
        <v/>
      </c>
      <c r="I279" s="82" t="str">
        <f t="shared" si="9"/>
        <v/>
      </c>
      <c r="J279" s="83" t="str">
        <f>IF(ISNONTEXT(node_raw[[#This Row],[Column7]]), "", node_raw[[#This Row],[Column7]]/100)</f>
        <v/>
      </c>
      <c r="K279" s="84" t="str">
        <f>IF(ISNONTEXT(node_raw[[#This Row],[Column8]]), "", node_raw[[#This Row],[Column8]]/100)</f>
        <v/>
      </c>
      <c r="L279" s="85" t="str">
        <f>IF(ISNONTEXT(node_raw[[#This Row],[Column9]]), "", node_raw[[#This Row],[Column9]]/1)</f>
        <v/>
      </c>
      <c r="M279" s="86" t="str">
        <f>IF(ISNONTEXT(node_raw[[#This Row],[Column10]]), "", node_raw[[#This Row],[Column10]]/1)</f>
        <v/>
      </c>
    </row>
    <row r="280" spans="2:13" ht="15.75" customHeight="1" x14ac:dyDescent="0.25">
      <c r="B280" s="32" t="str">
        <f>IF(ISNONTEXT(node_raw[[#This Row],[Column1]]), "", node_raw[[#This Row],[Column1]])</f>
        <v/>
      </c>
      <c r="C280" s="29" t="str">
        <f>IF(ISNONTEXT(node_raw[[#This Row],[Column2]]), "", node_raw[[#This Row],[Column2]])</f>
        <v/>
      </c>
      <c r="D280" s="62" t="str">
        <f>IF(ISNUMBER(node_raw[[#This Row],[Column3]]), node_raw[[#This Row],[Column3]],"")</f>
        <v/>
      </c>
      <c r="E280" s="65" t="str">
        <f>IF(ISNUMBER(node_raw[[#This Row],[Column4]]), node_raw[[#This Row],[Column4]]/1048576,"")</f>
        <v/>
      </c>
      <c r="F280" s="91" t="str">
        <f>IF(ISNUMBER(node_raw[[#This Row],[Column5]]), node_raw[[#This Row],[Column5]],"")</f>
        <v/>
      </c>
      <c r="G280" s="80" t="str">
        <f t="shared" si="8"/>
        <v/>
      </c>
      <c r="H280" s="81" t="str">
        <f>IF(ISNUMBER(node_raw[[#This Row],[Column6]]), node_raw[[#This Row],[Column6]]/1048576,"")</f>
        <v/>
      </c>
      <c r="I280" s="82" t="str">
        <f t="shared" si="9"/>
        <v/>
      </c>
      <c r="J280" s="83" t="str">
        <f>IF(ISNONTEXT(node_raw[[#This Row],[Column7]]), "", node_raw[[#This Row],[Column7]]/100)</f>
        <v/>
      </c>
      <c r="K280" s="84" t="str">
        <f>IF(ISNONTEXT(node_raw[[#This Row],[Column8]]), "", node_raw[[#This Row],[Column8]]/100)</f>
        <v/>
      </c>
      <c r="L280" s="85" t="str">
        <f>IF(ISNONTEXT(node_raw[[#This Row],[Column9]]), "", node_raw[[#This Row],[Column9]]/1)</f>
        <v/>
      </c>
      <c r="M280" s="86" t="str">
        <f>IF(ISNONTEXT(node_raw[[#This Row],[Column10]]), "", node_raw[[#This Row],[Column10]]/1)</f>
        <v/>
      </c>
    </row>
    <row r="281" spans="2:13" ht="15.75" customHeight="1" x14ac:dyDescent="0.25">
      <c r="B281" s="32" t="str">
        <f>IF(ISNONTEXT(node_raw[[#This Row],[Column1]]), "", node_raw[[#This Row],[Column1]])</f>
        <v/>
      </c>
      <c r="C281" s="29" t="str">
        <f>IF(ISNONTEXT(node_raw[[#This Row],[Column2]]), "", node_raw[[#This Row],[Column2]])</f>
        <v/>
      </c>
      <c r="D281" s="62" t="str">
        <f>IF(ISNUMBER(node_raw[[#This Row],[Column3]]), node_raw[[#This Row],[Column3]],"")</f>
        <v/>
      </c>
      <c r="E281" s="65" t="str">
        <f>IF(ISNUMBER(node_raw[[#This Row],[Column4]]), node_raw[[#This Row],[Column4]]/1048576,"")</f>
        <v/>
      </c>
      <c r="F281" s="91" t="str">
        <f>IF(ISNUMBER(node_raw[[#This Row],[Column5]]), node_raw[[#This Row],[Column5]],"")</f>
        <v/>
      </c>
      <c r="G281" s="80" t="str">
        <f t="shared" si="8"/>
        <v/>
      </c>
      <c r="H281" s="81" t="str">
        <f>IF(ISNUMBER(node_raw[[#This Row],[Column6]]), node_raw[[#This Row],[Column6]]/1048576,"")</f>
        <v/>
      </c>
      <c r="I281" s="82" t="str">
        <f t="shared" si="9"/>
        <v/>
      </c>
      <c r="J281" s="83" t="str">
        <f>IF(ISNONTEXT(node_raw[[#This Row],[Column7]]), "", node_raw[[#This Row],[Column7]]/100)</f>
        <v/>
      </c>
      <c r="K281" s="84" t="str">
        <f>IF(ISNONTEXT(node_raw[[#This Row],[Column8]]), "", node_raw[[#This Row],[Column8]]/100)</f>
        <v/>
      </c>
      <c r="L281" s="85" t="str">
        <f>IF(ISNONTEXT(node_raw[[#This Row],[Column9]]), "", node_raw[[#This Row],[Column9]]/1)</f>
        <v/>
      </c>
      <c r="M281" s="86" t="str">
        <f>IF(ISNONTEXT(node_raw[[#This Row],[Column10]]), "", node_raw[[#This Row],[Column10]]/1)</f>
        <v/>
      </c>
    </row>
    <row r="282" spans="2:13" ht="15.75" customHeight="1" x14ac:dyDescent="0.25">
      <c r="B282" s="32" t="str">
        <f>IF(ISNONTEXT(node_raw[[#This Row],[Column1]]), "", node_raw[[#This Row],[Column1]])</f>
        <v/>
      </c>
      <c r="C282" s="29" t="str">
        <f>IF(ISNONTEXT(node_raw[[#This Row],[Column2]]), "", node_raw[[#This Row],[Column2]])</f>
        <v/>
      </c>
      <c r="D282" s="62" t="str">
        <f>IF(ISNUMBER(node_raw[[#This Row],[Column3]]), node_raw[[#This Row],[Column3]],"")</f>
        <v/>
      </c>
      <c r="E282" s="65" t="str">
        <f>IF(ISNUMBER(node_raw[[#This Row],[Column4]]), node_raw[[#This Row],[Column4]]/1048576,"")</f>
        <v/>
      </c>
      <c r="F282" s="91" t="str">
        <f>IF(ISNUMBER(node_raw[[#This Row],[Column5]]), node_raw[[#This Row],[Column5]],"")</f>
        <v/>
      </c>
      <c r="G282" s="80" t="str">
        <f t="shared" si="8"/>
        <v/>
      </c>
      <c r="H282" s="81" t="str">
        <f>IF(ISNUMBER(node_raw[[#This Row],[Column6]]), node_raw[[#This Row],[Column6]]/1048576,"")</f>
        <v/>
      </c>
      <c r="I282" s="82" t="str">
        <f t="shared" si="9"/>
        <v/>
      </c>
      <c r="J282" s="83" t="str">
        <f>IF(ISNONTEXT(node_raw[[#This Row],[Column7]]), "", node_raw[[#This Row],[Column7]]/100)</f>
        <v/>
      </c>
      <c r="K282" s="84" t="str">
        <f>IF(ISNONTEXT(node_raw[[#This Row],[Column8]]), "", node_raw[[#This Row],[Column8]]/100)</f>
        <v/>
      </c>
      <c r="L282" s="85" t="str">
        <f>IF(ISNONTEXT(node_raw[[#This Row],[Column9]]), "", node_raw[[#This Row],[Column9]]/1)</f>
        <v/>
      </c>
      <c r="M282" s="86" t="str">
        <f>IF(ISNONTEXT(node_raw[[#This Row],[Column10]]), "", node_raw[[#This Row],[Column10]]/1)</f>
        <v/>
      </c>
    </row>
    <row r="283" spans="2:13" ht="15.75" customHeight="1" x14ac:dyDescent="0.25">
      <c r="B283" s="32" t="str">
        <f>IF(ISNONTEXT(node_raw[[#This Row],[Column1]]), "", node_raw[[#This Row],[Column1]])</f>
        <v/>
      </c>
      <c r="C283" s="29" t="str">
        <f>IF(ISNONTEXT(node_raw[[#This Row],[Column2]]), "", node_raw[[#This Row],[Column2]])</f>
        <v/>
      </c>
      <c r="D283" s="62" t="str">
        <f>IF(ISNUMBER(node_raw[[#This Row],[Column3]]), node_raw[[#This Row],[Column3]],"")</f>
        <v/>
      </c>
      <c r="E283" s="65" t="str">
        <f>IF(ISNUMBER(node_raw[[#This Row],[Column4]]), node_raw[[#This Row],[Column4]]/1048576,"")</f>
        <v/>
      </c>
      <c r="F283" s="91" t="str">
        <f>IF(ISNUMBER(node_raw[[#This Row],[Column5]]), node_raw[[#This Row],[Column5]],"")</f>
        <v/>
      </c>
      <c r="G283" s="80" t="str">
        <f t="shared" si="8"/>
        <v/>
      </c>
      <c r="H283" s="81" t="str">
        <f>IF(ISNUMBER(node_raw[[#This Row],[Column6]]), node_raw[[#This Row],[Column6]]/1048576,"")</f>
        <v/>
      </c>
      <c r="I283" s="82" t="str">
        <f t="shared" si="9"/>
        <v/>
      </c>
      <c r="J283" s="83" t="str">
        <f>IF(ISNONTEXT(node_raw[[#This Row],[Column7]]), "", node_raw[[#This Row],[Column7]]/100)</f>
        <v/>
      </c>
      <c r="K283" s="84" t="str">
        <f>IF(ISNONTEXT(node_raw[[#This Row],[Column8]]), "", node_raw[[#This Row],[Column8]]/100)</f>
        <v/>
      </c>
      <c r="L283" s="85" t="str">
        <f>IF(ISNONTEXT(node_raw[[#This Row],[Column9]]), "", node_raw[[#This Row],[Column9]]/1)</f>
        <v/>
      </c>
      <c r="M283" s="86" t="str">
        <f>IF(ISNONTEXT(node_raw[[#This Row],[Column10]]), "", node_raw[[#This Row],[Column10]]/1)</f>
        <v/>
      </c>
    </row>
    <row r="284" spans="2:13" ht="15.75" customHeight="1" x14ac:dyDescent="0.25">
      <c r="B284" s="32" t="str">
        <f>IF(ISNONTEXT(node_raw[[#This Row],[Column1]]), "", node_raw[[#This Row],[Column1]])</f>
        <v/>
      </c>
      <c r="C284" s="29" t="str">
        <f>IF(ISNONTEXT(node_raw[[#This Row],[Column2]]), "", node_raw[[#This Row],[Column2]])</f>
        <v/>
      </c>
      <c r="D284" s="62" t="str">
        <f>IF(ISNUMBER(node_raw[[#This Row],[Column3]]), node_raw[[#This Row],[Column3]],"")</f>
        <v/>
      </c>
      <c r="E284" s="65" t="str">
        <f>IF(ISNUMBER(node_raw[[#This Row],[Column4]]), node_raw[[#This Row],[Column4]]/1048576,"")</f>
        <v/>
      </c>
      <c r="F284" s="91" t="str">
        <f>IF(ISNUMBER(node_raw[[#This Row],[Column5]]), node_raw[[#This Row],[Column5]],"")</f>
        <v/>
      </c>
      <c r="G284" s="80" t="str">
        <f t="shared" si="8"/>
        <v/>
      </c>
      <c r="H284" s="81" t="str">
        <f>IF(ISNUMBER(node_raw[[#This Row],[Column6]]), node_raw[[#This Row],[Column6]]/1048576,"")</f>
        <v/>
      </c>
      <c r="I284" s="82" t="str">
        <f t="shared" si="9"/>
        <v/>
      </c>
      <c r="J284" s="83" t="str">
        <f>IF(ISNONTEXT(node_raw[[#This Row],[Column7]]), "", node_raw[[#This Row],[Column7]]/100)</f>
        <v/>
      </c>
      <c r="K284" s="84" t="str">
        <f>IF(ISNONTEXT(node_raw[[#This Row],[Column8]]), "", node_raw[[#This Row],[Column8]]/100)</f>
        <v/>
      </c>
      <c r="L284" s="85" t="str">
        <f>IF(ISNONTEXT(node_raw[[#This Row],[Column9]]), "", node_raw[[#This Row],[Column9]]/1)</f>
        <v/>
      </c>
      <c r="M284" s="86" t="str">
        <f>IF(ISNONTEXT(node_raw[[#This Row],[Column10]]), "", node_raw[[#This Row],[Column10]]/1)</f>
        <v/>
      </c>
    </row>
    <row r="285" spans="2:13" ht="15.75" customHeight="1" x14ac:dyDescent="0.25">
      <c r="B285" s="32" t="str">
        <f>IF(ISNONTEXT(node_raw[[#This Row],[Column1]]), "", node_raw[[#This Row],[Column1]])</f>
        <v/>
      </c>
      <c r="C285" s="29" t="str">
        <f>IF(ISNONTEXT(node_raw[[#This Row],[Column2]]), "", node_raw[[#This Row],[Column2]])</f>
        <v/>
      </c>
      <c r="D285" s="62" t="str">
        <f>IF(ISNUMBER(node_raw[[#This Row],[Column3]]), node_raw[[#This Row],[Column3]],"")</f>
        <v/>
      </c>
      <c r="E285" s="65" t="str">
        <f>IF(ISNUMBER(node_raw[[#This Row],[Column4]]), node_raw[[#This Row],[Column4]]/1048576,"")</f>
        <v/>
      </c>
      <c r="F285" s="91" t="str">
        <f>IF(ISNUMBER(node_raw[[#This Row],[Column5]]), node_raw[[#This Row],[Column5]],"")</f>
        <v/>
      </c>
      <c r="G285" s="80" t="str">
        <f t="shared" si="8"/>
        <v/>
      </c>
      <c r="H285" s="81" t="str">
        <f>IF(ISNUMBER(node_raw[[#This Row],[Column6]]), node_raw[[#This Row],[Column6]]/1048576,"")</f>
        <v/>
      </c>
      <c r="I285" s="82" t="str">
        <f t="shared" si="9"/>
        <v/>
      </c>
      <c r="J285" s="83" t="str">
        <f>IF(ISNONTEXT(node_raw[[#This Row],[Column7]]), "", node_raw[[#This Row],[Column7]]/100)</f>
        <v/>
      </c>
      <c r="K285" s="84" t="str">
        <f>IF(ISNONTEXT(node_raw[[#This Row],[Column8]]), "", node_raw[[#This Row],[Column8]]/100)</f>
        <v/>
      </c>
      <c r="L285" s="85" t="str">
        <f>IF(ISNONTEXT(node_raw[[#This Row],[Column9]]), "", node_raw[[#This Row],[Column9]]/1)</f>
        <v/>
      </c>
      <c r="M285" s="86" t="str">
        <f>IF(ISNONTEXT(node_raw[[#This Row],[Column10]]), "", node_raw[[#This Row],[Column10]]/1)</f>
        <v/>
      </c>
    </row>
    <row r="286" spans="2:13" ht="15.75" customHeight="1" x14ac:dyDescent="0.25">
      <c r="B286" s="32" t="str">
        <f>IF(ISNONTEXT(node_raw[[#This Row],[Column1]]), "", node_raw[[#This Row],[Column1]])</f>
        <v/>
      </c>
      <c r="C286" s="29" t="str">
        <f>IF(ISNONTEXT(node_raw[[#This Row],[Column2]]), "", node_raw[[#This Row],[Column2]])</f>
        <v/>
      </c>
      <c r="D286" s="62" t="str">
        <f>IF(ISNUMBER(node_raw[[#This Row],[Column3]]), node_raw[[#This Row],[Column3]],"")</f>
        <v/>
      </c>
      <c r="E286" s="65" t="str">
        <f>IF(ISNUMBER(node_raw[[#This Row],[Column4]]), node_raw[[#This Row],[Column4]]/1048576,"")</f>
        <v/>
      </c>
      <c r="F286" s="91" t="str">
        <f>IF(ISNUMBER(node_raw[[#This Row],[Column5]]), node_raw[[#This Row],[Column5]],"")</f>
        <v/>
      </c>
      <c r="G286" s="80" t="str">
        <f t="shared" si="8"/>
        <v/>
      </c>
      <c r="H286" s="81" t="str">
        <f>IF(ISNUMBER(node_raw[[#This Row],[Column6]]), node_raw[[#This Row],[Column6]]/1048576,"")</f>
        <v/>
      </c>
      <c r="I286" s="82" t="str">
        <f t="shared" si="9"/>
        <v/>
      </c>
      <c r="J286" s="83" t="str">
        <f>IF(ISNONTEXT(node_raw[[#This Row],[Column7]]), "", node_raw[[#This Row],[Column7]]/100)</f>
        <v/>
      </c>
      <c r="K286" s="84" t="str">
        <f>IF(ISNONTEXT(node_raw[[#This Row],[Column8]]), "", node_raw[[#This Row],[Column8]]/100)</f>
        <v/>
      </c>
      <c r="L286" s="85" t="str">
        <f>IF(ISNONTEXT(node_raw[[#This Row],[Column9]]), "", node_raw[[#This Row],[Column9]]/1)</f>
        <v/>
      </c>
      <c r="M286" s="86" t="str">
        <f>IF(ISNONTEXT(node_raw[[#This Row],[Column10]]), "", node_raw[[#This Row],[Column10]]/1)</f>
        <v/>
      </c>
    </row>
    <row r="287" spans="2:13" ht="15.75" customHeight="1" x14ac:dyDescent="0.25">
      <c r="B287" s="32" t="str">
        <f>IF(ISNONTEXT(node_raw[[#This Row],[Column1]]), "", node_raw[[#This Row],[Column1]])</f>
        <v/>
      </c>
      <c r="C287" s="29" t="str">
        <f>IF(ISNONTEXT(node_raw[[#This Row],[Column2]]), "", node_raw[[#This Row],[Column2]])</f>
        <v/>
      </c>
      <c r="D287" s="62" t="str">
        <f>IF(ISNUMBER(node_raw[[#This Row],[Column3]]), node_raw[[#This Row],[Column3]],"")</f>
        <v/>
      </c>
      <c r="E287" s="65" t="str">
        <f>IF(ISNUMBER(node_raw[[#This Row],[Column4]]), node_raw[[#This Row],[Column4]]/1048576,"")</f>
        <v/>
      </c>
      <c r="F287" s="91" t="str">
        <f>IF(ISNUMBER(node_raw[[#This Row],[Column5]]), node_raw[[#This Row],[Column5]],"")</f>
        <v/>
      </c>
      <c r="G287" s="80" t="str">
        <f t="shared" si="8"/>
        <v/>
      </c>
      <c r="H287" s="81" t="str">
        <f>IF(ISNUMBER(node_raw[[#This Row],[Column6]]), node_raw[[#This Row],[Column6]]/1048576,"")</f>
        <v/>
      </c>
      <c r="I287" s="82" t="str">
        <f t="shared" si="9"/>
        <v/>
      </c>
      <c r="J287" s="83" t="str">
        <f>IF(ISNONTEXT(node_raw[[#This Row],[Column7]]), "", node_raw[[#This Row],[Column7]]/100)</f>
        <v/>
      </c>
      <c r="K287" s="84" t="str">
        <f>IF(ISNONTEXT(node_raw[[#This Row],[Column8]]), "", node_raw[[#This Row],[Column8]]/100)</f>
        <v/>
      </c>
      <c r="L287" s="85" t="str">
        <f>IF(ISNONTEXT(node_raw[[#This Row],[Column9]]), "", node_raw[[#This Row],[Column9]]/1)</f>
        <v/>
      </c>
      <c r="M287" s="86" t="str">
        <f>IF(ISNONTEXT(node_raw[[#This Row],[Column10]]), "", node_raw[[#This Row],[Column10]]/1)</f>
        <v/>
      </c>
    </row>
    <row r="288" spans="2:13" ht="15.75" customHeight="1" x14ac:dyDescent="0.25">
      <c r="B288" s="32" t="str">
        <f>IF(ISNONTEXT(node_raw[[#This Row],[Column1]]), "", node_raw[[#This Row],[Column1]])</f>
        <v/>
      </c>
      <c r="C288" s="29" t="str">
        <f>IF(ISNONTEXT(node_raw[[#This Row],[Column2]]), "", node_raw[[#This Row],[Column2]])</f>
        <v/>
      </c>
      <c r="D288" s="62" t="str">
        <f>IF(ISNUMBER(node_raw[[#This Row],[Column3]]), node_raw[[#This Row],[Column3]],"")</f>
        <v/>
      </c>
      <c r="E288" s="65" t="str">
        <f>IF(ISNUMBER(node_raw[[#This Row],[Column4]]), node_raw[[#This Row],[Column4]]/1048576,"")</f>
        <v/>
      </c>
      <c r="F288" s="91" t="str">
        <f>IF(ISNUMBER(node_raw[[#This Row],[Column5]]), node_raw[[#This Row],[Column5]],"")</f>
        <v/>
      </c>
      <c r="G288" s="80" t="str">
        <f t="shared" si="8"/>
        <v/>
      </c>
      <c r="H288" s="81" t="str">
        <f>IF(ISNUMBER(node_raw[[#This Row],[Column6]]), node_raw[[#This Row],[Column6]]/1048576,"")</f>
        <v/>
      </c>
      <c r="I288" s="82" t="str">
        <f t="shared" si="9"/>
        <v/>
      </c>
      <c r="J288" s="83" t="str">
        <f>IF(ISNONTEXT(node_raw[[#This Row],[Column7]]), "", node_raw[[#This Row],[Column7]]/100)</f>
        <v/>
      </c>
      <c r="K288" s="84" t="str">
        <f>IF(ISNONTEXT(node_raw[[#This Row],[Column8]]), "", node_raw[[#This Row],[Column8]]/100)</f>
        <v/>
      </c>
      <c r="L288" s="85" t="str">
        <f>IF(ISNONTEXT(node_raw[[#This Row],[Column9]]), "", node_raw[[#This Row],[Column9]]/1)</f>
        <v/>
      </c>
      <c r="M288" s="86" t="str">
        <f>IF(ISNONTEXT(node_raw[[#This Row],[Column10]]), "", node_raw[[#This Row],[Column10]]/1)</f>
        <v/>
      </c>
    </row>
    <row r="289" spans="2:13" ht="15.75" customHeight="1" x14ac:dyDescent="0.25">
      <c r="B289" s="32" t="str">
        <f>IF(ISNONTEXT(node_raw[[#This Row],[Column1]]), "", node_raw[[#This Row],[Column1]])</f>
        <v/>
      </c>
      <c r="C289" s="29" t="str">
        <f>IF(ISNONTEXT(node_raw[[#This Row],[Column2]]), "", node_raw[[#This Row],[Column2]])</f>
        <v/>
      </c>
      <c r="D289" s="62" t="str">
        <f>IF(ISNUMBER(node_raw[[#This Row],[Column3]]), node_raw[[#This Row],[Column3]],"")</f>
        <v/>
      </c>
      <c r="E289" s="65" t="str">
        <f>IF(ISNUMBER(node_raw[[#This Row],[Column4]]), node_raw[[#This Row],[Column4]]/1048576,"")</f>
        <v/>
      </c>
      <c r="F289" s="91" t="str">
        <f>IF(ISNUMBER(node_raw[[#This Row],[Column5]]), node_raw[[#This Row],[Column5]],"")</f>
        <v/>
      </c>
      <c r="G289" s="80" t="str">
        <f t="shared" si="8"/>
        <v/>
      </c>
      <c r="H289" s="81" t="str">
        <f>IF(ISNUMBER(node_raw[[#This Row],[Column6]]), node_raw[[#This Row],[Column6]]/1048576,"")</f>
        <v/>
      </c>
      <c r="I289" s="82" t="str">
        <f t="shared" si="9"/>
        <v/>
      </c>
      <c r="J289" s="83" t="str">
        <f>IF(ISNONTEXT(node_raw[[#This Row],[Column7]]), "", node_raw[[#This Row],[Column7]]/100)</f>
        <v/>
      </c>
      <c r="K289" s="84" t="str">
        <f>IF(ISNONTEXT(node_raw[[#This Row],[Column8]]), "", node_raw[[#This Row],[Column8]]/100)</f>
        <v/>
      </c>
      <c r="L289" s="85" t="str">
        <f>IF(ISNONTEXT(node_raw[[#This Row],[Column9]]), "", node_raw[[#This Row],[Column9]]/1)</f>
        <v/>
      </c>
      <c r="M289" s="86" t="str">
        <f>IF(ISNONTEXT(node_raw[[#This Row],[Column10]]), "", node_raw[[#This Row],[Column10]]/1)</f>
        <v/>
      </c>
    </row>
    <row r="290" spans="2:13" ht="15.75" customHeight="1" x14ac:dyDescent="0.25">
      <c r="B290" s="32" t="str">
        <f>IF(ISNONTEXT(node_raw[[#This Row],[Column1]]), "", node_raw[[#This Row],[Column1]])</f>
        <v/>
      </c>
      <c r="C290" s="29" t="str">
        <f>IF(ISNONTEXT(node_raw[[#This Row],[Column2]]), "", node_raw[[#This Row],[Column2]])</f>
        <v/>
      </c>
      <c r="D290" s="62" t="str">
        <f>IF(ISNUMBER(node_raw[[#This Row],[Column3]]), node_raw[[#This Row],[Column3]],"")</f>
        <v/>
      </c>
      <c r="E290" s="65" t="str">
        <f>IF(ISNUMBER(node_raw[[#This Row],[Column4]]), node_raw[[#This Row],[Column4]]/1048576,"")</f>
        <v/>
      </c>
      <c r="F290" s="91" t="str">
        <f>IF(ISNUMBER(node_raw[[#This Row],[Column5]]), node_raw[[#This Row],[Column5]],"")</f>
        <v/>
      </c>
      <c r="G290" s="80" t="str">
        <f t="shared" si="8"/>
        <v/>
      </c>
      <c r="H290" s="81" t="str">
        <f>IF(ISNUMBER(node_raw[[#This Row],[Column6]]), node_raw[[#This Row],[Column6]]/1048576,"")</f>
        <v/>
      </c>
      <c r="I290" s="82" t="str">
        <f t="shared" si="9"/>
        <v/>
      </c>
      <c r="J290" s="83" t="str">
        <f>IF(ISNONTEXT(node_raw[[#This Row],[Column7]]), "", node_raw[[#This Row],[Column7]]/100)</f>
        <v/>
      </c>
      <c r="K290" s="84" t="str">
        <f>IF(ISNONTEXT(node_raw[[#This Row],[Column8]]), "", node_raw[[#This Row],[Column8]]/100)</f>
        <v/>
      </c>
      <c r="L290" s="85" t="str">
        <f>IF(ISNONTEXT(node_raw[[#This Row],[Column9]]), "", node_raw[[#This Row],[Column9]]/1)</f>
        <v/>
      </c>
      <c r="M290" s="86" t="str">
        <f>IF(ISNONTEXT(node_raw[[#This Row],[Column10]]), "", node_raw[[#This Row],[Column10]]/1)</f>
        <v/>
      </c>
    </row>
    <row r="291" spans="2:13" ht="15.75" customHeight="1" x14ac:dyDescent="0.25">
      <c r="B291" s="32" t="str">
        <f>IF(ISNONTEXT(node_raw[[#This Row],[Column1]]), "", node_raw[[#This Row],[Column1]])</f>
        <v/>
      </c>
      <c r="C291" s="29" t="str">
        <f>IF(ISNONTEXT(node_raw[[#This Row],[Column2]]), "", node_raw[[#This Row],[Column2]])</f>
        <v/>
      </c>
      <c r="D291" s="62" t="str">
        <f>IF(ISNUMBER(node_raw[[#This Row],[Column3]]), node_raw[[#This Row],[Column3]],"")</f>
        <v/>
      </c>
      <c r="E291" s="65" t="str">
        <f>IF(ISNUMBER(node_raw[[#This Row],[Column4]]), node_raw[[#This Row],[Column4]]/1048576,"")</f>
        <v/>
      </c>
      <c r="F291" s="91" t="str">
        <f>IF(ISNUMBER(node_raw[[#This Row],[Column5]]), node_raw[[#This Row],[Column5]],"")</f>
        <v/>
      </c>
      <c r="G291" s="80" t="str">
        <f t="shared" si="8"/>
        <v/>
      </c>
      <c r="H291" s="81" t="str">
        <f>IF(ISNUMBER(node_raw[[#This Row],[Column6]]), node_raw[[#This Row],[Column6]]/1048576,"")</f>
        <v/>
      </c>
      <c r="I291" s="82" t="str">
        <f t="shared" si="9"/>
        <v/>
      </c>
      <c r="J291" s="83" t="str">
        <f>IF(ISNONTEXT(node_raw[[#This Row],[Column7]]), "", node_raw[[#This Row],[Column7]]/100)</f>
        <v/>
      </c>
      <c r="K291" s="84" t="str">
        <f>IF(ISNONTEXT(node_raw[[#This Row],[Column8]]), "", node_raw[[#This Row],[Column8]]/100)</f>
        <v/>
      </c>
      <c r="L291" s="85" t="str">
        <f>IF(ISNONTEXT(node_raw[[#This Row],[Column9]]), "", node_raw[[#This Row],[Column9]]/1)</f>
        <v/>
      </c>
      <c r="M291" s="86" t="str">
        <f>IF(ISNONTEXT(node_raw[[#This Row],[Column10]]), "", node_raw[[#This Row],[Column10]]/1)</f>
        <v/>
      </c>
    </row>
    <row r="292" spans="2:13" ht="15.75" customHeight="1" x14ac:dyDescent="0.25">
      <c r="B292" s="32" t="str">
        <f>IF(ISNONTEXT(node_raw[[#This Row],[Column1]]), "", node_raw[[#This Row],[Column1]])</f>
        <v/>
      </c>
      <c r="C292" s="29" t="str">
        <f>IF(ISNONTEXT(node_raw[[#This Row],[Column2]]), "", node_raw[[#This Row],[Column2]])</f>
        <v/>
      </c>
      <c r="D292" s="62" t="str">
        <f>IF(ISNUMBER(node_raw[[#This Row],[Column3]]), node_raw[[#This Row],[Column3]],"")</f>
        <v/>
      </c>
      <c r="E292" s="65" t="str">
        <f>IF(ISNUMBER(node_raw[[#This Row],[Column4]]), node_raw[[#This Row],[Column4]]/1048576,"")</f>
        <v/>
      </c>
      <c r="F292" s="91" t="str">
        <f>IF(ISNUMBER(node_raw[[#This Row],[Column5]]), node_raw[[#This Row],[Column5]],"")</f>
        <v/>
      </c>
      <c r="G292" s="80" t="str">
        <f t="shared" si="8"/>
        <v/>
      </c>
      <c r="H292" s="81" t="str">
        <f>IF(ISNUMBER(node_raw[[#This Row],[Column6]]), node_raw[[#This Row],[Column6]]/1048576,"")</f>
        <v/>
      </c>
      <c r="I292" s="82" t="str">
        <f t="shared" si="9"/>
        <v/>
      </c>
      <c r="J292" s="83" t="str">
        <f>IF(ISNONTEXT(node_raw[[#This Row],[Column7]]), "", node_raw[[#This Row],[Column7]]/100)</f>
        <v/>
      </c>
      <c r="K292" s="84" t="str">
        <f>IF(ISNONTEXT(node_raw[[#This Row],[Column8]]), "", node_raw[[#This Row],[Column8]]/100)</f>
        <v/>
      </c>
      <c r="L292" s="85" t="str">
        <f>IF(ISNONTEXT(node_raw[[#This Row],[Column9]]), "", node_raw[[#This Row],[Column9]]/1)</f>
        <v/>
      </c>
      <c r="M292" s="86" t="str">
        <f>IF(ISNONTEXT(node_raw[[#This Row],[Column10]]), "", node_raw[[#This Row],[Column10]]/1)</f>
        <v/>
      </c>
    </row>
    <row r="293" spans="2:13" ht="15.75" customHeight="1" x14ac:dyDescent="0.25">
      <c r="B293" s="32" t="str">
        <f>IF(ISNONTEXT(node_raw[[#This Row],[Column1]]), "", node_raw[[#This Row],[Column1]])</f>
        <v/>
      </c>
      <c r="C293" s="29" t="str">
        <f>IF(ISNONTEXT(node_raw[[#This Row],[Column2]]), "", node_raw[[#This Row],[Column2]])</f>
        <v/>
      </c>
      <c r="D293" s="62" t="str">
        <f>IF(ISNUMBER(node_raw[[#This Row],[Column3]]), node_raw[[#This Row],[Column3]],"")</f>
        <v/>
      </c>
      <c r="E293" s="65" t="str">
        <f>IF(ISNUMBER(node_raw[[#This Row],[Column4]]), node_raw[[#This Row],[Column4]]/1048576,"")</f>
        <v/>
      </c>
      <c r="F293" s="91" t="str">
        <f>IF(ISNUMBER(node_raw[[#This Row],[Column5]]), node_raw[[#This Row],[Column5]],"")</f>
        <v/>
      </c>
      <c r="G293" s="80" t="str">
        <f t="shared" si="8"/>
        <v/>
      </c>
      <c r="H293" s="81" t="str">
        <f>IF(ISNUMBER(node_raw[[#This Row],[Column6]]), node_raw[[#This Row],[Column6]]/1048576,"")</f>
        <v/>
      </c>
      <c r="I293" s="82" t="str">
        <f t="shared" si="9"/>
        <v/>
      </c>
      <c r="J293" s="83" t="str">
        <f>IF(ISNONTEXT(node_raw[[#This Row],[Column7]]), "", node_raw[[#This Row],[Column7]]/100)</f>
        <v/>
      </c>
      <c r="K293" s="84" t="str">
        <f>IF(ISNONTEXT(node_raw[[#This Row],[Column8]]), "", node_raw[[#This Row],[Column8]]/100)</f>
        <v/>
      </c>
      <c r="L293" s="85" t="str">
        <f>IF(ISNONTEXT(node_raw[[#This Row],[Column9]]), "", node_raw[[#This Row],[Column9]]/1)</f>
        <v/>
      </c>
      <c r="M293" s="86" t="str">
        <f>IF(ISNONTEXT(node_raw[[#This Row],[Column10]]), "", node_raw[[#This Row],[Column10]]/1)</f>
        <v/>
      </c>
    </row>
    <row r="294" spans="2:13" ht="15.75" customHeight="1" x14ac:dyDescent="0.25">
      <c r="B294" s="32" t="str">
        <f>IF(ISNONTEXT(node_raw[[#This Row],[Column1]]), "", node_raw[[#This Row],[Column1]])</f>
        <v/>
      </c>
      <c r="C294" s="29" t="str">
        <f>IF(ISNONTEXT(node_raw[[#This Row],[Column2]]), "", node_raw[[#This Row],[Column2]])</f>
        <v/>
      </c>
      <c r="D294" s="62" t="str">
        <f>IF(ISNUMBER(node_raw[[#This Row],[Column3]]), node_raw[[#This Row],[Column3]],"")</f>
        <v/>
      </c>
      <c r="E294" s="65" t="str">
        <f>IF(ISNUMBER(node_raw[[#This Row],[Column4]]), node_raw[[#This Row],[Column4]]/1048576,"")</f>
        <v/>
      </c>
      <c r="F294" s="91" t="str">
        <f>IF(ISNUMBER(node_raw[[#This Row],[Column5]]), node_raw[[#This Row],[Column5]],"")</f>
        <v/>
      </c>
      <c r="G294" s="80" t="str">
        <f t="shared" si="8"/>
        <v/>
      </c>
      <c r="H294" s="81" t="str">
        <f>IF(ISNUMBER(node_raw[[#This Row],[Column6]]), node_raw[[#This Row],[Column6]]/1048576,"")</f>
        <v/>
      </c>
      <c r="I294" s="82" t="str">
        <f t="shared" si="9"/>
        <v/>
      </c>
      <c r="J294" s="83" t="str">
        <f>IF(ISNONTEXT(node_raw[[#This Row],[Column7]]), "", node_raw[[#This Row],[Column7]]/100)</f>
        <v/>
      </c>
      <c r="K294" s="84" t="str">
        <f>IF(ISNONTEXT(node_raw[[#This Row],[Column8]]), "", node_raw[[#This Row],[Column8]]/100)</f>
        <v/>
      </c>
      <c r="L294" s="85" t="str">
        <f>IF(ISNONTEXT(node_raw[[#This Row],[Column9]]), "", node_raw[[#This Row],[Column9]]/1)</f>
        <v/>
      </c>
      <c r="M294" s="86" t="str">
        <f>IF(ISNONTEXT(node_raw[[#This Row],[Column10]]), "", node_raw[[#This Row],[Column10]]/1)</f>
        <v/>
      </c>
    </row>
    <row r="295" spans="2:13" ht="15.75" customHeight="1" x14ac:dyDescent="0.25">
      <c r="B295" s="32" t="str">
        <f>IF(ISNONTEXT(node_raw[[#This Row],[Column1]]), "", node_raw[[#This Row],[Column1]])</f>
        <v/>
      </c>
      <c r="C295" s="29" t="str">
        <f>IF(ISNONTEXT(node_raw[[#This Row],[Column2]]), "", node_raw[[#This Row],[Column2]])</f>
        <v/>
      </c>
      <c r="D295" s="62" t="str">
        <f>IF(ISNUMBER(node_raw[[#This Row],[Column3]]), node_raw[[#This Row],[Column3]],"")</f>
        <v/>
      </c>
      <c r="E295" s="65" t="str">
        <f>IF(ISNUMBER(node_raw[[#This Row],[Column4]]), node_raw[[#This Row],[Column4]]/1048576,"")</f>
        <v/>
      </c>
      <c r="F295" s="91" t="str">
        <f>IF(ISNUMBER(node_raw[[#This Row],[Column5]]), node_raw[[#This Row],[Column5]],"")</f>
        <v/>
      </c>
      <c r="G295" s="80" t="str">
        <f t="shared" si="8"/>
        <v/>
      </c>
      <c r="H295" s="81" t="str">
        <f>IF(ISNUMBER(node_raw[[#This Row],[Column6]]), node_raw[[#This Row],[Column6]]/1048576,"")</f>
        <v/>
      </c>
      <c r="I295" s="82" t="str">
        <f t="shared" si="9"/>
        <v/>
      </c>
      <c r="J295" s="83" t="str">
        <f>IF(ISNONTEXT(node_raw[[#This Row],[Column7]]), "", node_raw[[#This Row],[Column7]]/100)</f>
        <v/>
      </c>
      <c r="K295" s="84" t="str">
        <f>IF(ISNONTEXT(node_raw[[#This Row],[Column8]]), "", node_raw[[#This Row],[Column8]]/100)</f>
        <v/>
      </c>
      <c r="L295" s="85" t="str">
        <f>IF(ISNONTEXT(node_raw[[#This Row],[Column9]]), "", node_raw[[#This Row],[Column9]]/1)</f>
        <v/>
      </c>
      <c r="M295" s="86" t="str">
        <f>IF(ISNONTEXT(node_raw[[#This Row],[Column10]]), "", node_raw[[#This Row],[Column10]]/1)</f>
        <v/>
      </c>
    </row>
    <row r="296" spans="2:13" ht="15.75" customHeight="1" x14ac:dyDescent="0.25">
      <c r="B296" s="32" t="str">
        <f>IF(ISNONTEXT(node_raw[[#This Row],[Column1]]), "", node_raw[[#This Row],[Column1]])</f>
        <v/>
      </c>
      <c r="C296" s="29" t="str">
        <f>IF(ISNONTEXT(node_raw[[#This Row],[Column2]]), "", node_raw[[#This Row],[Column2]])</f>
        <v/>
      </c>
      <c r="D296" s="62" t="str">
        <f>IF(ISNUMBER(node_raw[[#This Row],[Column3]]), node_raw[[#This Row],[Column3]],"")</f>
        <v/>
      </c>
      <c r="E296" s="65" t="str">
        <f>IF(ISNUMBER(node_raw[[#This Row],[Column4]]), node_raw[[#This Row],[Column4]]/1048576,"")</f>
        <v/>
      </c>
      <c r="F296" s="91" t="str">
        <f>IF(ISNUMBER(node_raw[[#This Row],[Column5]]), node_raw[[#This Row],[Column5]],"")</f>
        <v/>
      </c>
      <c r="G296" s="80" t="str">
        <f t="shared" si="8"/>
        <v/>
      </c>
      <c r="H296" s="81" t="str">
        <f>IF(ISNUMBER(node_raw[[#This Row],[Column6]]), node_raw[[#This Row],[Column6]]/1048576,"")</f>
        <v/>
      </c>
      <c r="I296" s="82" t="str">
        <f t="shared" si="9"/>
        <v/>
      </c>
      <c r="J296" s="83" t="str">
        <f>IF(ISNONTEXT(node_raw[[#This Row],[Column7]]), "", node_raw[[#This Row],[Column7]]/100)</f>
        <v/>
      </c>
      <c r="K296" s="84" t="str">
        <f>IF(ISNONTEXT(node_raw[[#This Row],[Column8]]), "", node_raw[[#This Row],[Column8]]/100)</f>
        <v/>
      </c>
      <c r="L296" s="85" t="str">
        <f>IF(ISNONTEXT(node_raw[[#This Row],[Column9]]), "", node_raw[[#This Row],[Column9]]/1)</f>
        <v/>
      </c>
      <c r="M296" s="86" t="str">
        <f>IF(ISNONTEXT(node_raw[[#This Row],[Column10]]), "", node_raw[[#This Row],[Column10]]/1)</f>
        <v/>
      </c>
    </row>
    <row r="297" spans="2:13" ht="15.75" customHeight="1" x14ac:dyDescent="0.25">
      <c r="B297" s="32" t="str">
        <f>IF(ISNONTEXT(node_raw[[#This Row],[Column1]]), "", node_raw[[#This Row],[Column1]])</f>
        <v/>
      </c>
      <c r="C297" s="29" t="str">
        <f>IF(ISNONTEXT(node_raw[[#This Row],[Column2]]), "", node_raw[[#This Row],[Column2]])</f>
        <v/>
      </c>
      <c r="D297" s="62" t="str">
        <f>IF(ISNUMBER(node_raw[[#This Row],[Column3]]), node_raw[[#This Row],[Column3]],"")</f>
        <v/>
      </c>
      <c r="E297" s="65" t="str">
        <f>IF(ISNUMBER(node_raw[[#This Row],[Column4]]), node_raw[[#This Row],[Column4]]/1048576,"")</f>
        <v/>
      </c>
      <c r="F297" s="91" t="str">
        <f>IF(ISNUMBER(node_raw[[#This Row],[Column5]]), node_raw[[#This Row],[Column5]],"")</f>
        <v/>
      </c>
      <c r="G297" s="80" t="str">
        <f t="shared" si="8"/>
        <v/>
      </c>
      <c r="H297" s="81" t="str">
        <f>IF(ISNUMBER(node_raw[[#This Row],[Column6]]), node_raw[[#This Row],[Column6]]/1048576,"")</f>
        <v/>
      </c>
      <c r="I297" s="82" t="str">
        <f t="shared" si="9"/>
        <v/>
      </c>
      <c r="J297" s="83" t="str">
        <f>IF(ISNONTEXT(node_raw[[#This Row],[Column7]]), "", node_raw[[#This Row],[Column7]]/100)</f>
        <v/>
      </c>
      <c r="K297" s="84" t="str">
        <f>IF(ISNONTEXT(node_raw[[#This Row],[Column8]]), "", node_raw[[#This Row],[Column8]]/100)</f>
        <v/>
      </c>
      <c r="L297" s="85" t="str">
        <f>IF(ISNONTEXT(node_raw[[#This Row],[Column9]]), "", node_raw[[#This Row],[Column9]]/1)</f>
        <v/>
      </c>
      <c r="M297" s="86" t="str">
        <f>IF(ISNONTEXT(node_raw[[#This Row],[Column10]]), "", node_raw[[#This Row],[Column10]]/1)</f>
        <v/>
      </c>
    </row>
    <row r="298" spans="2:13" ht="15.75" customHeight="1" x14ac:dyDescent="0.25">
      <c r="B298" s="32" t="str">
        <f>IF(ISNONTEXT(node_raw[[#This Row],[Column1]]), "", node_raw[[#This Row],[Column1]])</f>
        <v/>
      </c>
      <c r="C298" s="29" t="str">
        <f>IF(ISNONTEXT(node_raw[[#This Row],[Column2]]), "", node_raw[[#This Row],[Column2]])</f>
        <v/>
      </c>
      <c r="D298" s="62" t="str">
        <f>IF(ISNUMBER(node_raw[[#This Row],[Column3]]), node_raw[[#This Row],[Column3]],"")</f>
        <v/>
      </c>
      <c r="E298" s="65" t="str">
        <f>IF(ISNUMBER(node_raw[[#This Row],[Column4]]), node_raw[[#This Row],[Column4]]/1048576,"")</f>
        <v/>
      </c>
      <c r="F298" s="91" t="str">
        <f>IF(ISNUMBER(node_raw[[#This Row],[Column5]]), node_raw[[#This Row],[Column5]],"")</f>
        <v/>
      </c>
      <c r="G298" s="80" t="str">
        <f t="shared" si="8"/>
        <v/>
      </c>
      <c r="H298" s="81" t="str">
        <f>IF(ISNUMBER(node_raw[[#This Row],[Column6]]), node_raw[[#This Row],[Column6]]/1048576,"")</f>
        <v/>
      </c>
      <c r="I298" s="82" t="str">
        <f t="shared" si="9"/>
        <v/>
      </c>
      <c r="J298" s="83" t="str">
        <f>IF(ISNONTEXT(node_raw[[#This Row],[Column7]]), "", node_raw[[#This Row],[Column7]]/100)</f>
        <v/>
      </c>
      <c r="K298" s="84" t="str">
        <f>IF(ISNONTEXT(node_raw[[#This Row],[Column8]]), "", node_raw[[#This Row],[Column8]]/100)</f>
        <v/>
      </c>
      <c r="L298" s="85" t="str">
        <f>IF(ISNONTEXT(node_raw[[#This Row],[Column9]]), "", node_raw[[#This Row],[Column9]]/1)</f>
        <v/>
      </c>
      <c r="M298" s="86" t="str">
        <f>IF(ISNONTEXT(node_raw[[#This Row],[Column10]]), "", node_raw[[#This Row],[Column10]]/1)</f>
        <v/>
      </c>
    </row>
    <row r="299" spans="2:13" ht="15.75" customHeight="1" x14ac:dyDescent="0.25">
      <c r="B299" s="32" t="str">
        <f>IF(ISNONTEXT(node_raw[[#This Row],[Column1]]), "", node_raw[[#This Row],[Column1]])</f>
        <v/>
      </c>
      <c r="C299" s="29" t="str">
        <f>IF(ISNONTEXT(node_raw[[#This Row],[Column2]]), "", node_raw[[#This Row],[Column2]])</f>
        <v/>
      </c>
      <c r="D299" s="62" t="str">
        <f>IF(ISNUMBER(node_raw[[#This Row],[Column3]]), node_raw[[#This Row],[Column3]],"")</f>
        <v/>
      </c>
      <c r="E299" s="65" t="str">
        <f>IF(ISNUMBER(node_raw[[#This Row],[Column4]]), node_raw[[#This Row],[Column4]]/1048576,"")</f>
        <v/>
      </c>
      <c r="F299" s="91" t="str">
        <f>IF(ISNUMBER(node_raw[[#This Row],[Column5]]), node_raw[[#This Row],[Column5]],"")</f>
        <v/>
      </c>
      <c r="G299" s="80" t="str">
        <f t="shared" si="8"/>
        <v/>
      </c>
      <c r="H299" s="81" t="str">
        <f>IF(ISNUMBER(node_raw[[#This Row],[Column6]]), node_raw[[#This Row],[Column6]]/1048576,"")</f>
        <v/>
      </c>
      <c r="I299" s="82" t="str">
        <f t="shared" si="9"/>
        <v/>
      </c>
      <c r="J299" s="83" t="str">
        <f>IF(ISNONTEXT(node_raw[[#This Row],[Column7]]), "", node_raw[[#This Row],[Column7]]/100)</f>
        <v/>
      </c>
      <c r="K299" s="84" t="str">
        <f>IF(ISNONTEXT(node_raw[[#This Row],[Column8]]), "", node_raw[[#This Row],[Column8]]/100)</f>
        <v/>
      </c>
      <c r="L299" s="85" t="str">
        <f>IF(ISNONTEXT(node_raw[[#This Row],[Column9]]), "", node_raw[[#This Row],[Column9]]/1)</f>
        <v/>
      </c>
      <c r="M299" s="86" t="str">
        <f>IF(ISNONTEXT(node_raw[[#This Row],[Column10]]), "", node_raw[[#This Row],[Column10]]/1)</f>
        <v/>
      </c>
    </row>
    <row r="300" spans="2:13" ht="15.75" customHeight="1" x14ac:dyDescent="0.25">
      <c r="B300" s="32" t="str">
        <f>IF(ISNONTEXT(node_raw[[#This Row],[Column1]]), "", node_raw[[#This Row],[Column1]])</f>
        <v/>
      </c>
      <c r="C300" s="29" t="str">
        <f>IF(ISNONTEXT(node_raw[[#This Row],[Column2]]), "", node_raw[[#This Row],[Column2]])</f>
        <v/>
      </c>
      <c r="D300" s="62" t="str">
        <f>IF(ISNUMBER(node_raw[[#This Row],[Column3]]), node_raw[[#This Row],[Column3]],"")</f>
        <v/>
      </c>
      <c r="E300" s="65" t="str">
        <f>IF(ISNUMBER(node_raw[[#This Row],[Column4]]), node_raw[[#This Row],[Column4]]/1048576,"")</f>
        <v/>
      </c>
      <c r="F300" s="91" t="str">
        <f>IF(ISNUMBER(node_raw[[#This Row],[Column5]]), node_raw[[#This Row],[Column5]],"")</f>
        <v/>
      </c>
      <c r="G300" s="80" t="str">
        <f t="shared" si="8"/>
        <v/>
      </c>
      <c r="H300" s="81" t="str">
        <f>IF(ISNUMBER(node_raw[[#This Row],[Column6]]), node_raw[[#This Row],[Column6]]/1048576,"")</f>
        <v/>
      </c>
      <c r="I300" s="82" t="str">
        <f t="shared" si="9"/>
        <v/>
      </c>
      <c r="J300" s="83" t="str">
        <f>IF(ISNONTEXT(node_raw[[#This Row],[Column7]]), "", node_raw[[#This Row],[Column7]]/100)</f>
        <v/>
      </c>
      <c r="K300" s="84" t="str">
        <f>IF(ISNONTEXT(node_raw[[#This Row],[Column8]]), "", node_raw[[#This Row],[Column8]]/100)</f>
        <v/>
      </c>
      <c r="L300" s="85" t="str">
        <f>IF(ISNONTEXT(node_raw[[#This Row],[Column9]]), "", node_raw[[#This Row],[Column9]]/1)</f>
        <v/>
      </c>
      <c r="M300" s="86" t="str">
        <f>IF(ISNONTEXT(node_raw[[#This Row],[Column10]]), "", node_raw[[#This Row],[Column10]]/1)</f>
        <v/>
      </c>
    </row>
    <row r="301" spans="2:13" ht="15.75" customHeight="1" x14ac:dyDescent="0.25">
      <c r="B301" s="32" t="str">
        <f>IF(ISNONTEXT(node_raw[[#This Row],[Column1]]), "", node_raw[[#This Row],[Column1]])</f>
        <v/>
      </c>
      <c r="C301" s="29" t="str">
        <f>IF(ISNONTEXT(node_raw[[#This Row],[Column2]]), "", node_raw[[#This Row],[Column2]])</f>
        <v/>
      </c>
      <c r="D301" s="62" t="str">
        <f>IF(ISNUMBER(node_raw[[#This Row],[Column3]]), node_raw[[#This Row],[Column3]],"")</f>
        <v/>
      </c>
      <c r="E301" s="65" t="str">
        <f>IF(ISNUMBER(node_raw[[#This Row],[Column4]]), node_raw[[#This Row],[Column4]]/1048576,"")</f>
        <v/>
      </c>
      <c r="F301" s="91" t="str">
        <f>IF(ISNUMBER(node_raw[[#This Row],[Column5]]), node_raw[[#This Row],[Column5]],"")</f>
        <v/>
      </c>
      <c r="G301" s="80" t="str">
        <f t="shared" si="8"/>
        <v/>
      </c>
      <c r="H301" s="81" t="str">
        <f>IF(ISNUMBER(node_raw[[#This Row],[Column6]]), node_raw[[#This Row],[Column6]]/1048576,"")</f>
        <v/>
      </c>
      <c r="I301" s="82" t="str">
        <f t="shared" si="9"/>
        <v/>
      </c>
      <c r="J301" s="83" t="str">
        <f>IF(ISNONTEXT(node_raw[[#This Row],[Column7]]), "", node_raw[[#This Row],[Column7]]/100)</f>
        <v/>
      </c>
      <c r="K301" s="84" t="str">
        <f>IF(ISNONTEXT(node_raw[[#This Row],[Column8]]), "", node_raw[[#This Row],[Column8]]/100)</f>
        <v/>
      </c>
      <c r="L301" s="85" t="str">
        <f>IF(ISNONTEXT(node_raw[[#This Row],[Column9]]), "", node_raw[[#This Row],[Column9]]/1)</f>
        <v/>
      </c>
      <c r="M301" s="86" t="str">
        <f>IF(ISNONTEXT(node_raw[[#This Row],[Column10]]), "", node_raw[[#This Row],[Column10]]/1)</f>
        <v/>
      </c>
    </row>
    <row r="302" spans="2:13" ht="15.75" customHeight="1" x14ac:dyDescent="0.25">
      <c r="B302" s="32" t="str">
        <f>IF(ISNONTEXT(node_raw[[#This Row],[Column1]]), "", node_raw[[#This Row],[Column1]])</f>
        <v/>
      </c>
      <c r="C302" s="29" t="str">
        <f>IF(ISNONTEXT(node_raw[[#This Row],[Column2]]), "", node_raw[[#This Row],[Column2]])</f>
        <v/>
      </c>
      <c r="D302" s="62" t="str">
        <f>IF(ISNUMBER(node_raw[[#This Row],[Column3]]), node_raw[[#This Row],[Column3]],"")</f>
        <v/>
      </c>
      <c r="E302" s="65" t="str">
        <f>IF(ISNUMBER(node_raw[[#This Row],[Column4]]), node_raw[[#This Row],[Column4]]/1048576,"")</f>
        <v/>
      </c>
      <c r="F302" s="91" t="str">
        <f>IF(ISNUMBER(node_raw[[#This Row],[Column5]]), node_raw[[#This Row],[Column5]],"")</f>
        <v/>
      </c>
      <c r="G302" s="80" t="str">
        <f t="shared" si="8"/>
        <v/>
      </c>
      <c r="H302" s="81" t="str">
        <f>IF(ISNUMBER(node_raw[[#This Row],[Column6]]), node_raw[[#This Row],[Column6]]/1048576,"")</f>
        <v/>
      </c>
      <c r="I302" s="82" t="str">
        <f t="shared" si="9"/>
        <v/>
      </c>
      <c r="J302" s="83" t="str">
        <f>IF(ISNONTEXT(node_raw[[#This Row],[Column7]]), "", node_raw[[#This Row],[Column7]]/100)</f>
        <v/>
      </c>
      <c r="K302" s="84" t="str">
        <f>IF(ISNONTEXT(node_raw[[#This Row],[Column8]]), "", node_raw[[#This Row],[Column8]]/100)</f>
        <v/>
      </c>
      <c r="L302" s="85" t="str">
        <f>IF(ISNONTEXT(node_raw[[#This Row],[Column9]]), "", node_raw[[#This Row],[Column9]]/1)</f>
        <v/>
      </c>
      <c r="M302" s="86" t="str">
        <f>IF(ISNONTEXT(node_raw[[#This Row],[Column10]]), "", node_raw[[#This Row],[Column10]]/1)</f>
        <v/>
      </c>
    </row>
    <row r="303" spans="2:13" ht="15.75" customHeight="1" x14ac:dyDescent="0.25">
      <c r="B303" s="32" t="str">
        <f>IF(ISNONTEXT(node_raw[[#This Row],[Column1]]), "", node_raw[[#This Row],[Column1]])</f>
        <v/>
      </c>
      <c r="C303" s="29" t="str">
        <f>IF(ISNONTEXT(node_raw[[#This Row],[Column2]]), "", node_raw[[#This Row],[Column2]])</f>
        <v/>
      </c>
      <c r="D303" s="62" t="str">
        <f>IF(ISNUMBER(node_raw[[#This Row],[Column3]]), node_raw[[#This Row],[Column3]],"")</f>
        <v/>
      </c>
      <c r="E303" s="65" t="str">
        <f>IF(ISNUMBER(node_raw[[#This Row],[Column4]]), node_raw[[#This Row],[Column4]]/1048576,"")</f>
        <v/>
      </c>
      <c r="F303" s="91" t="str">
        <f>IF(ISNUMBER(node_raw[[#This Row],[Column5]]), node_raw[[#This Row],[Column5]],"")</f>
        <v/>
      </c>
      <c r="G303" s="80" t="str">
        <f t="shared" si="8"/>
        <v/>
      </c>
      <c r="H303" s="81" t="str">
        <f>IF(ISNUMBER(node_raw[[#This Row],[Column6]]), node_raw[[#This Row],[Column6]]/1048576,"")</f>
        <v/>
      </c>
      <c r="I303" s="82" t="str">
        <f t="shared" si="9"/>
        <v/>
      </c>
      <c r="J303" s="83" t="str">
        <f>IF(ISNONTEXT(node_raw[[#This Row],[Column7]]), "", node_raw[[#This Row],[Column7]]/100)</f>
        <v/>
      </c>
      <c r="K303" s="84" t="str">
        <f>IF(ISNONTEXT(node_raw[[#This Row],[Column8]]), "", node_raw[[#This Row],[Column8]]/100)</f>
        <v/>
      </c>
      <c r="L303" s="85" t="str">
        <f>IF(ISNONTEXT(node_raw[[#This Row],[Column9]]), "", node_raw[[#This Row],[Column9]]/1)</f>
        <v/>
      </c>
      <c r="M303" s="86" t="str">
        <f>IF(ISNONTEXT(node_raw[[#This Row],[Column10]]), "", node_raw[[#This Row],[Column10]]/1)</f>
        <v/>
      </c>
    </row>
    <row r="304" spans="2:13" ht="15.75" customHeight="1" x14ac:dyDescent="0.25">
      <c r="B304" s="32" t="str">
        <f>IF(ISNONTEXT(node_raw[[#This Row],[Column1]]), "", node_raw[[#This Row],[Column1]])</f>
        <v/>
      </c>
      <c r="C304" s="29" t="str">
        <f>IF(ISNONTEXT(node_raw[[#This Row],[Column2]]), "", node_raw[[#This Row],[Column2]])</f>
        <v/>
      </c>
      <c r="D304" s="62" t="str">
        <f>IF(ISNUMBER(node_raw[[#This Row],[Column3]]), node_raw[[#This Row],[Column3]],"")</f>
        <v/>
      </c>
      <c r="E304" s="65" t="str">
        <f>IF(ISNUMBER(node_raw[[#This Row],[Column4]]), node_raw[[#This Row],[Column4]]/1048576,"")</f>
        <v/>
      </c>
      <c r="F304" s="91" t="str">
        <f>IF(ISNUMBER(node_raw[[#This Row],[Column5]]), node_raw[[#This Row],[Column5]],"")</f>
        <v/>
      </c>
      <c r="G304" s="80" t="str">
        <f t="shared" si="8"/>
        <v/>
      </c>
      <c r="H304" s="81" t="str">
        <f>IF(ISNUMBER(node_raw[[#This Row],[Column6]]), node_raw[[#This Row],[Column6]]/1048576,"")</f>
        <v/>
      </c>
      <c r="I304" s="82" t="str">
        <f t="shared" si="9"/>
        <v/>
      </c>
      <c r="J304" s="83" t="str">
        <f>IF(ISNONTEXT(node_raw[[#This Row],[Column7]]), "", node_raw[[#This Row],[Column7]]/100)</f>
        <v/>
      </c>
      <c r="K304" s="84" t="str">
        <f>IF(ISNONTEXT(node_raw[[#This Row],[Column8]]), "", node_raw[[#This Row],[Column8]]/100)</f>
        <v/>
      </c>
      <c r="L304" s="85" t="str">
        <f>IF(ISNONTEXT(node_raw[[#This Row],[Column9]]), "", node_raw[[#This Row],[Column9]]/1)</f>
        <v/>
      </c>
      <c r="M304" s="86" t="str">
        <f>IF(ISNONTEXT(node_raw[[#This Row],[Column10]]), "", node_raw[[#This Row],[Column10]]/1)</f>
        <v/>
      </c>
    </row>
    <row r="305" spans="2:13" ht="15.75" customHeight="1" x14ac:dyDescent="0.25">
      <c r="B305" s="32" t="str">
        <f>IF(ISNONTEXT(node_raw[[#This Row],[Column1]]), "", node_raw[[#This Row],[Column1]])</f>
        <v/>
      </c>
      <c r="C305" s="29" t="str">
        <f>IF(ISNONTEXT(node_raw[[#This Row],[Column2]]), "", node_raw[[#This Row],[Column2]])</f>
        <v/>
      </c>
      <c r="D305" s="62" t="str">
        <f>IF(ISNUMBER(node_raw[[#This Row],[Column3]]), node_raw[[#This Row],[Column3]],"")</f>
        <v/>
      </c>
      <c r="E305" s="65" t="str">
        <f>IF(ISNUMBER(node_raw[[#This Row],[Column4]]), node_raw[[#This Row],[Column4]]/1048576,"")</f>
        <v/>
      </c>
      <c r="F305" s="91" t="str">
        <f>IF(ISNUMBER(node_raw[[#This Row],[Column5]]), node_raw[[#This Row],[Column5]],"")</f>
        <v/>
      </c>
      <c r="G305" s="80" t="str">
        <f t="shared" si="8"/>
        <v/>
      </c>
      <c r="H305" s="81" t="str">
        <f>IF(ISNUMBER(node_raw[[#This Row],[Column6]]), node_raw[[#This Row],[Column6]]/1048576,"")</f>
        <v/>
      </c>
      <c r="I305" s="82" t="str">
        <f t="shared" si="9"/>
        <v/>
      </c>
      <c r="J305" s="83" t="str">
        <f>IF(ISNONTEXT(node_raw[[#This Row],[Column7]]), "", node_raw[[#This Row],[Column7]]/100)</f>
        <v/>
      </c>
      <c r="K305" s="84" t="str">
        <f>IF(ISNONTEXT(node_raw[[#This Row],[Column8]]), "", node_raw[[#This Row],[Column8]]/100)</f>
        <v/>
      </c>
      <c r="L305" s="85" t="str">
        <f>IF(ISNONTEXT(node_raw[[#This Row],[Column9]]), "", node_raw[[#This Row],[Column9]]/1)</f>
        <v/>
      </c>
      <c r="M305" s="86" t="str">
        <f>IF(ISNONTEXT(node_raw[[#This Row],[Column10]]), "", node_raw[[#This Row],[Column10]]/1)</f>
        <v/>
      </c>
    </row>
    <row r="306" spans="2:13" ht="15.75" customHeight="1" x14ac:dyDescent="0.25">
      <c r="B306" s="32" t="str">
        <f>IF(ISNONTEXT(node_raw[[#This Row],[Column1]]), "", node_raw[[#This Row],[Column1]])</f>
        <v/>
      </c>
      <c r="C306" s="29" t="str">
        <f>IF(ISNONTEXT(node_raw[[#This Row],[Column2]]), "", node_raw[[#This Row],[Column2]])</f>
        <v/>
      </c>
      <c r="D306" s="62" t="str">
        <f>IF(ISNUMBER(node_raw[[#This Row],[Column3]]), node_raw[[#This Row],[Column3]],"")</f>
        <v/>
      </c>
      <c r="E306" s="65" t="str">
        <f>IF(ISNUMBER(node_raw[[#This Row],[Column4]]), node_raw[[#This Row],[Column4]]/1048576,"")</f>
        <v/>
      </c>
      <c r="F306" s="91" t="str">
        <f>IF(ISNUMBER(node_raw[[#This Row],[Column5]]), node_raw[[#This Row],[Column5]],"")</f>
        <v/>
      </c>
      <c r="G306" s="80" t="str">
        <f t="shared" si="8"/>
        <v/>
      </c>
      <c r="H306" s="81" t="str">
        <f>IF(ISNUMBER(node_raw[[#This Row],[Column6]]), node_raw[[#This Row],[Column6]]/1048576,"")</f>
        <v/>
      </c>
      <c r="I306" s="82" t="str">
        <f t="shared" si="9"/>
        <v/>
      </c>
      <c r="J306" s="83" t="str">
        <f>IF(ISNONTEXT(node_raw[[#This Row],[Column7]]), "", node_raw[[#This Row],[Column7]]/100)</f>
        <v/>
      </c>
      <c r="K306" s="84" t="str">
        <f>IF(ISNONTEXT(node_raw[[#This Row],[Column8]]), "", node_raw[[#This Row],[Column8]]/100)</f>
        <v/>
      </c>
      <c r="L306" s="85" t="str">
        <f>IF(ISNONTEXT(node_raw[[#This Row],[Column9]]), "", node_raw[[#This Row],[Column9]]/1)</f>
        <v/>
      </c>
      <c r="M306" s="86" t="str">
        <f>IF(ISNONTEXT(node_raw[[#This Row],[Column10]]), "", node_raw[[#This Row],[Column10]]/1)</f>
        <v/>
      </c>
    </row>
    <row r="307" spans="2:13" ht="15.75" customHeight="1" x14ac:dyDescent="0.25">
      <c r="B307" s="32" t="str">
        <f>IF(ISNONTEXT(node_raw[[#This Row],[Column1]]), "", node_raw[[#This Row],[Column1]])</f>
        <v/>
      </c>
      <c r="C307" s="29" t="str">
        <f>IF(ISNONTEXT(node_raw[[#This Row],[Column2]]), "", node_raw[[#This Row],[Column2]])</f>
        <v/>
      </c>
      <c r="D307" s="62" t="str">
        <f>IF(ISNUMBER(node_raw[[#This Row],[Column3]]), node_raw[[#This Row],[Column3]],"")</f>
        <v/>
      </c>
      <c r="E307" s="65" t="str">
        <f>IF(ISNUMBER(node_raw[[#This Row],[Column4]]), node_raw[[#This Row],[Column4]]/1048576,"")</f>
        <v/>
      </c>
      <c r="F307" s="91" t="str">
        <f>IF(ISNUMBER(node_raw[[#This Row],[Column5]]), node_raw[[#This Row],[Column5]],"")</f>
        <v/>
      </c>
      <c r="G307" s="80" t="str">
        <f t="shared" si="8"/>
        <v/>
      </c>
      <c r="H307" s="81" t="str">
        <f>IF(ISNUMBER(node_raw[[#This Row],[Column6]]), node_raw[[#This Row],[Column6]]/1048576,"")</f>
        <v/>
      </c>
      <c r="I307" s="82" t="str">
        <f t="shared" si="9"/>
        <v/>
      </c>
      <c r="J307" s="83" t="str">
        <f>IF(ISNONTEXT(node_raw[[#This Row],[Column7]]), "", node_raw[[#This Row],[Column7]]/100)</f>
        <v/>
      </c>
      <c r="K307" s="84" t="str">
        <f>IF(ISNONTEXT(node_raw[[#This Row],[Column8]]), "", node_raw[[#This Row],[Column8]]/100)</f>
        <v/>
      </c>
      <c r="L307" s="85" t="str">
        <f>IF(ISNONTEXT(node_raw[[#This Row],[Column9]]), "", node_raw[[#This Row],[Column9]]/1)</f>
        <v/>
      </c>
      <c r="M307" s="86" t="str">
        <f>IF(ISNONTEXT(node_raw[[#This Row],[Column10]]), "", node_raw[[#This Row],[Column10]]/1)</f>
        <v/>
      </c>
    </row>
    <row r="308" spans="2:13" ht="15.75" customHeight="1" x14ac:dyDescent="0.25">
      <c r="B308" s="32" t="str">
        <f>IF(ISNONTEXT(node_raw[[#This Row],[Column1]]), "", node_raw[[#This Row],[Column1]])</f>
        <v/>
      </c>
      <c r="C308" s="29" t="str">
        <f>IF(ISNONTEXT(node_raw[[#This Row],[Column2]]), "", node_raw[[#This Row],[Column2]])</f>
        <v/>
      </c>
      <c r="D308" s="62" t="str">
        <f>IF(ISNUMBER(node_raw[[#This Row],[Column3]]), node_raw[[#This Row],[Column3]],"")</f>
        <v/>
      </c>
      <c r="E308" s="65" t="str">
        <f>IF(ISNUMBER(node_raw[[#This Row],[Column4]]), node_raw[[#This Row],[Column4]]/1048576,"")</f>
        <v/>
      </c>
      <c r="F308" s="91" t="str">
        <f>IF(ISNUMBER(node_raw[[#This Row],[Column5]]), node_raw[[#This Row],[Column5]],"")</f>
        <v/>
      </c>
      <c r="G308" s="80" t="str">
        <f t="shared" si="8"/>
        <v/>
      </c>
      <c r="H308" s="81" t="str">
        <f>IF(ISNUMBER(node_raw[[#This Row],[Column6]]), node_raw[[#This Row],[Column6]]/1048576,"")</f>
        <v/>
      </c>
      <c r="I308" s="82" t="str">
        <f t="shared" si="9"/>
        <v/>
      </c>
      <c r="J308" s="83" t="str">
        <f>IF(ISNONTEXT(node_raw[[#This Row],[Column7]]), "", node_raw[[#This Row],[Column7]]/100)</f>
        <v/>
      </c>
      <c r="K308" s="84" t="str">
        <f>IF(ISNONTEXT(node_raw[[#This Row],[Column8]]), "", node_raw[[#This Row],[Column8]]/100)</f>
        <v/>
      </c>
      <c r="L308" s="85" t="str">
        <f>IF(ISNONTEXT(node_raw[[#This Row],[Column9]]), "", node_raw[[#This Row],[Column9]]/1)</f>
        <v/>
      </c>
      <c r="M308" s="86" t="str">
        <f>IF(ISNONTEXT(node_raw[[#This Row],[Column10]]), "", node_raw[[#This Row],[Column10]]/1)</f>
        <v/>
      </c>
    </row>
    <row r="309" spans="2:13" ht="15.75" customHeight="1" x14ac:dyDescent="0.25">
      <c r="B309" s="32" t="str">
        <f>IF(ISNONTEXT(node_raw[[#This Row],[Column1]]), "", node_raw[[#This Row],[Column1]])</f>
        <v/>
      </c>
      <c r="C309" s="29" t="str">
        <f>IF(ISNONTEXT(node_raw[[#This Row],[Column2]]), "", node_raw[[#This Row],[Column2]])</f>
        <v/>
      </c>
      <c r="D309" s="62" t="str">
        <f>IF(ISNUMBER(node_raw[[#This Row],[Column3]]), node_raw[[#This Row],[Column3]],"")</f>
        <v/>
      </c>
      <c r="E309" s="65" t="str">
        <f>IF(ISNUMBER(node_raw[[#This Row],[Column4]]), node_raw[[#This Row],[Column4]]/1048576,"")</f>
        <v/>
      </c>
      <c r="F309" s="91" t="str">
        <f>IF(ISNUMBER(node_raw[[#This Row],[Column5]]), node_raw[[#This Row],[Column5]],"")</f>
        <v/>
      </c>
      <c r="G309" s="80" t="str">
        <f t="shared" si="8"/>
        <v/>
      </c>
      <c r="H309" s="81" t="str">
        <f>IF(ISNUMBER(node_raw[[#This Row],[Column6]]), node_raw[[#This Row],[Column6]]/1048576,"")</f>
        <v/>
      </c>
      <c r="I309" s="82" t="str">
        <f t="shared" si="9"/>
        <v/>
      </c>
      <c r="J309" s="83" t="str">
        <f>IF(ISNONTEXT(node_raw[[#This Row],[Column7]]), "", node_raw[[#This Row],[Column7]]/100)</f>
        <v/>
      </c>
      <c r="K309" s="84" t="str">
        <f>IF(ISNONTEXT(node_raw[[#This Row],[Column8]]), "", node_raw[[#This Row],[Column8]]/100)</f>
        <v/>
      </c>
      <c r="L309" s="85" t="str">
        <f>IF(ISNONTEXT(node_raw[[#This Row],[Column9]]), "", node_raw[[#This Row],[Column9]]/1)</f>
        <v/>
      </c>
      <c r="M309" s="86" t="str">
        <f>IF(ISNONTEXT(node_raw[[#This Row],[Column10]]), "", node_raw[[#This Row],[Column10]]/1)</f>
        <v/>
      </c>
    </row>
    <row r="310" spans="2:13" ht="15.75" customHeight="1" x14ac:dyDescent="0.25">
      <c r="B310" s="32" t="str">
        <f>IF(ISNONTEXT(node_raw[[#This Row],[Column1]]), "", node_raw[[#This Row],[Column1]])</f>
        <v/>
      </c>
      <c r="C310" s="29" t="str">
        <f>IF(ISNONTEXT(node_raw[[#This Row],[Column2]]), "", node_raw[[#This Row],[Column2]])</f>
        <v/>
      </c>
      <c r="D310" s="62" t="str">
        <f>IF(ISNUMBER(node_raw[[#This Row],[Column3]]), node_raw[[#This Row],[Column3]],"")</f>
        <v/>
      </c>
      <c r="E310" s="65" t="str">
        <f>IF(ISNUMBER(node_raw[[#This Row],[Column4]]), node_raw[[#This Row],[Column4]]/1048576,"")</f>
        <v/>
      </c>
      <c r="F310" s="91" t="str">
        <f>IF(ISNUMBER(node_raw[[#This Row],[Column5]]), node_raw[[#This Row],[Column5]],"")</f>
        <v/>
      </c>
      <c r="G310" s="80" t="str">
        <f t="shared" si="8"/>
        <v/>
      </c>
      <c r="H310" s="81" t="str">
        <f>IF(ISNUMBER(node_raw[[#This Row],[Column6]]), node_raw[[#This Row],[Column6]]/1048576,"")</f>
        <v/>
      </c>
      <c r="I310" s="82" t="str">
        <f t="shared" si="9"/>
        <v/>
      </c>
      <c r="J310" s="83" t="str">
        <f>IF(ISNONTEXT(node_raw[[#This Row],[Column7]]), "", node_raw[[#This Row],[Column7]]/100)</f>
        <v/>
      </c>
      <c r="K310" s="84" t="str">
        <f>IF(ISNONTEXT(node_raw[[#This Row],[Column8]]), "", node_raw[[#This Row],[Column8]]/100)</f>
        <v/>
      </c>
      <c r="L310" s="85" t="str">
        <f>IF(ISNONTEXT(node_raw[[#This Row],[Column9]]), "", node_raw[[#This Row],[Column9]]/1)</f>
        <v/>
      </c>
      <c r="M310" s="86" t="str">
        <f>IF(ISNONTEXT(node_raw[[#This Row],[Column10]]), "", node_raw[[#This Row],[Column10]]/1)</f>
        <v/>
      </c>
    </row>
    <row r="311" spans="2:13" ht="15.75" customHeight="1" x14ac:dyDescent="0.25">
      <c r="B311" s="32" t="str">
        <f>IF(ISNONTEXT(node_raw[[#This Row],[Column1]]), "", node_raw[[#This Row],[Column1]])</f>
        <v/>
      </c>
      <c r="C311" s="29" t="str">
        <f>IF(ISNONTEXT(node_raw[[#This Row],[Column2]]), "", node_raw[[#This Row],[Column2]])</f>
        <v/>
      </c>
      <c r="D311" s="62" t="str">
        <f>IF(ISNUMBER(node_raw[[#This Row],[Column3]]), node_raw[[#This Row],[Column3]],"")</f>
        <v/>
      </c>
      <c r="E311" s="65" t="str">
        <f>IF(ISNUMBER(node_raw[[#This Row],[Column4]]), node_raw[[#This Row],[Column4]]/1048576,"")</f>
        <v/>
      </c>
      <c r="F311" s="91" t="str">
        <f>IF(ISNUMBER(node_raw[[#This Row],[Column5]]), node_raw[[#This Row],[Column5]],"")</f>
        <v/>
      </c>
      <c r="G311" s="80" t="str">
        <f t="shared" si="8"/>
        <v/>
      </c>
      <c r="H311" s="81" t="str">
        <f>IF(ISNUMBER(node_raw[[#This Row],[Column6]]), node_raw[[#This Row],[Column6]]/1048576,"")</f>
        <v/>
      </c>
      <c r="I311" s="82" t="str">
        <f t="shared" si="9"/>
        <v/>
      </c>
      <c r="J311" s="83" t="str">
        <f>IF(ISNONTEXT(node_raw[[#This Row],[Column7]]), "", node_raw[[#This Row],[Column7]]/100)</f>
        <v/>
      </c>
      <c r="K311" s="84" t="str">
        <f>IF(ISNONTEXT(node_raw[[#This Row],[Column8]]), "", node_raw[[#This Row],[Column8]]/100)</f>
        <v/>
      </c>
      <c r="L311" s="85" t="str">
        <f>IF(ISNONTEXT(node_raw[[#This Row],[Column9]]), "", node_raw[[#This Row],[Column9]]/1)</f>
        <v/>
      </c>
      <c r="M311" s="86" t="str">
        <f>IF(ISNONTEXT(node_raw[[#This Row],[Column10]]), "", node_raw[[#This Row],[Column10]]/1)</f>
        <v/>
      </c>
    </row>
    <row r="312" spans="2:13" ht="15.75" customHeight="1" x14ac:dyDescent="0.25">
      <c r="B312" s="32" t="str">
        <f>IF(ISNONTEXT(node_raw[[#This Row],[Column1]]), "", node_raw[[#This Row],[Column1]])</f>
        <v/>
      </c>
      <c r="C312" s="29" t="str">
        <f>IF(ISNONTEXT(node_raw[[#This Row],[Column2]]), "", node_raw[[#This Row],[Column2]])</f>
        <v/>
      </c>
      <c r="D312" s="62" t="str">
        <f>IF(ISNUMBER(node_raw[[#This Row],[Column3]]), node_raw[[#This Row],[Column3]],"")</f>
        <v/>
      </c>
      <c r="E312" s="65" t="str">
        <f>IF(ISNUMBER(node_raw[[#This Row],[Column4]]), node_raw[[#This Row],[Column4]]/1048576,"")</f>
        <v/>
      </c>
      <c r="F312" s="91" t="str">
        <f>IF(ISNUMBER(node_raw[[#This Row],[Column5]]), node_raw[[#This Row],[Column5]],"")</f>
        <v/>
      </c>
      <c r="G312" s="80" t="str">
        <f t="shared" si="8"/>
        <v/>
      </c>
      <c r="H312" s="81" t="str">
        <f>IF(ISNUMBER(node_raw[[#This Row],[Column6]]), node_raw[[#This Row],[Column6]]/1048576,"")</f>
        <v/>
      </c>
      <c r="I312" s="82" t="str">
        <f t="shared" si="9"/>
        <v/>
      </c>
      <c r="J312" s="83" t="str">
        <f>IF(ISNONTEXT(node_raw[[#This Row],[Column7]]), "", node_raw[[#This Row],[Column7]]/100)</f>
        <v/>
      </c>
      <c r="K312" s="84" t="str">
        <f>IF(ISNONTEXT(node_raw[[#This Row],[Column8]]), "", node_raw[[#This Row],[Column8]]/100)</f>
        <v/>
      </c>
      <c r="L312" s="85" t="str">
        <f>IF(ISNONTEXT(node_raw[[#This Row],[Column9]]), "", node_raw[[#This Row],[Column9]]/1)</f>
        <v/>
      </c>
      <c r="M312" s="86" t="str">
        <f>IF(ISNONTEXT(node_raw[[#This Row],[Column10]]), "", node_raw[[#This Row],[Column10]]/1)</f>
        <v/>
      </c>
    </row>
    <row r="313" spans="2:13" ht="15.75" customHeight="1" x14ac:dyDescent="0.25">
      <c r="B313" s="32" t="str">
        <f>IF(ISNONTEXT(node_raw[[#This Row],[Column1]]), "", node_raw[[#This Row],[Column1]])</f>
        <v/>
      </c>
      <c r="C313" s="29" t="str">
        <f>IF(ISNONTEXT(node_raw[[#This Row],[Column2]]), "", node_raw[[#This Row],[Column2]])</f>
        <v/>
      </c>
      <c r="D313" s="62" t="str">
        <f>IF(ISNUMBER(node_raw[[#This Row],[Column3]]), node_raw[[#This Row],[Column3]],"")</f>
        <v/>
      </c>
      <c r="E313" s="65" t="str">
        <f>IF(ISNUMBER(node_raw[[#This Row],[Column4]]), node_raw[[#This Row],[Column4]]/1048576,"")</f>
        <v/>
      </c>
      <c r="F313" s="91" t="str">
        <f>IF(ISNUMBER(node_raw[[#This Row],[Column5]]), node_raw[[#This Row],[Column5]],"")</f>
        <v/>
      </c>
      <c r="G313" s="80" t="str">
        <f t="shared" si="8"/>
        <v/>
      </c>
      <c r="H313" s="81" t="str">
        <f>IF(ISNUMBER(node_raw[[#This Row],[Column6]]), node_raw[[#This Row],[Column6]]/1048576,"")</f>
        <v/>
      </c>
      <c r="I313" s="82" t="str">
        <f t="shared" si="9"/>
        <v/>
      </c>
      <c r="J313" s="83" t="str">
        <f>IF(ISNONTEXT(node_raw[[#This Row],[Column7]]), "", node_raw[[#This Row],[Column7]]/100)</f>
        <v/>
      </c>
      <c r="K313" s="84" t="str">
        <f>IF(ISNONTEXT(node_raw[[#This Row],[Column8]]), "", node_raw[[#This Row],[Column8]]/100)</f>
        <v/>
      </c>
      <c r="L313" s="85" t="str">
        <f>IF(ISNONTEXT(node_raw[[#This Row],[Column9]]), "", node_raw[[#This Row],[Column9]]/1)</f>
        <v/>
      </c>
      <c r="M313" s="86" t="str">
        <f>IF(ISNONTEXT(node_raw[[#This Row],[Column10]]), "", node_raw[[#This Row],[Column10]]/1)</f>
        <v/>
      </c>
    </row>
    <row r="314" spans="2:13" ht="15.75" customHeight="1" x14ac:dyDescent="0.25">
      <c r="B314" s="32" t="str">
        <f>IF(ISNONTEXT(node_raw[[#This Row],[Column1]]), "", node_raw[[#This Row],[Column1]])</f>
        <v/>
      </c>
      <c r="C314" s="29" t="str">
        <f>IF(ISNONTEXT(node_raw[[#This Row],[Column2]]), "", node_raw[[#This Row],[Column2]])</f>
        <v/>
      </c>
      <c r="D314" s="62" t="str">
        <f>IF(ISNUMBER(node_raw[[#This Row],[Column3]]), node_raw[[#This Row],[Column3]],"")</f>
        <v/>
      </c>
      <c r="E314" s="65" t="str">
        <f>IF(ISNUMBER(node_raw[[#This Row],[Column4]]), node_raw[[#This Row],[Column4]]/1048576,"")</f>
        <v/>
      </c>
      <c r="F314" s="91" t="str">
        <f>IF(ISNUMBER(node_raw[[#This Row],[Column5]]), node_raw[[#This Row],[Column5]],"")</f>
        <v/>
      </c>
      <c r="G314" s="80" t="str">
        <f t="shared" si="8"/>
        <v/>
      </c>
      <c r="H314" s="81" t="str">
        <f>IF(ISNUMBER(node_raw[[#This Row],[Column6]]), node_raw[[#This Row],[Column6]]/1048576,"")</f>
        <v/>
      </c>
      <c r="I314" s="82" t="str">
        <f t="shared" si="9"/>
        <v/>
      </c>
      <c r="J314" s="83" t="str">
        <f>IF(ISNONTEXT(node_raw[[#This Row],[Column7]]), "", node_raw[[#This Row],[Column7]]/100)</f>
        <v/>
      </c>
      <c r="K314" s="84" t="str">
        <f>IF(ISNONTEXT(node_raw[[#This Row],[Column8]]), "", node_raw[[#This Row],[Column8]]/100)</f>
        <v/>
      </c>
      <c r="L314" s="85" t="str">
        <f>IF(ISNONTEXT(node_raw[[#This Row],[Column9]]), "", node_raw[[#This Row],[Column9]]/1)</f>
        <v/>
      </c>
      <c r="M314" s="86" t="str">
        <f>IF(ISNONTEXT(node_raw[[#This Row],[Column10]]), "", node_raw[[#This Row],[Column10]]/1)</f>
        <v/>
      </c>
    </row>
    <row r="315" spans="2:13" ht="15.75" customHeight="1" x14ac:dyDescent="0.25">
      <c r="B315" s="32" t="str">
        <f>IF(ISNONTEXT(node_raw[[#This Row],[Column1]]), "", node_raw[[#This Row],[Column1]])</f>
        <v/>
      </c>
      <c r="C315" s="29" t="str">
        <f>IF(ISNONTEXT(node_raw[[#This Row],[Column2]]), "", node_raw[[#This Row],[Column2]])</f>
        <v/>
      </c>
      <c r="D315" s="62" t="str">
        <f>IF(ISNUMBER(node_raw[[#This Row],[Column3]]), node_raw[[#This Row],[Column3]],"")</f>
        <v/>
      </c>
      <c r="E315" s="65" t="str">
        <f>IF(ISNUMBER(node_raw[[#This Row],[Column4]]), node_raw[[#This Row],[Column4]]/1048576,"")</f>
        <v/>
      </c>
      <c r="F315" s="91" t="str">
        <f>IF(ISNUMBER(node_raw[[#This Row],[Column5]]), node_raw[[#This Row],[Column5]],"")</f>
        <v/>
      </c>
      <c r="G315" s="80" t="str">
        <f t="shared" si="8"/>
        <v/>
      </c>
      <c r="H315" s="81" t="str">
        <f>IF(ISNUMBER(node_raw[[#This Row],[Column6]]), node_raw[[#This Row],[Column6]]/1048576,"")</f>
        <v/>
      </c>
      <c r="I315" s="82" t="str">
        <f t="shared" si="9"/>
        <v/>
      </c>
      <c r="J315" s="83" t="str">
        <f>IF(ISNONTEXT(node_raw[[#This Row],[Column7]]), "", node_raw[[#This Row],[Column7]]/100)</f>
        <v/>
      </c>
      <c r="K315" s="84" t="str">
        <f>IF(ISNONTEXT(node_raw[[#This Row],[Column8]]), "", node_raw[[#This Row],[Column8]]/100)</f>
        <v/>
      </c>
      <c r="L315" s="85" t="str">
        <f>IF(ISNONTEXT(node_raw[[#This Row],[Column9]]), "", node_raw[[#This Row],[Column9]]/1)</f>
        <v/>
      </c>
      <c r="M315" s="86" t="str">
        <f>IF(ISNONTEXT(node_raw[[#This Row],[Column10]]), "", node_raw[[#This Row],[Column10]]/1)</f>
        <v/>
      </c>
    </row>
    <row r="316" spans="2:13" ht="15.75" customHeight="1" x14ac:dyDescent="0.25">
      <c r="B316" s="32" t="str">
        <f>IF(ISNONTEXT(node_raw[[#This Row],[Column1]]), "", node_raw[[#This Row],[Column1]])</f>
        <v/>
      </c>
      <c r="C316" s="29" t="str">
        <f>IF(ISNONTEXT(node_raw[[#This Row],[Column2]]), "", node_raw[[#This Row],[Column2]])</f>
        <v/>
      </c>
      <c r="D316" s="62" t="str">
        <f>IF(ISNUMBER(node_raw[[#This Row],[Column3]]), node_raw[[#This Row],[Column3]],"")</f>
        <v/>
      </c>
      <c r="E316" s="65" t="str">
        <f>IF(ISNUMBER(node_raw[[#This Row],[Column4]]), node_raw[[#This Row],[Column4]]/1048576,"")</f>
        <v/>
      </c>
      <c r="F316" s="91" t="str">
        <f>IF(ISNUMBER(node_raw[[#This Row],[Column5]]), node_raw[[#This Row],[Column5]],"")</f>
        <v/>
      </c>
      <c r="G316" s="80" t="str">
        <f t="shared" si="8"/>
        <v/>
      </c>
      <c r="H316" s="81" t="str">
        <f>IF(ISNUMBER(node_raw[[#This Row],[Column6]]), node_raw[[#This Row],[Column6]]/1048576,"")</f>
        <v/>
      </c>
      <c r="I316" s="82" t="str">
        <f t="shared" si="9"/>
        <v/>
      </c>
      <c r="J316" s="83" t="str">
        <f>IF(ISNONTEXT(node_raw[[#This Row],[Column7]]), "", node_raw[[#This Row],[Column7]]/100)</f>
        <v/>
      </c>
      <c r="K316" s="84" t="str">
        <f>IF(ISNONTEXT(node_raw[[#This Row],[Column8]]), "", node_raw[[#This Row],[Column8]]/100)</f>
        <v/>
      </c>
      <c r="L316" s="85" t="str">
        <f>IF(ISNONTEXT(node_raw[[#This Row],[Column9]]), "", node_raw[[#This Row],[Column9]]/1)</f>
        <v/>
      </c>
      <c r="M316" s="86" t="str">
        <f>IF(ISNONTEXT(node_raw[[#This Row],[Column10]]), "", node_raw[[#This Row],[Column10]]/1)</f>
        <v/>
      </c>
    </row>
    <row r="317" spans="2:13" ht="15.75" customHeight="1" x14ac:dyDescent="0.25">
      <c r="B317" s="32" t="str">
        <f>IF(ISNONTEXT(node_raw[[#This Row],[Column1]]), "", node_raw[[#This Row],[Column1]])</f>
        <v/>
      </c>
      <c r="C317" s="29" t="str">
        <f>IF(ISNONTEXT(node_raw[[#This Row],[Column2]]), "", node_raw[[#This Row],[Column2]])</f>
        <v/>
      </c>
      <c r="D317" s="62" t="str">
        <f>IF(ISNUMBER(node_raw[[#This Row],[Column3]]), node_raw[[#This Row],[Column3]],"")</f>
        <v/>
      </c>
      <c r="E317" s="65" t="str">
        <f>IF(ISNUMBER(node_raw[[#This Row],[Column4]]), node_raw[[#This Row],[Column4]]/1048576,"")</f>
        <v/>
      </c>
      <c r="F317" s="91" t="str">
        <f>IF(ISNUMBER(node_raw[[#This Row],[Column5]]), node_raw[[#This Row],[Column5]],"")</f>
        <v/>
      </c>
      <c r="G317" s="80" t="str">
        <f t="shared" si="8"/>
        <v/>
      </c>
      <c r="H317" s="81" t="str">
        <f>IF(ISNUMBER(node_raw[[#This Row],[Column6]]), node_raw[[#This Row],[Column6]]/1048576,"")</f>
        <v/>
      </c>
      <c r="I317" s="82" t="str">
        <f t="shared" si="9"/>
        <v/>
      </c>
      <c r="J317" s="83" t="str">
        <f>IF(ISNONTEXT(node_raw[[#This Row],[Column7]]), "", node_raw[[#This Row],[Column7]]/100)</f>
        <v/>
      </c>
      <c r="K317" s="84" t="str">
        <f>IF(ISNONTEXT(node_raw[[#This Row],[Column8]]), "", node_raw[[#This Row],[Column8]]/100)</f>
        <v/>
      </c>
      <c r="L317" s="85" t="str">
        <f>IF(ISNONTEXT(node_raw[[#This Row],[Column9]]), "", node_raw[[#This Row],[Column9]]/1)</f>
        <v/>
      </c>
      <c r="M317" s="86" t="str">
        <f>IF(ISNONTEXT(node_raw[[#This Row],[Column10]]), "", node_raw[[#This Row],[Column10]]/1)</f>
        <v/>
      </c>
    </row>
    <row r="318" spans="2:13" ht="15.75" customHeight="1" x14ac:dyDescent="0.25">
      <c r="B318" s="32" t="str">
        <f>IF(ISNONTEXT(node_raw[[#This Row],[Column1]]), "", node_raw[[#This Row],[Column1]])</f>
        <v/>
      </c>
      <c r="C318" s="29" t="str">
        <f>IF(ISNONTEXT(node_raw[[#This Row],[Column2]]), "", node_raw[[#This Row],[Column2]])</f>
        <v/>
      </c>
      <c r="D318" s="62" t="str">
        <f>IF(ISNUMBER(node_raw[[#This Row],[Column3]]), node_raw[[#This Row],[Column3]],"")</f>
        <v/>
      </c>
      <c r="E318" s="65" t="str">
        <f>IF(ISNUMBER(node_raw[[#This Row],[Column4]]), node_raw[[#This Row],[Column4]]/1048576,"")</f>
        <v/>
      </c>
      <c r="F318" s="91" t="str">
        <f>IF(ISNUMBER(node_raw[[#This Row],[Column5]]), node_raw[[#This Row],[Column5]],"")</f>
        <v/>
      </c>
      <c r="G318" s="80" t="str">
        <f t="shared" si="8"/>
        <v/>
      </c>
      <c r="H318" s="81" t="str">
        <f>IF(ISNUMBER(node_raw[[#This Row],[Column6]]), node_raw[[#This Row],[Column6]]/1048576,"")</f>
        <v/>
      </c>
      <c r="I318" s="82" t="str">
        <f t="shared" si="9"/>
        <v/>
      </c>
      <c r="J318" s="83" t="str">
        <f>IF(ISNONTEXT(node_raw[[#This Row],[Column7]]), "", node_raw[[#This Row],[Column7]]/100)</f>
        <v/>
      </c>
      <c r="K318" s="84" t="str">
        <f>IF(ISNONTEXT(node_raw[[#This Row],[Column8]]), "", node_raw[[#This Row],[Column8]]/100)</f>
        <v/>
      </c>
      <c r="L318" s="85" t="str">
        <f>IF(ISNONTEXT(node_raw[[#This Row],[Column9]]), "", node_raw[[#This Row],[Column9]]/1)</f>
        <v/>
      </c>
      <c r="M318" s="86" t="str">
        <f>IF(ISNONTEXT(node_raw[[#This Row],[Column10]]), "", node_raw[[#This Row],[Column10]]/1)</f>
        <v/>
      </c>
    </row>
    <row r="319" spans="2:13" ht="15.75" customHeight="1" x14ac:dyDescent="0.25">
      <c r="B319" s="32" t="str">
        <f>IF(ISNONTEXT(node_raw[[#This Row],[Column1]]), "", node_raw[[#This Row],[Column1]])</f>
        <v/>
      </c>
      <c r="C319" s="29" t="str">
        <f>IF(ISNONTEXT(node_raw[[#This Row],[Column2]]), "", node_raw[[#This Row],[Column2]])</f>
        <v/>
      </c>
      <c r="D319" s="62" t="str">
        <f>IF(ISNUMBER(node_raw[[#This Row],[Column3]]), node_raw[[#This Row],[Column3]],"")</f>
        <v/>
      </c>
      <c r="E319" s="65" t="str">
        <f>IF(ISNUMBER(node_raw[[#This Row],[Column4]]), node_raw[[#This Row],[Column4]]/1048576,"")</f>
        <v/>
      </c>
      <c r="F319" s="91" t="str">
        <f>IF(ISNUMBER(node_raw[[#This Row],[Column5]]), node_raw[[#This Row],[Column5]],"")</f>
        <v/>
      </c>
      <c r="G319" s="80" t="str">
        <f t="shared" si="8"/>
        <v/>
      </c>
      <c r="H319" s="81" t="str">
        <f>IF(ISNUMBER(node_raw[[#This Row],[Column6]]), node_raw[[#This Row],[Column6]]/1048576,"")</f>
        <v/>
      </c>
      <c r="I319" s="82" t="str">
        <f t="shared" si="9"/>
        <v/>
      </c>
      <c r="J319" s="83" t="str">
        <f>IF(ISNONTEXT(node_raw[[#This Row],[Column7]]), "", node_raw[[#This Row],[Column7]]/100)</f>
        <v/>
      </c>
      <c r="K319" s="84" t="str">
        <f>IF(ISNONTEXT(node_raw[[#This Row],[Column8]]), "", node_raw[[#This Row],[Column8]]/100)</f>
        <v/>
      </c>
      <c r="L319" s="85" t="str">
        <f>IF(ISNONTEXT(node_raw[[#This Row],[Column9]]), "", node_raw[[#This Row],[Column9]]/1)</f>
        <v/>
      </c>
      <c r="M319" s="86" t="str">
        <f>IF(ISNONTEXT(node_raw[[#This Row],[Column10]]), "", node_raw[[#This Row],[Column10]]/1)</f>
        <v/>
      </c>
    </row>
    <row r="320" spans="2:13" ht="15.75" customHeight="1" x14ac:dyDescent="0.25">
      <c r="B320" s="32" t="str">
        <f>IF(ISNONTEXT(node_raw[[#This Row],[Column1]]), "", node_raw[[#This Row],[Column1]])</f>
        <v/>
      </c>
      <c r="C320" s="29" t="str">
        <f>IF(ISNONTEXT(node_raw[[#This Row],[Column2]]), "", node_raw[[#This Row],[Column2]])</f>
        <v/>
      </c>
      <c r="D320" s="62" t="str">
        <f>IF(ISNUMBER(node_raw[[#This Row],[Column3]]), node_raw[[#This Row],[Column3]],"")</f>
        <v/>
      </c>
      <c r="E320" s="65" t="str">
        <f>IF(ISNUMBER(node_raw[[#This Row],[Column4]]), node_raw[[#This Row],[Column4]]/1048576,"")</f>
        <v/>
      </c>
      <c r="F320" s="91" t="str">
        <f>IF(ISNUMBER(node_raw[[#This Row],[Column5]]), node_raw[[#This Row],[Column5]],"")</f>
        <v/>
      </c>
      <c r="G320" s="80" t="str">
        <f t="shared" si="8"/>
        <v/>
      </c>
      <c r="H320" s="81" t="str">
        <f>IF(ISNUMBER(node_raw[[#This Row],[Column6]]), node_raw[[#This Row],[Column6]]/1048576,"")</f>
        <v/>
      </c>
      <c r="I320" s="82" t="str">
        <f t="shared" si="9"/>
        <v/>
      </c>
      <c r="J320" s="83" t="str">
        <f>IF(ISNONTEXT(node_raw[[#This Row],[Column7]]), "", node_raw[[#This Row],[Column7]]/100)</f>
        <v/>
      </c>
      <c r="K320" s="84" t="str">
        <f>IF(ISNONTEXT(node_raw[[#This Row],[Column8]]), "", node_raw[[#This Row],[Column8]]/100)</f>
        <v/>
      </c>
      <c r="L320" s="85" t="str">
        <f>IF(ISNONTEXT(node_raw[[#This Row],[Column9]]), "", node_raw[[#This Row],[Column9]]/1)</f>
        <v/>
      </c>
      <c r="M320" s="86" t="str">
        <f>IF(ISNONTEXT(node_raw[[#This Row],[Column10]]), "", node_raw[[#This Row],[Column10]]/1)</f>
        <v/>
      </c>
    </row>
    <row r="321" spans="2:13" ht="15.75" customHeight="1" x14ac:dyDescent="0.25">
      <c r="B321" s="32" t="str">
        <f>IF(ISNONTEXT(node_raw[[#This Row],[Column1]]), "", node_raw[[#This Row],[Column1]])</f>
        <v/>
      </c>
      <c r="C321" s="29" t="str">
        <f>IF(ISNONTEXT(node_raw[[#This Row],[Column2]]), "", node_raw[[#This Row],[Column2]])</f>
        <v/>
      </c>
      <c r="D321" s="62" t="str">
        <f>IF(ISNUMBER(node_raw[[#This Row],[Column3]]), node_raw[[#This Row],[Column3]],"")</f>
        <v/>
      </c>
      <c r="E321" s="65" t="str">
        <f>IF(ISNUMBER(node_raw[[#This Row],[Column4]]), node_raw[[#This Row],[Column4]]/1048576,"")</f>
        <v/>
      </c>
      <c r="F321" s="91" t="str">
        <f>IF(ISNUMBER(node_raw[[#This Row],[Column5]]), node_raw[[#This Row],[Column5]],"")</f>
        <v/>
      </c>
      <c r="G321" s="80" t="str">
        <f t="shared" si="8"/>
        <v/>
      </c>
      <c r="H321" s="81" t="str">
        <f>IF(ISNUMBER(node_raw[[#This Row],[Column6]]), node_raw[[#This Row],[Column6]]/1048576,"")</f>
        <v/>
      </c>
      <c r="I321" s="82" t="str">
        <f t="shared" si="9"/>
        <v/>
      </c>
      <c r="J321" s="83" t="str">
        <f>IF(ISNONTEXT(node_raw[[#This Row],[Column7]]), "", node_raw[[#This Row],[Column7]]/100)</f>
        <v/>
      </c>
      <c r="K321" s="84" t="str">
        <f>IF(ISNONTEXT(node_raw[[#This Row],[Column8]]), "", node_raw[[#This Row],[Column8]]/100)</f>
        <v/>
      </c>
      <c r="L321" s="85" t="str">
        <f>IF(ISNONTEXT(node_raw[[#This Row],[Column9]]), "", node_raw[[#This Row],[Column9]]/1)</f>
        <v/>
      </c>
      <c r="M321" s="86" t="str">
        <f>IF(ISNONTEXT(node_raw[[#This Row],[Column10]]), "", node_raw[[#This Row],[Column10]]/1)</f>
        <v/>
      </c>
    </row>
    <row r="322" spans="2:13" ht="15.75" customHeight="1" x14ac:dyDescent="0.25">
      <c r="B322" s="32" t="str">
        <f>IF(ISNONTEXT(node_raw[[#This Row],[Column1]]), "", node_raw[[#This Row],[Column1]])</f>
        <v/>
      </c>
      <c r="C322" s="29" t="str">
        <f>IF(ISNONTEXT(node_raw[[#This Row],[Column2]]), "", node_raw[[#This Row],[Column2]])</f>
        <v/>
      </c>
      <c r="D322" s="62" t="str">
        <f>IF(ISNUMBER(node_raw[[#This Row],[Column3]]), node_raw[[#This Row],[Column3]],"")</f>
        <v/>
      </c>
      <c r="E322" s="65" t="str">
        <f>IF(ISNUMBER(node_raw[[#This Row],[Column4]]), node_raw[[#This Row],[Column4]]/1048576,"")</f>
        <v/>
      </c>
      <c r="F322" s="91" t="str">
        <f>IF(ISNUMBER(node_raw[[#This Row],[Column5]]), node_raw[[#This Row],[Column5]],"")</f>
        <v/>
      </c>
      <c r="G322" s="80" t="str">
        <f t="shared" si="8"/>
        <v/>
      </c>
      <c r="H322" s="81" t="str">
        <f>IF(ISNUMBER(node_raw[[#This Row],[Column6]]), node_raw[[#This Row],[Column6]]/1048576,"")</f>
        <v/>
      </c>
      <c r="I322" s="82" t="str">
        <f t="shared" si="9"/>
        <v/>
      </c>
      <c r="J322" s="83" t="str">
        <f>IF(ISNONTEXT(node_raw[[#This Row],[Column7]]), "", node_raw[[#This Row],[Column7]]/100)</f>
        <v/>
      </c>
      <c r="K322" s="84" t="str">
        <f>IF(ISNONTEXT(node_raw[[#This Row],[Column8]]), "", node_raw[[#This Row],[Column8]]/100)</f>
        <v/>
      </c>
      <c r="L322" s="85" t="str">
        <f>IF(ISNONTEXT(node_raw[[#This Row],[Column9]]), "", node_raw[[#This Row],[Column9]]/1)</f>
        <v/>
      </c>
      <c r="M322" s="86" t="str">
        <f>IF(ISNONTEXT(node_raw[[#This Row],[Column10]]), "", node_raw[[#This Row],[Column10]]/1)</f>
        <v/>
      </c>
    </row>
    <row r="323" spans="2:13" ht="15.75" customHeight="1" x14ac:dyDescent="0.25">
      <c r="B323" s="32" t="str">
        <f>IF(ISNONTEXT(node_raw[[#This Row],[Column1]]), "", node_raw[[#This Row],[Column1]])</f>
        <v/>
      </c>
      <c r="C323" s="29" t="str">
        <f>IF(ISNONTEXT(node_raw[[#This Row],[Column2]]), "", node_raw[[#This Row],[Column2]])</f>
        <v/>
      </c>
      <c r="D323" s="62" t="str">
        <f>IF(ISNUMBER(node_raw[[#This Row],[Column3]]), node_raw[[#This Row],[Column3]],"")</f>
        <v/>
      </c>
      <c r="E323" s="65" t="str">
        <f>IF(ISNUMBER(node_raw[[#This Row],[Column4]]), node_raw[[#This Row],[Column4]]/1048576,"")</f>
        <v/>
      </c>
      <c r="F323" s="91" t="str">
        <f>IF(ISNUMBER(node_raw[[#This Row],[Column5]]), node_raw[[#This Row],[Column5]],"")</f>
        <v/>
      </c>
      <c r="G323" s="80" t="str">
        <f t="shared" ref="G323:G386" si="10">IF(ISNUMBER(F323), F323/D323, "")</f>
        <v/>
      </c>
      <c r="H323" s="81" t="str">
        <f>IF(ISNUMBER(node_raw[[#This Row],[Column6]]), node_raw[[#This Row],[Column6]]/1048576,"")</f>
        <v/>
      </c>
      <c r="I323" s="82" t="str">
        <f t="shared" ref="I323:I386" si="11">IF(ISNUMBER(H323), H323/E323, "")</f>
        <v/>
      </c>
      <c r="J323" s="83" t="str">
        <f>IF(ISNONTEXT(node_raw[[#This Row],[Column7]]), "", node_raw[[#This Row],[Column7]]/100)</f>
        <v/>
      </c>
      <c r="K323" s="84" t="str">
        <f>IF(ISNONTEXT(node_raw[[#This Row],[Column8]]), "", node_raw[[#This Row],[Column8]]/100)</f>
        <v/>
      </c>
      <c r="L323" s="85" t="str">
        <f>IF(ISNONTEXT(node_raw[[#This Row],[Column9]]), "", node_raw[[#This Row],[Column9]]/1)</f>
        <v/>
      </c>
      <c r="M323" s="86" t="str">
        <f>IF(ISNONTEXT(node_raw[[#This Row],[Column10]]), "", node_raw[[#This Row],[Column10]]/1)</f>
        <v/>
      </c>
    </row>
    <row r="324" spans="2:13" ht="15.75" customHeight="1" x14ac:dyDescent="0.25">
      <c r="B324" s="32" t="str">
        <f>IF(ISNONTEXT(node_raw[[#This Row],[Column1]]), "", node_raw[[#This Row],[Column1]])</f>
        <v/>
      </c>
      <c r="C324" s="29" t="str">
        <f>IF(ISNONTEXT(node_raw[[#This Row],[Column2]]), "", node_raw[[#This Row],[Column2]])</f>
        <v/>
      </c>
      <c r="D324" s="62" t="str">
        <f>IF(ISNUMBER(node_raw[[#This Row],[Column3]]), node_raw[[#This Row],[Column3]],"")</f>
        <v/>
      </c>
      <c r="E324" s="65" t="str">
        <f>IF(ISNUMBER(node_raw[[#This Row],[Column4]]), node_raw[[#This Row],[Column4]]/1048576,"")</f>
        <v/>
      </c>
      <c r="F324" s="91" t="str">
        <f>IF(ISNUMBER(node_raw[[#This Row],[Column5]]), node_raw[[#This Row],[Column5]],"")</f>
        <v/>
      </c>
      <c r="G324" s="80" t="str">
        <f t="shared" si="10"/>
        <v/>
      </c>
      <c r="H324" s="81" t="str">
        <f>IF(ISNUMBER(node_raw[[#This Row],[Column6]]), node_raw[[#This Row],[Column6]]/1048576,"")</f>
        <v/>
      </c>
      <c r="I324" s="82" t="str">
        <f t="shared" si="11"/>
        <v/>
      </c>
      <c r="J324" s="83" t="str">
        <f>IF(ISNONTEXT(node_raw[[#This Row],[Column7]]), "", node_raw[[#This Row],[Column7]]/100)</f>
        <v/>
      </c>
      <c r="K324" s="84" t="str">
        <f>IF(ISNONTEXT(node_raw[[#This Row],[Column8]]), "", node_raw[[#This Row],[Column8]]/100)</f>
        <v/>
      </c>
      <c r="L324" s="85" t="str">
        <f>IF(ISNONTEXT(node_raw[[#This Row],[Column9]]), "", node_raw[[#This Row],[Column9]]/1)</f>
        <v/>
      </c>
      <c r="M324" s="86" t="str">
        <f>IF(ISNONTEXT(node_raw[[#This Row],[Column10]]), "", node_raw[[#This Row],[Column10]]/1)</f>
        <v/>
      </c>
    </row>
    <row r="325" spans="2:13" ht="15.75" customHeight="1" x14ac:dyDescent="0.25">
      <c r="B325" s="32" t="str">
        <f>IF(ISNONTEXT(node_raw[[#This Row],[Column1]]), "", node_raw[[#This Row],[Column1]])</f>
        <v/>
      </c>
      <c r="C325" s="29" t="str">
        <f>IF(ISNONTEXT(node_raw[[#This Row],[Column2]]), "", node_raw[[#This Row],[Column2]])</f>
        <v/>
      </c>
      <c r="D325" s="62" t="str">
        <f>IF(ISNUMBER(node_raw[[#This Row],[Column3]]), node_raw[[#This Row],[Column3]],"")</f>
        <v/>
      </c>
      <c r="E325" s="65" t="str">
        <f>IF(ISNUMBER(node_raw[[#This Row],[Column4]]), node_raw[[#This Row],[Column4]]/1048576,"")</f>
        <v/>
      </c>
      <c r="F325" s="91" t="str">
        <f>IF(ISNUMBER(node_raw[[#This Row],[Column5]]), node_raw[[#This Row],[Column5]],"")</f>
        <v/>
      </c>
      <c r="G325" s="80" t="str">
        <f t="shared" si="10"/>
        <v/>
      </c>
      <c r="H325" s="81" t="str">
        <f>IF(ISNUMBER(node_raw[[#This Row],[Column6]]), node_raw[[#This Row],[Column6]]/1048576,"")</f>
        <v/>
      </c>
      <c r="I325" s="82" t="str">
        <f t="shared" si="11"/>
        <v/>
      </c>
      <c r="J325" s="83" t="str">
        <f>IF(ISNONTEXT(node_raw[[#This Row],[Column7]]), "", node_raw[[#This Row],[Column7]]/100)</f>
        <v/>
      </c>
      <c r="K325" s="84" t="str">
        <f>IF(ISNONTEXT(node_raw[[#This Row],[Column8]]), "", node_raw[[#This Row],[Column8]]/100)</f>
        <v/>
      </c>
      <c r="L325" s="85" t="str">
        <f>IF(ISNONTEXT(node_raw[[#This Row],[Column9]]), "", node_raw[[#This Row],[Column9]]/1)</f>
        <v/>
      </c>
      <c r="M325" s="86" t="str">
        <f>IF(ISNONTEXT(node_raw[[#This Row],[Column10]]), "", node_raw[[#This Row],[Column10]]/1)</f>
        <v/>
      </c>
    </row>
    <row r="326" spans="2:13" ht="15.75" customHeight="1" x14ac:dyDescent="0.25">
      <c r="B326" s="32" t="str">
        <f>IF(ISNONTEXT(node_raw[[#This Row],[Column1]]), "", node_raw[[#This Row],[Column1]])</f>
        <v/>
      </c>
      <c r="C326" s="29" t="str">
        <f>IF(ISNONTEXT(node_raw[[#This Row],[Column2]]), "", node_raw[[#This Row],[Column2]])</f>
        <v/>
      </c>
      <c r="D326" s="62" t="str">
        <f>IF(ISNUMBER(node_raw[[#This Row],[Column3]]), node_raw[[#This Row],[Column3]],"")</f>
        <v/>
      </c>
      <c r="E326" s="65" t="str">
        <f>IF(ISNUMBER(node_raw[[#This Row],[Column4]]), node_raw[[#This Row],[Column4]]/1048576,"")</f>
        <v/>
      </c>
      <c r="F326" s="91" t="str">
        <f>IF(ISNUMBER(node_raw[[#This Row],[Column5]]), node_raw[[#This Row],[Column5]],"")</f>
        <v/>
      </c>
      <c r="G326" s="80" t="str">
        <f t="shared" si="10"/>
        <v/>
      </c>
      <c r="H326" s="81" t="str">
        <f>IF(ISNUMBER(node_raw[[#This Row],[Column6]]), node_raw[[#This Row],[Column6]]/1048576,"")</f>
        <v/>
      </c>
      <c r="I326" s="82" t="str">
        <f t="shared" si="11"/>
        <v/>
      </c>
      <c r="J326" s="83" t="str">
        <f>IF(ISNONTEXT(node_raw[[#This Row],[Column7]]), "", node_raw[[#This Row],[Column7]]/100)</f>
        <v/>
      </c>
      <c r="K326" s="84" t="str">
        <f>IF(ISNONTEXT(node_raw[[#This Row],[Column8]]), "", node_raw[[#This Row],[Column8]]/100)</f>
        <v/>
      </c>
      <c r="L326" s="85" t="str">
        <f>IF(ISNONTEXT(node_raw[[#This Row],[Column9]]), "", node_raw[[#This Row],[Column9]]/1)</f>
        <v/>
      </c>
      <c r="M326" s="86" t="str">
        <f>IF(ISNONTEXT(node_raw[[#This Row],[Column10]]), "", node_raw[[#This Row],[Column10]]/1)</f>
        <v/>
      </c>
    </row>
    <row r="327" spans="2:13" ht="15.75" customHeight="1" x14ac:dyDescent="0.25">
      <c r="B327" s="32" t="str">
        <f>IF(ISNONTEXT(node_raw[[#This Row],[Column1]]), "", node_raw[[#This Row],[Column1]])</f>
        <v/>
      </c>
      <c r="C327" s="29" t="str">
        <f>IF(ISNONTEXT(node_raw[[#This Row],[Column2]]), "", node_raw[[#This Row],[Column2]])</f>
        <v/>
      </c>
      <c r="D327" s="62" t="str">
        <f>IF(ISNUMBER(node_raw[[#This Row],[Column3]]), node_raw[[#This Row],[Column3]],"")</f>
        <v/>
      </c>
      <c r="E327" s="65" t="str">
        <f>IF(ISNUMBER(node_raw[[#This Row],[Column4]]), node_raw[[#This Row],[Column4]]/1048576,"")</f>
        <v/>
      </c>
      <c r="F327" s="91" t="str">
        <f>IF(ISNUMBER(node_raw[[#This Row],[Column5]]), node_raw[[#This Row],[Column5]],"")</f>
        <v/>
      </c>
      <c r="G327" s="80" t="str">
        <f t="shared" si="10"/>
        <v/>
      </c>
      <c r="H327" s="81" t="str">
        <f>IF(ISNUMBER(node_raw[[#This Row],[Column6]]), node_raw[[#This Row],[Column6]]/1048576,"")</f>
        <v/>
      </c>
      <c r="I327" s="82" t="str">
        <f t="shared" si="11"/>
        <v/>
      </c>
      <c r="J327" s="83" t="str">
        <f>IF(ISNONTEXT(node_raw[[#This Row],[Column7]]), "", node_raw[[#This Row],[Column7]]/100)</f>
        <v/>
      </c>
      <c r="K327" s="84" t="str">
        <f>IF(ISNONTEXT(node_raw[[#This Row],[Column8]]), "", node_raw[[#This Row],[Column8]]/100)</f>
        <v/>
      </c>
      <c r="L327" s="85" t="str">
        <f>IF(ISNONTEXT(node_raw[[#This Row],[Column9]]), "", node_raw[[#This Row],[Column9]]/1)</f>
        <v/>
      </c>
      <c r="M327" s="86" t="str">
        <f>IF(ISNONTEXT(node_raw[[#This Row],[Column10]]), "", node_raw[[#This Row],[Column10]]/1)</f>
        <v/>
      </c>
    </row>
    <row r="328" spans="2:13" ht="15.75" customHeight="1" x14ac:dyDescent="0.25">
      <c r="B328" s="32" t="str">
        <f>IF(ISNONTEXT(node_raw[[#This Row],[Column1]]), "", node_raw[[#This Row],[Column1]])</f>
        <v/>
      </c>
      <c r="C328" s="29" t="str">
        <f>IF(ISNONTEXT(node_raw[[#This Row],[Column2]]), "", node_raw[[#This Row],[Column2]])</f>
        <v/>
      </c>
      <c r="D328" s="62" t="str">
        <f>IF(ISNUMBER(node_raw[[#This Row],[Column3]]), node_raw[[#This Row],[Column3]],"")</f>
        <v/>
      </c>
      <c r="E328" s="65" t="str">
        <f>IF(ISNUMBER(node_raw[[#This Row],[Column4]]), node_raw[[#This Row],[Column4]]/1048576,"")</f>
        <v/>
      </c>
      <c r="F328" s="91" t="str">
        <f>IF(ISNUMBER(node_raw[[#This Row],[Column5]]), node_raw[[#This Row],[Column5]],"")</f>
        <v/>
      </c>
      <c r="G328" s="80" t="str">
        <f t="shared" si="10"/>
        <v/>
      </c>
      <c r="H328" s="81" t="str">
        <f>IF(ISNUMBER(node_raw[[#This Row],[Column6]]), node_raw[[#This Row],[Column6]]/1048576,"")</f>
        <v/>
      </c>
      <c r="I328" s="82" t="str">
        <f t="shared" si="11"/>
        <v/>
      </c>
      <c r="J328" s="83" t="str">
        <f>IF(ISNONTEXT(node_raw[[#This Row],[Column7]]), "", node_raw[[#This Row],[Column7]]/100)</f>
        <v/>
      </c>
      <c r="K328" s="84" t="str">
        <f>IF(ISNONTEXT(node_raw[[#This Row],[Column8]]), "", node_raw[[#This Row],[Column8]]/100)</f>
        <v/>
      </c>
      <c r="L328" s="85" t="str">
        <f>IF(ISNONTEXT(node_raw[[#This Row],[Column9]]), "", node_raw[[#This Row],[Column9]]/1)</f>
        <v/>
      </c>
      <c r="M328" s="86" t="str">
        <f>IF(ISNONTEXT(node_raw[[#This Row],[Column10]]), "", node_raw[[#This Row],[Column10]]/1)</f>
        <v/>
      </c>
    </row>
    <row r="329" spans="2:13" ht="15.75" customHeight="1" x14ac:dyDescent="0.25">
      <c r="B329" s="32" t="str">
        <f>IF(ISNONTEXT(node_raw[[#This Row],[Column1]]), "", node_raw[[#This Row],[Column1]])</f>
        <v/>
      </c>
      <c r="C329" s="29" t="str">
        <f>IF(ISNONTEXT(node_raw[[#This Row],[Column2]]), "", node_raw[[#This Row],[Column2]])</f>
        <v/>
      </c>
      <c r="D329" s="62" t="str">
        <f>IF(ISNUMBER(node_raw[[#This Row],[Column3]]), node_raw[[#This Row],[Column3]],"")</f>
        <v/>
      </c>
      <c r="E329" s="65" t="str">
        <f>IF(ISNUMBER(node_raw[[#This Row],[Column4]]), node_raw[[#This Row],[Column4]]/1048576,"")</f>
        <v/>
      </c>
      <c r="F329" s="91" t="str">
        <f>IF(ISNUMBER(node_raw[[#This Row],[Column5]]), node_raw[[#This Row],[Column5]],"")</f>
        <v/>
      </c>
      <c r="G329" s="80" t="str">
        <f t="shared" si="10"/>
        <v/>
      </c>
      <c r="H329" s="81" t="str">
        <f>IF(ISNUMBER(node_raw[[#This Row],[Column6]]), node_raw[[#This Row],[Column6]]/1048576,"")</f>
        <v/>
      </c>
      <c r="I329" s="82" t="str">
        <f t="shared" si="11"/>
        <v/>
      </c>
      <c r="J329" s="83" t="str">
        <f>IF(ISNONTEXT(node_raw[[#This Row],[Column7]]), "", node_raw[[#This Row],[Column7]]/100)</f>
        <v/>
      </c>
      <c r="K329" s="84" t="str">
        <f>IF(ISNONTEXT(node_raw[[#This Row],[Column8]]), "", node_raw[[#This Row],[Column8]]/100)</f>
        <v/>
      </c>
      <c r="L329" s="85" t="str">
        <f>IF(ISNONTEXT(node_raw[[#This Row],[Column9]]), "", node_raw[[#This Row],[Column9]]/1)</f>
        <v/>
      </c>
      <c r="M329" s="86" t="str">
        <f>IF(ISNONTEXT(node_raw[[#This Row],[Column10]]), "", node_raw[[#This Row],[Column10]]/1)</f>
        <v/>
      </c>
    </row>
    <row r="330" spans="2:13" ht="15.75" customHeight="1" x14ac:dyDescent="0.25">
      <c r="B330" s="32" t="str">
        <f>IF(ISNONTEXT(node_raw[[#This Row],[Column1]]), "", node_raw[[#This Row],[Column1]])</f>
        <v/>
      </c>
      <c r="C330" s="29" t="str">
        <f>IF(ISNONTEXT(node_raw[[#This Row],[Column2]]), "", node_raw[[#This Row],[Column2]])</f>
        <v/>
      </c>
      <c r="D330" s="62" t="str">
        <f>IF(ISNUMBER(node_raw[[#This Row],[Column3]]), node_raw[[#This Row],[Column3]],"")</f>
        <v/>
      </c>
      <c r="E330" s="65" t="str">
        <f>IF(ISNUMBER(node_raw[[#This Row],[Column4]]), node_raw[[#This Row],[Column4]]/1048576,"")</f>
        <v/>
      </c>
      <c r="F330" s="91" t="str">
        <f>IF(ISNUMBER(node_raw[[#This Row],[Column5]]), node_raw[[#This Row],[Column5]],"")</f>
        <v/>
      </c>
      <c r="G330" s="80" t="str">
        <f t="shared" si="10"/>
        <v/>
      </c>
      <c r="H330" s="81" t="str">
        <f>IF(ISNUMBER(node_raw[[#This Row],[Column6]]), node_raw[[#This Row],[Column6]]/1048576,"")</f>
        <v/>
      </c>
      <c r="I330" s="82" t="str">
        <f t="shared" si="11"/>
        <v/>
      </c>
      <c r="J330" s="83" t="str">
        <f>IF(ISNONTEXT(node_raw[[#This Row],[Column7]]), "", node_raw[[#This Row],[Column7]]/100)</f>
        <v/>
      </c>
      <c r="K330" s="84" t="str">
        <f>IF(ISNONTEXT(node_raw[[#This Row],[Column8]]), "", node_raw[[#This Row],[Column8]]/100)</f>
        <v/>
      </c>
      <c r="L330" s="85" t="str">
        <f>IF(ISNONTEXT(node_raw[[#This Row],[Column9]]), "", node_raw[[#This Row],[Column9]]/1)</f>
        <v/>
      </c>
      <c r="M330" s="86" t="str">
        <f>IF(ISNONTEXT(node_raw[[#This Row],[Column10]]), "", node_raw[[#This Row],[Column10]]/1)</f>
        <v/>
      </c>
    </row>
    <row r="331" spans="2:13" ht="15.75" customHeight="1" x14ac:dyDescent="0.25">
      <c r="B331" s="32" t="str">
        <f>IF(ISNONTEXT(node_raw[[#This Row],[Column1]]), "", node_raw[[#This Row],[Column1]])</f>
        <v/>
      </c>
      <c r="C331" s="29" t="str">
        <f>IF(ISNONTEXT(node_raw[[#This Row],[Column2]]), "", node_raw[[#This Row],[Column2]])</f>
        <v/>
      </c>
      <c r="D331" s="62" t="str">
        <f>IF(ISNUMBER(node_raw[[#This Row],[Column3]]), node_raw[[#This Row],[Column3]],"")</f>
        <v/>
      </c>
      <c r="E331" s="65" t="str">
        <f>IF(ISNUMBER(node_raw[[#This Row],[Column4]]), node_raw[[#This Row],[Column4]]/1048576,"")</f>
        <v/>
      </c>
      <c r="F331" s="91" t="str">
        <f>IF(ISNUMBER(node_raw[[#This Row],[Column5]]), node_raw[[#This Row],[Column5]],"")</f>
        <v/>
      </c>
      <c r="G331" s="80" t="str">
        <f t="shared" si="10"/>
        <v/>
      </c>
      <c r="H331" s="81" t="str">
        <f>IF(ISNUMBER(node_raw[[#This Row],[Column6]]), node_raw[[#This Row],[Column6]]/1048576,"")</f>
        <v/>
      </c>
      <c r="I331" s="82" t="str">
        <f t="shared" si="11"/>
        <v/>
      </c>
      <c r="J331" s="83" t="str">
        <f>IF(ISNONTEXT(node_raw[[#This Row],[Column7]]), "", node_raw[[#This Row],[Column7]]/100)</f>
        <v/>
      </c>
      <c r="K331" s="84" t="str">
        <f>IF(ISNONTEXT(node_raw[[#This Row],[Column8]]), "", node_raw[[#This Row],[Column8]]/100)</f>
        <v/>
      </c>
      <c r="L331" s="85" t="str">
        <f>IF(ISNONTEXT(node_raw[[#This Row],[Column9]]), "", node_raw[[#This Row],[Column9]]/1)</f>
        <v/>
      </c>
      <c r="M331" s="86" t="str">
        <f>IF(ISNONTEXT(node_raw[[#This Row],[Column10]]), "", node_raw[[#This Row],[Column10]]/1)</f>
        <v/>
      </c>
    </row>
    <row r="332" spans="2:13" ht="15.75" customHeight="1" x14ac:dyDescent="0.25">
      <c r="B332" s="32" t="str">
        <f>IF(ISNONTEXT(node_raw[[#This Row],[Column1]]), "", node_raw[[#This Row],[Column1]])</f>
        <v/>
      </c>
      <c r="C332" s="29" t="str">
        <f>IF(ISNONTEXT(node_raw[[#This Row],[Column2]]), "", node_raw[[#This Row],[Column2]])</f>
        <v/>
      </c>
      <c r="D332" s="62" t="str">
        <f>IF(ISNUMBER(node_raw[[#This Row],[Column3]]), node_raw[[#This Row],[Column3]],"")</f>
        <v/>
      </c>
      <c r="E332" s="65" t="str">
        <f>IF(ISNUMBER(node_raw[[#This Row],[Column4]]), node_raw[[#This Row],[Column4]]/1048576,"")</f>
        <v/>
      </c>
      <c r="F332" s="91" t="str">
        <f>IF(ISNUMBER(node_raw[[#This Row],[Column5]]), node_raw[[#This Row],[Column5]],"")</f>
        <v/>
      </c>
      <c r="G332" s="80" t="str">
        <f t="shared" si="10"/>
        <v/>
      </c>
      <c r="H332" s="81" t="str">
        <f>IF(ISNUMBER(node_raw[[#This Row],[Column6]]), node_raw[[#This Row],[Column6]]/1048576,"")</f>
        <v/>
      </c>
      <c r="I332" s="82" t="str">
        <f t="shared" si="11"/>
        <v/>
      </c>
      <c r="J332" s="83" t="str">
        <f>IF(ISNONTEXT(node_raw[[#This Row],[Column7]]), "", node_raw[[#This Row],[Column7]]/100)</f>
        <v/>
      </c>
      <c r="K332" s="84" t="str">
        <f>IF(ISNONTEXT(node_raw[[#This Row],[Column8]]), "", node_raw[[#This Row],[Column8]]/100)</f>
        <v/>
      </c>
      <c r="L332" s="85" t="str">
        <f>IF(ISNONTEXT(node_raw[[#This Row],[Column9]]), "", node_raw[[#This Row],[Column9]]/1)</f>
        <v/>
      </c>
      <c r="M332" s="86" t="str">
        <f>IF(ISNONTEXT(node_raw[[#This Row],[Column10]]), "", node_raw[[#This Row],[Column10]]/1)</f>
        <v/>
      </c>
    </row>
    <row r="333" spans="2:13" ht="15.75" customHeight="1" x14ac:dyDescent="0.25">
      <c r="B333" s="32" t="str">
        <f>IF(ISNONTEXT(node_raw[[#This Row],[Column1]]), "", node_raw[[#This Row],[Column1]])</f>
        <v/>
      </c>
      <c r="C333" s="29" t="str">
        <f>IF(ISNONTEXT(node_raw[[#This Row],[Column2]]), "", node_raw[[#This Row],[Column2]])</f>
        <v/>
      </c>
      <c r="D333" s="62" t="str">
        <f>IF(ISNUMBER(node_raw[[#This Row],[Column3]]), node_raw[[#This Row],[Column3]],"")</f>
        <v/>
      </c>
      <c r="E333" s="65" t="str">
        <f>IF(ISNUMBER(node_raw[[#This Row],[Column4]]), node_raw[[#This Row],[Column4]]/1048576,"")</f>
        <v/>
      </c>
      <c r="F333" s="91" t="str">
        <f>IF(ISNUMBER(node_raw[[#This Row],[Column5]]), node_raw[[#This Row],[Column5]],"")</f>
        <v/>
      </c>
      <c r="G333" s="80" t="str">
        <f t="shared" si="10"/>
        <v/>
      </c>
      <c r="H333" s="81" t="str">
        <f>IF(ISNUMBER(node_raw[[#This Row],[Column6]]), node_raw[[#This Row],[Column6]]/1048576,"")</f>
        <v/>
      </c>
      <c r="I333" s="82" t="str">
        <f t="shared" si="11"/>
        <v/>
      </c>
      <c r="J333" s="83" t="str">
        <f>IF(ISNONTEXT(node_raw[[#This Row],[Column7]]), "", node_raw[[#This Row],[Column7]]/100)</f>
        <v/>
      </c>
      <c r="K333" s="84" t="str">
        <f>IF(ISNONTEXT(node_raw[[#This Row],[Column8]]), "", node_raw[[#This Row],[Column8]]/100)</f>
        <v/>
      </c>
      <c r="L333" s="85" t="str">
        <f>IF(ISNONTEXT(node_raw[[#This Row],[Column9]]), "", node_raw[[#This Row],[Column9]]/1)</f>
        <v/>
      </c>
      <c r="M333" s="86" t="str">
        <f>IF(ISNONTEXT(node_raw[[#This Row],[Column10]]), "", node_raw[[#This Row],[Column10]]/1)</f>
        <v/>
      </c>
    </row>
    <row r="334" spans="2:13" ht="15.75" customHeight="1" x14ac:dyDescent="0.25">
      <c r="B334" s="32" t="str">
        <f>IF(ISNONTEXT(node_raw[[#This Row],[Column1]]), "", node_raw[[#This Row],[Column1]])</f>
        <v/>
      </c>
      <c r="C334" s="29" t="str">
        <f>IF(ISNONTEXT(node_raw[[#This Row],[Column2]]), "", node_raw[[#This Row],[Column2]])</f>
        <v/>
      </c>
      <c r="D334" s="62" t="str">
        <f>IF(ISNUMBER(node_raw[[#This Row],[Column3]]), node_raw[[#This Row],[Column3]],"")</f>
        <v/>
      </c>
      <c r="E334" s="65" t="str">
        <f>IF(ISNUMBER(node_raw[[#This Row],[Column4]]), node_raw[[#This Row],[Column4]]/1048576,"")</f>
        <v/>
      </c>
      <c r="F334" s="91" t="str">
        <f>IF(ISNUMBER(node_raw[[#This Row],[Column5]]), node_raw[[#This Row],[Column5]],"")</f>
        <v/>
      </c>
      <c r="G334" s="80" t="str">
        <f t="shared" si="10"/>
        <v/>
      </c>
      <c r="H334" s="81" t="str">
        <f>IF(ISNUMBER(node_raw[[#This Row],[Column6]]), node_raw[[#This Row],[Column6]]/1048576,"")</f>
        <v/>
      </c>
      <c r="I334" s="82" t="str">
        <f t="shared" si="11"/>
        <v/>
      </c>
      <c r="J334" s="83" t="str">
        <f>IF(ISNONTEXT(node_raw[[#This Row],[Column7]]), "", node_raw[[#This Row],[Column7]]/100)</f>
        <v/>
      </c>
      <c r="K334" s="84" t="str">
        <f>IF(ISNONTEXT(node_raw[[#This Row],[Column8]]), "", node_raw[[#This Row],[Column8]]/100)</f>
        <v/>
      </c>
      <c r="L334" s="85" t="str">
        <f>IF(ISNONTEXT(node_raw[[#This Row],[Column9]]), "", node_raw[[#This Row],[Column9]]/1)</f>
        <v/>
      </c>
      <c r="M334" s="86" t="str">
        <f>IF(ISNONTEXT(node_raw[[#This Row],[Column10]]), "", node_raw[[#This Row],[Column10]]/1)</f>
        <v/>
      </c>
    </row>
    <row r="335" spans="2:13" ht="15.75" customHeight="1" x14ac:dyDescent="0.25">
      <c r="B335" s="32" t="str">
        <f>IF(ISNONTEXT(node_raw[[#This Row],[Column1]]), "", node_raw[[#This Row],[Column1]])</f>
        <v/>
      </c>
      <c r="C335" s="29" t="str">
        <f>IF(ISNONTEXT(node_raw[[#This Row],[Column2]]), "", node_raw[[#This Row],[Column2]])</f>
        <v/>
      </c>
      <c r="D335" s="62" t="str">
        <f>IF(ISNUMBER(node_raw[[#This Row],[Column3]]), node_raw[[#This Row],[Column3]],"")</f>
        <v/>
      </c>
      <c r="E335" s="65" t="str">
        <f>IF(ISNUMBER(node_raw[[#This Row],[Column4]]), node_raw[[#This Row],[Column4]]/1048576,"")</f>
        <v/>
      </c>
      <c r="F335" s="91" t="str">
        <f>IF(ISNUMBER(node_raw[[#This Row],[Column5]]), node_raw[[#This Row],[Column5]],"")</f>
        <v/>
      </c>
      <c r="G335" s="80" t="str">
        <f t="shared" si="10"/>
        <v/>
      </c>
      <c r="H335" s="81" t="str">
        <f>IF(ISNUMBER(node_raw[[#This Row],[Column6]]), node_raw[[#This Row],[Column6]]/1048576,"")</f>
        <v/>
      </c>
      <c r="I335" s="82" t="str">
        <f t="shared" si="11"/>
        <v/>
      </c>
      <c r="J335" s="83" t="str">
        <f>IF(ISNONTEXT(node_raw[[#This Row],[Column7]]), "", node_raw[[#This Row],[Column7]]/100)</f>
        <v/>
      </c>
      <c r="K335" s="84" t="str">
        <f>IF(ISNONTEXT(node_raw[[#This Row],[Column8]]), "", node_raw[[#This Row],[Column8]]/100)</f>
        <v/>
      </c>
      <c r="L335" s="85" t="str">
        <f>IF(ISNONTEXT(node_raw[[#This Row],[Column9]]), "", node_raw[[#This Row],[Column9]]/1)</f>
        <v/>
      </c>
      <c r="M335" s="86" t="str">
        <f>IF(ISNONTEXT(node_raw[[#This Row],[Column10]]), "", node_raw[[#This Row],[Column10]]/1)</f>
        <v/>
      </c>
    </row>
    <row r="336" spans="2:13" ht="15.75" customHeight="1" x14ac:dyDescent="0.25">
      <c r="B336" s="32" t="str">
        <f>IF(ISNONTEXT(node_raw[[#This Row],[Column1]]), "", node_raw[[#This Row],[Column1]])</f>
        <v/>
      </c>
      <c r="C336" s="29" t="str">
        <f>IF(ISNONTEXT(node_raw[[#This Row],[Column2]]), "", node_raw[[#This Row],[Column2]])</f>
        <v/>
      </c>
      <c r="D336" s="62" t="str">
        <f>IF(ISNUMBER(node_raw[[#This Row],[Column3]]), node_raw[[#This Row],[Column3]],"")</f>
        <v/>
      </c>
      <c r="E336" s="65" t="str">
        <f>IF(ISNUMBER(node_raw[[#This Row],[Column4]]), node_raw[[#This Row],[Column4]]/1048576,"")</f>
        <v/>
      </c>
      <c r="F336" s="91" t="str">
        <f>IF(ISNUMBER(node_raw[[#This Row],[Column5]]), node_raw[[#This Row],[Column5]],"")</f>
        <v/>
      </c>
      <c r="G336" s="80" t="str">
        <f t="shared" si="10"/>
        <v/>
      </c>
      <c r="H336" s="81" t="str">
        <f>IF(ISNUMBER(node_raw[[#This Row],[Column6]]), node_raw[[#This Row],[Column6]]/1048576,"")</f>
        <v/>
      </c>
      <c r="I336" s="82" t="str">
        <f t="shared" si="11"/>
        <v/>
      </c>
      <c r="J336" s="83" t="str">
        <f>IF(ISNONTEXT(node_raw[[#This Row],[Column7]]), "", node_raw[[#This Row],[Column7]]/100)</f>
        <v/>
      </c>
      <c r="K336" s="84" t="str">
        <f>IF(ISNONTEXT(node_raw[[#This Row],[Column8]]), "", node_raw[[#This Row],[Column8]]/100)</f>
        <v/>
      </c>
      <c r="L336" s="85" t="str">
        <f>IF(ISNONTEXT(node_raw[[#This Row],[Column9]]), "", node_raw[[#This Row],[Column9]]/1)</f>
        <v/>
      </c>
      <c r="M336" s="86" t="str">
        <f>IF(ISNONTEXT(node_raw[[#This Row],[Column10]]), "", node_raw[[#This Row],[Column10]]/1)</f>
        <v/>
      </c>
    </row>
    <row r="337" spans="2:13" ht="15.75" customHeight="1" x14ac:dyDescent="0.25">
      <c r="B337" s="32" t="str">
        <f>IF(ISNONTEXT(node_raw[[#This Row],[Column1]]), "", node_raw[[#This Row],[Column1]])</f>
        <v/>
      </c>
      <c r="C337" s="29" t="str">
        <f>IF(ISNONTEXT(node_raw[[#This Row],[Column2]]), "", node_raw[[#This Row],[Column2]])</f>
        <v/>
      </c>
      <c r="D337" s="62" t="str">
        <f>IF(ISNUMBER(node_raw[[#This Row],[Column3]]), node_raw[[#This Row],[Column3]],"")</f>
        <v/>
      </c>
      <c r="E337" s="65" t="str">
        <f>IF(ISNUMBER(node_raw[[#This Row],[Column4]]), node_raw[[#This Row],[Column4]]/1048576,"")</f>
        <v/>
      </c>
      <c r="F337" s="91" t="str">
        <f>IF(ISNUMBER(node_raw[[#This Row],[Column5]]), node_raw[[#This Row],[Column5]],"")</f>
        <v/>
      </c>
      <c r="G337" s="80" t="str">
        <f t="shared" si="10"/>
        <v/>
      </c>
      <c r="H337" s="81" t="str">
        <f>IF(ISNUMBER(node_raw[[#This Row],[Column6]]), node_raw[[#This Row],[Column6]]/1048576,"")</f>
        <v/>
      </c>
      <c r="I337" s="82" t="str">
        <f t="shared" si="11"/>
        <v/>
      </c>
      <c r="J337" s="83" t="str">
        <f>IF(ISNONTEXT(node_raw[[#This Row],[Column7]]), "", node_raw[[#This Row],[Column7]]/100)</f>
        <v/>
      </c>
      <c r="K337" s="84" t="str">
        <f>IF(ISNONTEXT(node_raw[[#This Row],[Column8]]), "", node_raw[[#This Row],[Column8]]/100)</f>
        <v/>
      </c>
      <c r="L337" s="85" t="str">
        <f>IF(ISNONTEXT(node_raw[[#This Row],[Column9]]), "", node_raw[[#This Row],[Column9]]/1)</f>
        <v/>
      </c>
      <c r="M337" s="86" t="str">
        <f>IF(ISNONTEXT(node_raw[[#This Row],[Column10]]), "", node_raw[[#This Row],[Column10]]/1)</f>
        <v/>
      </c>
    </row>
    <row r="338" spans="2:13" ht="15.75" customHeight="1" x14ac:dyDescent="0.25">
      <c r="B338" s="32" t="str">
        <f>IF(ISNONTEXT(node_raw[[#This Row],[Column1]]), "", node_raw[[#This Row],[Column1]])</f>
        <v/>
      </c>
      <c r="C338" s="29" t="str">
        <f>IF(ISNONTEXT(node_raw[[#This Row],[Column2]]), "", node_raw[[#This Row],[Column2]])</f>
        <v/>
      </c>
      <c r="D338" s="62" t="str">
        <f>IF(ISNUMBER(node_raw[[#This Row],[Column3]]), node_raw[[#This Row],[Column3]],"")</f>
        <v/>
      </c>
      <c r="E338" s="65" t="str">
        <f>IF(ISNUMBER(node_raw[[#This Row],[Column4]]), node_raw[[#This Row],[Column4]]/1048576,"")</f>
        <v/>
      </c>
      <c r="F338" s="91" t="str">
        <f>IF(ISNUMBER(node_raw[[#This Row],[Column5]]), node_raw[[#This Row],[Column5]],"")</f>
        <v/>
      </c>
      <c r="G338" s="80" t="str">
        <f t="shared" si="10"/>
        <v/>
      </c>
      <c r="H338" s="81" t="str">
        <f>IF(ISNUMBER(node_raw[[#This Row],[Column6]]), node_raw[[#This Row],[Column6]]/1048576,"")</f>
        <v/>
      </c>
      <c r="I338" s="82" t="str">
        <f t="shared" si="11"/>
        <v/>
      </c>
      <c r="J338" s="83" t="str">
        <f>IF(ISNONTEXT(node_raw[[#This Row],[Column7]]), "", node_raw[[#This Row],[Column7]]/100)</f>
        <v/>
      </c>
      <c r="K338" s="84" t="str">
        <f>IF(ISNONTEXT(node_raw[[#This Row],[Column8]]), "", node_raw[[#This Row],[Column8]]/100)</f>
        <v/>
      </c>
      <c r="L338" s="85" t="str">
        <f>IF(ISNONTEXT(node_raw[[#This Row],[Column9]]), "", node_raw[[#This Row],[Column9]]/1)</f>
        <v/>
      </c>
      <c r="M338" s="86" t="str">
        <f>IF(ISNONTEXT(node_raw[[#This Row],[Column10]]), "", node_raw[[#This Row],[Column10]]/1)</f>
        <v/>
      </c>
    </row>
    <row r="339" spans="2:13" ht="15.75" customHeight="1" x14ac:dyDescent="0.25">
      <c r="B339" s="32" t="str">
        <f>IF(ISNONTEXT(node_raw[[#This Row],[Column1]]), "", node_raw[[#This Row],[Column1]])</f>
        <v/>
      </c>
      <c r="C339" s="29" t="str">
        <f>IF(ISNONTEXT(node_raw[[#This Row],[Column2]]), "", node_raw[[#This Row],[Column2]])</f>
        <v/>
      </c>
      <c r="D339" s="62" t="str">
        <f>IF(ISNUMBER(node_raw[[#This Row],[Column3]]), node_raw[[#This Row],[Column3]],"")</f>
        <v/>
      </c>
      <c r="E339" s="65" t="str">
        <f>IF(ISNUMBER(node_raw[[#This Row],[Column4]]), node_raw[[#This Row],[Column4]]/1048576,"")</f>
        <v/>
      </c>
      <c r="F339" s="91" t="str">
        <f>IF(ISNUMBER(node_raw[[#This Row],[Column5]]), node_raw[[#This Row],[Column5]],"")</f>
        <v/>
      </c>
      <c r="G339" s="80" t="str">
        <f t="shared" si="10"/>
        <v/>
      </c>
      <c r="H339" s="81" t="str">
        <f>IF(ISNUMBER(node_raw[[#This Row],[Column6]]), node_raw[[#This Row],[Column6]]/1048576,"")</f>
        <v/>
      </c>
      <c r="I339" s="82" t="str">
        <f t="shared" si="11"/>
        <v/>
      </c>
      <c r="J339" s="83" t="str">
        <f>IF(ISNONTEXT(node_raw[[#This Row],[Column7]]), "", node_raw[[#This Row],[Column7]]/100)</f>
        <v/>
      </c>
      <c r="K339" s="84" t="str">
        <f>IF(ISNONTEXT(node_raw[[#This Row],[Column8]]), "", node_raw[[#This Row],[Column8]]/100)</f>
        <v/>
      </c>
      <c r="L339" s="85" t="str">
        <f>IF(ISNONTEXT(node_raw[[#This Row],[Column9]]), "", node_raw[[#This Row],[Column9]]/1)</f>
        <v/>
      </c>
      <c r="M339" s="86" t="str">
        <f>IF(ISNONTEXT(node_raw[[#This Row],[Column10]]), "", node_raw[[#This Row],[Column10]]/1)</f>
        <v/>
      </c>
    </row>
    <row r="340" spans="2:13" ht="15.75" customHeight="1" x14ac:dyDescent="0.25">
      <c r="B340" s="32" t="str">
        <f>IF(ISNONTEXT(node_raw[[#This Row],[Column1]]), "", node_raw[[#This Row],[Column1]])</f>
        <v/>
      </c>
      <c r="C340" s="29" t="str">
        <f>IF(ISNONTEXT(node_raw[[#This Row],[Column2]]), "", node_raw[[#This Row],[Column2]])</f>
        <v/>
      </c>
      <c r="D340" s="62" t="str">
        <f>IF(ISNUMBER(node_raw[[#This Row],[Column3]]), node_raw[[#This Row],[Column3]],"")</f>
        <v/>
      </c>
      <c r="E340" s="65" t="str">
        <f>IF(ISNUMBER(node_raw[[#This Row],[Column4]]), node_raw[[#This Row],[Column4]]/1048576,"")</f>
        <v/>
      </c>
      <c r="F340" s="91" t="str">
        <f>IF(ISNUMBER(node_raw[[#This Row],[Column5]]), node_raw[[#This Row],[Column5]],"")</f>
        <v/>
      </c>
      <c r="G340" s="80" t="str">
        <f t="shared" si="10"/>
        <v/>
      </c>
      <c r="H340" s="81" t="str">
        <f>IF(ISNUMBER(node_raw[[#This Row],[Column6]]), node_raw[[#This Row],[Column6]]/1048576,"")</f>
        <v/>
      </c>
      <c r="I340" s="82" t="str">
        <f t="shared" si="11"/>
        <v/>
      </c>
      <c r="J340" s="83" t="str">
        <f>IF(ISNONTEXT(node_raw[[#This Row],[Column7]]), "", node_raw[[#This Row],[Column7]]/100)</f>
        <v/>
      </c>
      <c r="K340" s="84" t="str">
        <f>IF(ISNONTEXT(node_raw[[#This Row],[Column8]]), "", node_raw[[#This Row],[Column8]]/100)</f>
        <v/>
      </c>
      <c r="L340" s="85" t="str">
        <f>IF(ISNONTEXT(node_raw[[#This Row],[Column9]]), "", node_raw[[#This Row],[Column9]]/1)</f>
        <v/>
      </c>
      <c r="M340" s="86" t="str">
        <f>IF(ISNONTEXT(node_raw[[#This Row],[Column10]]), "", node_raw[[#This Row],[Column10]]/1)</f>
        <v/>
      </c>
    </row>
    <row r="341" spans="2:13" ht="15.75" customHeight="1" x14ac:dyDescent="0.25">
      <c r="B341" s="32" t="str">
        <f>IF(ISNONTEXT(node_raw[[#This Row],[Column1]]), "", node_raw[[#This Row],[Column1]])</f>
        <v/>
      </c>
      <c r="C341" s="29" t="str">
        <f>IF(ISNONTEXT(node_raw[[#This Row],[Column2]]), "", node_raw[[#This Row],[Column2]])</f>
        <v/>
      </c>
      <c r="D341" s="62" t="str">
        <f>IF(ISNUMBER(node_raw[[#This Row],[Column3]]), node_raw[[#This Row],[Column3]],"")</f>
        <v/>
      </c>
      <c r="E341" s="65" t="str">
        <f>IF(ISNUMBER(node_raw[[#This Row],[Column4]]), node_raw[[#This Row],[Column4]]/1048576,"")</f>
        <v/>
      </c>
      <c r="F341" s="91" t="str">
        <f>IF(ISNUMBER(node_raw[[#This Row],[Column5]]), node_raw[[#This Row],[Column5]],"")</f>
        <v/>
      </c>
      <c r="G341" s="80" t="str">
        <f t="shared" si="10"/>
        <v/>
      </c>
      <c r="H341" s="81" t="str">
        <f>IF(ISNUMBER(node_raw[[#This Row],[Column6]]), node_raw[[#This Row],[Column6]]/1048576,"")</f>
        <v/>
      </c>
      <c r="I341" s="82" t="str">
        <f t="shared" si="11"/>
        <v/>
      </c>
      <c r="J341" s="83" t="str">
        <f>IF(ISNONTEXT(node_raw[[#This Row],[Column7]]), "", node_raw[[#This Row],[Column7]]/100)</f>
        <v/>
      </c>
      <c r="K341" s="84" t="str">
        <f>IF(ISNONTEXT(node_raw[[#This Row],[Column8]]), "", node_raw[[#This Row],[Column8]]/100)</f>
        <v/>
      </c>
      <c r="L341" s="85" t="str">
        <f>IF(ISNONTEXT(node_raw[[#This Row],[Column9]]), "", node_raw[[#This Row],[Column9]]/1)</f>
        <v/>
      </c>
      <c r="M341" s="86" t="str">
        <f>IF(ISNONTEXT(node_raw[[#This Row],[Column10]]), "", node_raw[[#This Row],[Column10]]/1)</f>
        <v/>
      </c>
    </row>
    <row r="342" spans="2:13" ht="15.75" customHeight="1" x14ac:dyDescent="0.25">
      <c r="B342" s="32" t="str">
        <f>IF(ISNONTEXT(node_raw[[#This Row],[Column1]]), "", node_raw[[#This Row],[Column1]])</f>
        <v/>
      </c>
      <c r="C342" s="29" t="str">
        <f>IF(ISNONTEXT(node_raw[[#This Row],[Column2]]), "", node_raw[[#This Row],[Column2]])</f>
        <v/>
      </c>
      <c r="D342" s="62" t="str">
        <f>IF(ISNUMBER(node_raw[[#This Row],[Column3]]), node_raw[[#This Row],[Column3]],"")</f>
        <v/>
      </c>
      <c r="E342" s="65" t="str">
        <f>IF(ISNUMBER(node_raw[[#This Row],[Column4]]), node_raw[[#This Row],[Column4]]/1048576,"")</f>
        <v/>
      </c>
      <c r="F342" s="91" t="str">
        <f>IF(ISNUMBER(node_raw[[#This Row],[Column5]]), node_raw[[#This Row],[Column5]],"")</f>
        <v/>
      </c>
      <c r="G342" s="80" t="str">
        <f t="shared" si="10"/>
        <v/>
      </c>
      <c r="H342" s="81" t="str">
        <f>IF(ISNUMBER(node_raw[[#This Row],[Column6]]), node_raw[[#This Row],[Column6]]/1048576,"")</f>
        <v/>
      </c>
      <c r="I342" s="82" t="str">
        <f t="shared" si="11"/>
        <v/>
      </c>
      <c r="J342" s="83" t="str">
        <f>IF(ISNONTEXT(node_raw[[#This Row],[Column7]]), "", node_raw[[#This Row],[Column7]]/100)</f>
        <v/>
      </c>
      <c r="K342" s="84" t="str">
        <f>IF(ISNONTEXT(node_raw[[#This Row],[Column8]]), "", node_raw[[#This Row],[Column8]]/100)</f>
        <v/>
      </c>
      <c r="L342" s="85" t="str">
        <f>IF(ISNONTEXT(node_raw[[#This Row],[Column9]]), "", node_raw[[#This Row],[Column9]]/1)</f>
        <v/>
      </c>
      <c r="M342" s="86" t="str">
        <f>IF(ISNONTEXT(node_raw[[#This Row],[Column10]]), "", node_raw[[#This Row],[Column10]]/1)</f>
        <v/>
      </c>
    </row>
    <row r="343" spans="2:13" ht="15.75" customHeight="1" x14ac:dyDescent="0.25">
      <c r="B343" s="32" t="str">
        <f>IF(ISNONTEXT(node_raw[[#This Row],[Column1]]), "", node_raw[[#This Row],[Column1]])</f>
        <v/>
      </c>
      <c r="C343" s="29" t="str">
        <f>IF(ISNONTEXT(node_raw[[#This Row],[Column2]]), "", node_raw[[#This Row],[Column2]])</f>
        <v/>
      </c>
      <c r="D343" s="62" t="str">
        <f>IF(ISNUMBER(node_raw[[#This Row],[Column3]]), node_raw[[#This Row],[Column3]],"")</f>
        <v/>
      </c>
      <c r="E343" s="65" t="str">
        <f>IF(ISNUMBER(node_raw[[#This Row],[Column4]]), node_raw[[#This Row],[Column4]]/1048576,"")</f>
        <v/>
      </c>
      <c r="F343" s="91" t="str">
        <f>IF(ISNUMBER(node_raw[[#This Row],[Column5]]), node_raw[[#This Row],[Column5]],"")</f>
        <v/>
      </c>
      <c r="G343" s="80" t="str">
        <f t="shared" si="10"/>
        <v/>
      </c>
      <c r="H343" s="81" t="str">
        <f>IF(ISNUMBER(node_raw[[#This Row],[Column6]]), node_raw[[#This Row],[Column6]]/1048576,"")</f>
        <v/>
      </c>
      <c r="I343" s="82" t="str">
        <f t="shared" si="11"/>
        <v/>
      </c>
      <c r="J343" s="83" t="str">
        <f>IF(ISNONTEXT(node_raw[[#This Row],[Column7]]), "", node_raw[[#This Row],[Column7]]/100)</f>
        <v/>
      </c>
      <c r="K343" s="84" t="str">
        <f>IF(ISNONTEXT(node_raw[[#This Row],[Column8]]), "", node_raw[[#This Row],[Column8]]/100)</f>
        <v/>
      </c>
      <c r="L343" s="85" t="str">
        <f>IF(ISNONTEXT(node_raw[[#This Row],[Column9]]), "", node_raw[[#This Row],[Column9]]/1)</f>
        <v/>
      </c>
      <c r="M343" s="86" t="str">
        <f>IF(ISNONTEXT(node_raw[[#This Row],[Column10]]), "", node_raw[[#This Row],[Column10]]/1)</f>
        <v/>
      </c>
    </row>
    <row r="344" spans="2:13" ht="15.75" customHeight="1" x14ac:dyDescent="0.25">
      <c r="B344" s="32" t="str">
        <f>IF(ISNONTEXT(node_raw[[#This Row],[Column1]]), "", node_raw[[#This Row],[Column1]])</f>
        <v/>
      </c>
      <c r="C344" s="29" t="str">
        <f>IF(ISNONTEXT(node_raw[[#This Row],[Column2]]), "", node_raw[[#This Row],[Column2]])</f>
        <v/>
      </c>
      <c r="D344" s="62" t="str">
        <f>IF(ISNUMBER(node_raw[[#This Row],[Column3]]), node_raw[[#This Row],[Column3]],"")</f>
        <v/>
      </c>
      <c r="E344" s="65" t="str">
        <f>IF(ISNUMBER(node_raw[[#This Row],[Column4]]), node_raw[[#This Row],[Column4]]/1048576,"")</f>
        <v/>
      </c>
      <c r="F344" s="91" t="str">
        <f>IF(ISNUMBER(node_raw[[#This Row],[Column5]]), node_raw[[#This Row],[Column5]],"")</f>
        <v/>
      </c>
      <c r="G344" s="80" t="str">
        <f t="shared" si="10"/>
        <v/>
      </c>
      <c r="H344" s="81" t="str">
        <f>IF(ISNUMBER(node_raw[[#This Row],[Column6]]), node_raw[[#This Row],[Column6]]/1048576,"")</f>
        <v/>
      </c>
      <c r="I344" s="82" t="str">
        <f t="shared" si="11"/>
        <v/>
      </c>
      <c r="J344" s="83" t="str">
        <f>IF(ISNONTEXT(node_raw[[#This Row],[Column7]]), "", node_raw[[#This Row],[Column7]]/100)</f>
        <v/>
      </c>
      <c r="K344" s="84" t="str">
        <f>IF(ISNONTEXT(node_raw[[#This Row],[Column8]]), "", node_raw[[#This Row],[Column8]]/100)</f>
        <v/>
      </c>
      <c r="L344" s="85" t="str">
        <f>IF(ISNONTEXT(node_raw[[#This Row],[Column9]]), "", node_raw[[#This Row],[Column9]]/1)</f>
        <v/>
      </c>
      <c r="M344" s="86" t="str">
        <f>IF(ISNONTEXT(node_raw[[#This Row],[Column10]]), "", node_raw[[#This Row],[Column10]]/1)</f>
        <v/>
      </c>
    </row>
    <row r="345" spans="2:13" ht="15.75" customHeight="1" x14ac:dyDescent="0.25">
      <c r="B345" s="32" t="str">
        <f>IF(ISNONTEXT(node_raw[[#This Row],[Column1]]), "", node_raw[[#This Row],[Column1]])</f>
        <v/>
      </c>
      <c r="C345" s="29" t="str">
        <f>IF(ISNONTEXT(node_raw[[#This Row],[Column2]]), "", node_raw[[#This Row],[Column2]])</f>
        <v/>
      </c>
      <c r="D345" s="62" t="str">
        <f>IF(ISNUMBER(node_raw[[#This Row],[Column3]]), node_raw[[#This Row],[Column3]],"")</f>
        <v/>
      </c>
      <c r="E345" s="65" t="str">
        <f>IF(ISNUMBER(node_raw[[#This Row],[Column4]]), node_raw[[#This Row],[Column4]]/1048576,"")</f>
        <v/>
      </c>
      <c r="F345" s="91" t="str">
        <f>IF(ISNUMBER(node_raw[[#This Row],[Column5]]), node_raw[[#This Row],[Column5]],"")</f>
        <v/>
      </c>
      <c r="G345" s="80" t="str">
        <f t="shared" si="10"/>
        <v/>
      </c>
      <c r="H345" s="81" t="str">
        <f>IF(ISNUMBER(node_raw[[#This Row],[Column6]]), node_raw[[#This Row],[Column6]]/1048576,"")</f>
        <v/>
      </c>
      <c r="I345" s="82" t="str">
        <f t="shared" si="11"/>
        <v/>
      </c>
      <c r="J345" s="83" t="str">
        <f>IF(ISNONTEXT(node_raw[[#This Row],[Column7]]), "", node_raw[[#This Row],[Column7]]/100)</f>
        <v/>
      </c>
      <c r="K345" s="84" t="str">
        <f>IF(ISNONTEXT(node_raw[[#This Row],[Column8]]), "", node_raw[[#This Row],[Column8]]/100)</f>
        <v/>
      </c>
      <c r="L345" s="85" t="str">
        <f>IF(ISNONTEXT(node_raw[[#This Row],[Column9]]), "", node_raw[[#This Row],[Column9]]/1)</f>
        <v/>
      </c>
      <c r="M345" s="86" t="str">
        <f>IF(ISNONTEXT(node_raw[[#This Row],[Column10]]), "", node_raw[[#This Row],[Column10]]/1)</f>
        <v/>
      </c>
    </row>
    <row r="346" spans="2:13" ht="15.75" customHeight="1" x14ac:dyDescent="0.25">
      <c r="B346" s="32" t="str">
        <f>IF(ISNONTEXT(node_raw[[#This Row],[Column1]]), "", node_raw[[#This Row],[Column1]])</f>
        <v/>
      </c>
      <c r="C346" s="29" t="str">
        <f>IF(ISNONTEXT(node_raw[[#This Row],[Column2]]), "", node_raw[[#This Row],[Column2]])</f>
        <v/>
      </c>
      <c r="D346" s="62" t="str">
        <f>IF(ISNUMBER(node_raw[[#This Row],[Column3]]), node_raw[[#This Row],[Column3]],"")</f>
        <v/>
      </c>
      <c r="E346" s="65" t="str">
        <f>IF(ISNUMBER(node_raw[[#This Row],[Column4]]), node_raw[[#This Row],[Column4]]/1048576,"")</f>
        <v/>
      </c>
      <c r="F346" s="91" t="str">
        <f>IF(ISNUMBER(node_raw[[#This Row],[Column5]]), node_raw[[#This Row],[Column5]],"")</f>
        <v/>
      </c>
      <c r="G346" s="80" t="str">
        <f t="shared" si="10"/>
        <v/>
      </c>
      <c r="H346" s="81" t="str">
        <f>IF(ISNUMBER(node_raw[[#This Row],[Column6]]), node_raw[[#This Row],[Column6]]/1048576,"")</f>
        <v/>
      </c>
      <c r="I346" s="82" t="str">
        <f t="shared" si="11"/>
        <v/>
      </c>
      <c r="J346" s="83" t="str">
        <f>IF(ISNONTEXT(node_raw[[#This Row],[Column7]]), "", node_raw[[#This Row],[Column7]]/100)</f>
        <v/>
      </c>
      <c r="K346" s="84" t="str">
        <f>IF(ISNONTEXT(node_raw[[#This Row],[Column8]]), "", node_raw[[#This Row],[Column8]]/100)</f>
        <v/>
      </c>
      <c r="L346" s="85" t="str">
        <f>IF(ISNONTEXT(node_raw[[#This Row],[Column9]]), "", node_raw[[#This Row],[Column9]]/1)</f>
        <v/>
      </c>
      <c r="M346" s="86" t="str">
        <f>IF(ISNONTEXT(node_raw[[#This Row],[Column10]]), "", node_raw[[#This Row],[Column10]]/1)</f>
        <v/>
      </c>
    </row>
    <row r="347" spans="2:13" ht="15.75" customHeight="1" x14ac:dyDescent="0.25">
      <c r="B347" s="32" t="str">
        <f>IF(ISNONTEXT(node_raw[[#This Row],[Column1]]), "", node_raw[[#This Row],[Column1]])</f>
        <v/>
      </c>
      <c r="C347" s="29" t="str">
        <f>IF(ISNONTEXT(node_raw[[#This Row],[Column2]]), "", node_raw[[#This Row],[Column2]])</f>
        <v/>
      </c>
      <c r="D347" s="62" t="str">
        <f>IF(ISNUMBER(node_raw[[#This Row],[Column3]]), node_raw[[#This Row],[Column3]],"")</f>
        <v/>
      </c>
      <c r="E347" s="65" t="str">
        <f>IF(ISNUMBER(node_raw[[#This Row],[Column4]]), node_raw[[#This Row],[Column4]]/1048576,"")</f>
        <v/>
      </c>
      <c r="F347" s="91" t="str">
        <f>IF(ISNUMBER(node_raw[[#This Row],[Column5]]), node_raw[[#This Row],[Column5]],"")</f>
        <v/>
      </c>
      <c r="G347" s="80" t="str">
        <f t="shared" si="10"/>
        <v/>
      </c>
      <c r="H347" s="81" t="str">
        <f>IF(ISNUMBER(node_raw[[#This Row],[Column6]]), node_raw[[#This Row],[Column6]]/1048576,"")</f>
        <v/>
      </c>
      <c r="I347" s="82" t="str">
        <f t="shared" si="11"/>
        <v/>
      </c>
      <c r="J347" s="83" t="str">
        <f>IF(ISNONTEXT(node_raw[[#This Row],[Column7]]), "", node_raw[[#This Row],[Column7]]/100)</f>
        <v/>
      </c>
      <c r="K347" s="84" t="str">
        <f>IF(ISNONTEXT(node_raw[[#This Row],[Column8]]), "", node_raw[[#This Row],[Column8]]/100)</f>
        <v/>
      </c>
      <c r="L347" s="85" t="str">
        <f>IF(ISNONTEXT(node_raw[[#This Row],[Column9]]), "", node_raw[[#This Row],[Column9]]/1)</f>
        <v/>
      </c>
      <c r="M347" s="86" t="str">
        <f>IF(ISNONTEXT(node_raw[[#This Row],[Column10]]), "", node_raw[[#This Row],[Column10]]/1)</f>
        <v/>
      </c>
    </row>
    <row r="348" spans="2:13" ht="15.75" customHeight="1" x14ac:dyDescent="0.25">
      <c r="B348" s="32" t="str">
        <f>IF(ISNONTEXT(node_raw[[#This Row],[Column1]]), "", node_raw[[#This Row],[Column1]])</f>
        <v/>
      </c>
      <c r="C348" s="29" t="str">
        <f>IF(ISNONTEXT(node_raw[[#This Row],[Column2]]), "", node_raw[[#This Row],[Column2]])</f>
        <v/>
      </c>
      <c r="D348" s="62" t="str">
        <f>IF(ISNUMBER(node_raw[[#This Row],[Column3]]), node_raw[[#This Row],[Column3]],"")</f>
        <v/>
      </c>
      <c r="E348" s="65" t="str">
        <f>IF(ISNUMBER(node_raw[[#This Row],[Column4]]), node_raw[[#This Row],[Column4]]/1048576,"")</f>
        <v/>
      </c>
      <c r="F348" s="91" t="str">
        <f>IF(ISNUMBER(node_raw[[#This Row],[Column5]]), node_raw[[#This Row],[Column5]],"")</f>
        <v/>
      </c>
      <c r="G348" s="80" t="str">
        <f t="shared" si="10"/>
        <v/>
      </c>
      <c r="H348" s="81" t="str">
        <f>IF(ISNUMBER(node_raw[[#This Row],[Column6]]), node_raw[[#This Row],[Column6]]/1048576,"")</f>
        <v/>
      </c>
      <c r="I348" s="82" t="str">
        <f t="shared" si="11"/>
        <v/>
      </c>
      <c r="J348" s="83" t="str">
        <f>IF(ISNONTEXT(node_raw[[#This Row],[Column7]]), "", node_raw[[#This Row],[Column7]]/100)</f>
        <v/>
      </c>
      <c r="K348" s="84" t="str">
        <f>IF(ISNONTEXT(node_raw[[#This Row],[Column8]]), "", node_raw[[#This Row],[Column8]]/100)</f>
        <v/>
      </c>
      <c r="L348" s="85" t="str">
        <f>IF(ISNONTEXT(node_raw[[#This Row],[Column9]]), "", node_raw[[#This Row],[Column9]]/1)</f>
        <v/>
      </c>
      <c r="M348" s="86" t="str">
        <f>IF(ISNONTEXT(node_raw[[#This Row],[Column10]]), "", node_raw[[#This Row],[Column10]]/1)</f>
        <v/>
      </c>
    </row>
    <row r="349" spans="2:13" ht="15.75" customHeight="1" x14ac:dyDescent="0.25">
      <c r="B349" s="32" t="str">
        <f>IF(ISNONTEXT(node_raw[[#This Row],[Column1]]), "", node_raw[[#This Row],[Column1]])</f>
        <v/>
      </c>
      <c r="C349" s="29" t="str">
        <f>IF(ISNONTEXT(node_raw[[#This Row],[Column2]]), "", node_raw[[#This Row],[Column2]])</f>
        <v/>
      </c>
      <c r="D349" s="62" t="str">
        <f>IF(ISNUMBER(node_raw[[#This Row],[Column3]]), node_raw[[#This Row],[Column3]],"")</f>
        <v/>
      </c>
      <c r="E349" s="65" t="str">
        <f>IF(ISNUMBER(node_raw[[#This Row],[Column4]]), node_raw[[#This Row],[Column4]]/1048576,"")</f>
        <v/>
      </c>
      <c r="F349" s="91" t="str">
        <f>IF(ISNUMBER(node_raw[[#This Row],[Column5]]), node_raw[[#This Row],[Column5]],"")</f>
        <v/>
      </c>
      <c r="G349" s="80" t="str">
        <f t="shared" si="10"/>
        <v/>
      </c>
      <c r="H349" s="81" t="str">
        <f>IF(ISNUMBER(node_raw[[#This Row],[Column6]]), node_raw[[#This Row],[Column6]]/1048576,"")</f>
        <v/>
      </c>
      <c r="I349" s="82" t="str">
        <f t="shared" si="11"/>
        <v/>
      </c>
      <c r="J349" s="83" t="str">
        <f>IF(ISNONTEXT(node_raw[[#This Row],[Column7]]), "", node_raw[[#This Row],[Column7]]/100)</f>
        <v/>
      </c>
      <c r="K349" s="84" t="str">
        <f>IF(ISNONTEXT(node_raw[[#This Row],[Column8]]), "", node_raw[[#This Row],[Column8]]/100)</f>
        <v/>
      </c>
      <c r="L349" s="85" t="str">
        <f>IF(ISNONTEXT(node_raw[[#This Row],[Column9]]), "", node_raw[[#This Row],[Column9]]/1)</f>
        <v/>
      </c>
      <c r="M349" s="86" t="str">
        <f>IF(ISNONTEXT(node_raw[[#This Row],[Column10]]), "", node_raw[[#This Row],[Column10]]/1)</f>
        <v/>
      </c>
    </row>
    <row r="350" spans="2:13" ht="15.75" customHeight="1" x14ac:dyDescent="0.25">
      <c r="B350" s="32" t="str">
        <f>IF(ISNONTEXT(node_raw[[#This Row],[Column1]]), "", node_raw[[#This Row],[Column1]])</f>
        <v/>
      </c>
      <c r="C350" s="29" t="str">
        <f>IF(ISNONTEXT(node_raw[[#This Row],[Column2]]), "", node_raw[[#This Row],[Column2]])</f>
        <v/>
      </c>
      <c r="D350" s="62" t="str">
        <f>IF(ISNUMBER(node_raw[[#This Row],[Column3]]), node_raw[[#This Row],[Column3]],"")</f>
        <v/>
      </c>
      <c r="E350" s="65" t="str">
        <f>IF(ISNUMBER(node_raw[[#This Row],[Column4]]), node_raw[[#This Row],[Column4]]/1048576,"")</f>
        <v/>
      </c>
      <c r="F350" s="91" t="str">
        <f>IF(ISNUMBER(node_raw[[#This Row],[Column5]]), node_raw[[#This Row],[Column5]],"")</f>
        <v/>
      </c>
      <c r="G350" s="80" t="str">
        <f t="shared" si="10"/>
        <v/>
      </c>
      <c r="H350" s="81" t="str">
        <f>IF(ISNUMBER(node_raw[[#This Row],[Column6]]), node_raw[[#This Row],[Column6]]/1048576,"")</f>
        <v/>
      </c>
      <c r="I350" s="82" t="str">
        <f t="shared" si="11"/>
        <v/>
      </c>
      <c r="J350" s="83" t="str">
        <f>IF(ISNONTEXT(node_raw[[#This Row],[Column7]]), "", node_raw[[#This Row],[Column7]]/100)</f>
        <v/>
      </c>
      <c r="K350" s="84" t="str">
        <f>IF(ISNONTEXT(node_raw[[#This Row],[Column8]]), "", node_raw[[#This Row],[Column8]]/100)</f>
        <v/>
      </c>
      <c r="L350" s="85" t="str">
        <f>IF(ISNONTEXT(node_raw[[#This Row],[Column9]]), "", node_raw[[#This Row],[Column9]]/1)</f>
        <v/>
      </c>
      <c r="M350" s="86" t="str">
        <f>IF(ISNONTEXT(node_raw[[#This Row],[Column10]]), "", node_raw[[#This Row],[Column10]]/1)</f>
        <v/>
      </c>
    </row>
    <row r="351" spans="2:13" ht="15.75" customHeight="1" x14ac:dyDescent="0.25">
      <c r="B351" s="32" t="str">
        <f>IF(ISNONTEXT(node_raw[[#This Row],[Column1]]), "", node_raw[[#This Row],[Column1]])</f>
        <v/>
      </c>
      <c r="C351" s="29" t="str">
        <f>IF(ISNONTEXT(node_raw[[#This Row],[Column2]]), "", node_raw[[#This Row],[Column2]])</f>
        <v/>
      </c>
      <c r="D351" s="62" t="str">
        <f>IF(ISNUMBER(node_raw[[#This Row],[Column3]]), node_raw[[#This Row],[Column3]],"")</f>
        <v/>
      </c>
      <c r="E351" s="65" t="str">
        <f>IF(ISNUMBER(node_raw[[#This Row],[Column4]]), node_raw[[#This Row],[Column4]]/1048576,"")</f>
        <v/>
      </c>
      <c r="F351" s="91" t="str">
        <f>IF(ISNUMBER(node_raw[[#This Row],[Column5]]), node_raw[[#This Row],[Column5]],"")</f>
        <v/>
      </c>
      <c r="G351" s="80" t="str">
        <f t="shared" si="10"/>
        <v/>
      </c>
      <c r="H351" s="81" t="str">
        <f>IF(ISNUMBER(node_raw[[#This Row],[Column6]]), node_raw[[#This Row],[Column6]]/1048576,"")</f>
        <v/>
      </c>
      <c r="I351" s="82" t="str">
        <f t="shared" si="11"/>
        <v/>
      </c>
      <c r="J351" s="83" t="str">
        <f>IF(ISNONTEXT(node_raw[[#This Row],[Column7]]), "", node_raw[[#This Row],[Column7]]/100)</f>
        <v/>
      </c>
      <c r="K351" s="84" t="str">
        <f>IF(ISNONTEXT(node_raw[[#This Row],[Column8]]), "", node_raw[[#This Row],[Column8]]/100)</f>
        <v/>
      </c>
      <c r="L351" s="85" t="str">
        <f>IF(ISNONTEXT(node_raw[[#This Row],[Column9]]), "", node_raw[[#This Row],[Column9]]/1)</f>
        <v/>
      </c>
      <c r="M351" s="86" t="str">
        <f>IF(ISNONTEXT(node_raw[[#This Row],[Column10]]), "", node_raw[[#This Row],[Column10]]/1)</f>
        <v/>
      </c>
    </row>
    <row r="352" spans="2:13" ht="15.75" customHeight="1" x14ac:dyDescent="0.25">
      <c r="B352" s="32" t="str">
        <f>IF(ISNONTEXT(node_raw[[#This Row],[Column1]]), "", node_raw[[#This Row],[Column1]])</f>
        <v/>
      </c>
      <c r="C352" s="29" t="str">
        <f>IF(ISNONTEXT(node_raw[[#This Row],[Column2]]), "", node_raw[[#This Row],[Column2]])</f>
        <v/>
      </c>
      <c r="D352" s="62" t="str">
        <f>IF(ISNUMBER(node_raw[[#This Row],[Column3]]), node_raw[[#This Row],[Column3]],"")</f>
        <v/>
      </c>
      <c r="E352" s="65" t="str">
        <f>IF(ISNUMBER(node_raw[[#This Row],[Column4]]), node_raw[[#This Row],[Column4]]/1048576,"")</f>
        <v/>
      </c>
      <c r="F352" s="91" t="str">
        <f>IF(ISNUMBER(node_raw[[#This Row],[Column5]]), node_raw[[#This Row],[Column5]],"")</f>
        <v/>
      </c>
      <c r="G352" s="80" t="str">
        <f t="shared" si="10"/>
        <v/>
      </c>
      <c r="H352" s="81" t="str">
        <f>IF(ISNUMBER(node_raw[[#This Row],[Column6]]), node_raw[[#This Row],[Column6]]/1048576,"")</f>
        <v/>
      </c>
      <c r="I352" s="82" t="str">
        <f t="shared" si="11"/>
        <v/>
      </c>
      <c r="J352" s="83" t="str">
        <f>IF(ISNONTEXT(node_raw[[#This Row],[Column7]]), "", node_raw[[#This Row],[Column7]]/100)</f>
        <v/>
      </c>
      <c r="K352" s="84" t="str">
        <f>IF(ISNONTEXT(node_raw[[#This Row],[Column8]]), "", node_raw[[#This Row],[Column8]]/100)</f>
        <v/>
      </c>
      <c r="L352" s="85" t="str">
        <f>IF(ISNONTEXT(node_raw[[#This Row],[Column9]]), "", node_raw[[#This Row],[Column9]]/1)</f>
        <v/>
      </c>
      <c r="M352" s="86" t="str">
        <f>IF(ISNONTEXT(node_raw[[#This Row],[Column10]]), "", node_raw[[#This Row],[Column10]]/1)</f>
        <v/>
      </c>
    </row>
    <row r="353" spans="2:13" ht="15.75" customHeight="1" x14ac:dyDescent="0.25">
      <c r="B353" s="32" t="str">
        <f>IF(ISNONTEXT(node_raw[[#This Row],[Column1]]), "", node_raw[[#This Row],[Column1]])</f>
        <v/>
      </c>
      <c r="C353" s="29" t="str">
        <f>IF(ISNONTEXT(node_raw[[#This Row],[Column2]]), "", node_raw[[#This Row],[Column2]])</f>
        <v/>
      </c>
      <c r="D353" s="62" t="str">
        <f>IF(ISNUMBER(node_raw[[#This Row],[Column3]]), node_raw[[#This Row],[Column3]],"")</f>
        <v/>
      </c>
      <c r="E353" s="65" t="str">
        <f>IF(ISNUMBER(node_raw[[#This Row],[Column4]]), node_raw[[#This Row],[Column4]]/1048576,"")</f>
        <v/>
      </c>
      <c r="F353" s="91" t="str">
        <f>IF(ISNUMBER(node_raw[[#This Row],[Column5]]), node_raw[[#This Row],[Column5]],"")</f>
        <v/>
      </c>
      <c r="G353" s="80" t="str">
        <f t="shared" si="10"/>
        <v/>
      </c>
      <c r="H353" s="81" t="str">
        <f>IF(ISNUMBER(node_raw[[#This Row],[Column6]]), node_raw[[#This Row],[Column6]]/1048576,"")</f>
        <v/>
      </c>
      <c r="I353" s="82" t="str">
        <f t="shared" si="11"/>
        <v/>
      </c>
      <c r="J353" s="83" t="str">
        <f>IF(ISNONTEXT(node_raw[[#This Row],[Column7]]), "", node_raw[[#This Row],[Column7]]/100)</f>
        <v/>
      </c>
      <c r="K353" s="84" t="str">
        <f>IF(ISNONTEXT(node_raw[[#This Row],[Column8]]), "", node_raw[[#This Row],[Column8]]/100)</f>
        <v/>
      </c>
      <c r="L353" s="85" t="str">
        <f>IF(ISNONTEXT(node_raw[[#This Row],[Column9]]), "", node_raw[[#This Row],[Column9]]/1)</f>
        <v/>
      </c>
      <c r="M353" s="86" t="str">
        <f>IF(ISNONTEXT(node_raw[[#This Row],[Column10]]), "", node_raw[[#This Row],[Column10]]/1)</f>
        <v/>
      </c>
    </row>
    <row r="354" spans="2:13" ht="15.75" customHeight="1" x14ac:dyDescent="0.25">
      <c r="B354" s="32" t="str">
        <f>IF(ISNONTEXT(node_raw[[#This Row],[Column1]]), "", node_raw[[#This Row],[Column1]])</f>
        <v/>
      </c>
      <c r="C354" s="29" t="str">
        <f>IF(ISNONTEXT(node_raw[[#This Row],[Column2]]), "", node_raw[[#This Row],[Column2]])</f>
        <v/>
      </c>
      <c r="D354" s="62" t="str">
        <f>IF(ISNUMBER(node_raw[[#This Row],[Column3]]), node_raw[[#This Row],[Column3]],"")</f>
        <v/>
      </c>
      <c r="E354" s="65" t="str">
        <f>IF(ISNUMBER(node_raw[[#This Row],[Column4]]), node_raw[[#This Row],[Column4]]/1048576,"")</f>
        <v/>
      </c>
      <c r="F354" s="91" t="str">
        <f>IF(ISNUMBER(node_raw[[#This Row],[Column5]]), node_raw[[#This Row],[Column5]],"")</f>
        <v/>
      </c>
      <c r="G354" s="80" t="str">
        <f t="shared" si="10"/>
        <v/>
      </c>
      <c r="H354" s="81" t="str">
        <f>IF(ISNUMBER(node_raw[[#This Row],[Column6]]), node_raw[[#This Row],[Column6]]/1048576,"")</f>
        <v/>
      </c>
      <c r="I354" s="82" t="str">
        <f t="shared" si="11"/>
        <v/>
      </c>
      <c r="J354" s="83" t="str">
        <f>IF(ISNONTEXT(node_raw[[#This Row],[Column7]]), "", node_raw[[#This Row],[Column7]]/100)</f>
        <v/>
      </c>
      <c r="K354" s="84" t="str">
        <f>IF(ISNONTEXT(node_raw[[#This Row],[Column8]]), "", node_raw[[#This Row],[Column8]]/100)</f>
        <v/>
      </c>
      <c r="L354" s="85" t="str">
        <f>IF(ISNONTEXT(node_raw[[#This Row],[Column9]]), "", node_raw[[#This Row],[Column9]]/1)</f>
        <v/>
      </c>
      <c r="M354" s="86" t="str">
        <f>IF(ISNONTEXT(node_raw[[#This Row],[Column10]]), "", node_raw[[#This Row],[Column10]]/1)</f>
        <v/>
      </c>
    </row>
    <row r="355" spans="2:13" ht="15.75" customHeight="1" x14ac:dyDescent="0.25">
      <c r="B355" s="32" t="str">
        <f>IF(ISNONTEXT(node_raw[[#This Row],[Column1]]), "", node_raw[[#This Row],[Column1]])</f>
        <v/>
      </c>
      <c r="C355" s="29" t="str">
        <f>IF(ISNONTEXT(node_raw[[#This Row],[Column2]]), "", node_raw[[#This Row],[Column2]])</f>
        <v/>
      </c>
      <c r="D355" s="62" t="str">
        <f>IF(ISNUMBER(node_raw[[#This Row],[Column3]]), node_raw[[#This Row],[Column3]],"")</f>
        <v/>
      </c>
      <c r="E355" s="65" t="str">
        <f>IF(ISNUMBER(node_raw[[#This Row],[Column4]]), node_raw[[#This Row],[Column4]]/1048576,"")</f>
        <v/>
      </c>
      <c r="F355" s="91" t="str">
        <f>IF(ISNUMBER(node_raw[[#This Row],[Column5]]), node_raw[[#This Row],[Column5]],"")</f>
        <v/>
      </c>
      <c r="G355" s="80" t="str">
        <f t="shared" si="10"/>
        <v/>
      </c>
      <c r="H355" s="81" t="str">
        <f>IF(ISNUMBER(node_raw[[#This Row],[Column6]]), node_raw[[#This Row],[Column6]]/1048576,"")</f>
        <v/>
      </c>
      <c r="I355" s="82" t="str">
        <f t="shared" si="11"/>
        <v/>
      </c>
      <c r="J355" s="83" t="str">
        <f>IF(ISNONTEXT(node_raw[[#This Row],[Column7]]), "", node_raw[[#This Row],[Column7]]/100)</f>
        <v/>
      </c>
      <c r="K355" s="84" t="str">
        <f>IF(ISNONTEXT(node_raw[[#This Row],[Column8]]), "", node_raw[[#This Row],[Column8]]/100)</f>
        <v/>
      </c>
      <c r="L355" s="85" t="str">
        <f>IF(ISNONTEXT(node_raw[[#This Row],[Column9]]), "", node_raw[[#This Row],[Column9]]/1)</f>
        <v/>
      </c>
      <c r="M355" s="86" t="str">
        <f>IF(ISNONTEXT(node_raw[[#This Row],[Column10]]), "", node_raw[[#This Row],[Column10]]/1)</f>
        <v/>
      </c>
    </row>
    <row r="356" spans="2:13" ht="15.75" customHeight="1" x14ac:dyDescent="0.25">
      <c r="B356" s="32" t="str">
        <f>IF(ISNONTEXT(node_raw[[#This Row],[Column1]]), "", node_raw[[#This Row],[Column1]])</f>
        <v/>
      </c>
      <c r="C356" s="29" t="str">
        <f>IF(ISNONTEXT(node_raw[[#This Row],[Column2]]), "", node_raw[[#This Row],[Column2]])</f>
        <v/>
      </c>
      <c r="D356" s="62" t="str">
        <f>IF(ISNUMBER(node_raw[[#This Row],[Column3]]), node_raw[[#This Row],[Column3]],"")</f>
        <v/>
      </c>
      <c r="E356" s="65" t="str">
        <f>IF(ISNUMBER(node_raw[[#This Row],[Column4]]), node_raw[[#This Row],[Column4]]/1048576,"")</f>
        <v/>
      </c>
      <c r="F356" s="91" t="str">
        <f>IF(ISNUMBER(node_raw[[#This Row],[Column5]]), node_raw[[#This Row],[Column5]],"")</f>
        <v/>
      </c>
      <c r="G356" s="80" t="str">
        <f t="shared" si="10"/>
        <v/>
      </c>
      <c r="H356" s="81" t="str">
        <f>IF(ISNUMBER(node_raw[[#This Row],[Column6]]), node_raw[[#This Row],[Column6]]/1048576,"")</f>
        <v/>
      </c>
      <c r="I356" s="82" t="str">
        <f t="shared" si="11"/>
        <v/>
      </c>
      <c r="J356" s="83" t="str">
        <f>IF(ISNONTEXT(node_raw[[#This Row],[Column7]]), "", node_raw[[#This Row],[Column7]]/100)</f>
        <v/>
      </c>
      <c r="K356" s="84" t="str">
        <f>IF(ISNONTEXT(node_raw[[#This Row],[Column8]]), "", node_raw[[#This Row],[Column8]]/100)</f>
        <v/>
      </c>
      <c r="L356" s="85" t="str">
        <f>IF(ISNONTEXT(node_raw[[#This Row],[Column9]]), "", node_raw[[#This Row],[Column9]]/1)</f>
        <v/>
      </c>
      <c r="M356" s="86" t="str">
        <f>IF(ISNONTEXT(node_raw[[#This Row],[Column10]]), "", node_raw[[#This Row],[Column10]]/1)</f>
        <v/>
      </c>
    </row>
    <row r="357" spans="2:13" ht="15.75" customHeight="1" x14ac:dyDescent="0.25">
      <c r="B357" s="32" t="str">
        <f>IF(ISNONTEXT(node_raw[[#This Row],[Column1]]), "", node_raw[[#This Row],[Column1]])</f>
        <v/>
      </c>
      <c r="C357" s="29" t="str">
        <f>IF(ISNONTEXT(node_raw[[#This Row],[Column2]]), "", node_raw[[#This Row],[Column2]])</f>
        <v/>
      </c>
      <c r="D357" s="62" t="str">
        <f>IF(ISNUMBER(node_raw[[#This Row],[Column3]]), node_raw[[#This Row],[Column3]],"")</f>
        <v/>
      </c>
      <c r="E357" s="65" t="str">
        <f>IF(ISNUMBER(node_raw[[#This Row],[Column4]]), node_raw[[#This Row],[Column4]]/1048576,"")</f>
        <v/>
      </c>
      <c r="F357" s="91" t="str">
        <f>IF(ISNUMBER(node_raw[[#This Row],[Column5]]), node_raw[[#This Row],[Column5]],"")</f>
        <v/>
      </c>
      <c r="G357" s="80" t="str">
        <f t="shared" si="10"/>
        <v/>
      </c>
      <c r="H357" s="81" t="str">
        <f>IF(ISNUMBER(node_raw[[#This Row],[Column6]]), node_raw[[#This Row],[Column6]]/1048576,"")</f>
        <v/>
      </c>
      <c r="I357" s="82" t="str">
        <f t="shared" si="11"/>
        <v/>
      </c>
      <c r="J357" s="83" t="str">
        <f>IF(ISNONTEXT(node_raw[[#This Row],[Column7]]), "", node_raw[[#This Row],[Column7]]/100)</f>
        <v/>
      </c>
      <c r="K357" s="84" t="str">
        <f>IF(ISNONTEXT(node_raw[[#This Row],[Column8]]), "", node_raw[[#This Row],[Column8]]/100)</f>
        <v/>
      </c>
      <c r="L357" s="85" t="str">
        <f>IF(ISNONTEXT(node_raw[[#This Row],[Column9]]), "", node_raw[[#This Row],[Column9]]/1)</f>
        <v/>
      </c>
      <c r="M357" s="86" t="str">
        <f>IF(ISNONTEXT(node_raw[[#This Row],[Column10]]), "", node_raw[[#This Row],[Column10]]/1)</f>
        <v/>
      </c>
    </row>
    <row r="358" spans="2:13" ht="15.75" customHeight="1" x14ac:dyDescent="0.25">
      <c r="B358" s="32" t="str">
        <f>IF(ISNONTEXT(node_raw[[#This Row],[Column1]]), "", node_raw[[#This Row],[Column1]])</f>
        <v/>
      </c>
      <c r="C358" s="29" t="str">
        <f>IF(ISNONTEXT(node_raw[[#This Row],[Column2]]), "", node_raw[[#This Row],[Column2]])</f>
        <v/>
      </c>
      <c r="D358" s="62" t="str">
        <f>IF(ISNUMBER(node_raw[[#This Row],[Column3]]), node_raw[[#This Row],[Column3]],"")</f>
        <v/>
      </c>
      <c r="E358" s="65" t="str">
        <f>IF(ISNUMBER(node_raw[[#This Row],[Column4]]), node_raw[[#This Row],[Column4]]/1048576,"")</f>
        <v/>
      </c>
      <c r="F358" s="91" t="str">
        <f>IF(ISNUMBER(node_raw[[#This Row],[Column5]]), node_raw[[#This Row],[Column5]],"")</f>
        <v/>
      </c>
      <c r="G358" s="80" t="str">
        <f t="shared" si="10"/>
        <v/>
      </c>
      <c r="H358" s="81" t="str">
        <f>IF(ISNUMBER(node_raw[[#This Row],[Column6]]), node_raw[[#This Row],[Column6]]/1048576,"")</f>
        <v/>
      </c>
      <c r="I358" s="82" t="str">
        <f t="shared" si="11"/>
        <v/>
      </c>
      <c r="J358" s="83" t="str">
        <f>IF(ISNONTEXT(node_raw[[#This Row],[Column7]]), "", node_raw[[#This Row],[Column7]]/100)</f>
        <v/>
      </c>
      <c r="K358" s="84" t="str">
        <f>IF(ISNONTEXT(node_raw[[#This Row],[Column8]]), "", node_raw[[#This Row],[Column8]]/100)</f>
        <v/>
      </c>
      <c r="L358" s="85" t="str">
        <f>IF(ISNONTEXT(node_raw[[#This Row],[Column9]]), "", node_raw[[#This Row],[Column9]]/1)</f>
        <v/>
      </c>
      <c r="M358" s="86" t="str">
        <f>IF(ISNONTEXT(node_raw[[#This Row],[Column10]]), "", node_raw[[#This Row],[Column10]]/1)</f>
        <v/>
      </c>
    </row>
    <row r="359" spans="2:13" ht="15.75" customHeight="1" x14ac:dyDescent="0.25">
      <c r="B359" s="32" t="str">
        <f>IF(ISNONTEXT(node_raw[[#This Row],[Column1]]), "", node_raw[[#This Row],[Column1]])</f>
        <v/>
      </c>
      <c r="C359" s="29" t="str">
        <f>IF(ISNONTEXT(node_raw[[#This Row],[Column2]]), "", node_raw[[#This Row],[Column2]])</f>
        <v/>
      </c>
      <c r="D359" s="62" t="str">
        <f>IF(ISNUMBER(node_raw[[#This Row],[Column3]]), node_raw[[#This Row],[Column3]],"")</f>
        <v/>
      </c>
      <c r="E359" s="65" t="str">
        <f>IF(ISNUMBER(node_raw[[#This Row],[Column4]]), node_raw[[#This Row],[Column4]]/1048576,"")</f>
        <v/>
      </c>
      <c r="F359" s="91" t="str">
        <f>IF(ISNUMBER(node_raw[[#This Row],[Column5]]), node_raw[[#This Row],[Column5]],"")</f>
        <v/>
      </c>
      <c r="G359" s="80" t="str">
        <f t="shared" si="10"/>
        <v/>
      </c>
      <c r="H359" s="81" t="str">
        <f>IF(ISNUMBER(node_raw[[#This Row],[Column6]]), node_raw[[#This Row],[Column6]]/1048576,"")</f>
        <v/>
      </c>
      <c r="I359" s="82" t="str">
        <f t="shared" si="11"/>
        <v/>
      </c>
      <c r="J359" s="83" t="str">
        <f>IF(ISNONTEXT(node_raw[[#This Row],[Column7]]), "", node_raw[[#This Row],[Column7]]/100)</f>
        <v/>
      </c>
      <c r="K359" s="84" t="str">
        <f>IF(ISNONTEXT(node_raw[[#This Row],[Column8]]), "", node_raw[[#This Row],[Column8]]/100)</f>
        <v/>
      </c>
      <c r="L359" s="85" t="str">
        <f>IF(ISNONTEXT(node_raw[[#This Row],[Column9]]), "", node_raw[[#This Row],[Column9]]/1)</f>
        <v/>
      </c>
      <c r="M359" s="86" t="str">
        <f>IF(ISNONTEXT(node_raw[[#This Row],[Column10]]), "", node_raw[[#This Row],[Column10]]/1)</f>
        <v/>
      </c>
    </row>
    <row r="360" spans="2:13" ht="15.75" customHeight="1" x14ac:dyDescent="0.25">
      <c r="B360" s="32" t="str">
        <f>IF(ISNONTEXT(node_raw[[#This Row],[Column1]]), "", node_raw[[#This Row],[Column1]])</f>
        <v/>
      </c>
      <c r="C360" s="29" t="str">
        <f>IF(ISNONTEXT(node_raw[[#This Row],[Column2]]), "", node_raw[[#This Row],[Column2]])</f>
        <v/>
      </c>
      <c r="D360" s="62" t="str">
        <f>IF(ISNUMBER(node_raw[[#This Row],[Column3]]), node_raw[[#This Row],[Column3]],"")</f>
        <v/>
      </c>
      <c r="E360" s="65" t="str">
        <f>IF(ISNUMBER(node_raw[[#This Row],[Column4]]), node_raw[[#This Row],[Column4]]/1048576,"")</f>
        <v/>
      </c>
      <c r="F360" s="91" t="str">
        <f>IF(ISNUMBER(node_raw[[#This Row],[Column5]]), node_raw[[#This Row],[Column5]],"")</f>
        <v/>
      </c>
      <c r="G360" s="80" t="str">
        <f t="shared" si="10"/>
        <v/>
      </c>
      <c r="H360" s="81" t="str">
        <f>IF(ISNUMBER(node_raw[[#This Row],[Column6]]), node_raw[[#This Row],[Column6]]/1048576,"")</f>
        <v/>
      </c>
      <c r="I360" s="82" t="str">
        <f t="shared" si="11"/>
        <v/>
      </c>
      <c r="J360" s="83" t="str">
        <f>IF(ISNONTEXT(node_raw[[#This Row],[Column7]]), "", node_raw[[#This Row],[Column7]]/100)</f>
        <v/>
      </c>
      <c r="K360" s="84" t="str">
        <f>IF(ISNONTEXT(node_raw[[#This Row],[Column8]]), "", node_raw[[#This Row],[Column8]]/100)</f>
        <v/>
      </c>
      <c r="L360" s="85" t="str">
        <f>IF(ISNONTEXT(node_raw[[#This Row],[Column9]]), "", node_raw[[#This Row],[Column9]]/1)</f>
        <v/>
      </c>
      <c r="M360" s="86" t="str">
        <f>IF(ISNONTEXT(node_raw[[#This Row],[Column10]]), "", node_raw[[#This Row],[Column10]]/1)</f>
        <v/>
      </c>
    </row>
    <row r="361" spans="2:13" ht="15.75" customHeight="1" x14ac:dyDescent="0.25">
      <c r="B361" s="32" t="str">
        <f>IF(ISNONTEXT(node_raw[[#This Row],[Column1]]), "", node_raw[[#This Row],[Column1]])</f>
        <v/>
      </c>
      <c r="C361" s="29" t="str">
        <f>IF(ISNONTEXT(node_raw[[#This Row],[Column2]]), "", node_raw[[#This Row],[Column2]])</f>
        <v/>
      </c>
      <c r="D361" s="62" t="str">
        <f>IF(ISNUMBER(node_raw[[#This Row],[Column3]]), node_raw[[#This Row],[Column3]],"")</f>
        <v/>
      </c>
      <c r="E361" s="65" t="str">
        <f>IF(ISNUMBER(node_raw[[#This Row],[Column4]]), node_raw[[#This Row],[Column4]]/1048576,"")</f>
        <v/>
      </c>
      <c r="F361" s="91" t="str">
        <f>IF(ISNUMBER(node_raw[[#This Row],[Column5]]), node_raw[[#This Row],[Column5]],"")</f>
        <v/>
      </c>
      <c r="G361" s="80" t="str">
        <f t="shared" si="10"/>
        <v/>
      </c>
      <c r="H361" s="81" t="str">
        <f>IF(ISNUMBER(node_raw[[#This Row],[Column6]]), node_raw[[#This Row],[Column6]]/1048576,"")</f>
        <v/>
      </c>
      <c r="I361" s="82" t="str">
        <f t="shared" si="11"/>
        <v/>
      </c>
      <c r="J361" s="83" t="str">
        <f>IF(ISNONTEXT(node_raw[[#This Row],[Column7]]), "", node_raw[[#This Row],[Column7]]/100)</f>
        <v/>
      </c>
      <c r="K361" s="84" t="str">
        <f>IF(ISNONTEXT(node_raw[[#This Row],[Column8]]), "", node_raw[[#This Row],[Column8]]/100)</f>
        <v/>
      </c>
      <c r="L361" s="85" t="str">
        <f>IF(ISNONTEXT(node_raw[[#This Row],[Column9]]), "", node_raw[[#This Row],[Column9]]/1)</f>
        <v/>
      </c>
      <c r="M361" s="86" t="str">
        <f>IF(ISNONTEXT(node_raw[[#This Row],[Column10]]), "", node_raw[[#This Row],[Column10]]/1)</f>
        <v/>
      </c>
    </row>
    <row r="362" spans="2:13" ht="15.75" customHeight="1" x14ac:dyDescent="0.25">
      <c r="B362" s="32" t="str">
        <f>IF(ISNONTEXT(node_raw[[#This Row],[Column1]]), "", node_raw[[#This Row],[Column1]])</f>
        <v/>
      </c>
      <c r="C362" s="29" t="str">
        <f>IF(ISNONTEXT(node_raw[[#This Row],[Column2]]), "", node_raw[[#This Row],[Column2]])</f>
        <v/>
      </c>
      <c r="D362" s="62" t="str">
        <f>IF(ISNUMBER(node_raw[[#This Row],[Column3]]), node_raw[[#This Row],[Column3]],"")</f>
        <v/>
      </c>
      <c r="E362" s="65" t="str">
        <f>IF(ISNUMBER(node_raw[[#This Row],[Column4]]), node_raw[[#This Row],[Column4]]/1048576,"")</f>
        <v/>
      </c>
      <c r="F362" s="91" t="str">
        <f>IF(ISNUMBER(node_raw[[#This Row],[Column5]]), node_raw[[#This Row],[Column5]],"")</f>
        <v/>
      </c>
      <c r="G362" s="80" t="str">
        <f t="shared" si="10"/>
        <v/>
      </c>
      <c r="H362" s="81" t="str">
        <f>IF(ISNUMBER(node_raw[[#This Row],[Column6]]), node_raw[[#This Row],[Column6]]/1048576,"")</f>
        <v/>
      </c>
      <c r="I362" s="82" t="str">
        <f t="shared" si="11"/>
        <v/>
      </c>
      <c r="J362" s="83" t="str">
        <f>IF(ISNONTEXT(node_raw[[#This Row],[Column7]]), "", node_raw[[#This Row],[Column7]]/100)</f>
        <v/>
      </c>
      <c r="K362" s="84" t="str">
        <f>IF(ISNONTEXT(node_raw[[#This Row],[Column8]]), "", node_raw[[#This Row],[Column8]]/100)</f>
        <v/>
      </c>
      <c r="L362" s="85" t="str">
        <f>IF(ISNONTEXT(node_raw[[#This Row],[Column9]]), "", node_raw[[#This Row],[Column9]]/1)</f>
        <v/>
      </c>
      <c r="M362" s="86" t="str">
        <f>IF(ISNONTEXT(node_raw[[#This Row],[Column10]]), "", node_raw[[#This Row],[Column10]]/1)</f>
        <v/>
      </c>
    </row>
    <row r="363" spans="2:13" ht="15.75" customHeight="1" x14ac:dyDescent="0.25">
      <c r="B363" s="32" t="str">
        <f>IF(ISNONTEXT(node_raw[[#This Row],[Column1]]), "", node_raw[[#This Row],[Column1]])</f>
        <v/>
      </c>
      <c r="C363" s="29" t="str">
        <f>IF(ISNONTEXT(node_raw[[#This Row],[Column2]]), "", node_raw[[#This Row],[Column2]])</f>
        <v/>
      </c>
      <c r="D363" s="62" t="str">
        <f>IF(ISNUMBER(node_raw[[#This Row],[Column3]]), node_raw[[#This Row],[Column3]],"")</f>
        <v/>
      </c>
      <c r="E363" s="65" t="str">
        <f>IF(ISNUMBER(node_raw[[#This Row],[Column4]]), node_raw[[#This Row],[Column4]]/1048576,"")</f>
        <v/>
      </c>
      <c r="F363" s="91" t="str">
        <f>IF(ISNUMBER(node_raw[[#This Row],[Column5]]), node_raw[[#This Row],[Column5]],"")</f>
        <v/>
      </c>
      <c r="G363" s="80" t="str">
        <f t="shared" si="10"/>
        <v/>
      </c>
      <c r="H363" s="81" t="str">
        <f>IF(ISNUMBER(node_raw[[#This Row],[Column6]]), node_raw[[#This Row],[Column6]]/1048576,"")</f>
        <v/>
      </c>
      <c r="I363" s="82" t="str">
        <f t="shared" si="11"/>
        <v/>
      </c>
      <c r="J363" s="83" t="str">
        <f>IF(ISNONTEXT(node_raw[[#This Row],[Column7]]), "", node_raw[[#This Row],[Column7]]/100)</f>
        <v/>
      </c>
      <c r="K363" s="84" t="str">
        <f>IF(ISNONTEXT(node_raw[[#This Row],[Column8]]), "", node_raw[[#This Row],[Column8]]/100)</f>
        <v/>
      </c>
      <c r="L363" s="85" t="str">
        <f>IF(ISNONTEXT(node_raw[[#This Row],[Column9]]), "", node_raw[[#This Row],[Column9]]/1)</f>
        <v/>
      </c>
      <c r="M363" s="86" t="str">
        <f>IF(ISNONTEXT(node_raw[[#This Row],[Column10]]), "", node_raw[[#This Row],[Column10]]/1)</f>
        <v/>
      </c>
    </row>
    <row r="364" spans="2:13" ht="15.75" customHeight="1" x14ac:dyDescent="0.25">
      <c r="B364" s="32" t="str">
        <f>IF(ISNONTEXT(node_raw[[#This Row],[Column1]]), "", node_raw[[#This Row],[Column1]])</f>
        <v/>
      </c>
      <c r="C364" s="29" t="str">
        <f>IF(ISNONTEXT(node_raw[[#This Row],[Column2]]), "", node_raw[[#This Row],[Column2]])</f>
        <v/>
      </c>
      <c r="D364" s="62" t="str">
        <f>IF(ISNUMBER(node_raw[[#This Row],[Column3]]), node_raw[[#This Row],[Column3]],"")</f>
        <v/>
      </c>
      <c r="E364" s="65" t="str">
        <f>IF(ISNUMBER(node_raw[[#This Row],[Column4]]), node_raw[[#This Row],[Column4]]/1048576,"")</f>
        <v/>
      </c>
      <c r="F364" s="91" t="str">
        <f>IF(ISNUMBER(node_raw[[#This Row],[Column5]]), node_raw[[#This Row],[Column5]],"")</f>
        <v/>
      </c>
      <c r="G364" s="80" t="str">
        <f t="shared" si="10"/>
        <v/>
      </c>
      <c r="H364" s="81" t="str">
        <f>IF(ISNUMBER(node_raw[[#This Row],[Column6]]), node_raw[[#This Row],[Column6]]/1048576,"")</f>
        <v/>
      </c>
      <c r="I364" s="82" t="str">
        <f t="shared" si="11"/>
        <v/>
      </c>
      <c r="J364" s="83" t="str">
        <f>IF(ISNONTEXT(node_raw[[#This Row],[Column7]]), "", node_raw[[#This Row],[Column7]]/100)</f>
        <v/>
      </c>
      <c r="K364" s="84" t="str">
        <f>IF(ISNONTEXT(node_raw[[#This Row],[Column8]]), "", node_raw[[#This Row],[Column8]]/100)</f>
        <v/>
      </c>
      <c r="L364" s="85" t="str">
        <f>IF(ISNONTEXT(node_raw[[#This Row],[Column9]]), "", node_raw[[#This Row],[Column9]]/1)</f>
        <v/>
      </c>
      <c r="M364" s="86" t="str">
        <f>IF(ISNONTEXT(node_raw[[#This Row],[Column10]]), "", node_raw[[#This Row],[Column10]]/1)</f>
        <v/>
      </c>
    </row>
    <row r="365" spans="2:13" ht="15.75" customHeight="1" x14ac:dyDescent="0.25">
      <c r="B365" s="32" t="str">
        <f>IF(ISNONTEXT(node_raw[[#This Row],[Column1]]), "", node_raw[[#This Row],[Column1]])</f>
        <v/>
      </c>
      <c r="C365" s="29" t="str">
        <f>IF(ISNONTEXT(node_raw[[#This Row],[Column2]]), "", node_raw[[#This Row],[Column2]])</f>
        <v/>
      </c>
      <c r="D365" s="62" t="str">
        <f>IF(ISNUMBER(node_raw[[#This Row],[Column3]]), node_raw[[#This Row],[Column3]],"")</f>
        <v/>
      </c>
      <c r="E365" s="65" t="str">
        <f>IF(ISNUMBER(node_raw[[#This Row],[Column4]]), node_raw[[#This Row],[Column4]]/1048576,"")</f>
        <v/>
      </c>
      <c r="F365" s="91" t="str">
        <f>IF(ISNUMBER(node_raw[[#This Row],[Column5]]), node_raw[[#This Row],[Column5]],"")</f>
        <v/>
      </c>
      <c r="G365" s="80" t="str">
        <f t="shared" si="10"/>
        <v/>
      </c>
      <c r="H365" s="81" t="str">
        <f>IF(ISNUMBER(node_raw[[#This Row],[Column6]]), node_raw[[#This Row],[Column6]]/1048576,"")</f>
        <v/>
      </c>
      <c r="I365" s="82" t="str">
        <f t="shared" si="11"/>
        <v/>
      </c>
      <c r="J365" s="83" t="str">
        <f>IF(ISNONTEXT(node_raw[[#This Row],[Column7]]), "", node_raw[[#This Row],[Column7]]/100)</f>
        <v/>
      </c>
      <c r="K365" s="84" t="str">
        <f>IF(ISNONTEXT(node_raw[[#This Row],[Column8]]), "", node_raw[[#This Row],[Column8]]/100)</f>
        <v/>
      </c>
      <c r="L365" s="85" t="str">
        <f>IF(ISNONTEXT(node_raw[[#This Row],[Column9]]), "", node_raw[[#This Row],[Column9]]/1)</f>
        <v/>
      </c>
      <c r="M365" s="86" t="str">
        <f>IF(ISNONTEXT(node_raw[[#This Row],[Column10]]), "", node_raw[[#This Row],[Column10]]/1)</f>
        <v/>
      </c>
    </row>
    <row r="366" spans="2:13" ht="15.75" customHeight="1" x14ac:dyDescent="0.25">
      <c r="B366" s="32" t="str">
        <f>IF(ISNONTEXT(node_raw[[#This Row],[Column1]]), "", node_raw[[#This Row],[Column1]])</f>
        <v/>
      </c>
      <c r="C366" s="29" t="str">
        <f>IF(ISNONTEXT(node_raw[[#This Row],[Column2]]), "", node_raw[[#This Row],[Column2]])</f>
        <v/>
      </c>
      <c r="D366" s="62" t="str">
        <f>IF(ISNUMBER(node_raw[[#This Row],[Column3]]), node_raw[[#This Row],[Column3]],"")</f>
        <v/>
      </c>
      <c r="E366" s="65" t="str">
        <f>IF(ISNUMBER(node_raw[[#This Row],[Column4]]), node_raw[[#This Row],[Column4]]/1048576,"")</f>
        <v/>
      </c>
      <c r="F366" s="91" t="str">
        <f>IF(ISNUMBER(node_raw[[#This Row],[Column5]]), node_raw[[#This Row],[Column5]],"")</f>
        <v/>
      </c>
      <c r="G366" s="80" t="str">
        <f t="shared" si="10"/>
        <v/>
      </c>
      <c r="H366" s="81" t="str">
        <f>IF(ISNUMBER(node_raw[[#This Row],[Column6]]), node_raw[[#This Row],[Column6]]/1048576,"")</f>
        <v/>
      </c>
      <c r="I366" s="82" t="str">
        <f t="shared" si="11"/>
        <v/>
      </c>
      <c r="J366" s="83" t="str">
        <f>IF(ISNONTEXT(node_raw[[#This Row],[Column7]]), "", node_raw[[#This Row],[Column7]]/100)</f>
        <v/>
      </c>
      <c r="K366" s="84" t="str">
        <f>IF(ISNONTEXT(node_raw[[#This Row],[Column8]]), "", node_raw[[#This Row],[Column8]]/100)</f>
        <v/>
      </c>
      <c r="L366" s="85" t="str">
        <f>IF(ISNONTEXT(node_raw[[#This Row],[Column9]]), "", node_raw[[#This Row],[Column9]]/1)</f>
        <v/>
      </c>
      <c r="M366" s="86" t="str">
        <f>IF(ISNONTEXT(node_raw[[#This Row],[Column10]]), "", node_raw[[#This Row],[Column10]]/1)</f>
        <v/>
      </c>
    </row>
    <row r="367" spans="2:13" ht="15.75" customHeight="1" x14ac:dyDescent="0.25">
      <c r="B367" s="32" t="str">
        <f>IF(ISNONTEXT(node_raw[[#This Row],[Column1]]), "", node_raw[[#This Row],[Column1]])</f>
        <v/>
      </c>
      <c r="C367" s="29" t="str">
        <f>IF(ISNONTEXT(node_raw[[#This Row],[Column2]]), "", node_raw[[#This Row],[Column2]])</f>
        <v/>
      </c>
      <c r="D367" s="62" t="str">
        <f>IF(ISNUMBER(node_raw[[#This Row],[Column3]]), node_raw[[#This Row],[Column3]],"")</f>
        <v/>
      </c>
      <c r="E367" s="65" t="str">
        <f>IF(ISNUMBER(node_raw[[#This Row],[Column4]]), node_raw[[#This Row],[Column4]]/1048576,"")</f>
        <v/>
      </c>
      <c r="F367" s="91" t="str">
        <f>IF(ISNUMBER(node_raw[[#This Row],[Column5]]), node_raw[[#This Row],[Column5]],"")</f>
        <v/>
      </c>
      <c r="G367" s="80" t="str">
        <f t="shared" si="10"/>
        <v/>
      </c>
      <c r="H367" s="81" t="str">
        <f>IF(ISNUMBER(node_raw[[#This Row],[Column6]]), node_raw[[#This Row],[Column6]]/1048576,"")</f>
        <v/>
      </c>
      <c r="I367" s="82" t="str">
        <f t="shared" si="11"/>
        <v/>
      </c>
      <c r="J367" s="83" t="str">
        <f>IF(ISNONTEXT(node_raw[[#This Row],[Column7]]), "", node_raw[[#This Row],[Column7]]/100)</f>
        <v/>
      </c>
      <c r="K367" s="84" t="str">
        <f>IF(ISNONTEXT(node_raw[[#This Row],[Column8]]), "", node_raw[[#This Row],[Column8]]/100)</f>
        <v/>
      </c>
      <c r="L367" s="85" t="str">
        <f>IF(ISNONTEXT(node_raw[[#This Row],[Column9]]), "", node_raw[[#This Row],[Column9]]/1)</f>
        <v/>
      </c>
      <c r="M367" s="86" t="str">
        <f>IF(ISNONTEXT(node_raw[[#This Row],[Column10]]), "", node_raw[[#This Row],[Column10]]/1)</f>
        <v/>
      </c>
    </row>
    <row r="368" spans="2:13" ht="15.75" customHeight="1" x14ac:dyDescent="0.25">
      <c r="B368" s="32" t="str">
        <f>IF(ISNONTEXT(node_raw[[#This Row],[Column1]]), "", node_raw[[#This Row],[Column1]])</f>
        <v/>
      </c>
      <c r="C368" s="29" t="str">
        <f>IF(ISNONTEXT(node_raw[[#This Row],[Column2]]), "", node_raw[[#This Row],[Column2]])</f>
        <v/>
      </c>
      <c r="D368" s="62" t="str">
        <f>IF(ISNUMBER(node_raw[[#This Row],[Column3]]), node_raw[[#This Row],[Column3]],"")</f>
        <v/>
      </c>
      <c r="E368" s="65" t="str">
        <f>IF(ISNUMBER(node_raw[[#This Row],[Column4]]), node_raw[[#This Row],[Column4]]/1048576,"")</f>
        <v/>
      </c>
      <c r="F368" s="91" t="str">
        <f>IF(ISNUMBER(node_raw[[#This Row],[Column5]]), node_raw[[#This Row],[Column5]],"")</f>
        <v/>
      </c>
      <c r="G368" s="80" t="str">
        <f t="shared" si="10"/>
        <v/>
      </c>
      <c r="H368" s="81" t="str">
        <f>IF(ISNUMBER(node_raw[[#This Row],[Column6]]), node_raw[[#This Row],[Column6]]/1048576,"")</f>
        <v/>
      </c>
      <c r="I368" s="82" t="str">
        <f t="shared" si="11"/>
        <v/>
      </c>
      <c r="J368" s="83" t="str">
        <f>IF(ISNONTEXT(node_raw[[#This Row],[Column7]]), "", node_raw[[#This Row],[Column7]]/100)</f>
        <v/>
      </c>
      <c r="K368" s="84" t="str">
        <f>IF(ISNONTEXT(node_raw[[#This Row],[Column8]]), "", node_raw[[#This Row],[Column8]]/100)</f>
        <v/>
      </c>
      <c r="L368" s="85" t="str">
        <f>IF(ISNONTEXT(node_raw[[#This Row],[Column9]]), "", node_raw[[#This Row],[Column9]]/1)</f>
        <v/>
      </c>
      <c r="M368" s="86" t="str">
        <f>IF(ISNONTEXT(node_raw[[#This Row],[Column10]]), "", node_raw[[#This Row],[Column10]]/1)</f>
        <v/>
      </c>
    </row>
    <row r="369" spans="2:13" ht="15.75" customHeight="1" x14ac:dyDescent="0.25">
      <c r="B369" s="32" t="str">
        <f>IF(ISNONTEXT(node_raw[[#This Row],[Column1]]), "", node_raw[[#This Row],[Column1]])</f>
        <v/>
      </c>
      <c r="C369" s="29" t="str">
        <f>IF(ISNONTEXT(node_raw[[#This Row],[Column2]]), "", node_raw[[#This Row],[Column2]])</f>
        <v/>
      </c>
      <c r="D369" s="62" t="str">
        <f>IF(ISNUMBER(node_raw[[#This Row],[Column3]]), node_raw[[#This Row],[Column3]],"")</f>
        <v/>
      </c>
      <c r="E369" s="65" t="str">
        <f>IF(ISNUMBER(node_raw[[#This Row],[Column4]]), node_raw[[#This Row],[Column4]]/1048576,"")</f>
        <v/>
      </c>
      <c r="F369" s="91" t="str">
        <f>IF(ISNUMBER(node_raw[[#This Row],[Column5]]), node_raw[[#This Row],[Column5]],"")</f>
        <v/>
      </c>
      <c r="G369" s="80" t="str">
        <f t="shared" si="10"/>
        <v/>
      </c>
      <c r="H369" s="81" t="str">
        <f>IF(ISNUMBER(node_raw[[#This Row],[Column6]]), node_raw[[#This Row],[Column6]]/1048576,"")</f>
        <v/>
      </c>
      <c r="I369" s="82" t="str">
        <f t="shared" si="11"/>
        <v/>
      </c>
      <c r="J369" s="83" t="str">
        <f>IF(ISNONTEXT(node_raw[[#This Row],[Column7]]), "", node_raw[[#This Row],[Column7]]/100)</f>
        <v/>
      </c>
      <c r="K369" s="84" t="str">
        <f>IF(ISNONTEXT(node_raw[[#This Row],[Column8]]), "", node_raw[[#This Row],[Column8]]/100)</f>
        <v/>
      </c>
      <c r="L369" s="85" t="str">
        <f>IF(ISNONTEXT(node_raw[[#This Row],[Column9]]), "", node_raw[[#This Row],[Column9]]/1)</f>
        <v/>
      </c>
      <c r="M369" s="86" t="str">
        <f>IF(ISNONTEXT(node_raw[[#This Row],[Column10]]), "", node_raw[[#This Row],[Column10]]/1)</f>
        <v/>
      </c>
    </row>
    <row r="370" spans="2:13" ht="15.75" customHeight="1" x14ac:dyDescent="0.25">
      <c r="B370" s="32" t="str">
        <f>IF(ISNONTEXT(node_raw[[#This Row],[Column1]]), "", node_raw[[#This Row],[Column1]])</f>
        <v/>
      </c>
      <c r="C370" s="29" t="str">
        <f>IF(ISNONTEXT(node_raw[[#This Row],[Column2]]), "", node_raw[[#This Row],[Column2]])</f>
        <v/>
      </c>
      <c r="D370" s="62" t="str">
        <f>IF(ISNUMBER(node_raw[[#This Row],[Column3]]), node_raw[[#This Row],[Column3]],"")</f>
        <v/>
      </c>
      <c r="E370" s="65" t="str">
        <f>IF(ISNUMBER(node_raw[[#This Row],[Column4]]), node_raw[[#This Row],[Column4]]/1048576,"")</f>
        <v/>
      </c>
      <c r="F370" s="91" t="str">
        <f>IF(ISNUMBER(node_raw[[#This Row],[Column5]]), node_raw[[#This Row],[Column5]],"")</f>
        <v/>
      </c>
      <c r="G370" s="80" t="str">
        <f t="shared" si="10"/>
        <v/>
      </c>
      <c r="H370" s="81" t="str">
        <f>IF(ISNUMBER(node_raw[[#This Row],[Column6]]), node_raw[[#This Row],[Column6]]/1048576,"")</f>
        <v/>
      </c>
      <c r="I370" s="82" t="str">
        <f t="shared" si="11"/>
        <v/>
      </c>
      <c r="J370" s="83" t="str">
        <f>IF(ISNONTEXT(node_raw[[#This Row],[Column7]]), "", node_raw[[#This Row],[Column7]]/100)</f>
        <v/>
      </c>
      <c r="K370" s="84" t="str">
        <f>IF(ISNONTEXT(node_raw[[#This Row],[Column8]]), "", node_raw[[#This Row],[Column8]]/100)</f>
        <v/>
      </c>
      <c r="L370" s="85" t="str">
        <f>IF(ISNONTEXT(node_raw[[#This Row],[Column9]]), "", node_raw[[#This Row],[Column9]]/1)</f>
        <v/>
      </c>
      <c r="M370" s="86" t="str">
        <f>IF(ISNONTEXT(node_raw[[#This Row],[Column10]]), "", node_raw[[#This Row],[Column10]]/1)</f>
        <v/>
      </c>
    </row>
    <row r="371" spans="2:13" ht="15.75" customHeight="1" x14ac:dyDescent="0.25">
      <c r="B371" s="32" t="str">
        <f>IF(ISNONTEXT(node_raw[[#This Row],[Column1]]), "", node_raw[[#This Row],[Column1]])</f>
        <v/>
      </c>
      <c r="C371" s="29" t="str">
        <f>IF(ISNONTEXT(node_raw[[#This Row],[Column2]]), "", node_raw[[#This Row],[Column2]])</f>
        <v/>
      </c>
      <c r="D371" s="62" t="str">
        <f>IF(ISNUMBER(node_raw[[#This Row],[Column3]]), node_raw[[#This Row],[Column3]],"")</f>
        <v/>
      </c>
      <c r="E371" s="65" t="str">
        <f>IF(ISNUMBER(node_raw[[#This Row],[Column4]]), node_raw[[#This Row],[Column4]]/1048576,"")</f>
        <v/>
      </c>
      <c r="F371" s="91" t="str">
        <f>IF(ISNUMBER(node_raw[[#This Row],[Column5]]), node_raw[[#This Row],[Column5]],"")</f>
        <v/>
      </c>
      <c r="G371" s="80" t="str">
        <f t="shared" si="10"/>
        <v/>
      </c>
      <c r="H371" s="81" t="str">
        <f>IF(ISNUMBER(node_raw[[#This Row],[Column6]]), node_raw[[#This Row],[Column6]]/1048576,"")</f>
        <v/>
      </c>
      <c r="I371" s="82" t="str">
        <f t="shared" si="11"/>
        <v/>
      </c>
      <c r="J371" s="83" t="str">
        <f>IF(ISNONTEXT(node_raw[[#This Row],[Column7]]), "", node_raw[[#This Row],[Column7]]/100)</f>
        <v/>
      </c>
      <c r="K371" s="84" t="str">
        <f>IF(ISNONTEXT(node_raw[[#This Row],[Column8]]), "", node_raw[[#This Row],[Column8]]/100)</f>
        <v/>
      </c>
      <c r="L371" s="85" t="str">
        <f>IF(ISNONTEXT(node_raw[[#This Row],[Column9]]), "", node_raw[[#This Row],[Column9]]/1)</f>
        <v/>
      </c>
      <c r="M371" s="86" t="str">
        <f>IF(ISNONTEXT(node_raw[[#This Row],[Column10]]), "", node_raw[[#This Row],[Column10]]/1)</f>
        <v/>
      </c>
    </row>
    <row r="372" spans="2:13" ht="15.75" customHeight="1" x14ac:dyDescent="0.25">
      <c r="B372" s="32" t="str">
        <f>IF(ISNONTEXT(node_raw[[#This Row],[Column1]]), "", node_raw[[#This Row],[Column1]])</f>
        <v/>
      </c>
      <c r="C372" s="29" t="str">
        <f>IF(ISNONTEXT(node_raw[[#This Row],[Column2]]), "", node_raw[[#This Row],[Column2]])</f>
        <v/>
      </c>
      <c r="D372" s="62" t="str">
        <f>IF(ISNUMBER(node_raw[[#This Row],[Column3]]), node_raw[[#This Row],[Column3]],"")</f>
        <v/>
      </c>
      <c r="E372" s="65" t="str">
        <f>IF(ISNUMBER(node_raw[[#This Row],[Column4]]), node_raw[[#This Row],[Column4]]/1048576,"")</f>
        <v/>
      </c>
      <c r="F372" s="91" t="str">
        <f>IF(ISNUMBER(node_raw[[#This Row],[Column5]]), node_raw[[#This Row],[Column5]],"")</f>
        <v/>
      </c>
      <c r="G372" s="80" t="str">
        <f t="shared" si="10"/>
        <v/>
      </c>
      <c r="H372" s="81" t="str">
        <f>IF(ISNUMBER(node_raw[[#This Row],[Column6]]), node_raw[[#This Row],[Column6]]/1048576,"")</f>
        <v/>
      </c>
      <c r="I372" s="82" t="str">
        <f t="shared" si="11"/>
        <v/>
      </c>
      <c r="J372" s="83" t="str">
        <f>IF(ISNONTEXT(node_raw[[#This Row],[Column7]]), "", node_raw[[#This Row],[Column7]]/100)</f>
        <v/>
      </c>
      <c r="K372" s="84" t="str">
        <f>IF(ISNONTEXT(node_raw[[#This Row],[Column8]]), "", node_raw[[#This Row],[Column8]]/100)</f>
        <v/>
      </c>
      <c r="L372" s="85" t="str">
        <f>IF(ISNONTEXT(node_raw[[#This Row],[Column9]]), "", node_raw[[#This Row],[Column9]]/1)</f>
        <v/>
      </c>
      <c r="M372" s="86" t="str">
        <f>IF(ISNONTEXT(node_raw[[#This Row],[Column10]]), "", node_raw[[#This Row],[Column10]]/1)</f>
        <v/>
      </c>
    </row>
    <row r="373" spans="2:13" ht="15.75" customHeight="1" x14ac:dyDescent="0.25">
      <c r="B373" s="32" t="str">
        <f>IF(ISNONTEXT(node_raw[[#This Row],[Column1]]), "", node_raw[[#This Row],[Column1]])</f>
        <v/>
      </c>
      <c r="C373" s="29" t="str">
        <f>IF(ISNONTEXT(node_raw[[#This Row],[Column2]]), "", node_raw[[#This Row],[Column2]])</f>
        <v/>
      </c>
      <c r="D373" s="62" t="str">
        <f>IF(ISNUMBER(node_raw[[#This Row],[Column3]]), node_raw[[#This Row],[Column3]],"")</f>
        <v/>
      </c>
      <c r="E373" s="65" t="str">
        <f>IF(ISNUMBER(node_raw[[#This Row],[Column4]]), node_raw[[#This Row],[Column4]]/1048576,"")</f>
        <v/>
      </c>
      <c r="F373" s="91" t="str">
        <f>IF(ISNUMBER(node_raw[[#This Row],[Column5]]), node_raw[[#This Row],[Column5]],"")</f>
        <v/>
      </c>
      <c r="G373" s="80" t="str">
        <f t="shared" si="10"/>
        <v/>
      </c>
      <c r="H373" s="81" t="str">
        <f>IF(ISNUMBER(node_raw[[#This Row],[Column6]]), node_raw[[#This Row],[Column6]]/1048576,"")</f>
        <v/>
      </c>
      <c r="I373" s="82" t="str">
        <f t="shared" si="11"/>
        <v/>
      </c>
      <c r="J373" s="83" t="str">
        <f>IF(ISNONTEXT(node_raw[[#This Row],[Column7]]), "", node_raw[[#This Row],[Column7]]/100)</f>
        <v/>
      </c>
      <c r="K373" s="84" t="str">
        <f>IF(ISNONTEXT(node_raw[[#This Row],[Column8]]), "", node_raw[[#This Row],[Column8]]/100)</f>
        <v/>
      </c>
      <c r="L373" s="85" t="str">
        <f>IF(ISNONTEXT(node_raw[[#This Row],[Column9]]), "", node_raw[[#This Row],[Column9]]/1)</f>
        <v/>
      </c>
      <c r="M373" s="86" t="str">
        <f>IF(ISNONTEXT(node_raw[[#This Row],[Column10]]), "", node_raw[[#This Row],[Column10]]/1)</f>
        <v/>
      </c>
    </row>
    <row r="374" spans="2:13" ht="15.75" customHeight="1" x14ac:dyDescent="0.25">
      <c r="B374" s="32" t="str">
        <f>IF(ISNONTEXT(node_raw[[#This Row],[Column1]]), "", node_raw[[#This Row],[Column1]])</f>
        <v/>
      </c>
      <c r="C374" s="29" t="str">
        <f>IF(ISNONTEXT(node_raw[[#This Row],[Column2]]), "", node_raw[[#This Row],[Column2]])</f>
        <v/>
      </c>
      <c r="D374" s="62" t="str">
        <f>IF(ISNUMBER(node_raw[[#This Row],[Column3]]), node_raw[[#This Row],[Column3]],"")</f>
        <v/>
      </c>
      <c r="E374" s="65" t="str">
        <f>IF(ISNUMBER(node_raw[[#This Row],[Column4]]), node_raw[[#This Row],[Column4]]/1048576,"")</f>
        <v/>
      </c>
      <c r="F374" s="91" t="str">
        <f>IF(ISNUMBER(node_raw[[#This Row],[Column5]]), node_raw[[#This Row],[Column5]],"")</f>
        <v/>
      </c>
      <c r="G374" s="80" t="str">
        <f t="shared" si="10"/>
        <v/>
      </c>
      <c r="H374" s="81" t="str">
        <f>IF(ISNUMBER(node_raw[[#This Row],[Column6]]), node_raw[[#This Row],[Column6]]/1048576,"")</f>
        <v/>
      </c>
      <c r="I374" s="82" t="str">
        <f t="shared" si="11"/>
        <v/>
      </c>
      <c r="J374" s="83" t="str">
        <f>IF(ISNONTEXT(node_raw[[#This Row],[Column7]]), "", node_raw[[#This Row],[Column7]]/100)</f>
        <v/>
      </c>
      <c r="K374" s="84" t="str">
        <f>IF(ISNONTEXT(node_raw[[#This Row],[Column8]]), "", node_raw[[#This Row],[Column8]]/100)</f>
        <v/>
      </c>
      <c r="L374" s="85" t="str">
        <f>IF(ISNONTEXT(node_raw[[#This Row],[Column9]]), "", node_raw[[#This Row],[Column9]]/1)</f>
        <v/>
      </c>
      <c r="M374" s="86" t="str">
        <f>IF(ISNONTEXT(node_raw[[#This Row],[Column10]]), "", node_raw[[#This Row],[Column10]]/1)</f>
        <v/>
      </c>
    </row>
    <row r="375" spans="2:13" ht="15.75" customHeight="1" x14ac:dyDescent="0.25">
      <c r="B375" s="32" t="str">
        <f>IF(ISNONTEXT(node_raw[[#This Row],[Column1]]), "", node_raw[[#This Row],[Column1]])</f>
        <v/>
      </c>
      <c r="C375" s="29" t="str">
        <f>IF(ISNONTEXT(node_raw[[#This Row],[Column2]]), "", node_raw[[#This Row],[Column2]])</f>
        <v/>
      </c>
      <c r="D375" s="62" t="str">
        <f>IF(ISNUMBER(node_raw[[#This Row],[Column3]]), node_raw[[#This Row],[Column3]],"")</f>
        <v/>
      </c>
      <c r="E375" s="65" t="str">
        <f>IF(ISNUMBER(node_raw[[#This Row],[Column4]]), node_raw[[#This Row],[Column4]]/1048576,"")</f>
        <v/>
      </c>
      <c r="F375" s="91" t="str">
        <f>IF(ISNUMBER(node_raw[[#This Row],[Column5]]), node_raw[[#This Row],[Column5]],"")</f>
        <v/>
      </c>
      <c r="G375" s="80" t="str">
        <f t="shared" si="10"/>
        <v/>
      </c>
      <c r="H375" s="81" t="str">
        <f>IF(ISNUMBER(node_raw[[#This Row],[Column6]]), node_raw[[#This Row],[Column6]]/1048576,"")</f>
        <v/>
      </c>
      <c r="I375" s="82" t="str">
        <f t="shared" si="11"/>
        <v/>
      </c>
      <c r="J375" s="83" t="str">
        <f>IF(ISNONTEXT(node_raw[[#This Row],[Column7]]), "", node_raw[[#This Row],[Column7]]/100)</f>
        <v/>
      </c>
      <c r="K375" s="84" t="str">
        <f>IF(ISNONTEXT(node_raw[[#This Row],[Column8]]), "", node_raw[[#This Row],[Column8]]/100)</f>
        <v/>
      </c>
      <c r="L375" s="85" t="str">
        <f>IF(ISNONTEXT(node_raw[[#This Row],[Column9]]), "", node_raw[[#This Row],[Column9]]/1)</f>
        <v/>
      </c>
      <c r="M375" s="86" t="str">
        <f>IF(ISNONTEXT(node_raw[[#This Row],[Column10]]), "", node_raw[[#This Row],[Column10]]/1)</f>
        <v/>
      </c>
    </row>
    <row r="376" spans="2:13" ht="15.75" customHeight="1" x14ac:dyDescent="0.25">
      <c r="B376" s="32" t="str">
        <f>IF(ISNONTEXT(node_raw[[#This Row],[Column1]]), "", node_raw[[#This Row],[Column1]])</f>
        <v/>
      </c>
      <c r="C376" s="29" t="str">
        <f>IF(ISNONTEXT(node_raw[[#This Row],[Column2]]), "", node_raw[[#This Row],[Column2]])</f>
        <v/>
      </c>
      <c r="D376" s="62" t="str">
        <f>IF(ISNUMBER(node_raw[[#This Row],[Column3]]), node_raw[[#This Row],[Column3]],"")</f>
        <v/>
      </c>
      <c r="E376" s="65" t="str">
        <f>IF(ISNUMBER(node_raw[[#This Row],[Column4]]), node_raw[[#This Row],[Column4]]/1048576,"")</f>
        <v/>
      </c>
      <c r="F376" s="91" t="str">
        <f>IF(ISNUMBER(node_raw[[#This Row],[Column5]]), node_raw[[#This Row],[Column5]],"")</f>
        <v/>
      </c>
      <c r="G376" s="80" t="str">
        <f t="shared" si="10"/>
        <v/>
      </c>
      <c r="H376" s="81" t="str">
        <f>IF(ISNUMBER(node_raw[[#This Row],[Column6]]), node_raw[[#This Row],[Column6]]/1048576,"")</f>
        <v/>
      </c>
      <c r="I376" s="82" t="str">
        <f t="shared" si="11"/>
        <v/>
      </c>
      <c r="J376" s="83" t="str">
        <f>IF(ISNONTEXT(node_raw[[#This Row],[Column7]]), "", node_raw[[#This Row],[Column7]]/100)</f>
        <v/>
      </c>
      <c r="K376" s="84" t="str">
        <f>IF(ISNONTEXT(node_raw[[#This Row],[Column8]]), "", node_raw[[#This Row],[Column8]]/100)</f>
        <v/>
      </c>
      <c r="L376" s="85" t="str">
        <f>IF(ISNONTEXT(node_raw[[#This Row],[Column9]]), "", node_raw[[#This Row],[Column9]]/1)</f>
        <v/>
      </c>
      <c r="M376" s="86" t="str">
        <f>IF(ISNONTEXT(node_raw[[#This Row],[Column10]]), "", node_raw[[#This Row],[Column10]]/1)</f>
        <v/>
      </c>
    </row>
    <row r="377" spans="2:13" ht="15.75" customHeight="1" x14ac:dyDescent="0.25">
      <c r="B377" s="32" t="str">
        <f>IF(ISNONTEXT(node_raw[[#This Row],[Column1]]), "", node_raw[[#This Row],[Column1]])</f>
        <v/>
      </c>
      <c r="C377" s="29" t="str">
        <f>IF(ISNONTEXT(node_raw[[#This Row],[Column2]]), "", node_raw[[#This Row],[Column2]])</f>
        <v/>
      </c>
      <c r="D377" s="62" t="str">
        <f>IF(ISNUMBER(node_raw[[#This Row],[Column3]]), node_raw[[#This Row],[Column3]],"")</f>
        <v/>
      </c>
      <c r="E377" s="65" t="str">
        <f>IF(ISNUMBER(node_raw[[#This Row],[Column4]]), node_raw[[#This Row],[Column4]]/1048576,"")</f>
        <v/>
      </c>
      <c r="F377" s="91" t="str">
        <f>IF(ISNUMBER(node_raw[[#This Row],[Column5]]), node_raw[[#This Row],[Column5]],"")</f>
        <v/>
      </c>
      <c r="G377" s="80" t="str">
        <f t="shared" si="10"/>
        <v/>
      </c>
      <c r="H377" s="81" t="str">
        <f>IF(ISNUMBER(node_raw[[#This Row],[Column6]]), node_raw[[#This Row],[Column6]]/1048576,"")</f>
        <v/>
      </c>
      <c r="I377" s="82" t="str">
        <f t="shared" si="11"/>
        <v/>
      </c>
      <c r="J377" s="83" t="str">
        <f>IF(ISNONTEXT(node_raw[[#This Row],[Column7]]), "", node_raw[[#This Row],[Column7]]/100)</f>
        <v/>
      </c>
      <c r="K377" s="84" t="str">
        <f>IF(ISNONTEXT(node_raw[[#This Row],[Column8]]), "", node_raw[[#This Row],[Column8]]/100)</f>
        <v/>
      </c>
      <c r="L377" s="85" t="str">
        <f>IF(ISNONTEXT(node_raw[[#This Row],[Column9]]), "", node_raw[[#This Row],[Column9]]/1)</f>
        <v/>
      </c>
      <c r="M377" s="86" t="str">
        <f>IF(ISNONTEXT(node_raw[[#This Row],[Column10]]), "", node_raw[[#This Row],[Column10]]/1)</f>
        <v/>
      </c>
    </row>
    <row r="378" spans="2:13" ht="15.75" customHeight="1" x14ac:dyDescent="0.25">
      <c r="B378" s="32" t="str">
        <f>IF(ISNONTEXT(node_raw[[#This Row],[Column1]]), "", node_raw[[#This Row],[Column1]])</f>
        <v/>
      </c>
      <c r="C378" s="29" t="str">
        <f>IF(ISNONTEXT(node_raw[[#This Row],[Column2]]), "", node_raw[[#This Row],[Column2]])</f>
        <v/>
      </c>
      <c r="D378" s="62" t="str">
        <f>IF(ISNUMBER(node_raw[[#This Row],[Column3]]), node_raw[[#This Row],[Column3]],"")</f>
        <v/>
      </c>
      <c r="E378" s="65" t="str">
        <f>IF(ISNUMBER(node_raw[[#This Row],[Column4]]), node_raw[[#This Row],[Column4]]/1048576,"")</f>
        <v/>
      </c>
      <c r="F378" s="91" t="str">
        <f>IF(ISNUMBER(node_raw[[#This Row],[Column5]]), node_raw[[#This Row],[Column5]],"")</f>
        <v/>
      </c>
      <c r="G378" s="80" t="str">
        <f t="shared" si="10"/>
        <v/>
      </c>
      <c r="H378" s="81" t="str">
        <f>IF(ISNUMBER(node_raw[[#This Row],[Column6]]), node_raw[[#This Row],[Column6]]/1048576,"")</f>
        <v/>
      </c>
      <c r="I378" s="82" t="str">
        <f t="shared" si="11"/>
        <v/>
      </c>
      <c r="J378" s="83" t="str">
        <f>IF(ISNONTEXT(node_raw[[#This Row],[Column7]]), "", node_raw[[#This Row],[Column7]]/100)</f>
        <v/>
      </c>
      <c r="K378" s="84" t="str">
        <f>IF(ISNONTEXT(node_raw[[#This Row],[Column8]]), "", node_raw[[#This Row],[Column8]]/100)</f>
        <v/>
      </c>
      <c r="L378" s="85" t="str">
        <f>IF(ISNONTEXT(node_raw[[#This Row],[Column9]]), "", node_raw[[#This Row],[Column9]]/1)</f>
        <v/>
      </c>
      <c r="M378" s="86" t="str">
        <f>IF(ISNONTEXT(node_raw[[#This Row],[Column10]]), "", node_raw[[#This Row],[Column10]]/1)</f>
        <v/>
      </c>
    </row>
    <row r="379" spans="2:13" ht="15.75" customHeight="1" x14ac:dyDescent="0.25">
      <c r="B379" s="32" t="str">
        <f>IF(ISNONTEXT(node_raw[[#This Row],[Column1]]), "", node_raw[[#This Row],[Column1]])</f>
        <v/>
      </c>
      <c r="C379" s="29" t="str">
        <f>IF(ISNONTEXT(node_raw[[#This Row],[Column2]]), "", node_raw[[#This Row],[Column2]])</f>
        <v/>
      </c>
      <c r="D379" s="62" t="str">
        <f>IF(ISNUMBER(node_raw[[#This Row],[Column3]]), node_raw[[#This Row],[Column3]],"")</f>
        <v/>
      </c>
      <c r="E379" s="65" t="str">
        <f>IF(ISNUMBER(node_raw[[#This Row],[Column4]]), node_raw[[#This Row],[Column4]]/1048576,"")</f>
        <v/>
      </c>
      <c r="F379" s="91" t="str">
        <f>IF(ISNUMBER(node_raw[[#This Row],[Column5]]), node_raw[[#This Row],[Column5]],"")</f>
        <v/>
      </c>
      <c r="G379" s="80" t="str">
        <f t="shared" si="10"/>
        <v/>
      </c>
      <c r="H379" s="81" t="str">
        <f>IF(ISNUMBER(node_raw[[#This Row],[Column6]]), node_raw[[#This Row],[Column6]]/1048576,"")</f>
        <v/>
      </c>
      <c r="I379" s="82" t="str">
        <f t="shared" si="11"/>
        <v/>
      </c>
      <c r="J379" s="83" t="str">
        <f>IF(ISNONTEXT(node_raw[[#This Row],[Column7]]), "", node_raw[[#This Row],[Column7]]/100)</f>
        <v/>
      </c>
      <c r="K379" s="84" t="str">
        <f>IF(ISNONTEXT(node_raw[[#This Row],[Column8]]), "", node_raw[[#This Row],[Column8]]/100)</f>
        <v/>
      </c>
      <c r="L379" s="85" t="str">
        <f>IF(ISNONTEXT(node_raw[[#This Row],[Column9]]), "", node_raw[[#This Row],[Column9]]/1)</f>
        <v/>
      </c>
      <c r="M379" s="86" t="str">
        <f>IF(ISNONTEXT(node_raw[[#This Row],[Column10]]), "", node_raw[[#This Row],[Column10]]/1)</f>
        <v/>
      </c>
    </row>
    <row r="380" spans="2:13" ht="15.75" customHeight="1" x14ac:dyDescent="0.25">
      <c r="B380" s="32" t="str">
        <f>IF(ISNONTEXT(node_raw[[#This Row],[Column1]]), "", node_raw[[#This Row],[Column1]])</f>
        <v/>
      </c>
      <c r="C380" s="29" t="str">
        <f>IF(ISNONTEXT(node_raw[[#This Row],[Column2]]), "", node_raw[[#This Row],[Column2]])</f>
        <v/>
      </c>
      <c r="D380" s="62" t="str">
        <f>IF(ISNUMBER(node_raw[[#This Row],[Column3]]), node_raw[[#This Row],[Column3]],"")</f>
        <v/>
      </c>
      <c r="E380" s="65" t="str">
        <f>IF(ISNUMBER(node_raw[[#This Row],[Column4]]), node_raw[[#This Row],[Column4]]/1048576,"")</f>
        <v/>
      </c>
      <c r="F380" s="91" t="str">
        <f>IF(ISNUMBER(node_raw[[#This Row],[Column5]]), node_raw[[#This Row],[Column5]],"")</f>
        <v/>
      </c>
      <c r="G380" s="80" t="str">
        <f t="shared" si="10"/>
        <v/>
      </c>
      <c r="H380" s="81" t="str">
        <f>IF(ISNUMBER(node_raw[[#This Row],[Column6]]), node_raw[[#This Row],[Column6]]/1048576,"")</f>
        <v/>
      </c>
      <c r="I380" s="82" t="str">
        <f t="shared" si="11"/>
        <v/>
      </c>
      <c r="J380" s="83" t="str">
        <f>IF(ISNONTEXT(node_raw[[#This Row],[Column7]]), "", node_raw[[#This Row],[Column7]]/100)</f>
        <v/>
      </c>
      <c r="K380" s="84" t="str">
        <f>IF(ISNONTEXT(node_raw[[#This Row],[Column8]]), "", node_raw[[#This Row],[Column8]]/100)</f>
        <v/>
      </c>
      <c r="L380" s="85" t="str">
        <f>IF(ISNONTEXT(node_raw[[#This Row],[Column9]]), "", node_raw[[#This Row],[Column9]]/1)</f>
        <v/>
      </c>
      <c r="M380" s="86" t="str">
        <f>IF(ISNONTEXT(node_raw[[#This Row],[Column10]]), "", node_raw[[#This Row],[Column10]]/1)</f>
        <v/>
      </c>
    </row>
    <row r="381" spans="2:13" ht="15.75" customHeight="1" x14ac:dyDescent="0.25">
      <c r="B381" s="32" t="str">
        <f>IF(ISNONTEXT(node_raw[[#This Row],[Column1]]), "", node_raw[[#This Row],[Column1]])</f>
        <v/>
      </c>
      <c r="C381" s="29" t="str">
        <f>IF(ISNONTEXT(node_raw[[#This Row],[Column2]]), "", node_raw[[#This Row],[Column2]])</f>
        <v/>
      </c>
      <c r="D381" s="62" t="str">
        <f>IF(ISNUMBER(node_raw[[#This Row],[Column3]]), node_raw[[#This Row],[Column3]],"")</f>
        <v/>
      </c>
      <c r="E381" s="65" t="str">
        <f>IF(ISNUMBER(node_raw[[#This Row],[Column4]]), node_raw[[#This Row],[Column4]]/1048576,"")</f>
        <v/>
      </c>
      <c r="F381" s="91" t="str">
        <f>IF(ISNUMBER(node_raw[[#This Row],[Column5]]), node_raw[[#This Row],[Column5]],"")</f>
        <v/>
      </c>
      <c r="G381" s="80" t="str">
        <f t="shared" si="10"/>
        <v/>
      </c>
      <c r="H381" s="81" t="str">
        <f>IF(ISNUMBER(node_raw[[#This Row],[Column6]]), node_raw[[#This Row],[Column6]]/1048576,"")</f>
        <v/>
      </c>
      <c r="I381" s="82" t="str">
        <f t="shared" si="11"/>
        <v/>
      </c>
      <c r="J381" s="83" t="str">
        <f>IF(ISNONTEXT(node_raw[[#This Row],[Column7]]), "", node_raw[[#This Row],[Column7]]/100)</f>
        <v/>
      </c>
      <c r="K381" s="84" t="str">
        <f>IF(ISNONTEXT(node_raw[[#This Row],[Column8]]), "", node_raw[[#This Row],[Column8]]/100)</f>
        <v/>
      </c>
      <c r="L381" s="85" t="str">
        <f>IF(ISNONTEXT(node_raw[[#This Row],[Column9]]), "", node_raw[[#This Row],[Column9]]/1)</f>
        <v/>
      </c>
      <c r="M381" s="86" t="str">
        <f>IF(ISNONTEXT(node_raw[[#This Row],[Column10]]), "", node_raw[[#This Row],[Column10]]/1)</f>
        <v/>
      </c>
    </row>
    <row r="382" spans="2:13" ht="15.75" customHeight="1" x14ac:dyDescent="0.25">
      <c r="B382" s="32" t="str">
        <f>IF(ISNONTEXT(node_raw[[#This Row],[Column1]]), "", node_raw[[#This Row],[Column1]])</f>
        <v/>
      </c>
      <c r="C382" s="29" t="str">
        <f>IF(ISNONTEXT(node_raw[[#This Row],[Column2]]), "", node_raw[[#This Row],[Column2]])</f>
        <v/>
      </c>
      <c r="D382" s="62" t="str">
        <f>IF(ISNUMBER(node_raw[[#This Row],[Column3]]), node_raw[[#This Row],[Column3]],"")</f>
        <v/>
      </c>
      <c r="E382" s="65" t="str">
        <f>IF(ISNUMBER(node_raw[[#This Row],[Column4]]), node_raw[[#This Row],[Column4]]/1048576,"")</f>
        <v/>
      </c>
      <c r="F382" s="91" t="str">
        <f>IF(ISNUMBER(node_raw[[#This Row],[Column5]]), node_raw[[#This Row],[Column5]],"")</f>
        <v/>
      </c>
      <c r="G382" s="80" t="str">
        <f t="shared" si="10"/>
        <v/>
      </c>
      <c r="H382" s="81" t="str">
        <f>IF(ISNUMBER(node_raw[[#This Row],[Column6]]), node_raw[[#This Row],[Column6]]/1048576,"")</f>
        <v/>
      </c>
      <c r="I382" s="82" t="str">
        <f t="shared" si="11"/>
        <v/>
      </c>
      <c r="J382" s="83" t="str">
        <f>IF(ISNONTEXT(node_raw[[#This Row],[Column7]]), "", node_raw[[#This Row],[Column7]]/100)</f>
        <v/>
      </c>
      <c r="K382" s="84" t="str">
        <f>IF(ISNONTEXT(node_raw[[#This Row],[Column8]]), "", node_raw[[#This Row],[Column8]]/100)</f>
        <v/>
      </c>
      <c r="L382" s="85" t="str">
        <f>IF(ISNONTEXT(node_raw[[#This Row],[Column9]]), "", node_raw[[#This Row],[Column9]]/1)</f>
        <v/>
      </c>
      <c r="M382" s="86" t="str">
        <f>IF(ISNONTEXT(node_raw[[#This Row],[Column10]]), "", node_raw[[#This Row],[Column10]]/1)</f>
        <v/>
      </c>
    </row>
    <row r="383" spans="2:13" ht="15.75" customHeight="1" x14ac:dyDescent="0.25">
      <c r="B383" s="32" t="str">
        <f>IF(ISNONTEXT(node_raw[[#This Row],[Column1]]), "", node_raw[[#This Row],[Column1]])</f>
        <v/>
      </c>
      <c r="C383" s="29" t="str">
        <f>IF(ISNONTEXT(node_raw[[#This Row],[Column2]]), "", node_raw[[#This Row],[Column2]])</f>
        <v/>
      </c>
      <c r="D383" s="62" t="str">
        <f>IF(ISNUMBER(node_raw[[#This Row],[Column3]]), node_raw[[#This Row],[Column3]],"")</f>
        <v/>
      </c>
      <c r="E383" s="65" t="str">
        <f>IF(ISNUMBER(node_raw[[#This Row],[Column4]]), node_raw[[#This Row],[Column4]]/1048576,"")</f>
        <v/>
      </c>
      <c r="F383" s="91" t="str">
        <f>IF(ISNUMBER(node_raw[[#This Row],[Column5]]), node_raw[[#This Row],[Column5]],"")</f>
        <v/>
      </c>
      <c r="G383" s="80" t="str">
        <f t="shared" si="10"/>
        <v/>
      </c>
      <c r="H383" s="81" t="str">
        <f>IF(ISNUMBER(node_raw[[#This Row],[Column6]]), node_raw[[#This Row],[Column6]]/1048576,"")</f>
        <v/>
      </c>
      <c r="I383" s="82" t="str">
        <f t="shared" si="11"/>
        <v/>
      </c>
      <c r="J383" s="83" t="str">
        <f>IF(ISNONTEXT(node_raw[[#This Row],[Column7]]), "", node_raw[[#This Row],[Column7]]/100)</f>
        <v/>
      </c>
      <c r="K383" s="84" t="str">
        <f>IF(ISNONTEXT(node_raw[[#This Row],[Column8]]), "", node_raw[[#This Row],[Column8]]/100)</f>
        <v/>
      </c>
      <c r="L383" s="85" t="str">
        <f>IF(ISNONTEXT(node_raw[[#This Row],[Column9]]), "", node_raw[[#This Row],[Column9]]/1)</f>
        <v/>
      </c>
      <c r="M383" s="86" t="str">
        <f>IF(ISNONTEXT(node_raw[[#This Row],[Column10]]), "", node_raw[[#This Row],[Column10]]/1)</f>
        <v/>
      </c>
    </row>
    <row r="384" spans="2:13" ht="15.75" customHeight="1" x14ac:dyDescent="0.25">
      <c r="B384" s="32" t="str">
        <f>IF(ISNONTEXT(node_raw[[#This Row],[Column1]]), "", node_raw[[#This Row],[Column1]])</f>
        <v/>
      </c>
      <c r="C384" s="29" t="str">
        <f>IF(ISNONTEXT(node_raw[[#This Row],[Column2]]), "", node_raw[[#This Row],[Column2]])</f>
        <v/>
      </c>
      <c r="D384" s="62" t="str">
        <f>IF(ISNUMBER(node_raw[[#This Row],[Column3]]), node_raw[[#This Row],[Column3]],"")</f>
        <v/>
      </c>
      <c r="E384" s="65" t="str">
        <f>IF(ISNUMBER(node_raw[[#This Row],[Column4]]), node_raw[[#This Row],[Column4]]/1048576,"")</f>
        <v/>
      </c>
      <c r="F384" s="91" t="str">
        <f>IF(ISNUMBER(node_raw[[#This Row],[Column5]]), node_raw[[#This Row],[Column5]],"")</f>
        <v/>
      </c>
      <c r="G384" s="80" t="str">
        <f t="shared" si="10"/>
        <v/>
      </c>
      <c r="H384" s="81" t="str">
        <f>IF(ISNUMBER(node_raw[[#This Row],[Column6]]), node_raw[[#This Row],[Column6]]/1048576,"")</f>
        <v/>
      </c>
      <c r="I384" s="82" t="str">
        <f t="shared" si="11"/>
        <v/>
      </c>
      <c r="J384" s="83" t="str">
        <f>IF(ISNONTEXT(node_raw[[#This Row],[Column7]]), "", node_raw[[#This Row],[Column7]]/100)</f>
        <v/>
      </c>
      <c r="K384" s="84" t="str">
        <f>IF(ISNONTEXT(node_raw[[#This Row],[Column8]]), "", node_raw[[#This Row],[Column8]]/100)</f>
        <v/>
      </c>
      <c r="L384" s="85" t="str">
        <f>IF(ISNONTEXT(node_raw[[#This Row],[Column9]]), "", node_raw[[#This Row],[Column9]]/1)</f>
        <v/>
      </c>
      <c r="M384" s="86" t="str">
        <f>IF(ISNONTEXT(node_raw[[#This Row],[Column10]]), "", node_raw[[#This Row],[Column10]]/1)</f>
        <v/>
      </c>
    </row>
    <row r="385" spans="2:13" ht="15.75" customHeight="1" x14ac:dyDescent="0.25">
      <c r="B385" s="32" t="str">
        <f>IF(ISNONTEXT(node_raw[[#This Row],[Column1]]), "", node_raw[[#This Row],[Column1]])</f>
        <v/>
      </c>
      <c r="C385" s="29" t="str">
        <f>IF(ISNONTEXT(node_raw[[#This Row],[Column2]]), "", node_raw[[#This Row],[Column2]])</f>
        <v/>
      </c>
      <c r="D385" s="62" t="str">
        <f>IF(ISNUMBER(node_raw[[#This Row],[Column3]]), node_raw[[#This Row],[Column3]],"")</f>
        <v/>
      </c>
      <c r="E385" s="65" t="str">
        <f>IF(ISNUMBER(node_raw[[#This Row],[Column4]]), node_raw[[#This Row],[Column4]]/1048576,"")</f>
        <v/>
      </c>
      <c r="F385" s="91" t="str">
        <f>IF(ISNUMBER(node_raw[[#This Row],[Column5]]), node_raw[[#This Row],[Column5]],"")</f>
        <v/>
      </c>
      <c r="G385" s="80" t="str">
        <f t="shared" si="10"/>
        <v/>
      </c>
      <c r="H385" s="81" t="str">
        <f>IF(ISNUMBER(node_raw[[#This Row],[Column6]]), node_raw[[#This Row],[Column6]]/1048576,"")</f>
        <v/>
      </c>
      <c r="I385" s="82" t="str">
        <f t="shared" si="11"/>
        <v/>
      </c>
      <c r="J385" s="83" t="str">
        <f>IF(ISNONTEXT(node_raw[[#This Row],[Column7]]), "", node_raw[[#This Row],[Column7]]/100)</f>
        <v/>
      </c>
      <c r="K385" s="84" t="str">
        <f>IF(ISNONTEXT(node_raw[[#This Row],[Column8]]), "", node_raw[[#This Row],[Column8]]/100)</f>
        <v/>
      </c>
      <c r="L385" s="85" t="str">
        <f>IF(ISNONTEXT(node_raw[[#This Row],[Column9]]), "", node_raw[[#This Row],[Column9]]/1)</f>
        <v/>
      </c>
      <c r="M385" s="86" t="str">
        <f>IF(ISNONTEXT(node_raw[[#This Row],[Column10]]), "", node_raw[[#This Row],[Column10]]/1)</f>
        <v/>
      </c>
    </row>
    <row r="386" spans="2:13" ht="15.75" customHeight="1" x14ac:dyDescent="0.25">
      <c r="B386" s="32" t="str">
        <f>IF(ISNONTEXT(node_raw[[#This Row],[Column1]]), "", node_raw[[#This Row],[Column1]])</f>
        <v/>
      </c>
      <c r="C386" s="29" t="str">
        <f>IF(ISNONTEXT(node_raw[[#This Row],[Column2]]), "", node_raw[[#This Row],[Column2]])</f>
        <v/>
      </c>
      <c r="D386" s="62" t="str">
        <f>IF(ISNUMBER(node_raw[[#This Row],[Column3]]), node_raw[[#This Row],[Column3]],"")</f>
        <v/>
      </c>
      <c r="E386" s="65" t="str">
        <f>IF(ISNUMBER(node_raw[[#This Row],[Column4]]), node_raw[[#This Row],[Column4]]/1048576,"")</f>
        <v/>
      </c>
      <c r="F386" s="91" t="str">
        <f>IF(ISNUMBER(node_raw[[#This Row],[Column5]]), node_raw[[#This Row],[Column5]],"")</f>
        <v/>
      </c>
      <c r="G386" s="80" t="str">
        <f t="shared" si="10"/>
        <v/>
      </c>
      <c r="H386" s="81" t="str">
        <f>IF(ISNUMBER(node_raw[[#This Row],[Column6]]), node_raw[[#This Row],[Column6]]/1048576,"")</f>
        <v/>
      </c>
      <c r="I386" s="82" t="str">
        <f t="shared" si="11"/>
        <v/>
      </c>
      <c r="J386" s="83" t="str">
        <f>IF(ISNONTEXT(node_raw[[#This Row],[Column7]]), "", node_raw[[#This Row],[Column7]]/100)</f>
        <v/>
      </c>
      <c r="K386" s="84" t="str">
        <f>IF(ISNONTEXT(node_raw[[#This Row],[Column8]]), "", node_raw[[#This Row],[Column8]]/100)</f>
        <v/>
      </c>
      <c r="L386" s="85" t="str">
        <f>IF(ISNONTEXT(node_raw[[#This Row],[Column9]]), "", node_raw[[#This Row],[Column9]]/1)</f>
        <v/>
      </c>
      <c r="M386" s="86" t="str">
        <f>IF(ISNONTEXT(node_raw[[#This Row],[Column10]]), "", node_raw[[#This Row],[Column10]]/1)</f>
        <v/>
      </c>
    </row>
    <row r="387" spans="2:13" ht="15.75" customHeight="1" x14ac:dyDescent="0.25">
      <c r="B387" s="32" t="str">
        <f>IF(ISNONTEXT(node_raw[[#This Row],[Column1]]), "", node_raw[[#This Row],[Column1]])</f>
        <v/>
      </c>
      <c r="C387" s="29" t="str">
        <f>IF(ISNONTEXT(node_raw[[#This Row],[Column2]]), "", node_raw[[#This Row],[Column2]])</f>
        <v/>
      </c>
      <c r="D387" s="62" t="str">
        <f>IF(ISNUMBER(node_raw[[#This Row],[Column3]]), node_raw[[#This Row],[Column3]],"")</f>
        <v/>
      </c>
      <c r="E387" s="65" t="str">
        <f>IF(ISNUMBER(node_raw[[#This Row],[Column4]]), node_raw[[#This Row],[Column4]]/1048576,"")</f>
        <v/>
      </c>
      <c r="F387" s="91" t="str">
        <f>IF(ISNUMBER(node_raw[[#This Row],[Column5]]), node_raw[[#This Row],[Column5]],"")</f>
        <v/>
      </c>
      <c r="G387" s="80" t="str">
        <f t="shared" ref="G387:G450" si="12">IF(ISNUMBER(F387), F387/D387, "")</f>
        <v/>
      </c>
      <c r="H387" s="81" t="str">
        <f>IF(ISNUMBER(node_raw[[#This Row],[Column6]]), node_raw[[#This Row],[Column6]]/1048576,"")</f>
        <v/>
      </c>
      <c r="I387" s="82" t="str">
        <f t="shared" ref="I387:I450" si="13">IF(ISNUMBER(H387), H387/E387, "")</f>
        <v/>
      </c>
      <c r="J387" s="83" t="str">
        <f>IF(ISNONTEXT(node_raw[[#This Row],[Column7]]), "", node_raw[[#This Row],[Column7]]/100)</f>
        <v/>
      </c>
      <c r="K387" s="84" t="str">
        <f>IF(ISNONTEXT(node_raw[[#This Row],[Column8]]), "", node_raw[[#This Row],[Column8]]/100)</f>
        <v/>
      </c>
      <c r="L387" s="85" t="str">
        <f>IF(ISNONTEXT(node_raw[[#This Row],[Column9]]), "", node_raw[[#This Row],[Column9]]/1)</f>
        <v/>
      </c>
      <c r="M387" s="86" t="str">
        <f>IF(ISNONTEXT(node_raw[[#This Row],[Column10]]), "", node_raw[[#This Row],[Column10]]/1)</f>
        <v/>
      </c>
    </row>
    <row r="388" spans="2:13" ht="15.75" customHeight="1" x14ac:dyDescent="0.25">
      <c r="B388" s="32" t="str">
        <f>IF(ISNONTEXT(node_raw[[#This Row],[Column1]]), "", node_raw[[#This Row],[Column1]])</f>
        <v/>
      </c>
      <c r="C388" s="29" t="str">
        <f>IF(ISNONTEXT(node_raw[[#This Row],[Column2]]), "", node_raw[[#This Row],[Column2]])</f>
        <v/>
      </c>
      <c r="D388" s="62" t="str">
        <f>IF(ISNUMBER(node_raw[[#This Row],[Column3]]), node_raw[[#This Row],[Column3]],"")</f>
        <v/>
      </c>
      <c r="E388" s="65" t="str">
        <f>IF(ISNUMBER(node_raw[[#This Row],[Column4]]), node_raw[[#This Row],[Column4]]/1048576,"")</f>
        <v/>
      </c>
      <c r="F388" s="91" t="str">
        <f>IF(ISNUMBER(node_raw[[#This Row],[Column5]]), node_raw[[#This Row],[Column5]],"")</f>
        <v/>
      </c>
      <c r="G388" s="80" t="str">
        <f t="shared" si="12"/>
        <v/>
      </c>
      <c r="H388" s="81" t="str">
        <f>IF(ISNUMBER(node_raw[[#This Row],[Column6]]), node_raw[[#This Row],[Column6]]/1048576,"")</f>
        <v/>
      </c>
      <c r="I388" s="82" t="str">
        <f t="shared" si="13"/>
        <v/>
      </c>
      <c r="J388" s="83" t="str">
        <f>IF(ISNONTEXT(node_raw[[#This Row],[Column7]]), "", node_raw[[#This Row],[Column7]]/100)</f>
        <v/>
      </c>
      <c r="K388" s="84" t="str">
        <f>IF(ISNONTEXT(node_raw[[#This Row],[Column8]]), "", node_raw[[#This Row],[Column8]]/100)</f>
        <v/>
      </c>
      <c r="L388" s="85" t="str">
        <f>IF(ISNONTEXT(node_raw[[#This Row],[Column9]]), "", node_raw[[#This Row],[Column9]]/1)</f>
        <v/>
      </c>
      <c r="M388" s="86" t="str">
        <f>IF(ISNONTEXT(node_raw[[#This Row],[Column10]]), "", node_raw[[#This Row],[Column10]]/1)</f>
        <v/>
      </c>
    </row>
    <row r="389" spans="2:13" ht="15.75" customHeight="1" x14ac:dyDescent="0.25">
      <c r="B389" s="32" t="str">
        <f>IF(ISNONTEXT(node_raw[[#This Row],[Column1]]), "", node_raw[[#This Row],[Column1]])</f>
        <v/>
      </c>
      <c r="C389" s="29" t="str">
        <f>IF(ISNONTEXT(node_raw[[#This Row],[Column2]]), "", node_raw[[#This Row],[Column2]])</f>
        <v/>
      </c>
      <c r="D389" s="62" t="str">
        <f>IF(ISNUMBER(node_raw[[#This Row],[Column3]]), node_raw[[#This Row],[Column3]],"")</f>
        <v/>
      </c>
      <c r="E389" s="65" t="str">
        <f>IF(ISNUMBER(node_raw[[#This Row],[Column4]]), node_raw[[#This Row],[Column4]]/1048576,"")</f>
        <v/>
      </c>
      <c r="F389" s="91" t="str">
        <f>IF(ISNUMBER(node_raw[[#This Row],[Column5]]), node_raw[[#This Row],[Column5]],"")</f>
        <v/>
      </c>
      <c r="G389" s="80" t="str">
        <f t="shared" si="12"/>
        <v/>
      </c>
      <c r="H389" s="81" t="str">
        <f>IF(ISNUMBER(node_raw[[#This Row],[Column6]]), node_raw[[#This Row],[Column6]]/1048576,"")</f>
        <v/>
      </c>
      <c r="I389" s="82" t="str">
        <f t="shared" si="13"/>
        <v/>
      </c>
      <c r="J389" s="83" t="str">
        <f>IF(ISNONTEXT(node_raw[[#This Row],[Column7]]), "", node_raw[[#This Row],[Column7]]/100)</f>
        <v/>
      </c>
      <c r="K389" s="84" t="str">
        <f>IF(ISNONTEXT(node_raw[[#This Row],[Column8]]), "", node_raw[[#This Row],[Column8]]/100)</f>
        <v/>
      </c>
      <c r="L389" s="85" t="str">
        <f>IF(ISNONTEXT(node_raw[[#This Row],[Column9]]), "", node_raw[[#This Row],[Column9]]/1)</f>
        <v/>
      </c>
      <c r="M389" s="86" t="str">
        <f>IF(ISNONTEXT(node_raw[[#This Row],[Column10]]), "", node_raw[[#This Row],[Column10]]/1)</f>
        <v/>
      </c>
    </row>
    <row r="390" spans="2:13" ht="15.75" customHeight="1" x14ac:dyDescent="0.25">
      <c r="B390" s="32" t="str">
        <f>IF(ISNONTEXT(node_raw[[#This Row],[Column1]]), "", node_raw[[#This Row],[Column1]])</f>
        <v/>
      </c>
      <c r="C390" s="29" t="str">
        <f>IF(ISNONTEXT(node_raw[[#This Row],[Column2]]), "", node_raw[[#This Row],[Column2]])</f>
        <v/>
      </c>
      <c r="D390" s="62" t="str">
        <f>IF(ISNUMBER(node_raw[[#This Row],[Column3]]), node_raw[[#This Row],[Column3]],"")</f>
        <v/>
      </c>
      <c r="E390" s="65" t="str">
        <f>IF(ISNUMBER(node_raw[[#This Row],[Column4]]), node_raw[[#This Row],[Column4]]/1048576,"")</f>
        <v/>
      </c>
      <c r="F390" s="91" t="str">
        <f>IF(ISNUMBER(node_raw[[#This Row],[Column5]]), node_raw[[#This Row],[Column5]],"")</f>
        <v/>
      </c>
      <c r="G390" s="80" t="str">
        <f t="shared" si="12"/>
        <v/>
      </c>
      <c r="H390" s="81" t="str">
        <f>IF(ISNUMBER(node_raw[[#This Row],[Column6]]), node_raw[[#This Row],[Column6]]/1048576,"")</f>
        <v/>
      </c>
      <c r="I390" s="82" t="str">
        <f t="shared" si="13"/>
        <v/>
      </c>
      <c r="J390" s="83" t="str">
        <f>IF(ISNONTEXT(node_raw[[#This Row],[Column7]]), "", node_raw[[#This Row],[Column7]]/100)</f>
        <v/>
      </c>
      <c r="K390" s="84" t="str">
        <f>IF(ISNONTEXT(node_raw[[#This Row],[Column8]]), "", node_raw[[#This Row],[Column8]]/100)</f>
        <v/>
      </c>
      <c r="L390" s="85" t="str">
        <f>IF(ISNONTEXT(node_raw[[#This Row],[Column9]]), "", node_raw[[#This Row],[Column9]]/1)</f>
        <v/>
      </c>
      <c r="M390" s="86" t="str">
        <f>IF(ISNONTEXT(node_raw[[#This Row],[Column10]]), "", node_raw[[#This Row],[Column10]]/1)</f>
        <v/>
      </c>
    </row>
    <row r="391" spans="2:13" ht="15.75" customHeight="1" x14ac:dyDescent="0.25">
      <c r="B391" s="32" t="str">
        <f>IF(ISNONTEXT(node_raw[[#This Row],[Column1]]), "", node_raw[[#This Row],[Column1]])</f>
        <v/>
      </c>
      <c r="C391" s="29" t="str">
        <f>IF(ISNONTEXT(node_raw[[#This Row],[Column2]]), "", node_raw[[#This Row],[Column2]])</f>
        <v/>
      </c>
      <c r="D391" s="62" t="str">
        <f>IF(ISNUMBER(node_raw[[#This Row],[Column3]]), node_raw[[#This Row],[Column3]],"")</f>
        <v/>
      </c>
      <c r="E391" s="65" t="str">
        <f>IF(ISNUMBER(node_raw[[#This Row],[Column4]]), node_raw[[#This Row],[Column4]]/1048576,"")</f>
        <v/>
      </c>
      <c r="F391" s="91" t="str">
        <f>IF(ISNUMBER(node_raw[[#This Row],[Column5]]), node_raw[[#This Row],[Column5]],"")</f>
        <v/>
      </c>
      <c r="G391" s="80" t="str">
        <f t="shared" si="12"/>
        <v/>
      </c>
      <c r="H391" s="81" t="str">
        <f>IF(ISNUMBER(node_raw[[#This Row],[Column6]]), node_raw[[#This Row],[Column6]]/1048576,"")</f>
        <v/>
      </c>
      <c r="I391" s="82" t="str">
        <f t="shared" si="13"/>
        <v/>
      </c>
      <c r="J391" s="83" t="str">
        <f>IF(ISNONTEXT(node_raw[[#This Row],[Column7]]), "", node_raw[[#This Row],[Column7]]/100)</f>
        <v/>
      </c>
      <c r="K391" s="84" t="str">
        <f>IF(ISNONTEXT(node_raw[[#This Row],[Column8]]), "", node_raw[[#This Row],[Column8]]/100)</f>
        <v/>
      </c>
      <c r="L391" s="85" t="str">
        <f>IF(ISNONTEXT(node_raw[[#This Row],[Column9]]), "", node_raw[[#This Row],[Column9]]/1)</f>
        <v/>
      </c>
      <c r="M391" s="86" t="str">
        <f>IF(ISNONTEXT(node_raw[[#This Row],[Column10]]), "", node_raw[[#This Row],[Column10]]/1)</f>
        <v/>
      </c>
    </row>
    <row r="392" spans="2:13" ht="15.75" customHeight="1" x14ac:dyDescent="0.25">
      <c r="B392" s="32" t="str">
        <f>IF(ISNONTEXT(node_raw[[#This Row],[Column1]]), "", node_raw[[#This Row],[Column1]])</f>
        <v/>
      </c>
      <c r="C392" s="29" t="str">
        <f>IF(ISNONTEXT(node_raw[[#This Row],[Column2]]), "", node_raw[[#This Row],[Column2]])</f>
        <v/>
      </c>
      <c r="D392" s="62" t="str">
        <f>IF(ISNUMBER(node_raw[[#This Row],[Column3]]), node_raw[[#This Row],[Column3]],"")</f>
        <v/>
      </c>
      <c r="E392" s="65" t="str">
        <f>IF(ISNUMBER(node_raw[[#This Row],[Column4]]), node_raw[[#This Row],[Column4]]/1048576,"")</f>
        <v/>
      </c>
      <c r="F392" s="91" t="str">
        <f>IF(ISNUMBER(node_raw[[#This Row],[Column5]]), node_raw[[#This Row],[Column5]],"")</f>
        <v/>
      </c>
      <c r="G392" s="80" t="str">
        <f t="shared" si="12"/>
        <v/>
      </c>
      <c r="H392" s="81" t="str">
        <f>IF(ISNUMBER(node_raw[[#This Row],[Column6]]), node_raw[[#This Row],[Column6]]/1048576,"")</f>
        <v/>
      </c>
      <c r="I392" s="82" t="str">
        <f t="shared" si="13"/>
        <v/>
      </c>
      <c r="J392" s="83" t="str">
        <f>IF(ISNONTEXT(node_raw[[#This Row],[Column7]]), "", node_raw[[#This Row],[Column7]]/100)</f>
        <v/>
      </c>
      <c r="K392" s="84" t="str">
        <f>IF(ISNONTEXT(node_raw[[#This Row],[Column8]]), "", node_raw[[#This Row],[Column8]]/100)</f>
        <v/>
      </c>
      <c r="L392" s="85" t="str">
        <f>IF(ISNONTEXT(node_raw[[#This Row],[Column9]]), "", node_raw[[#This Row],[Column9]]/1)</f>
        <v/>
      </c>
      <c r="M392" s="86" t="str">
        <f>IF(ISNONTEXT(node_raw[[#This Row],[Column10]]), "", node_raw[[#This Row],[Column10]]/1)</f>
        <v/>
      </c>
    </row>
    <row r="393" spans="2:13" ht="15.75" customHeight="1" x14ac:dyDescent="0.25">
      <c r="B393" s="32" t="str">
        <f>IF(ISNONTEXT(node_raw[[#This Row],[Column1]]), "", node_raw[[#This Row],[Column1]])</f>
        <v/>
      </c>
      <c r="C393" s="29" t="str">
        <f>IF(ISNONTEXT(node_raw[[#This Row],[Column2]]), "", node_raw[[#This Row],[Column2]])</f>
        <v/>
      </c>
      <c r="D393" s="62" t="str">
        <f>IF(ISNUMBER(node_raw[[#This Row],[Column3]]), node_raw[[#This Row],[Column3]],"")</f>
        <v/>
      </c>
      <c r="E393" s="65" t="str">
        <f>IF(ISNUMBER(node_raw[[#This Row],[Column4]]), node_raw[[#This Row],[Column4]]/1048576,"")</f>
        <v/>
      </c>
      <c r="F393" s="91" t="str">
        <f>IF(ISNUMBER(node_raw[[#This Row],[Column5]]), node_raw[[#This Row],[Column5]],"")</f>
        <v/>
      </c>
      <c r="G393" s="80" t="str">
        <f t="shared" si="12"/>
        <v/>
      </c>
      <c r="H393" s="81" t="str">
        <f>IF(ISNUMBER(node_raw[[#This Row],[Column6]]), node_raw[[#This Row],[Column6]]/1048576,"")</f>
        <v/>
      </c>
      <c r="I393" s="82" t="str">
        <f t="shared" si="13"/>
        <v/>
      </c>
      <c r="J393" s="83" t="str">
        <f>IF(ISNONTEXT(node_raw[[#This Row],[Column7]]), "", node_raw[[#This Row],[Column7]]/100)</f>
        <v/>
      </c>
      <c r="K393" s="84" t="str">
        <f>IF(ISNONTEXT(node_raw[[#This Row],[Column8]]), "", node_raw[[#This Row],[Column8]]/100)</f>
        <v/>
      </c>
      <c r="L393" s="85" t="str">
        <f>IF(ISNONTEXT(node_raw[[#This Row],[Column9]]), "", node_raw[[#This Row],[Column9]]/1)</f>
        <v/>
      </c>
      <c r="M393" s="86" t="str">
        <f>IF(ISNONTEXT(node_raw[[#This Row],[Column10]]), "", node_raw[[#This Row],[Column10]]/1)</f>
        <v/>
      </c>
    </row>
    <row r="394" spans="2:13" ht="15.75" customHeight="1" x14ac:dyDescent="0.25">
      <c r="B394" s="32" t="str">
        <f>IF(ISNONTEXT(node_raw[[#This Row],[Column1]]), "", node_raw[[#This Row],[Column1]])</f>
        <v/>
      </c>
      <c r="C394" s="29" t="str">
        <f>IF(ISNONTEXT(node_raw[[#This Row],[Column2]]), "", node_raw[[#This Row],[Column2]])</f>
        <v/>
      </c>
      <c r="D394" s="62" t="str">
        <f>IF(ISNUMBER(node_raw[[#This Row],[Column3]]), node_raw[[#This Row],[Column3]],"")</f>
        <v/>
      </c>
      <c r="E394" s="65" t="str">
        <f>IF(ISNUMBER(node_raw[[#This Row],[Column4]]), node_raw[[#This Row],[Column4]]/1048576,"")</f>
        <v/>
      </c>
      <c r="F394" s="91" t="str">
        <f>IF(ISNUMBER(node_raw[[#This Row],[Column5]]), node_raw[[#This Row],[Column5]],"")</f>
        <v/>
      </c>
      <c r="G394" s="80" t="str">
        <f t="shared" si="12"/>
        <v/>
      </c>
      <c r="H394" s="81" t="str">
        <f>IF(ISNUMBER(node_raw[[#This Row],[Column6]]), node_raw[[#This Row],[Column6]]/1048576,"")</f>
        <v/>
      </c>
      <c r="I394" s="82" t="str">
        <f t="shared" si="13"/>
        <v/>
      </c>
      <c r="J394" s="83" t="str">
        <f>IF(ISNONTEXT(node_raw[[#This Row],[Column7]]), "", node_raw[[#This Row],[Column7]]/100)</f>
        <v/>
      </c>
      <c r="K394" s="84" t="str">
        <f>IF(ISNONTEXT(node_raw[[#This Row],[Column8]]), "", node_raw[[#This Row],[Column8]]/100)</f>
        <v/>
      </c>
      <c r="L394" s="85" t="str">
        <f>IF(ISNONTEXT(node_raw[[#This Row],[Column9]]), "", node_raw[[#This Row],[Column9]]/1)</f>
        <v/>
      </c>
      <c r="M394" s="86" t="str">
        <f>IF(ISNONTEXT(node_raw[[#This Row],[Column10]]), "", node_raw[[#This Row],[Column10]]/1)</f>
        <v/>
      </c>
    </row>
    <row r="395" spans="2:13" ht="15.75" customHeight="1" x14ac:dyDescent="0.25">
      <c r="B395" s="32" t="str">
        <f>IF(ISNONTEXT(node_raw[[#This Row],[Column1]]), "", node_raw[[#This Row],[Column1]])</f>
        <v/>
      </c>
      <c r="C395" s="29" t="str">
        <f>IF(ISNONTEXT(node_raw[[#This Row],[Column2]]), "", node_raw[[#This Row],[Column2]])</f>
        <v/>
      </c>
      <c r="D395" s="62" t="str">
        <f>IF(ISNUMBER(node_raw[[#This Row],[Column3]]), node_raw[[#This Row],[Column3]],"")</f>
        <v/>
      </c>
      <c r="E395" s="65" t="str">
        <f>IF(ISNUMBER(node_raw[[#This Row],[Column4]]), node_raw[[#This Row],[Column4]]/1048576,"")</f>
        <v/>
      </c>
      <c r="F395" s="91" t="str">
        <f>IF(ISNUMBER(node_raw[[#This Row],[Column5]]), node_raw[[#This Row],[Column5]],"")</f>
        <v/>
      </c>
      <c r="G395" s="80" t="str">
        <f t="shared" si="12"/>
        <v/>
      </c>
      <c r="H395" s="81" t="str">
        <f>IF(ISNUMBER(node_raw[[#This Row],[Column6]]), node_raw[[#This Row],[Column6]]/1048576,"")</f>
        <v/>
      </c>
      <c r="I395" s="82" t="str">
        <f t="shared" si="13"/>
        <v/>
      </c>
      <c r="J395" s="83" t="str">
        <f>IF(ISNONTEXT(node_raw[[#This Row],[Column7]]), "", node_raw[[#This Row],[Column7]]/100)</f>
        <v/>
      </c>
      <c r="K395" s="84" t="str">
        <f>IF(ISNONTEXT(node_raw[[#This Row],[Column8]]), "", node_raw[[#This Row],[Column8]]/100)</f>
        <v/>
      </c>
      <c r="L395" s="85" t="str">
        <f>IF(ISNONTEXT(node_raw[[#This Row],[Column9]]), "", node_raw[[#This Row],[Column9]]/1)</f>
        <v/>
      </c>
      <c r="M395" s="86" t="str">
        <f>IF(ISNONTEXT(node_raw[[#This Row],[Column10]]), "", node_raw[[#This Row],[Column10]]/1)</f>
        <v/>
      </c>
    </row>
    <row r="396" spans="2:13" ht="15.75" customHeight="1" x14ac:dyDescent="0.25">
      <c r="B396" s="32" t="str">
        <f>IF(ISNONTEXT(node_raw[[#This Row],[Column1]]), "", node_raw[[#This Row],[Column1]])</f>
        <v/>
      </c>
      <c r="C396" s="29" t="str">
        <f>IF(ISNONTEXT(node_raw[[#This Row],[Column2]]), "", node_raw[[#This Row],[Column2]])</f>
        <v/>
      </c>
      <c r="D396" s="62" t="str">
        <f>IF(ISNUMBER(node_raw[[#This Row],[Column3]]), node_raw[[#This Row],[Column3]],"")</f>
        <v/>
      </c>
      <c r="E396" s="65" t="str">
        <f>IF(ISNUMBER(node_raw[[#This Row],[Column4]]), node_raw[[#This Row],[Column4]]/1048576,"")</f>
        <v/>
      </c>
      <c r="F396" s="91" t="str">
        <f>IF(ISNUMBER(node_raw[[#This Row],[Column5]]), node_raw[[#This Row],[Column5]],"")</f>
        <v/>
      </c>
      <c r="G396" s="80" t="str">
        <f t="shared" si="12"/>
        <v/>
      </c>
      <c r="H396" s="81" t="str">
        <f>IF(ISNUMBER(node_raw[[#This Row],[Column6]]), node_raw[[#This Row],[Column6]]/1048576,"")</f>
        <v/>
      </c>
      <c r="I396" s="82" t="str">
        <f t="shared" si="13"/>
        <v/>
      </c>
      <c r="J396" s="83" t="str">
        <f>IF(ISNONTEXT(node_raw[[#This Row],[Column7]]), "", node_raw[[#This Row],[Column7]]/100)</f>
        <v/>
      </c>
      <c r="K396" s="84" t="str">
        <f>IF(ISNONTEXT(node_raw[[#This Row],[Column8]]), "", node_raw[[#This Row],[Column8]]/100)</f>
        <v/>
      </c>
      <c r="L396" s="85" t="str">
        <f>IF(ISNONTEXT(node_raw[[#This Row],[Column9]]), "", node_raw[[#This Row],[Column9]]/1)</f>
        <v/>
      </c>
      <c r="M396" s="86" t="str">
        <f>IF(ISNONTEXT(node_raw[[#This Row],[Column10]]), "", node_raw[[#This Row],[Column10]]/1)</f>
        <v/>
      </c>
    </row>
    <row r="397" spans="2:13" ht="15.75" customHeight="1" x14ac:dyDescent="0.25">
      <c r="B397" s="32" t="str">
        <f>IF(ISNONTEXT(node_raw[[#This Row],[Column1]]), "", node_raw[[#This Row],[Column1]])</f>
        <v/>
      </c>
      <c r="C397" s="29" t="str">
        <f>IF(ISNONTEXT(node_raw[[#This Row],[Column2]]), "", node_raw[[#This Row],[Column2]])</f>
        <v/>
      </c>
      <c r="D397" s="62" t="str">
        <f>IF(ISNUMBER(node_raw[[#This Row],[Column3]]), node_raw[[#This Row],[Column3]],"")</f>
        <v/>
      </c>
      <c r="E397" s="65" t="str">
        <f>IF(ISNUMBER(node_raw[[#This Row],[Column4]]), node_raw[[#This Row],[Column4]]/1048576,"")</f>
        <v/>
      </c>
      <c r="F397" s="91" t="str">
        <f>IF(ISNUMBER(node_raw[[#This Row],[Column5]]), node_raw[[#This Row],[Column5]],"")</f>
        <v/>
      </c>
      <c r="G397" s="80" t="str">
        <f t="shared" si="12"/>
        <v/>
      </c>
      <c r="H397" s="81" t="str">
        <f>IF(ISNUMBER(node_raw[[#This Row],[Column6]]), node_raw[[#This Row],[Column6]]/1048576,"")</f>
        <v/>
      </c>
      <c r="I397" s="82" t="str">
        <f t="shared" si="13"/>
        <v/>
      </c>
      <c r="J397" s="83" t="str">
        <f>IF(ISNONTEXT(node_raw[[#This Row],[Column7]]), "", node_raw[[#This Row],[Column7]]/100)</f>
        <v/>
      </c>
      <c r="K397" s="84" t="str">
        <f>IF(ISNONTEXT(node_raw[[#This Row],[Column8]]), "", node_raw[[#This Row],[Column8]]/100)</f>
        <v/>
      </c>
      <c r="L397" s="85" t="str">
        <f>IF(ISNONTEXT(node_raw[[#This Row],[Column9]]), "", node_raw[[#This Row],[Column9]]/1)</f>
        <v/>
      </c>
      <c r="M397" s="86" t="str">
        <f>IF(ISNONTEXT(node_raw[[#This Row],[Column10]]), "", node_raw[[#This Row],[Column10]]/1)</f>
        <v/>
      </c>
    </row>
    <row r="398" spans="2:13" ht="15.75" customHeight="1" x14ac:dyDescent="0.25">
      <c r="B398" s="32" t="str">
        <f>IF(ISNONTEXT(node_raw[[#This Row],[Column1]]), "", node_raw[[#This Row],[Column1]])</f>
        <v/>
      </c>
      <c r="C398" s="29" t="str">
        <f>IF(ISNONTEXT(node_raw[[#This Row],[Column2]]), "", node_raw[[#This Row],[Column2]])</f>
        <v/>
      </c>
      <c r="D398" s="62" t="str">
        <f>IF(ISNUMBER(node_raw[[#This Row],[Column3]]), node_raw[[#This Row],[Column3]],"")</f>
        <v/>
      </c>
      <c r="E398" s="65" t="str">
        <f>IF(ISNUMBER(node_raw[[#This Row],[Column4]]), node_raw[[#This Row],[Column4]]/1048576,"")</f>
        <v/>
      </c>
      <c r="F398" s="91" t="str">
        <f>IF(ISNUMBER(node_raw[[#This Row],[Column5]]), node_raw[[#This Row],[Column5]],"")</f>
        <v/>
      </c>
      <c r="G398" s="80" t="str">
        <f t="shared" si="12"/>
        <v/>
      </c>
      <c r="H398" s="81" t="str">
        <f>IF(ISNUMBER(node_raw[[#This Row],[Column6]]), node_raw[[#This Row],[Column6]]/1048576,"")</f>
        <v/>
      </c>
      <c r="I398" s="82" t="str">
        <f t="shared" si="13"/>
        <v/>
      </c>
      <c r="J398" s="83" t="str">
        <f>IF(ISNONTEXT(node_raw[[#This Row],[Column7]]), "", node_raw[[#This Row],[Column7]]/100)</f>
        <v/>
      </c>
      <c r="K398" s="84" t="str">
        <f>IF(ISNONTEXT(node_raw[[#This Row],[Column8]]), "", node_raw[[#This Row],[Column8]]/100)</f>
        <v/>
      </c>
      <c r="L398" s="85" t="str">
        <f>IF(ISNONTEXT(node_raw[[#This Row],[Column9]]), "", node_raw[[#This Row],[Column9]]/1)</f>
        <v/>
      </c>
      <c r="M398" s="86" t="str">
        <f>IF(ISNONTEXT(node_raw[[#This Row],[Column10]]), "", node_raw[[#This Row],[Column10]]/1)</f>
        <v/>
      </c>
    </row>
    <row r="399" spans="2:13" ht="15.75" customHeight="1" x14ac:dyDescent="0.25">
      <c r="B399" s="32" t="str">
        <f>IF(ISNONTEXT(node_raw[[#This Row],[Column1]]), "", node_raw[[#This Row],[Column1]])</f>
        <v/>
      </c>
      <c r="C399" s="29" t="str">
        <f>IF(ISNONTEXT(node_raw[[#This Row],[Column2]]), "", node_raw[[#This Row],[Column2]])</f>
        <v/>
      </c>
      <c r="D399" s="62" t="str">
        <f>IF(ISNUMBER(node_raw[[#This Row],[Column3]]), node_raw[[#This Row],[Column3]],"")</f>
        <v/>
      </c>
      <c r="E399" s="65" t="str">
        <f>IF(ISNUMBER(node_raw[[#This Row],[Column4]]), node_raw[[#This Row],[Column4]]/1048576,"")</f>
        <v/>
      </c>
      <c r="F399" s="91" t="str">
        <f>IF(ISNUMBER(node_raw[[#This Row],[Column5]]), node_raw[[#This Row],[Column5]],"")</f>
        <v/>
      </c>
      <c r="G399" s="80" t="str">
        <f t="shared" si="12"/>
        <v/>
      </c>
      <c r="H399" s="81" t="str">
        <f>IF(ISNUMBER(node_raw[[#This Row],[Column6]]), node_raw[[#This Row],[Column6]]/1048576,"")</f>
        <v/>
      </c>
      <c r="I399" s="82" t="str">
        <f t="shared" si="13"/>
        <v/>
      </c>
      <c r="J399" s="83" t="str">
        <f>IF(ISNONTEXT(node_raw[[#This Row],[Column7]]), "", node_raw[[#This Row],[Column7]]/100)</f>
        <v/>
      </c>
      <c r="K399" s="84" t="str">
        <f>IF(ISNONTEXT(node_raw[[#This Row],[Column8]]), "", node_raw[[#This Row],[Column8]]/100)</f>
        <v/>
      </c>
      <c r="L399" s="85" t="str">
        <f>IF(ISNONTEXT(node_raw[[#This Row],[Column9]]), "", node_raw[[#This Row],[Column9]]/1)</f>
        <v/>
      </c>
      <c r="M399" s="86" t="str">
        <f>IF(ISNONTEXT(node_raw[[#This Row],[Column10]]), "", node_raw[[#This Row],[Column10]]/1)</f>
        <v/>
      </c>
    </row>
    <row r="400" spans="2:13" ht="15.75" customHeight="1" x14ac:dyDescent="0.25">
      <c r="B400" s="32" t="str">
        <f>IF(ISNONTEXT(node_raw[[#This Row],[Column1]]), "", node_raw[[#This Row],[Column1]])</f>
        <v/>
      </c>
      <c r="C400" s="29" t="str">
        <f>IF(ISNONTEXT(node_raw[[#This Row],[Column2]]), "", node_raw[[#This Row],[Column2]])</f>
        <v/>
      </c>
      <c r="D400" s="62" t="str">
        <f>IF(ISNUMBER(node_raw[[#This Row],[Column3]]), node_raw[[#This Row],[Column3]],"")</f>
        <v/>
      </c>
      <c r="E400" s="65" t="str">
        <f>IF(ISNUMBER(node_raw[[#This Row],[Column4]]), node_raw[[#This Row],[Column4]]/1048576,"")</f>
        <v/>
      </c>
      <c r="F400" s="91" t="str">
        <f>IF(ISNUMBER(node_raw[[#This Row],[Column5]]), node_raw[[#This Row],[Column5]],"")</f>
        <v/>
      </c>
      <c r="G400" s="80" t="str">
        <f t="shared" si="12"/>
        <v/>
      </c>
      <c r="H400" s="81" t="str">
        <f>IF(ISNUMBER(node_raw[[#This Row],[Column6]]), node_raw[[#This Row],[Column6]]/1048576,"")</f>
        <v/>
      </c>
      <c r="I400" s="82" t="str">
        <f t="shared" si="13"/>
        <v/>
      </c>
      <c r="J400" s="83" t="str">
        <f>IF(ISNONTEXT(node_raw[[#This Row],[Column7]]), "", node_raw[[#This Row],[Column7]]/100)</f>
        <v/>
      </c>
      <c r="K400" s="84" t="str">
        <f>IF(ISNONTEXT(node_raw[[#This Row],[Column8]]), "", node_raw[[#This Row],[Column8]]/100)</f>
        <v/>
      </c>
      <c r="L400" s="85" t="str">
        <f>IF(ISNONTEXT(node_raw[[#This Row],[Column9]]), "", node_raw[[#This Row],[Column9]]/1)</f>
        <v/>
      </c>
      <c r="M400" s="86" t="str">
        <f>IF(ISNONTEXT(node_raw[[#This Row],[Column10]]), "", node_raw[[#This Row],[Column10]]/1)</f>
        <v/>
      </c>
    </row>
    <row r="401" spans="2:13" ht="15.75" customHeight="1" x14ac:dyDescent="0.25">
      <c r="B401" s="32" t="str">
        <f>IF(ISNONTEXT(node_raw[[#This Row],[Column1]]), "", node_raw[[#This Row],[Column1]])</f>
        <v/>
      </c>
      <c r="C401" s="29" t="str">
        <f>IF(ISNONTEXT(node_raw[[#This Row],[Column2]]), "", node_raw[[#This Row],[Column2]])</f>
        <v/>
      </c>
      <c r="D401" s="62" t="str">
        <f>IF(ISNUMBER(node_raw[[#This Row],[Column3]]), node_raw[[#This Row],[Column3]],"")</f>
        <v/>
      </c>
      <c r="E401" s="65" t="str">
        <f>IF(ISNUMBER(node_raw[[#This Row],[Column4]]), node_raw[[#This Row],[Column4]]/1048576,"")</f>
        <v/>
      </c>
      <c r="F401" s="91" t="str">
        <f>IF(ISNUMBER(node_raw[[#This Row],[Column5]]), node_raw[[#This Row],[Column5]],"")</f>
        <v/>
      </c>
      <c r="G401" s="80" t="str">
        <f t="shared" si="12"/>
        <v/>
      </c>
      <c r="H401" s="81" t="str">
        <f>IF(ISNUMBER(node_raw[[#This Row],[Column6]]), node_raw[[#This Row],[Column6]]/1048576,"")</f>
        <v/>
      </c>
      <c r="I401" s="82" t="str">
        <f t="shared" si="13"/>
        <v/>
      </c>
      <c r="J401" s="83" t="str">
        <f>IF(ISNONTEXT(node_raw[[#This Row],[Column7]]), "", node_raw[[#This Row],[Column7]]/100)</f>
        <v/>
      </c>
      <c r="K401" s="84" t="str">
        <f>IF(ISNONTEXT(node_raw[[#This Row],[Column8]]), "", node_raw[[#This Row],[Column8]]/100)</f>
        <v/>
      </c>
      <c r="L401" s="85" t="str">
        <f>IF(ISNONTEXT(node_raw[[#This Row],[Column9]]), "", node_raw[[#This Row],[Column9]]/1)</f>
        <v/>
      </c>
      <c r="M401" s="86" t="str">
        <f>IF(ISNONTEXT(node_raw[[#This Row],[Column10]]), "", node_raw[[#This Row],[Column10]]/1)</f>
        <v/>
      </c>
    </row>
    <row r="402" spans="2:13" ht="15.75" customHeight="1" x14ac:dyDescent="0.25">
      <c r="B402" s="32" t="str">
        <f>IF(ISNONTEXT(node_raw[[#This Row],[Column1]]), "", node_raw[[#This Row],[Column1]])</f>
        <v/>
      </c>
      <c r="C402" s="29" t="str">
        <f>IF(ISNONTEXT(node_raw[[#This Row],[Column2]]), "", node_raw[[#This Row],[Column2]])</f>
        <v/>
      </c>
      <c r="D402" s="62" t="str">
        <f>IF(ISNUMBER(node_raw[[#This Row],[Column3]]), node_raw[[#This Row],[Column3]],"")</f>
        <v/>
      </c>
      <c r="E402" s="65" t="str">
        <f>IF(ISNUMBER(node_raw[[#This Row],[Column4]]), node_raw[[#This Row],[Column4]]/1048576,"")</f>
        <v/>
      </c>
      <c r="F402" s="91" t="str">
        <f>IF(ISNUMBER(node_raw[[#This Row],[Column5]]), node_raw[[#This Row],[Column5]],"")</f>
        <v/>
      </c>
      <c r="G402" s="80" t="str">
        <f t="shared" si="12"/>
        <v/>
      </c>
      <c r="H402" s="81" t="str">
        <f>IF(ISNUMBER(node_raw[[#This Row],[Column6]]), node_raw[[#This Row],[Column6]]/1048576,"")</f>
        <v/>
      </c>
      <c r="I402" s="82" t="str">
        <f t="shared" si="13"/>
        <v/>
      </c>
      <c r="J402" s="83" t="str">
        <f>IF(ISNONTEXT(node_raw[[#This Row],[Column7]]), "", node_raw[[#This Row],[Column7]]/100)</f>
        <v/>
      </c>
      <c r="K402" s="84" t="str">
        <f>IF(ISNONTEXT(node_raw[[#This Row],[Column8]]), "", node_raw[[#This Row],[Column8]]/100)</f>
        <v/>
      </c>
      <c r="L402" s="85" t="str">
        <f>IF(ISNONTEXT(node_raw[[#This Row],[Column9]]), "", node_raw[[#This Row],[Column9]]/1)</f>
        <v/>
      </c>
      <c r="M402" s="86" t="str">
        <f>IF(ISNONTEXT(node_raw[[#This Row],[Column10]]), "", node_raw[[#This Row],[Column10]]/1)</f>
        <v/>
      </c>
    </row>
    <row r="403" spans="2:13" ht="15.75" customHeight="1" x14ac:dyDescent="0.25">
      <c r="B403" s="32" t="str">
        <f>IF(ISNONTEXT(node_raw[[#This Row],[Column1]]), "", node_raw[[#This Row],[Column1]])</f>
        <v/>
      </c>
      <c r="C403" s="29" t="str">
        <f>IF(ISNONTEXT(node_raw[[#This Row],[Column2]]), "", node_raw[[#This Row],[Column2]])</f>
        <v/>
      </c>
      <c r="D403" s="62" t="str">
        <f>IF(ISNUMBER(node_raw[[#This Row],[Column3]]), node_raw[[#This Row],[Column3]],"")</f>
        <v/>
      </c>
      <c r="E403" s="65" t="str">
        <f>IF(ISNUMBER(node_raw[[#This Row],[Column4]]), node_raw[[#This Row],[Column4]]/1048576,"")</f>
        <v/>
      </c>
      <c r="F403" s="91" t="str">
        <f>IF(ISNUMBER(node_raw[[#This Row],[Column5]]), node_raw[[#This Row],[Column5]],"")</f>
        <v/>
      </c>
      <c r="G403" s="80" t="str">
        <f t="shared" si="12"/>
        <v/>
      </c>
      <c r="H403" s="81" t="str">
        <f>IF(ISNUMBER(node_raw[[#This Row],[Column6]]), node_raw[[#This Row],[Column6]]/1048576,"")</f>
        <v/>
      </c>
      <c r="I403" s="82" t="str">
        <f t="shared" si="13"/>
        <v/>
      </c>
      <c r="J403" s="83" t="str">
        <f>IF(ISNONTEXT(node_raw[[#This Row],[Column7]]), "", node_raw[[#This Row],[Column7]]/100)</f>
        <v/>
      </c>
      <c r="K403" s="84" t="str">
        <f>IF(ISNONTEXT(node_raw[[#This Row],[Column8]]), "", node_raw[[#This Row],[Column8]]/100)</f>
        <v/>
      </c>
      <c r="L403" s="85" t="str">
        <f>IF(ISNONTEXT(node_raw[[#This Row],[Column9]]), "", node_raw[[#This Row],[Column9]]/1)</f>
        <v/>
      </c>
      <c r="M403" s="86" t="str">
        <f>IF(ISNONTEXT(node_raw[[#This Row],[Column10]]), "", node_raw[[#This Row],[Column10]]/1)</f>
        <v/>
      </c>
    </row>
    <row r="404" spans="2:13" ht="15.75" customHeight="1" x14ac:dyDescent="0.25">
      <c r="B404" s="32" t="str">
        <f>IF(ISNONTEXT(node_raw[[#This Row],[Column1]]), "", node_raw[[#This Row],[Column1]])</f>
        <v/>
      </c>
      <c r="C404" s="29" t="str">
        <f>IF(ISNONTEXT(node_raw[[#This Row],[Column2]]), "", node_raw[[#This Row],[Column2]])</f>
        <v/>
      </c>
      <c r="D404" s="62" t="str">
        <f>IF(ISNUMBER(node_raw[[#This Row],[Column3]]), node_raw[[#This Row],[Column3]],"")</f>
        <v/>
      </c>
      <c r="E404" s="65" t="str">
        <f>IF(ISNUMBER(node_raw[[#This Row],[Column4]]), node_raw[[#This Row],[Column4]]/1048576,"")</f>
        <v/>
      </c>
      <c r="F404" s="91" t="str">
        <f>IF(ISNUMBER(node_raw[[#This Row],[Column5]]), node_raw[[#This Row],[Column5]],"")</f>
        <v/>
      </c>
      <c r="G404" s="80" t="str">
        <f t="shared" si="12"/>
        <v/>
      </c>
      <c r="H404" s="81" t="str">
        <f>IF(ISNUMBER(node_raw[[#This Row],[Column6]]), node_raw[[#This Row],[Column6]]/1048576,"")</f>
        <v/>
      </c>
      <c r="I404" s="82" t="str">
        <f t="shared" si="13"/>
        <v/>
      </c>
      <c r="J404" s="83" t="str">
        <f>IF(ISNONTEXT(node_raw[[#This Row],[Column7]]), "", node_raw[[#This Row],[Column7]]/100)</f>
        <v/>
      </c>
      <c r="K404" s="84" t="str">
        <f>IF(ISNONTEXT(node_raw[[#This Row],[Column8]]), "", node_raw[[#This Row],[Column8]]/100)</f>
        <v/>
      </c>
      <c r="L404" s="85" t="str">
        <f>IF(ISNONTEXT(node_raw[[#This Row],[Column9]]), "", node_raw[[#This Row],[Column9]]/1)</f>
        <v/>
      </c>
      <c r="M404" s="86" t="str">
        <f>IF(ISNONTEXT(node_raw[[#This Row],[Column10]]), "", node_raw[[#This Row],[Column10]]/1)</f>
        <v/>
      </c>
    </row>
    <row r="405" spans="2:13" ht="15.75" customHeight="1" x14ac:dyDescent="0.25">
      <c r="B405" s="32" t="str">
        <f>IF(ISNONTEXT(node_raw[[#This Row],[Column1]]), "", node_raw[[#This Row],[Column1]])</f>
        <v/>
      </c>
      <c r="C405" s="29" t="str">
        <f>IF(ISNONTEXT(node_raw[[#This Row],[Column2]]), "", node_raw[[#This Row],[Column2]])</f>
        <v/>
      </c>
      <c r="D405" s="62" t="str">
        <f>IF(ISNUMBER(node_raw[[#This Row],[Column3]]), node_raw[[#This Row],[Column3]],"")</f>
        <v/>
      </c>
      <c r="E405" s="65" t="str">
        <f>IF(ISNUMBER(node_raw[[#This Row],[Column4]]), node_raw[[#This Row],[Column4]]/1048576,"")</f>
        <v/>
      </c>
      <c r="F405" s="91" t="str">
        <f>IF(ISNUMBER(node_raw[[#This Row],[Column5]]), node_raw[[#This Row],[Column5]],"")</f>
        <v/>
      </c>
      <c r="G405" s="80" t="str">
        <f t="shared" si="12"/>
        <v/>
      </c>
      <c r="H405" s="81" t="str">
        <f>IF(ISNUMBER(node_raw[[#This Row],[Column6]]), node_raw[[#This Row],[Column6]]/1048576,"")</f>
        <v/>
      </c>
      <c r="I405" s="82" t="str">
        <f t="shared" si="13"/>
        <v/>
      </c>
      <c r="J405" s="83" t="str">
        <f>IF(ISNONTEXT(node_raw[[#This Row],[Column7]]), "", node_raw[[#This Row],[Column7]]/100)</f>
        <v/>
      </c>
      <c r="K405" s="84" t="str">
        <f>IF(ISNONTEXT(node_raw[[#This Row],[Column8]]), "", node_raw[[#This Row],[Column8]]/100)</f>
        <v/>
      </c>
      <c r="L405" s="85" t="str">
        <f>IF(ISNONTEXT(node_raw[[#This Row],[Column9]]), "", node_raw[[#This Row],[Column9]]/1)</f>
        <v/>
      </c>
      <c r="M405" s="86" t="str">
        <f>IF(ISNONTEXT(node_raw[[#This Row],[Column10]]), "", node_raw[[#This Row],[Column10]]/1)</f>
        <v/>
      </c>
    </row>
    <row r="406" spans="2:13" ht="15.75" customHeight="1" x14ac:dyDescent="0.25">
      <c r="B406" s="32" t="str">
        <f>IF(ISNONTEXT(node_raw[[#This Row],[Column1]]), "", node_raw[[#This Row],[Column1]])</f>
        <v/>
      </c>
      <c r="C406" s="29" t="str">
        <f>IF(ISNONTEXT(node_raw[[#This Row],[Column2]]), "", node_raw[[#This Row],[Column2]])</f>
        <v/>
      </c>
      <c r="D406" s="62" t="str">
        <f>IF(ISNUMBER(node_raw[[#This Row],[Column3]]), node_raw[[#This Row],[Column3]],"")</f>
        <v/>
      </c>
      <c r="E406" s="65" t="str">
        <f>IF(ISNUMBER(node_raw[[#This Row],[Column4]]), node_raw[[#This Row],[Column4]]/1048576,"")</f>
        <v/>
      </c>
      <c r="F406" s="91" t="str">
        <f>IF(ISNUMBER(node_raw[[#This Row],[Column5]]), node_raw[[#This Row],[Column5]],"")</f>
        <v/>
      </c>
      <c r="G406" s="80" t="str">
        <f t="shared" si="12"/>
        <v/>
      </c>
      <c r="H406" s="81" t="str">
        <f>IF(ISNUMBER(node_raw[[#This Row],[Column6]]), node_raw[[#This Row],[Column6]]/1048576,"")</f>
        <v/>
      </c>
      <c r="I406" s="82" t="str">
        <f t="shared" si="13"/>
        <v/>
      </c>
      <c r="J406" s="83" t="str">
        <f>IF(ISNONTEXT(node_raw[[#This Row],[Column7]]), "", node_raw[[#This Row],[Column7]]/100)</f>
        <v/>
      </c>
      <c r="K406" s="84" t="str">
        <f>IF(ISNONTEXT(node_raw[[#This Row],[Column8]]), "", node_raw[[#This Row],[Column8]]/100)</f>
        <v/>
      </c>
      <c r="L406" s="85" t="str">
        <f>IF(ISNONTEXT(node_raw[[#This Row],[Column9]]), "", node_raw[[#This Row],[Column9]]/1)</f>
        <v/>
      </c>
      <c r="M406" s="86" t="str">
        <f>IF(ISNONTEXT(node_raw[[#This Row],[Column10]]), "", node_raw[[#This Row],[Column10]]/1)</f>
        <v/>
      </c>
    </row>
    <row r="407" spans="2:13" ht="15.75" customHeight="1" x14ac:dyDescent="0.25">
      <c r="B407" s="32" t="str">
        <f>IF(ISNONTEXT(node_raw[[#This Row],[Column1]]), "", node_raw[[#This Row],[Column1]])</f>
        <v/>
      </c>
      <c r="C407" s="29" t="str">
        <f>IF(ISNONTEXT(node_raw[[#This Row],[Column2]]), "", node_raw[[#This Row],[Column2]])</f>
        <v/>
      </c>
      <c r="D407" s="62" t="str">
        <f>IF(ISNUMBER(node_raw[[#This Row],[Column3]]), node_raw[[#This Row],[Column3]],"")</f>
        <v/>
      </c>
      <c r="E407" s="65" t="str">
        <f>IF(ISNUMBER(node_raw[[#This Row],[Column4]]), node_raw[[#This Row],[Column4]]/1048576,"")</f>
        <v/>
      </c>
      <c r="F407" s="91" t="str">
        <f>IF(ISNUMBER(node_raw[[#This Row],[Column5]]), node_raw[[#This Row],[Column5]],"")</f>
        <v/>
      </c>
      <c r="G407" s="80" t="str">
        <f t="shared" si="12"/>
        <v/>
      </c>
      <c r="H407" s="81" t="str">
        <f>IF(ISNUMBER(node_raw[[#This Row],[Column6]]), node_raw[[#This Row],[Column6]]/1048576,"")</f>
        <v/>
      </c>
      <c r="I407" s="82" t="str">
        <f t="shared" si="13"/>
        <v/>
      </c>
      <c r="J407" s="83" t="str">
        <f>IF(ISNONTEXT(node_raw[[#This Row],[Column7]]), "", node_raw[[#This Row],[Column7]]/100)</f>
        <v/>
      </c>
      <c r="K407" s="84" t="str">
        <f>IF(ISNONTEXT(node_raw[[#This Row],[Column8]]), "", node_raw[[#This Row],[Column8]]/100)</f>
        <v/>
      </c>
      <c r="L407" s="85" t="str">
        <f>IF(ISNONTEXT(node_raw[[#This Row],[Column9]]), "", node_raw[[#This Row],[Column9]]/1)</f>
        <v/>
      </c>
      <c r="M407" s="86" t="str">
        <f>IF(ISNONTEXT(node_raw[[#This Row],[Column10]]), "", node_raw[[#This Row],[Column10]]/1)</f>
        <v/>
      </c>
    </row>
    <row r="408" spans="2:13" ht="15.75" customHeight="1" x14ac:dyDescent="0.25">
      <c r="B408" s="32" t="str">
        <f>IF(ISNONTEXT(node_raw[[#This Row],[Column1]]), "", node_raw[[#This Row],[Column1]])</f>
        <v/>
      </c>
      <c r="C408" s="29" t="str">
        <f>IF(ISNONTEXT(node_raw[[#This Row],[Column2]]), "", node_raw[[#This Row],[Column2]])</f>
        <v/>
      </c>
      <c r="D408" s="62" t="str">
        <f>IF(ISNUMBER(node_raw[[#This Row],[Column3]]), node_raw[[#This Row],[Column3]],"")</f>
        <v/>
      </c>
      <c r="E408" s="65" t="str">
        <f>IF(ISNUMBER(node_raw[[#This Row],[Column4]]), node_raw[[#This Row],[Column4]]/1048576,"")</f>
        <v/>
      </c>
      <c r="F408" s="91" t="str">
        <f>IF(ISNUMBER(node_raw[[#This Row],[Column5]]), node_raw[[#This Row],[Column5]],"")</f>
        <v/>
      </c>
      <c r="G408" s="80" t="str">
        <f t="shared" si="12"/>
        <v/>
      </c>
      <c r="H408" s="81" t="str">
        <f>IF(ISNUMBER(node_raw[[#This Row],[Column6]]), node_raw[[#This Row],[Column6]]/1048576,"")</f>
        <v/>
      </c>
      <c r="I408" s="82" t="str">
        <f t="shared" si="13"/>
        <v/>
      </c>
      <c r="J408" s="83" t="str">
        <f>IF(ISNONTEXT(node_raw[[#This Row],[Column7]]), "", node_raw[[#This Row],[Column7]]/100)</f>
        <v/>
      </c>
      <c r="K408" s="84" t="str">
        <f>IF(ISNONTEXT(node_raw[[#This Row],[Column8]]), "", node_raw[[#This Row],[Column8]]/100)</f>
        <v/>
      </c>
      <c r="L408" s="85" t="str">
        <f>IF(ISNONTEXT(node_raw[[#This Row],[Column9]]), "", node_raw[[#This Row],[Column9]]/1)</f>
        <v/>
      </c>
      <c r="M408" s="86" t="str">
        <f>IF(ISNONTEXT(node_raw[[#This Row],[Column10]]), "", node_raw[[#This Row],[Column10]]/1)</f>
        <v/>
      </c>
    </row>
    <row r="409" spans="2:13" ht="15.75" customHeight="1" x14ac:dyDescent="0.25">
      <c r="B409" s="32" t="str">
        <f>IF(ISNONTEXT(node_raw[[#This Row],[Column1]]), "", node_raw[[#This Row],[Column1]])</f>
        <v/>
      </c>
      <c r="C409" s="29" t="str">
        <f>IF(ISNONTEXT(node_raw[[#This Row],[Column2]]), "", node_raw[[#This Row],[Column2]])</f>
        <v/>
      </c>
      <c r="D409" s="62" t="str">
        <f>IF(ISNUMBER(node_raw[[#This Row],[Column3]]), node_raw[[#This Row],[Column3]],"")</f>
        <v/>
      </c>
      <c r="E409" s="65" t="str">
        <f>IF(ISNUMBER(node_raw[[#This Row],[Column4]]), node_raw[[#This Row],[Column4]]/1048576,"")</f>
        <v/>
      </c>
      <c r="F409" s="91" t="str">
        <f>IF(ISNUMBER(node_raw[[#This Row],[Column5]]), node_raw[[#This Row],[Column5]],"")</f>
        <v/>
      </c>
      <c r="G409" s="80" t="str">
        <f t="shared" si="12"/>
        <v/>
      </c>
      <c r="H409" s="81" t="str">
        <f>IF(ISNUMBER(node_raw[[#This Row],[Column6]]), node_raw[[#This Row],[Column6]]/1048576,"")</f>
        <v/>
      </c>
      <c r="I409" s="82" t="str">
        <f t="shared" si="13"/>
        <v/>
      </c>
      <c r="J409" s="83" t="str">
        <f>IF(ISNONTEXT(node_raw[[#This Row],[Column7]]), "", node_raw[[#This Row],[Column7]]/100)</f>
        <v/>
      </c>
      <c r="K409" s="84" t="str">
        <f>IF(ISNONTEXT(node_raw[[#This Row],[Column8]]), "", node_raw[[#This Row],[Column8]]/100)</f>
        <v/>
      </c>
      <c r="L409" s="85" t="str">
        <f>IF(ISNONTEXT(node_raw[[#This Row],[Column9]]), "", node_raw[[#This Row],[Column9]]/1)</f>
        <v/>
      </c>
      <c r="M409" s="86" t="str">
        <f>IF(ISNONTEXT(node_raw[[#This Row],[Column10]]), "", node_raw[[#This Row],[Column10]]/1)</f>
        <v/>
      </c>
    </row>
    <row r="410" spans="2:13" ht="15.75" customHeight="1" x14ac:dyDescent="0.25">
      <c r="B410" s="32" t="str">
        <f>IF(ISNONTEXT(node_raw[[#This Row],[Column1]]), "", node_raw[[#This Row],[Column1]])</f>
        <v/>
      </c>
      <c r="C410" s="29" t="str">
        <f>IF(ISNONTEXT(node_raw[[#This Row],[Column2]]), "", node_raw[[#This Row],[Column2]])</f>
        <v/>
      </c>
      <c r="D410" s="62" t="str">
        <f>IF(ISNUMBER(node_raw[[#This Row],[Column3]]), node_raw[[#This Row],[Column3]],"")</f>
        <v/>
      </c>
      <c r="E410" s="65" t="str">
        <f>IF(ISNUMBER(node_raw[[#This Row],[Column4]]), node_raw[[#This Row],[Column4]]/1048576,"")</f>
        <v/>
      </c>
      <c r="F410" s="91" t="str">
        <f>IF(ISNUMBER(node_raw[[#This Row],[Column5]]), node_raw[[#This Row],[Column5]],"")</f>
        <v/>
      </c>
      <c r="G410" s="80" t="str">
        <f t="shared" si="12"/>
        <v/>
      </c>
      <c r="H410" s="81" t="str">
        <f>IF(ISNUMBER(node_raw[[#This Row],[Column6]]), node_raw[[#This Row],[Column6]]/1048576,"")</f>
        <v/>
      </c>
      <c r="I410" s="82" t="str">
        <f t="shared" si="13"/>
        <v/>
      </c>
      <c r="J410" s="83" t="str">
        <f>IF(ISNONTEXT(node_raw[[#This Row],[Column7]]), "", node_raw[[#This Row],[Column7]]/100)</f>
        <v/>
      </c>
      <c r="K410" s="84" t="str">
        <f>IF(ISNONTEXT(node_raw[[#This Row],[Column8]]), "", node_raw[[#This Row],[Column8]]/100)</f>
        <v/>
      </c>
      <c r="L410" s="85" t="str">
        <f>IF(ISNONTEXT(node_raw[[#This Row],[Column9]]), "", node_raw[[#This Row],[Column9]]/1)</f>
        <v/>
      </c>
      <c r="M410" s="86" t="str">
        <f>IF(ISNONTEXT(node_raw[[#This Row],[Column10]]), "", node_raw[[#This Row],[Column10]]/1)</f>
        <v/>
      </c>
    </row>
    <row r="411" spans="2:13" ht="15.75" customHeight="1" x14ac:dyDescent="0.25">
      <c r="B411" s="32" t="str">
        <f>IF(ISNONTEXT(node_raw[[#This Row],[Column1]]), "", node_raw[[#This Row],[Column1]])</f>
        <v/>
      </c>
      <c r="C411" s="29" t="str">
        <f>IF(ISNONTEXT(node_raw[[#This Row],[Column2]]), "", node_raw[[#This Row],[Column2]])</f>
        <v/>
      </c>
      <c r="D411" s="62" t="str">
        <f>IF(ISNUMBER(node_raw[[#This Row],[Column3]]), node_raw[[#This Row],[Column3]],"")</f>
        <v/>
      </c>
      <c r="E411" s="65" t="str">
        <f>IF(ISNUMBER(node_raw[[#This Row],[Column4]]), node_raw[[#This Row],[Column4]]/1048576,"")</f>
        <v/>
      </c>
      <c r="F411" s="91" t="str">
        <f>IF(ISNUMBER(node_raw[[#This Row],[Column5]]), node_raw[[#This Row],[Column5]],"")</f>
        <v/>
      </c>
      <c r="G411" s="80" t="str">
        <f t="shared" si="12"/>
        <v/>
      </c>
      <c r="H411" s="81" t="str">
        <f>IF(ISNUMBER(node_raw[[#This Row],[Column6]]), node_raw[[#This Row],[Column6]]/1048576,"")</f>
        <v/>
      </c>
      <c r="I411" s="82" t="str">
        <f t="shared" si="13"/>
        <v/>
      </c>
      <c r="J411" s="83" t="str">
        <f>IF(ISNONTEXT(node_raw[[#This Row],[Column7]]), "", node_raw[[#This Row],[Column7]]/100)</f>
        <v/>
      </c>
      <c r="K411" s="84" t="str">
        <f>IF(ISNONTEXT(node_raw[[#This Row],[Column8]]), "", node_raw[[#This Row],[Column8]]/100)</f>
        <v/>
      </c>
      <c r="L411" s="85" t="str">
        <f>IF(ISNONTEXT(node_raw[[#This Row],[Column9]]), "", node_raw[[#This Row],[Column9]]/1)</f>
        <v/>
      </c>
      <c r="M411" s="86" t="str">
        <f>IF(ISNONTEXT(node_raw[[#This Row],[Column10]]), "", node_raw[[#This Row],[Column10]]/1)</f>
        <v/>
      </c>
    </row>
    <row r="412" spans="2:13" ht="15.75" customHeight="1" x14ac:dyDescent="0.25">
      <c r="B412" s="32" t="str">
        <f>IF(ISNONTEXT(node_raw[[#This Row],[Column1]]), "", node_raw[[#This Row],[Column1]])</f>
        <v/>
      </c>
      <c r="C412" s="29" t="str">
        <f>IF(ISNONTEXT(node_raw[[#This Row],[Column2]]), "", node_raw[[#This Row],[Column2]])</f>
        <v/>
      </c>
      <c r="D412" s="62" t="str">
        <f>IF(ISNUMBER(node_raw[[#This Row],[Column3]]), node_raw[[#This Row],[Column3]],"")</f>
        <v/>
      </c>
      <c r="E412" s="65" t="str">
        <f>IF(ISNUMBER(node_raw[[#This Row],[Column4]]), node_raw[[#This Row],[Column4]]/1048576,"")</f>
        <v/>
      </c>
      <c r="F412" s="91" t="str">
        <f>IF(ISNUMBER(node_raw[[#This Row],[Column5]]), node_raw[[#This Row],[Column5]],"")</f>
        <v/>
      </c>
      <c r="G412" s="80" t="str">
        <f t="shared" si="12"/>
        <v/>
      </c>
      <c r="H412" s="81" t="str">
        <f>IF(ISNUMBER(node_raw[[#This Row],[Column6]]), node_raw[[#This Row],[Column6]]/1048576,"")</f>
        <v/>
      </c>
      <c r="I412" s="82" t="str">
        <f t="shared" si="13"/>
        <v/>
      </c>
      <c r="J412" s="83" t="str">
        <f>IF(ISNONTEXT(node_raw[[#This Row],[Column7]]), "", node_raw[[#This Row],[Column7]]/100)</f>
        <v/>
      </c>
      <c r="K412" s="84" t="str">
        <f>IF(ISNONTEXT(node_raw[[#This Row],[Column8]]), "", node_raw[[#This Row],[Column8]]/100)</f>
        <v/>
      </c>
      <c r="L412" s="85" t="str">
        <f>IF(ISNONTEXT(node_raw[[#This Row],[Column9]]), "", node_raw[[#This Row],[Column9]]/1)</f>
        <v/>
      </c>
      <c r="M412" s="86" t="str">
        <f>IF(ISNONTEXT(node_raw[[#This Row],[Column10]]), "", node_raw[[#This Row],[Column10]]/1)</f>
        <v/>
      </c>
    </row>
    <row r="413" spans="2:13" ht="15.75" customHeight="1" x14ac:dyDescent="0.25">
      <c r="B413" s="32" t="str">
        <f>IF(ISNONTEXT(node_raw[[#This Row],[Column1]]), "", node_raw[[#This Row],[Column1]])</f>
        <v/>
      </c>
      <c r="C413" s="29" t="str">
        <f>IF(ISNONTEXT(node_raw[[#This Row],[Column2]]), "", node_raw[[#This Row],[Column2]])</f>
        <v/>
      </c>
      <c r="D413" s="62" t="str">
        <f>IF(ISNUMBER(node_raw[[#This Row],[Column3]]), node_raw[[#This Row],[Column3]],"")</f>
        <v/>
      </c>
      <c r="E413" s="65" t="str">
        <f>IF(ISNUMBER(node_raw[[#This Row],[Column4]]), node_raw[[#This Row],[Column4]]/1048576,"")</f>
        <v/>
      </c>
      <c r="F413" s="91" t="str">
        <f>IF(ISNUMBER(node_raw[[#This Row],[Column5]]), node_raw[[#This Row],[Column5]],"")</f>
        <v/>
      </c>
      <c r="G413" s="80" t="str">
        <f t="shared" si="12"/>
        <v/>
      </c>
      <c r="H413" s="81" t="str">
        <f>IF(ISNUMBER(node_raw[[#This Row],[Column6]]), node_raw[[#This Row],[Column6]]/1048576,"")</f>
        <v/>
      </c>
      <c r="I413" s="82" t="str">
        <f t="shared" si="13"/>
        <v/>
      </c>
      <c r="J413" s="83" t="str">
        <f>IF(ISNONTEXT(node_raw[[#This Row],[Column7]]), "", node_raw[[#This Row],[Column7]]/100)</f>
        <v/>
      </c>
      <c r="K413" s="84" t="str">
        <f>IF(ISNONTEXT(node_raw[[#This Row],[Column8]]), "", node_raw[[#This Row],[Column8]]/100)</f>
        <v/>
      </c>
      <c r="L413" s="85" t="str">
        <f>IF(ISNONTEXT(node_raw[[#This Row],[Column9]]), "", node_raw[[#This Row],[Column9]]/1)</f>
        <v/>
      </c>
      <c r="M413" s="86" t="str">
        <f>IF(ISNONTEXT(node_raw[[#This Row],[Column10]]), "", node_raw[[#This Row],[Column10]]/1)</f>
        <v/>
      </c>
    </row>
    <row r="414" spans="2:13" ht="15.75" customHeight="1" x14ac:dyDescent="0.25">
      <c r="B414" s="32" t="str">
        <f>IF(ISNONTEXT(node_raw[[#This Row],[Column1]]), "", node_raw[[#This Row],[Column1]])</f>
        <v/>
      </c>
      <c r="C414" s="29" t="str">
        <f>IF(ISNONTEXT(node_raw[[#This Row],[Column2]]), "", node_raw[[#This Row],[Column2]])</f>
        <v/>
      </c>
      <c r="D414" s="62" t="str">
        <f>IF(ISNUMBER(node_raw[[#This Row],[Column3]]), node_raw[[#This Row],[Column3]],"")</f>
        <v/>
      </c>
      <c r="E414" s="65" t="str">
        <f>IF(ISNUMBER(node_raw[[#This Row],[Column4]]), node_raw[[#This Row],[Column4]]/1048576,"")</f>
        <v/>
      </c>
      <c r="F414" s="91" t="str">
        <f>IF(ISNUMBER(node_raw[[#This Row],[Column5]]), node_raw[[#This Row],[Column5]],"")</f>
        <v/>
      </c>
      <c r="G414" s="80" t="str">
        <f t="shared" si="12"/>
        <v/>
      </c>
      <c r="H414" s="81" t="str">
        <f>IF(ISNUMBER(node_raw[[#This Row],[Column6]]), node_raw[[#This Row],[Column6]]/1048576,"")</f>
        <v/>
      </c>
      <c r="I414" s="82" t="str">
        <f t="shared" si="13"/>
        <v/>
      </c>
      <c r="J414" s="83" t="str">
        <f>IF(ISNONTEXT(node_raw[[#This Row],[Column7]]), "", node_raw[[#This Row],[Column7]]/100)</f>
        <v/>
      </c>
      <c r="K414" s="84" t="str">
        <f>IF(ISNONTEXT(node_raw[[#This Row],[Column8]]), "", node_raw[[#This Row],[Column8]]/100)</f>
        <v/>
      </c>
      <c r="L414" s="85" t="str">
        <f>IF(ISNONTEXT(node_raw[[#This Row],[Column9]]), "", node_raw[[#This Row],[Column9]]/1)</f>
        <v/>
      </c>
      <c r="M414" s="86" t="str">
        <f>IF(ISNONTEXT(node_raw[[#This Row],[Column10]]), "", node_raw[[#This Row],[Column10]]/1)</f>
        <v/>
      </c>
    </row>
    <row r="415" spans="2:13" ht="15.75" customHeight="1" x14ac:dyDescent="0.25">
      <c r="B415" s="32" t="str">
        <f>IF(ISNONTEXT(node_raw[[#This Row],[Column1]]), "", node_raw[[#This Row],[Column1]])</f>
        <v/>
      </c>
      <c r="C415" s="29" t="str">
        <f>IF(ISNONTEXT(node_raw[[#This Row],[Column2]]), "", node_raw[[#This Row],[Column2]])</f>
        <v/>
      </c>
      <c r="D415" s="62" t="str">
        <f>IF(ISNUMBER(node_raw[[#This Row],[Column3]]), node_raw[[#This Row],[Column3]],"")</f>
        <v/>
      </c>
      <c r="E415" s="65" t="str">
        <f>IF(ISNUMBER(node_raw[[#This Row],[Column4]]), node_raw[[#This Row],[Column4]]/1048576,"")</f>
        <v/>
      </c>
      <c r="F415" s="91" t="str">
        <f>IF(ISNUMBER(node_raw[[#This Row],[Column5]]), node_raw[[#This Row],[Column5]],"")</f>
        <v/>
      </c>
      <c r="G415" s="80" t="str">
        <f t="shared" si="12"/>
        <v/>
      </c>
      <c r="H415" s="81" t="str">
        <f>IF(ISNUMBER(node_raw[[#This Row],[Column6]]), node_raw[[#This Row],[Column6]]/1048576,"")</f>
        <v/>
      </c>
      <c r="I415" s="82" t="str">
        <f t="shared" si="13"/>
        <v/>
      </c>
      <c r="J415" s="83" t="str">
        <f>IF(ISNONTEXT(node_raw[[#This Row],[Column7]]), "", node_raw[[#This Row],[Column7]]/100)</f>
        <v/>
      </c>
      <c r="K415" s="84" t="str">
        <f>IF(ISNONTEXT(node_raw[[#This Row],[Column8]]), "", node_raw[[#This Row],[Column8]]/100)</f>
        <v/>
      </c>
      <c r="L415" s="85" t="str">
        <f>IF(ISNONTEXT(node_raw[[#This Row],[Column9]]), "", node_raw[[#This Row],[Column9]]/1)</f>
        <v/>
      </c>
      <c r="M415" s="86" t="str">
        <f>IF(ISNONTEXT(node_raw[[#This Row],[Column10]]), "", node_raw[[#This Row],[Column10]]/1)</f>
        <v/>
      </c>
    </row>
    <row r="416" spans="2:13" ht="15.75" customHeight="1" x14ac:dyDescent="0.25">
      <c r="B416" s="32" t="str">
        <f>IF(ISNONTEXT(node_raw[[#This Row],[Column1]]), "", node_raw[[#This Row],[Column1]])</f>
        <v/>
      </c>
      <c r="C416" s="29" t="str">
        <f>IF(ISNONTEXT(node_raw[[#This Row],[Column2]]), "", node_raw[[#This Row],[Column2]])</f>
        <v/>
      </c>
      <c r="D416" s="62" t="str">
        <f>IF(ISNUMBER(node_raw[[#This Row],[Column3]]), node_raw[[#This Row],[Column3]],"")</f>
        <v/>
      </c>
      <c r="E416" s="65" t="str">
        <f>IF(ISNUMBER(node_raw[[#This Row],[Column4]]), node_raw[[#This Row],[Column4]]/1048576,"")</f>
        <v/>
      </c>
      <c r="F416" s="91" t="str">
        <f>IF(ISNUMBER(node_raw[[#This Row],[Column5]]), node_raw[[#This Row],[Column5]],"")</f>
        <v/>
      </c>
      <c r="G416" s="80" t="str">
        <f t="shared" si="12"/>
        <v/>
      </c>
      <c r="H416" s="81" t="str">
        <f>IF(ISNUMBER(node_raw[[#This Row],[Column6]]), node_raw[[#This Row],[Column6]]/1048576,"")</f>
        <v/>
      </c>
      <c r="I416" s="82" t="str">
        <f t="shared" si="13"/>
        <v/>
      </c>
      <c r="J416" s="83" t="str">
        <f>IF(ISNONTEXT(node_raw[[#This Row],[Column7]]), "", node_raw[[#This Row],[Column7]]/100)</f>
        <v/>
      </c>
      <c r="K416" s="84" t="str">
        <f>IF(ISNONTEXT(node_raw[[#This Row],[Column8]]), "", node_raw[[#This Row],[Column8]]/100)</f>
        <v/>
      </c>
      <c r="L416" s="85" t="str">
        <f>IF(ISNONTEXT(node_raw[[#This Row],[Column9]]), "", node_raw[[#This Row],[Column9]]/1)</f>
        <v/>
      </c>
      <c r="M416" s="86" t="str">
        <f>IF(ISNONTEXT(node_raw[[#This Row],[Column10]]), "", node_raw[[#This Row],[Column10]]/1)</f>
        <v/>
      </c>
    </row>
    <row r="417" spans="2:13" ht="15.75" customHeight="1" x14ac:dyDescent="0.25">
      <c r="B417" s="32" t="str">
        <f>IF(ISNONTEXT(node_raw[[#This Row],[Column1]]), "", node_raw[[#This Row],[Column1]])</f>
        <v/>
      </c>
      <c r="C417" s="29" t="str">
        <f>IF(ISNONTEXT(node_raw[[#This Row],[Column2]]), "", node_raw[[#This Row],[Column2]])</f>
        <v/>
      </c>
      <c r="D417" s="62" t="str">
        <f>IF(ISNUMBER(node_raw[[#This Row],[Column3]]), node_raw[[#This Row],[Column3]],"")</f>
        <v/>
      </c>
      <c r="E417" s="65" t="str">
        <f>IF(ISNUMBER(node_raw[[#This Row],[Column4]]), node_raw[[#This Row],[Column4]]/1048576,"")</f>
        <v/>
      </c>
      <c r="F417" s="91" t="str">
        <f>IF(ISNUMBER(node_raw[[#This Row],[Column5]]), node_raw[[#This Row],[Column5]],"")</f>
        <v/>
      </c>
      <c r="G417" s="80" t="str">
        <f t="shared" si="12"/>
        <v/>
      </c>
      <c r="H417" s="81" t="str">
        <f>IF(ISNUMBER(node_raw[[#This Row],[Column6]]), node_raw[[#This Row],[Column6]]/1048576,"")</f>
        <v/>
      </c>
      <c r="I417" s="82" t="str">
        <f t="shared" si="13"/>
        <v/>
      </c>
      <c r="J417" s="83" t="str">
        <f>IF(ISNONTEXT(node_raw[[#This Row],[Column7]]), "", node_raw[[#This Row],[Column7]]/100)</f>
        <v/>
      </c>
      <c r="K417" s="84" t="str">
        <f>IF(ISNONTEXT(node_raw[[#This Row],[Column8]]), "", node_raw[[#This Row],[Column8]]/100)</f>
        <v/>
      </c>
      <c r="L417" s="85" t="str">
        <f>IF(ISNONTEXT(node_raw[[#This Row],[Column9]]), "", node_raw[[#This Row],[Column9]]/1)</f>
        <v/>
      </c>
      <c r="M417" s="86" t="str">
        <f>IF(ISNONTEXT(node_raw[[#This Row],[Column10]]), "", node_raw[[#This Row],[Column10]]/1)</f>
        <v/>
      </c>
    </row>
    <row r="418" spans="2:13" ht="15.75" customHeight="1" x14ac:dyDescent="0.25">
      <c r="B418" s="32" t="str">
        <f>IF(ISNONTEXT(node_raw[[#This Row],[Column1]]), "", node_raw[[#This Row],[Column1]])</f>
        <v/>
      </c>
      <c r="C418" s="29" t="str">
        <f>IF(ISNONTEXT(node_raw[[#This Row],[Column2]]), "", node_raw[[#This Row],[Column2]])</f>
        <v/>
      </c>
      <c r="D418" s="62" t="str">
        <f>IF(ISNUMBER(node_raw[[#This Row],[Column3]]), node_raw[[#This Row],[Column3]],"")</f>
        <v/>
      </c>
      <c r="E418" s="65" t="str">
        <f>IF(ISNUMBER(node_raw[[#This Row],[Column4]]), node_raw[[#This Row],[Column4]]/1048576,"")</f>
        <v/>
      </c>
      <c r="F418" s="91" t="str">
        <f>IF(ISNUMBER(node_raw[[#This Row],[Column5]]), node_raw[[#This Row],[Column5]],"")</f>
        <v/>
      </c>
      <c r="G418" s="80" t="str">
        <f t="shared" si="12"/>
        <v/>
      </c>
      <c r="H418" s="81" t="str">
        <f>IF(ISNUMBER(node_raw[[#This Row],[Column6]]), node_raw[[#This Row],[Column6]]/1048576,"")</f>
        <v/>
      </c>
      <c r="I418" s="82" t="str">
        <f t="shared" si="13"/>
        <v/>
      </c>
      <c r="J418" s="83" t="str">
        <f>IF(ISNONTEXT(node_raw[[#This Row],[Column7]]), "", node_raw[[#This Row],[Column7]]/100)</f>
        <v/>
      </c>
      <c r="K418" s="84" t="str">
        <f>IF(ISNONTEXT(node_raw[[#This Row],[Column8]]), "", node_raw[[#This Row],[Column8]]/100)</f>
        <v/>
      </c>
      <c r="L418" s="85" t="str">
        <f>IF(ISNONTEXT(node_raw[[#This Row],[Column9]]), "", node_raw[[#This Row],[Column9]]/1)</f>
        <v/>
      </c>
      <c r="M418" s="86" t="str">
        <f>IF(ISNONTEXT(node_raw[[#This Row],[Column10]]), "", node_raw[[#This Row],[Column10]]/1)</f>
        <v/>
      </c>
    </row>
    <row r="419" spans="2:13" ht="15.75" customHeight="1" x14ac:dyDescent="0.25">
      <c r="B419" s="32" t="str">
        <f>IF(ISNONTEXT(node_raw[[#This Row],[Column1]]), "", node_raw[[#This Row],[Column1]])</f>
        <v/>
      </c>
      <c r="C419" s="29" t="str">
        <f>IF(ISNONTEXT(node_raw[[#This Row],[Column2]]), "", node_raw[[#This Row],[Column2]])</f>
        <v/>
      </c>
      <c r="D419" s="62" t="str">
        <f>IF(ISNUMBER(node_raw[[#This Row],[Column3]]), node_raw[[#This Row],[Column3]],"")</f>
        <v/>
      </c>
      <c r="E419" s="65" t="str">
        <f>IF(ISNUMBER(node_raw[[#This Row],[Column4]]), node_raw[[#This Row],[Column4]]/1048576,"")</f>
        <v/>
      </c>
      <c r="F419" s="91" t="str">
        <f>IF(ISNUMBER(node_raw[[#This Row],[Column5]]), node_raw[[#This Row],[Column5]],"")</f>
        <v/>
      </c>
      <c r="G419" s="80" t="str">
        <f t="shared" si="12"/>
        <v/>
      </c>
      <c r="H419" s="81" t="str">
        <f>IF(ISNUMBER(node_raw[[#This Row],[Column6]]), node_raw[[#This Row],[Column6]]/1048576,"")</f>
        <v/>
      </c>
      <c r="I419" s="82" t="str">
        <f t="shared" si="13"/>
        <v/>
      </c>
      <c r="J419" s="83" t="str">
        <f>IF(ISNONTEXT(node_raw[[#This Row],[Column7]]), "", node_raw[[#This Row],[Column7]]/100)</f>
        <v/>
      </c>
      <c r="K419" s="84" t="str">
        <f>IF(ISNONTEXT(node_raw[[#This Row],[Column8]]), "", node_raw[[#This Row],[Column8]]/100)</f>
        <v/>
      </c>
      <c r="L419" s="85" t="str">
        <f>IF(ISNONTEXT(node_raw[[#This Row],[Column9]]), "", node_raw[[#This Row],[Column9]]/1)</f>
        <v/>
      </c>
      <c r="M419" s="86" t="str">
        <f>IF(ISNONTEXT(node_raw[[#This Row],[Column10]]), "", node_raw[[#This Row],[Column10]]/1)</f>
        <v/>
      </c>
    </row>
    <row r="420" spans="2:13" ht="15.75" customHeight="1" x14ac:dyDescent="0.25">
      <c r="B420" s="32" t="str">
        <f>IF(ISNONTEXT(node_raw[[#This Row],[Column1]]), "", node_raw[[#This Row],[Column1]])</f>
        <v/>
      </c>
      <c r="C420" s="29" t="str">
        <f>IF(ISNONTEXT(node_raw[[#This Row],[Column2]]), "", node_raw[[#This Row],[Column2]])</f>
        <v/>
      </c>
      <c r="D420" s="62" t="str">
        <f>IF(ISNUMBER(node_raw[[#This Row],[Column3]]), node_raw[[#This Row],[Column3]],"")</f>
        <v/>
      </c>
      <c r="E420" s="65" t="str">
        <f>IF(ISNUMBER(node_raw[[#This Row],[Column4]]), node_raw[[#This Row],[Column4]]/1048576,"")</f>
        <v/>
      </c>
      <c r="F420" s="91" t="str">
        <f>IF(ISNUMBER(node_raw[[#This Row],[Column5]]), node_raw[[#This Row],[Column5]],"")</f>
        <v/>
      </c>
      <c r="G420" s="80" t="str">
        <f t="shared" si="12"/>
        <v/>
      </c>
      <c r="H420" s="81" t="str">
        <f>IF(ISNUMBER(node_raw[[#This Row],[Column6]]), node_raw[[#This Row],[Column6]]/1048576,"")</f>
        <v/>
      </c>
      <c r="I420" s="82" t="str">
        <f t="shared" si="13"/>
        <v/>
      </c>
      <c r="J420" s="83" t="str">
        <f>IF(ISNONTEXT(node_raw[[#This Row],[Column7]]), "", node_raw[[#This Row],[Column7]]/100)</f>
        <v/>
      </c>
      <c r="K420" s="84" t="str">
        <f>IF(ISNONTEXT(node_raw[[#This Row],[Column8]]), "", node_raw[[#This Row],[Column8]]/100)</f>
        <v/>
      </c>
      <c r="L420" s="85" t="str">
        <f>IF(ISNONTEXT(node_raw[[#This Row],[Column9]]), "", node_raw[[#This Row],[Column9]]/1)</f>
        <v/>
      </c>
      <c r="M420" s="86" t="str">
        <f>IF(ISNONTEXT(node_raw[[#This Row],[Column10]]), "", node_raw[[#This Row],[Column10]]/1)</f>
        <v/>
      </c>
    </row>
    <row r="421" spans="2:13" ht="15.75" customHeight="1" x14ac:dyDescent="0.25">
      <c r="B421" s="32" t="str">
        <f>IF(ISNONTEXT(node_raw[[#This Row],[Column1]]), "", node_raw[[#This Row],[Column1]])</f>
        <v/>
      </c>
      <c r="C421" s="29" t="str">
        <f>IF(ISNONTEXT(node_raw[[#This Row],[Column2]]), "", node_raw[[#This Row],[Column2]])</f>
        <v/>
      </c>
      <c r="D421" s="62" t="str">
        <f>IF(ISNUMBER(node_raw[[#This Row],[Column3]]), node_raw[[#This Row],[Column3]],"")</f>
        <v/>
      </c>
      <c r="E421" s="65" t="str">
        <f>IF(ISNUMBER(node_raw[[#This Row],[Column4]]), node_raw[[#This Row],[Column4]]/1048576,"")</f>
        <v/>
      </c>
      <c r="F421" s="91" t="str">
        <f>IF(ISNUMBER(node_raw[[#This Row],[Column5]]), node_raw[[#This Row],[Column5]],"")</f>
        <v/>
      </c>
      <c r="G421" s="80" t="str">
        <f t="shared" si="12"/>
        <v/>
      </c>
      <c r="H421" s="81" t="str">
        <f>IF(ISNUMBER(node_raw[[#This Row],[Column6]]), node_raw[[#This Row],[Column6]]/1048576,"")</f>
        <v/>
      </c>
      <c r="I421" s="82" t="str">
        <f t="shared" si="13"/>
        <v/>
      </c>
      <c r="J421" s="83" t="str">
        <f>IF(ISNONTEXT(node_raw[[#This Row],[Column7]]), "", node_raw[[#This Row],[Column7]]/100)</f>
        <v/>
      </c>
      <c r="K421" s="84" t="str">
        <f>IF(ISNONTEXT(node_raw[[#This Row],[Column8]]), "", node_raw[[#This Row],[Column8]]/100)</f>
        <v/>
      </c>
      <c r="L421" s="85" t="str">
        <f>IF(ISNONTEXT(node_raw[[#This Row],[Column9]]), "", node_raw[[#This Row],[Column9]]/1)</f>
        <v/>
      </c>
      <c r="M421" s="86" t="str">
        <f>IF(ISNONTEXT(node_raw[[#This Row],[Column10]]), "", node_raw[[#This Row],[Column10]]/1)</f>
        <v/>
      </c>
    </row>
    <row r="422" spans="2:13" ht="15.75" customHeight="1" x14ac:dyDescent="0.25">
      <c r="B422" s="32" t="str">
        <f>IF(ISNONTEXT(node_raw[[#This Row],[Column1]]), "", node_raw[[#This Row],[Column1]])</f>
        <v/>
      </c>
      <c r="C422" s="29" t="str">
        <f>IF(ISNONTEXT(node_raw[[#This Row],[Column2]]), "", node_raw[[#This Row],[Column2]])</f>
        <v/>
      </c>
      <c r="D422" s="62" t="str">
        <f>IF(ISNUMBER(node_raw[[#This Row],[Column3]]), node_raw[[#This Row],[Column3]],"")</f>
        <v/>
      </c>
      <c r="E422" s="65" t="str">
        <f>IF(ISNUMBER(node_raw[[#This Row],[Column4]]), node_raw[[#This Row],[Column4]]/1048576,"")</f>
        <v/>
      </c>
      <c r="F422" s="91" t="str">
        <f>IF(ISNUMBER(node_raw[[#This Row],[Column5]]), node_raw[[#This Row],[Column5]],"")</f>
        <v/>
      </c>
      <c r="G422" s="80" t="str">
        <f t="shared" si="12"/>
        <v/>
      </c>
      <c r="H422" s="81" t="str">
        <f>IF(ISNUMBER(node_raw[[#This Row],[Column6]]), node_raw[[#This Row],[Column6]]/1048576,"")</f>
        <v/>
      </c>
      <c r="I422" s="82" t="str">
        <f t="shared" si="13"/>
        <v/>
      </c>
      <c r="J422" s="83" t="str">
        <f>IF(ISNONTEXT(node_raw[[#This Row],[Column7]]), "", node_raw[[#This Row],[Column7]]/100)</f>
        <v/>
      </c>
      <c r="K422" s="84" t="str">
        <f>IF(ISNONTEXT(node_raw[[#This Row],[Column8]]), "", node_raw[[#This Row],[Column8]]/100)</f>
        <v/>
      </c>
      <c r="L422" s="85" t="str">
        <f>IF(ISNONTEXT(node_raw[[#This Row],[Column9]]), "", node_raw[[#This Row],[Column9]]/1)</f>
        <v/>
      </c>
      <c r="M422" s="86" t="str">
        <f>IF(ISNONTEXT(node_raw[[#This Row],[Column10]]), "", node_raw[[#This Row],[Column10]]/1)</f>
        <v/>
      </c>
    </row>
    <row r="423" spans="2:13" ht="15.75" customHeight="1" x14ac:dyDescent="0.25">
      <c r="B423" s="32" t="str">
        <f>IF(ISNONTEXT(node_raw[[#This Row],[Column1]]), "", node_raw[[#This Row],[Column1]])</f>
        <v/>
      </c>
      <c r="C423" s="29" t="str">
        <f>IF(ISNONTEXT(node_raw[[#This Row],[Column2]]), "", node_raw[[#This Row],[Column2]])</f>
        <v/>
      </c>
      <c r="D423" s="62" t="str">
        <f>IF(ISNUMBER(node_raw[[#This Row],[Column3]]), node_raw[[#This Row],[Column3]],"")</f>
        <v/>
      </c>
      <c r="E423" s="65" t="str">
        <f>IF(ISNUMBER(node_raw[[#This Row],[Column4]]), node_raw[[#This Row],[Column4]]/1048576,"")</f>
        <v/>
      </c>
      <c r="F423" s="91" t="str">
        <f>IF(ISNUMBER(node_raw[[#This Row],[Column5]]), node_raw[[#This Row],[Column5]],"")</f>
        <v/>
      </c>
      <c r="G423" s="80" t="str">
        <f t="shared" si="12"/>
        <v/>
      </c>
      <c r="H423" s="81" t="str">
        <f>IF(ISNUMBER(node_raw[[#This Row],[Column6]]), node_raw[[#This Row],[Column6]]/1048576,"")</f>
        <v/>
      </c>
      <c r="I423" s="82" t="str">
        <f t="shared" si="13"/>
        <v/>
      </c>
      <c r="J423" s="83" t="str">
        <f>IF(ISNONTEXT(node_raw[[#This Row],[Column7]]), "", node_raw[[#This Row],[Column7]]/100)</f>
        <v/>
      </c>
      <c r="K423" s="84" t="str">
        <f>IF(ISNONTEXT(node_raw[[#This Row],[Column8]]), "", node_raw[[#This Row],[Column8]]/100)</f>
        <v/>
      </c>
      <c r="L423" s="85" t="str">
        <f>IF(ISNONTEXT(node_raw[[#This Row],[Column9]]), "", node_raw[[#This Row],[Column9]]/1)</f>
        <v/>
      </c>
      <c r="M423" s="86" t="str">
        <f>IF(ISNONTEXT(node_raw[[#This Row],[Column10]]), "", node_raw[[#This Row],[Column10]]/1)</f>
        <v/>
      </c>
    </row>
    <row r="424" spans="2:13" ht="15.75" customHeight="1" x14ac:dyDescent="0.25">
      <c r="B424" s="32" t="str">
        <f>IF(ISNONTEXT(node_raw[[#This Row],[Column1]]), "", node_raw[[#This Row],[Column1]])</f>
        <v/>
      </c>
      <c r="C424" s="29" t="str">
        <f>IF(ISNONTEXT(node_raw[[#This Row],[Column2]]), "", node_raw[[#This Row],[Column2]])</f>
        <v/>
      </c>
      <c r="D424" s="62" t="str">
        <f>IF(ISNUMBER(node_raw[[#This Row],[Column3]]), node_raw[[#This Row],[Column3]],"")</f>
        <v/>
      </c>
      <c r="E424" s="65" t="str">
        <f>IF(ISNUMBER(node_raw[[#This Row],[Column4]]), node_raw[[#This Row],[Column4]]/1048576,"")</f>
        <v/>
      </c>
      <c r="F424" s="91" t="str">
        <f>IF(ISNUMBER(node_raw[[#This Row],[Column5]]), node_raw[[#This Row],[Column5]],"")</f>
        <v/>
      </c>
      <c r="G424" s="80" t="str">
        <f t="shared" si="12"/>
        <v/>
      </c>
      <c r="H424" s="81" t="str">
        <f>IF(ISNUMBER(node_raw[[#This Row],[Column6]]), node_raw[[#This Row],[Column6]]/1048576,"")</f>
        <v/>
      </c>
      <c r="I424" s="82" t="str">
        <f t="shared" si="13"/>
        <v/>
      </c>
      <c r="J424" s="83" t="str">
        <f>IF(ISNONTEXT(node_raw[[#This Row],[Column7]]), "", node_raw[[#This Row],[Column7]]/100)</f>
        <v/>
      </c>
      <c r="K424" s="84" t="str">
        <f>IF(ISNONTEXT(node_raw[[#This Row],[Column8]]), "", node_raw[[#This Row],[Column8]]/100)</f>
        <v/>
      </c>
      <c r="L424" s="85" t="str">
        <f>IF(ISNONTEXT(node_raw[[#This Row],[Column9]]), "", node_raw[[#This Row],[Column9]]/1)</f>
        <v/>
      </c>
      <c r="M424" s="86" t="str">
        <f>IF(ISNONTEXT(node_raw[[#This Row],[Column10]]), "", node_raw[[#This Row],[Column10]]/1)</f>
        <v/>
      </c>
    </row>
    <row r="425" spans="2:13" ht="15.75" customHeight="1" x14ac:dyDescent="0.25">
      <c r="B425" s="32" t="str">
        <f>IF(ISNONTEXT(node_raw[[#This Row],[Column1]]), "", node_raw[[#This Row],[Column1]])</f>
        <v/>
      </c>
      <c r="C425" s="29" t="str">
        <f>IF(ISNONTEXT(node_raw[[#This Row],[Column2]]), "", node_raw[[#This Row],[Column2]])</f>
        <v/>
      </c>
      <c r="D425" s="62" t="str">
        <f>IF(ISNUMBER(node_raw[[#This Row],[Column3]]), node_raw[[#This Row],[Column3]],"")</f>
        <v/>
      </c>
      <c r="E425" s="65" t="str">
        <f>IF(ISNUMBER(node_raw[[#This Row],[Column4]]), node_raw[[#This Row],[Column4]]/1048576,"")</f>
        <v/>
      </c>
      <c r="F425" s="91" t="str">
        <f>IF(ISNUMBER(node_raw[[#This Row],[Column5]]), node_raw[[#This Row],[Column5]],"")</f>
        <v/>
      </c>
      <c r="G425" s="80" t="str">
        <f t="shared" si="12"/>
        <v/>
      </c>
      <c r="H425" s="81" t="str">
        <f>IF(ISNUMBER(node_raw[[#This Row],[Column6]]), node_raw[[#This Row],[Column6]]/1048576,"")</f>
        <v/>
      </c>
      <c r="I425" s="82" t="str">
        <f t="shared" si="13"/>
        <v/>
      </c>
      <c r="J425" s="83" t="str">
        <f>IF(ISNONTEXT(node_raw[[#This Row],[Column7]]), "", node_raw[[#This Row],[Column7]]/100)</f>
        <v/>
      </c>
      <c r="K425" s="84" t="str">
        <f>IF(ISNONTEXT(node_raw[[#This Row],[Column8]]), "", node_raw[[#This Row],[Column8]]/100)</f>
        <v/>
      </c>
      <c r="L425" s="85" t="str">
        <f>IF(ISNONTEXT(node_raw[[#This Row],[Column9]]), "", node_raw[[#This Row],[Column9]]/1)</f>
        <v/>
      </c>
      <c r="M425" s="86" t="str">
        <f>IF(ISNONTEXT(node_raw[[#This Row],[Column10]]), "", node_raw[[#This Row],[Column10]]/1)</f>
        <v/>
      </c>
    </row>
    <row r="426" spans="2:13" ht="15.75" customHeight="1" x14ac:dyDescent="0.25">
      <c r="B426" s="32" t="str">
        <f>IF(ISNONTEXT(node_raw[[#This Row],[Column1]]), "", node_raw[[#This Row],[Column1]])</f>
        <v/>
      </c>
      <c r="C426" s="29" t="str">
        <f>IF(ISNONTEXT(node_raw[[#This Row],[Column2]]), "", node_raw[[#This Row],[Column2]])</f>
        <v/>
      </c>
      <c r="D426" s="62" t="str">
        <f>IF(ISNUMBER(node_raw[[#This Row],[Column3]]), node_raw[[#This Row],[Column3]],"")</f>
        <v/>
      </c>
      <c r="E426" s="65" t="str">
        <f>IF(ISNUMBER(node_raw[[#This Row],[Column4]]), node_raw[[#This Row],[Column4]]/1048576,"")</f>
        <v/>
      </c>
      <c r="F426" s="91" t="str">
        <f>IF(ISNUMBER(node_raw[[#This Row],[Column5]]), node_raw[[#This Row],[Column5]],"")</f>
        <v/>
      </c>
      <c r="G426" s="80" t="str">
        <f t="shared" si="12"/>
        <v/>
      </c>
      <c r="H426" s="81" t="str">
        <f>IF(ISNUMBER(node_raw[[#This Row],[Column6]]), node_raw[[#This Row],[Column6]]/1048576,"")</f>
        <v/>
      </c>
      <c r="I426" s="82" t="str">
        <f t="shared" si="13"/>
        <v/>
      </c>
      <c r="J426" s="83" t="str">
        <f>IF(ISNONTEXT(node_raw[[#This Row],[Column7]]), "", node_raw[[#This Row],[Column7]]/100)</f>
        <v/>
      </c>
      <c r="K426" s="84" t="str">
        <f>IF(ISNONTEXT(node_raw[[#This Row],[Column8]]), "", node_raw[[#This Row],[Column8]]/100)</f>
        <v/>
      </c>
      <c r="L426" s="85" t="str">
        <f>IF(ISNONTEXT(node_raw[[#This Row],[Column9]]), "", node_raw[[#This Row],[Column9]]/1)</f>
        <v/>
      </c>
      <c r="M426" s="86" t="str">
        <f>IF(ISNONTEXT(node_raw[[#This Row],[Column10]]), "", node_raw[[#This Row],[Column10]]/1)</f>
        <v/>
      </c>
    </row>
    <row r="427" spans="2:13" ht="15.75" customHeight="1" x14ac:dyDescent="0.25">
      <c r="B427" s="32" t="str">
        <f>IF(ISNONTEXT(node_raw[[#This Row],[Column1]]), "", node_raw[[#This Row],[Column1]])</f>
        <v/>
      </c>
      <c r="C427" s="29" t="str">
        <f>IF(ISNONTEXT(node_raw[[#This Row],[Column2]]), "", node_raw[[#This Row],[Column2]])</f>
        <v/>
      </c>
      <c r="D427" s="62" t="str">
        <f>IF(ISNUMBER(node_raw[[#This Row],[Column3]]), node_raw[[#This Row],[Column3]],"")</f>
        <v/>
      </c>
      <c r="E427" s="65" t="str">
        <f>IF(ISNUMBER(node_raw[[#This Row],[Column4]]), node_raw[[#This Row],[Column4]]/1048576,"")</f>
        <v/>
      </c>
      <c r="F427" s="91" t="str">
        <f>IF(ISNUMBER(node_raw[[#This Row],[Column5]]), node_raw[[#This Row],[Column5]],"")</f>
        <v/>
      </c>
      <c r="G427" s="80" t="str">
        <f t="shared" si="12"/>
        <v/>
      </c>
      <c r="H427" s="81" t="str">
        <f>IF(ISNUMBER(node_raw[[#This Row],[Column6]]), node_raw[[#This Row],[Column6]]/1048576,"")</f>
        <v/>
      </c>
      <c r="I427" s="82" t="str">
        <f t="shared" si="13"/>
        <v/>
      </c>
      <c r="J427" s="83" t="str">
        <f>IF(ISNONTEXT(node_raw[[#This Row],[Column7]]), "", node_raw[[#This Row],[Column7]]/100)</f>
        <v/>
      </c>
      <c r="K427" s="84" t="str">
        <f>IF(ISNONTEXT(node_raw[[#This Row],[Column8]]), "", node_raw[[#This Row],[Column8]]/100)</f>
        <v/>
      </c>
      <c r="L427" s="85" t="str">
        <f>IF(ISNONTEXT(node_raw[[#This Row],[Column9]]), "", node_raw[[#This Row],[Column9]]/1)</f>
        <v/>
      </c>
      <c r="M427" s="86" t="str">
        <f>IF(ISNONTEXT(node_raw[[#This Row],[Column10]]), "", node_raw[[#This Row],[Column10]]/1)</f>
        <v/>
      </c>
    </row>
    <row r="428" spans="2:13" ht="15.75" customHeight="1" x14ac:dyDescent="0.25">
      <c r="B428" s="32" t="str">
        <f>IF(ISNONTEXT(node_raw[[#This Row],[Column1]]), "", node_raw[[#This Row],[Column1]])</f>
        <v/>
      </c>
      <c r="C428" s="29" t="str">
        <f>IF(ISNONTEXT(node_raw[[#This Row],[Column2]]), "", node_raw[[#This Row],[Column2]])</f>
        <v/>
      </c>
      <c r="D428" s="62" t="str">
        <f>IF(ISNUMBER(node_raw[[#This Row],[Column3]]), node_raw[[#This Row],[Column3]],"")</f>
        <v/>
      </c>
      <c r="E428" s="65" t="str">
        <f>IF(ISNUMBER(node_raw[[#This Row],[Column4]]), node_raw[[#This Row],[Column4]]/1048576,"")</f>
        <v/>
      </c>
      <c r="F428" s="91" t="str">
        <f>IF(ISNUMBER(node_raw[[#This Row],[Column5]]), node_raw[[#This Row],[Column5]],"")</f>
        <v/>
      </c>
      <c r="G428" s="80" t="str">
        <f t="shared" si="12"/>
        <v/>
      </c>
      <c r="H428" s="81" t="str">
        <f>IF(ISNUMBER(node_raw[[#This Row],[Column6]]), node_raw[[#This Row],[Column6]]/1048576,"")</f>
        <v/>
      </c>
      <c r="I428" s="82" t="str">
        <f t="shared" si="13"/>
        <v/>
      </c>
      <c r="J428" s="83" t="str">
        <f>IF(ISNONTEXT(node_raw[[#This Row],[Column7]]), "", node_raw[[#This Row],[Column7]]/100)</f>
        <v/>
      </c>
      <c r="K428" s="84" t="str">
        <f>IF(ISNONTEXT(node_raw[[#This Row],[Column8]]), "", node_raw[[#This Row],[Column8]]/100)</f>
        <v/>
      </c>
      <c r="L428" s="85" t="str">
        <f>IF(ISNONTEXT(node_raw[[#This Row],[Column9]]), "", node_raw[[#This Row],[Column9]]/1)</f>
        <v/>
      </c>
      <c r="M428" s="86" t="str">
        <f>IF(ISNONTEXT(node_raw[[#This Row],[Column10]]), "", node_raw[[#This Row],[Column10]]/1)</f>
        <v/>
      </c>
    </row>
    <row r="429" spans="2:13" ht="15.75" customHeight="1" x14ac:dyDescent="0.25">
      <c r="B429" s="32" t="str">
        <f>IF(ISNONTEXT(node_raw[[#This Row],[Column1]]), "", node_raw[[#This Row],[Column1]])</f>
        <v/>
      </c>
      <c r="C429" s="29" t="str">
        <f>IF(ISNONTEXT(node_raw[[#This Row],[Column2]]), "", node_raw[[#This Row],[Column2]])</f>
        <v/>
      </c>
      <c r="D429" s="62" t="str">
        <f>IF(ISNUMBER(node_raw[[#This Row],[Column3]]), node_raw[[#This Row],[Column3]],"")</f>
        <v/>
      </c>
      <c r="E429" s="65" t="str">
        <f>IF(ISNUMBER(node_raw[[#This Row],[Column4]]), node_raw[[#This Row],[Column4]]/1048576,"")</f>
        <v/>
      </c>
      <c r="F429" s="91" t="str">
        <f>IF(ISNUMBER(node_raw[[#This Row],[Column5]]), node_raw[[#This Row],[Column5]],"")</f>
        <v/>
      </c>
      <c r="G429" s="80" t="str">
        <f t="shared" si="12"/>
        <v/>
      </c>
      <c r="H429" s="81" t="str">
        <f>IF(ISNUMBER(node_raw[[#This Row],[Column6]]), node_raw[[#This Row],[Column6]]/1048576,"")</f>
        <v/>
      </c>
      <c r="I429" s="82" t="str">
        <f t="shared" si="13"/>
        <v/>
      </c>
      <c r="J429" s="83" t="str">
        <f>IF(ISNONTEXT(node_raw[[#This Row],[Column7]]), "", node_raw[[#This Row],[Column7]]/100)</f>
        <v/>
      </c>
      <c r="K429" s="84" t="str">
        <f>IF(ISNONTEXT(node_raw[[#This Row],[Column8]]), "", node_raw[[#This Row],[Column8]]/100)</f>
        <v/>
      </c>
      <c r="L429" s="85" t="str">
        <f>IF(ISNONTEXT(node_raw[[#This Row],[Column9]]), "", node_raw[[#This Row],[Column9]]/1)</f>
        <v/>
      </c>
      <c r="M429" s="86" t="str">
        <f>IF(ISNONTEXT(node_raw[[#This Row],[Column10]]), "", node_raw[[#This Row],[Column10]]/1)</f>
        <v/>
      </c>
    </row>
    <row r="430" spans="2:13" ht="15.75" customHeight="1" x14ac:dyDescent="0.25">
      <c r="B430" s="32" t="str">
        <f>IF(ISNONTEXT(node_raw[[#This Row],[Column1]]), "", node_raw[[#This Row],[Column1]])</f>
        <v/>
      </c>
      <c r="C430" s="29" t="str">
        <f>IF(ISNONTEXT(node_raw[[#This Row],[Column2]]), "", node_raw[[#This Row],[Column2]])</f>
        <v/>
      </c>
      <c r="D430" s="62" t="str">
        <f>IF(ISNUMBER(node_raw[[#This Row],[Column3]]), node_raw[[#This Row],[Column3]],"")</f>
        <v/>
      </c>
      <c r="E430" s="65" t="str">
        <f>IF(ISNUMBER(node_raw[[#This Row],[Column4]]), node_raw[[#This Row],[Column4]]/1048576,"")</f>
        <v/>
      </c>
      <c r="F430" s="91" t="str">
        <f>IF(ISNUMBER(node_raw[[#This Row],[Column5]]), node_raw[[#This Row],[Column5]],"")</f>
        <v/>
      </c>
      <c r="G430" s="80" t="str">
        <f t="shared" si="12"/>
        <v/>
      </c>
      <c r="H430" s="81" t="str">
        <f>IF(ISNUMBER(node_raw[[#This Row],[Column6]]), node_raw[[#This Row],[Column6]]/1048576,"")</f>
        <v/>
      </c>
      <c r="I430" s="82" t="str">
        <f t="shared" si="13"/>
        <v/>
      </c>
      <c r="J430" s="83" t="str">
        <f>IF(ISNONTEXT(node_raw[[#This Row],[Column7]]), "", node_raw[[#This Row],[Column7]]/100)</f>
        <v/>
      </c>
      <c r="K430" s="84" t="str">
        <f>IF(ISNONTEXT(node_raw[[#This Row],[Column8]]), "", node_raw[[#This Row],[Column8]]/100)</f>
        <v/>
      </c>
      <c r="L430" s="85" t="str">
        <f>IF(ISNONTEXT(node_raw[[#This Row],[Column9]]), "", node_raw[[#This Row],[Column9]]/1)</f>
        <v/>
      </c>
      <c r="M430" s="86" t="str">
        <f>IF(ISNONTEXT(node_raw[[#This Row],[Column10]]), "", node_raw[[#This Row],[Column10]]/1)</f>
        <v/>
      </c>
    </row>
    <row r="431" spans="2:13" ht="15.75" customHeight="1" x14ac:dyDescent="0.25">
      <c r="B431" s="32" t="str">
        <f>IF(ISNONTEXT(node_raw[[#This Row],[Column1]]), "", node_raw[[#This Row],[Column1]])</f>
        <v/>
      </c>
      <c r="C431" s="29" t="str">
        <f>IF(ISNONTEXT(node_raw[[#This Row],[Column2]]), "", node_raw[[#This Row],[Column2]])</f>
        <v/>
      </c>
      <c r="D431" s="62" t="str">
        <f>IF(ISNUMBER(node_raw[[#This Row],[Column3]]), node_raw[[#This Row],[Column3]],"")</f>
        <v/>
      </c>
      <c r="E431" s="65" t="str">
        <f>IF(ISNUMBER(node_raw[[#This Row],[Column4]]), node_raw[[#This Row],[Column4]]/1048576,"")</f>
        <v/>
      </c>
      <c r="F431" s="91" t="str">
        <f>IF(ISNUMBER(node_raw[[#This Row],[Column5]]), node_raw[[#This Row],[Column5]],"")</f>
        <v/>
      </c>
      <c r="G431" s="80" t="str">
        <f t="shared" si="12"/>
        <v/>
      </c>
      <c r="H431" s="81" t="str">
        <f>IF(ISNUMBER(node_raw[[#This Row],[Column6]]), node_raw[[#This Row],[Column6]]/1048576,"")</f>
        <v/>
      </c>
      <c r="I431" s="82" t="str">
        <f t="shared" si="13"/>
        <v/>
      </c>
      <c r="J431" s="83" t="str">
        <f>IF(ISNONTEXT(node_raw[[#This Row],[Column7]]), "", node_raw[[#This Row],[Column7]]/100)</f>
        <v/>
      </c>
      <c r="K431" s="84" t="str">
        <f>IF(ISNONTEXT(node_raw[[#This Row],[Column8]]), "", node_raw[[#This Row],[Column8]]/100)</f>
        <v/>
      </c>
      <c r="L431" s="85" t="str">
        <f>IF(ISNONTEXT(node_raw[[#This Row],[Column9]]), "", node_raw[[#This Row],[Column9]]/1)</f>
        <v/>
      </c>
      <c r="M431" s="86" t="str">
        <f>IF(ISNONTEXT(node_raw[[#This Row],[Column10]]), "", node_raw[[#This Row],[Column10]]/1)</f>
        <v/>
      </c>
    </row>
    <row r="432" spans="2:13" ht="15.75" customHeight="1" x14ac:dyDescent="0.25">
      <c r="B432" s="32" t="str">
        <f>IF(ISNONTEXT(node_raw[[#This Row],[Column1]]), "", node_raw[[#This Row],[Column1]])</f>
        <v/>
      </c>
      <c r="C432" s="29" t="str">
        <f>IF(ISNONTEXT(node_raw[[#This Row],[Column2]]), "", node_raw[[#This Row],[Column2]])</f>
        <v/>
      </c>
      <c r="D432" s="62" t="str">
        <f>IF(ISNUMBER(node_raw[[#This Row],[Column3]]), node_raw[[#This Row],[Column3]],"")</f>
        <v/>
      </c>
      <c r="E432" s="65" t="str">
        <f>IF(ISNUMBER(node_raw[[#This Row],[Column4]]), node_raw[[#This Row],[Column4]]/1048576,"")</f>
        <v/>
      </c>
      <c r="F432" s="91" t="str">
        <f>IF(ISNUMBER(node_raw[[#This Row],[Column5]]), node_raw[[#This Row],[Column5]],"")</f>
        <v/>
      </c>
      <c r="G432" s="80" t="str">
        <f t="shared" si="12"/>
        <v/>
      </c>
      <c r="H432" s="81" t="str">
        <f>IF(ISNUMBER(node_raw[[#This Row],[Column6]]), node_raw[[#This Row],[Column6]]/1048576,"")</f>
        <v/>
      </c>
      <c r="I432" s="82" t="str">
        <f t="shared" si="13"/>
        <v/>
      </c>
      <c r="J432" s="83" t="str">
        <f>IF(ISNONTEXT(node_raw[[#This Row],[Column7]]), "", node_raw[[#This Row],[Column7]]/100)</f>
        <v/>
      </c>
      <c r="K432" s="84" t="str">
        <f>IF(ISNONTEXT(node_raw[[#This Row],[Column8]]), "", node_raw[[#This Row],[Column8]]/100)</f>
        <v/>
      </c>
      <c r="L432" s="85" t="str">
        <f>IF(ISNONTEXT(node_raw[[#This Row],[Column9]]), "", node_raw[[#This Row],[Column9]]/1)</f>
        <v/>
      </c>
      <c r="M432" s="86" t="str">
        <f>IF(ISNONTEXT(node_raw[[#This Row],[Column10]]), "", node_raw[[#This Row],[Column10]]/1)</f>
        <v/>
      </c>
    </row>
    <row r="433" spans="2:13" ht="15.75" customHeight="1" x14ac:dyDescent="0.25">
      <c r="B433" s="32" t="str">
        <f>IF(ISNONTEXT(node_raw[[#This Row],[Column1]]), "", node_raw[[#This Row],[Column1]])</f>
        <v/>
      </c>
      <c r="C433" s="29" t="str">
        <f>IF(ISNONTEXT(node_raw[[#This Row],[Column2]]), "", node_raw[[#This Row],[Column2]])</f>
        <v/>
      </c>
      <c r="D433" s="62" t="str">
        <f>IF(ISNUMBER(node_raw[[#This Row],[Column3]]), node_raw[[#This Row],[Column3]],"")</f>
        <v/>
      </c>
      <c r="E433" s="65" t="str">
        <f>IF(ISNUMBER(node_raw[[#This Row],[Column4]]), node_raw[[#This Row],[Column4]]/1048576,"")</f>
        <v/>
      </c>
      <c r="F433" s="91" t="str">
        <f>IF(ISNUMBER(node_raw[[#This Row],[Column5]]), node_raw[[#This Row],[Column5]],"")</f>
        <v/>
      </c>
      <c r="G433" s="80" t="str">
        <f t="shared" si="12"/>
        <v/>
      </c>
      <c r="H433" s="81" t="str">
        <f>IF(ISNUMBER(node_raw[[#This Row],[Column6]]), node_raw[[#This Row],[Column6]]/1048576,"")</f>
        <v/>
      </c>
      <c r="I433" s="82" t="str">
        <f t="shared" si="13"/>
        <v/>
      </c>
      <c r="J433" s="83" t="str">
        <f>IF(ISNONTEXT(node_raw[[#This Row],[Column7]]), "", node_raw[[#This Row],[Column7]]/100)</f>
        <v/>
      </c>
      <c r="K433" s="84" t="str">
        <f>IF(ISNONTEXT(node_raw[[#This Row],[Column8]]), "", node_raw[[#This Row],[Column8]]/100)</f>
        <v/>
      </c>
      <c r="L433" s="85" t="str">
        <f>IF(ISNONTEXT(node_raw[[#This Row],[Column9]]), "", node_raw[[#This Row],[Column9]]/1)</f>
        <v/>
      </c>
      <c r="M433" s="86" t="str">
        <f>IF(ISNONTEXT(node_raw[[#This Row],[Column10]]), "", node_raw[[#This Row],[Column10]]/1)</f>
        <v/>
      </c>
    </row>
    <row r="434" spans="2:13" ht="15.75" customHeight="1" x14ac:dyDescent="0.25">
      <c r="B434" s="32" t="str">
        <f>IF(ISNONTEXT(node_raw[[#This Row],[Column1]]), "", node_raw[[#This Row],[Column1]])</f>
        <v/>
      </c>
      <c r="C434" s="29" t="str">
        <f>IF(ISNONTEXT(node_raw[[#This Row],[Column2]]), "", node_raw[[#This Row],[Column2]])</f>
        <v/>
      </c>
      <c r="D434" s="62" t="str">
        <f>IF(ISNUMBER(node_raw[[#This Row],[Column3]]), node_raw[[#This Row],[Column3]],"")</f>
        <v/>
      </c>
      <c r="E434" s="65" t="str">
        <f>IF(ISNUMBER(node_raw[[#This Row],[Column4]]), node_raw[[#This Row],[Column4]]/1048576,"")</f>
        <v/>
      </c>
      <c r="F434" s="91" t="str">
        <f>IF(ISNUMBER(node_raw[[#This Row],[Column5]]), node_raw[[#This Row],[Column5]],"")</f>
        <v/>
      </c>
      <c r="G434" s="80" t="str">
        <f t="shared" si="12"/>
        <v/>
      </c>
      <c r="H434" s="81" t="str">
        <f>IF(ISNUMBER(node_raw[[#This Row],[Column6]]), node_raw[[#This Row],[Column6]]/1048576,"")</f>
        <v/>
      </c>
      <c r="I434" s="82" t="str">
        <f t="shared" si="13"/>
        <v/>
      </c>
      <c r="J434" s="83" t="str">
        <f>IF(ISNONTEXT(node_raw[[#This Row],[Column7]]), "", node_raw[[#This Row],[Column7]]/100)</f>
        <v/>
      </c>
      <c r="K434" s="84" t="str">
        <f>IF(ISNONTEXT(node_raw[[#This Row],[Column8]]), "", node_raw[[#This Row],[Column8]]/100)</f>
        <v/>
      </c>
      <c r="L434" s="85" t="str">
        <f>IF(ISNONTEXT(node_raw[[#This Row],[Column9]]), "", node_raw[[#This Row],[Column9]]/1)</f>
        <v/>
      </c>
      <c r="M434" s="86" t="str">
        <f>IF(ISNONTEXT(node_raw[[#This Row],[Column10]]), "", node_raw[[#This Row],[Column10]]/1)</f>
        <v/>
      </c>
    </row>
    <row r="435" spans="2:13" ht="15.75" customHeight="1" x14ac:dyDescent="0.25">
      <c r="B435" s="32" t="str">
        <f>IF(ISNONTEXT(node_raw[[#This Row],[Column1]]), "", node_raw[[#This Row],[Column1]])</f>
        <v/>
      </c>
      <c r="C435" s="29" t="str">
        <f>IF(ISNONTEXT(node_raw[[#This Row],[Column2]]), "", node_raw[[#This Row],[Column2]])</f>
        <v/>
      </c>
      <c r="D435" s="62" t="str">
        <f>IF(ISNUMBER(node_raw[[#This Row],[Column3]]), node_raw[[#This Row],[Column3]],"")</f>
        <v/>
      </c>
      <c r="E435" s="65" t="str">
        <f>IF(ISNUMBER(node_raw[[#This Row],[Column4]]), node_raw[[#This Row],[Column4]]/1048576,"")</f>
        <v/>
      </c>
      <c r="F435" s="91" t="str">
        <f>IF(ISNUMBER(node_raw[[#This Row],[Column5]]), node_raw[[#This Row],[Column5]],"")</f>
        <v/>
      </c>
      <c r="G435" s="80" t="str">
        <f t="shared" si="12"/>
        <v/>
      </c>
      <c r="H435" s="81" t="str">
        <f>IF(ISNUMBER(node_raw[[#This Row],[Column6]]), node_raw[[#This Row],[Column6]]/1048576,"")</f>
        <v/>
      </c>
      <c r="I435" s="82" t="str">
        <f t="shared" si="13"/>
        <v/>
      </c>
      <c r="J435" s="83" t="str">
        <f>IF(ISNONTEXT(node_raw[[#This Row],[Column7]]), "", node_raw[[#This Row],[Column7]]/100)</f>
        <v/>
      </c>
      <c r="K435" s="84" t="str">
        <f>IF(ISNONTEXT(node_raw[[#This Row],[Column8]]), "", node_raw[[#This Row],[Column8]]/100)</f>
        <v/>
      </c>
      <c r="L435" s="85" t="str">
        <f>IF(ISNONTEXT(node_raw[[#This Row],[Column9]]), "", node_raw[[#This Row],[Column9]]/1)</f>
        <v/>
      </c>
      <c r="M435" s="86" t="str">
        <f>IF(ISNONTEXT(node_raw[[#This Row],[Column10]]), "", node_raw[[#This Row],[Column10]]/1)</f>
        <v/>
      </c>
    </row>
    <row r="436" spans="2:13" ht="15.75" customHeight="1" x14ac:dyDescent="0.25">
      <c r="B436" s="32" t="str">
        <f>IF(ISNONTEXT(node_raw[[#This Row],[Column1]]), "", node_raw[[#This Row],[Column1]])</f>
        <v/>
      </c>
      <c r="C436" s="29" t="str">
        <f>IF(ISNONTEXT(node_raw[[#This Row],[Column2]]), "", node_raw[[#This Row],[Column2]])</f>
        <v/>
      </c>
      <c r="D436" s="62" t="str">
        <f>IF(ISNUMBER(node_raw[[#This Row],[Column3]]), node_raw[[#This Row],[Column3]],"")</f>
        <v/>
      </c>
      <c r="E436" s="65" t="str">
        <f>IF(ISNUMBER(node_raw[[#This Row],[Column4]]), node_raw[[#This Row],[Column4]]/1048576,"")</f>
        <v/>
      </c>
      <c r="F436" s="91" t="str">
        <f>IF(ISNUMBER(node_raw[[#This Row],[Column5]]), node_raw[[#This Row],[Column5]],"")</f>
        <v/>
      </c>
      <c r="G436" s="80" t="str">
        <f t="shared" si="12"/>
        <v/>
      </c>
      <c r="H436" s="81" t="str">
        <f>IF(ISNUMBER(node_raw[[#This Row],[Column6]]), node_raw[[#This Row],[Column6]]/1048576,"")</f>
        <v/>
      </c>
      <c r="I436" s="82" t="str">
        <f t="shared" si="13"/>
        <v/>
      </c>
      <c r="J436" s="83" t="str">
        <f>IF(ISNONTEXT(node_raw[[#This Row],[Column7]]), "", node_raw[[#This Row],[Column7]]/100)</f>
        <v/>
      </c>
      <c r="K436" s="84" t="str">
        <f>IF(ISNONTEXT(node_raw[[#This Row],[Column8]]), "", node_raw[[#This Row],[Column8]]/100)</f>
        <v/>
      </c>
      <c r="L436" s="85" t="str">
        <f>IF(ISNONTEXT(node_raw[[#This Row],[Column9]]), "", node_raw[[#This Row],[Column9]]/1)</f>
        <v/>
      </c>
      <c r="M436" s="86" t="str">
        <f>IF(ISNONTEXT(node_raw[[#This Row],[Column10]]), "", node_raw[[#This Row],[Column10]]/1)</f>
        <v/>
      </c>
    </row>
    <row r="437" spans="2:13" ht="15.75" customHeight="1" x14ac:dyDescent="0.25">
      <c r="B437" s="32" t="str">
        <f>IF(ISNONTEXT(node_raw[[#This Row],[Column1]]), "", node_raw[[#This Row],[Column1]])</f>
        <v/>
      </c>
      <c r="C437" s="29" t="str">
        <f>IF(ISNONTEXT(node_raw[[#This Row],[Column2]]), "", node_raw[[#This Row],[Column2]])</f>
        <v/>
      </c>
      <c r="D437" s="62" t="str">
        <f>IF(ISNUMBER(node_raw[[#This Row],[Column3]]), node_raw[[#This Row],[Column3]],"")</f>
        <v/>
      </c>
      <c r="E437" s="65" t="str">
        <f>IF(ISNUMBER(node_raw[[#This Row],[Column4]]), node_raw[[#This Row],[Column4]]/1048576,"")</f>
        <v/>
      </c>
      <c r="F437" s="91" t="str">
        <f>IF(ISNUMBER(node_raw[[#This Row],[Column5]]), node_raw[[#This Row],[Column5]],"")</f>
        <v/>
      </c>
      <c r="G437" s="80" t="str">
        <f t="shared" si="12"/>
        <v/>
      </c>
      <c r="H437" s="81" t="str">
        <f>IF(ISNUMBER(node_raw[[#This Row],[Column6]]), node_raw[[#This Row],[Column6]]/1048576,"")</f>
        <v/>
      </c>
      <c r="I437" s="82" t="str">
        <f t="shared" si="13"/>
        <v/>
      </c>
      <c r="J437" s="83" t="str">
        <f>IF(ISNONTEXT(node_raw[[#This Row],[Column7]]), "", node_raw[[#This Row],[Column7]]/100)</f>
        <v/>
      </c>
      <c r="K437" s="84" t="str">
        <f>IF(ISNONTEXT(node_raw[[#This Row],[Column8]]), "", node_raw[[#This Row],[Column8]]/100)</f>
        <v/>
      </c>
      <c r="L437" s="85" t="str">
        <f>IF(ISNONTEXT(node_raw[[#This Row],[Column9]]), "", node_raw[[#This Row],[Column9]]/1)</f>
        <v/>
      </c>
      <c r="M437" s="86" t="str">
        <f>IF(ISNONTEXT(node_raw[[#This Row],[Column10]]), "", node_raw[[#This Row],[Column10]]/1)</f>
        <v/>
      </c>
    </row>
    <row r="438" spans="2:13" ht="15.75" customHeight="1" x14ac:dyDescent="0.25">
      <c r="B438" s="32" t="str">
        <f>IF(ISNONTEXT(node_raw[[#This Row],[Column1]]), "", node_raw[[#This Row],[Column1]])</f>
        <v/>
      </c>
      <c r="C438" s="29" t="str">
        <f>IF(ISNONTEXT(node_raw[[#This Row],[Column2]]), "", node_raw[[#This Row],[Column2]])</f>
        <v/>
      </c>
      <c r="D438" s="62" t="str">
        <f>IF(ISNUMBER(node_raw[[#This Row],[Column3]]), node_raw[[#This Row],[Column3]],"")</f>
        <v/>
      </c>
      <c r="E438" s="65" t="str">
        <f>IF(ISNUMBER(node_raw[[#This Row],[Column4]]), node_raw[[#This Row],[Column4]]/1048576,"")</f>
        <v/>
      </c>
      <c r="F438" s="91" t="str">
        <f>IF(ISNUMBER(node_raw[[#This Row],[Column5]]), node_raw[[#This Row],[Column5]],"")</f>
        <v/>
      </c>
      <c r="G438" s="80" t="str">
        <f t="shared" si="12"/>
        <v/>
      </c>
      <c r="H438" s="81" t="str">
        <f>IF(ISNUMBER(node_raw[[#This Row],[Column6]]), node_raw[[#This Row],[Column6]]/1048576,"")</f>
        <v/>
      </c>
      <c r="I438" s="82" t="str">
        <f t="shared" si="13"/>
        <v/>
      </c>
      <c r="J438" s="83" t="str">
        <f>IF(ISNONTEXT(node_raw[[#This Row],[Column7]]), "", node_raw[[#This Row],[Column7]]/100)</f>
        <v/>
      </c>
      <c r="K438" s="84" t="str">
        <f>IF(ISNONTEXT(node_raw[[#This Row],[Column8]]), "", node_raw[[#This Row],[Column8]]/100)</f>
        <v/>
      </c>
      <c r="L438" s="85" t="str">
        <f>IF(ISNONTEXT(node_raw[[#This Row],[Column9]]), "", node_raw[[#This Row],[Column9]]/1)</f>
        <v/>
      </c>
      <c r="M438" s="86" t="str">
        <f>IF(ISNONTEXT(node_raw[[#This Row],[Column10]]), "", node_raw[[#This Row],[Column10]]/1)</f>
        <v/>
      </c>
    </row>
    <row r="439" spans="2:13" ht="15.75" customHeight="1" x14ac:dyDescent="0.25">
      <c r="B439" s="32" t="str">
        <f>IF(ISNONTEXT(node_raw[[#This Row],[Column1]]), "", node_raw[[#This Row],[Column1]])</f>
        <v/>
      </c>
      <c r="C439" s="29" t="str">
        <f>IF(ISNONTEXT(node_raw[[#This Row],[Column2]]), "", node_raw[[#This Row],[Column2]])</f>
        <v/>
      </c>
      <c r="D439" s="62" t="str">
        <f>IF(ISNUMBER(node_raw[[#This Row],[Column3]]), node_raw[[#This Row],[Column3]],"")</f>
        <v/>
      </c>
      <c r="E439" s="65" t="str">
        <f>IF(ISNUMBER(node_raw[[#This Row],[Column4]]), node_raw[[#This Row],[Column4]]/1048576,"")</f>
        <v/>
      </c>
      <c r="F439" s="91" t="str">
        <f>IF(ISNUMBER(node_raw[[#This Row],[Column5]]), node_raw[[#This Row],[Column5]],"")</f>
        <v/>
      </c>
      <c r="G439" s="80" t="str">
        <f t="shared" si="12"/>
        <v/>
      </c>
      <c r="H439" s="81" t="str">
        <f>IF(ISNUMBER(node_raw[[#This Row],[Column6]]), node_raw[[#This Row],[Column6]]/1048576,"")</f>
        <v/>
      </c>
      <c r="I439" s="82" t="str">
        <f t="shared" si="13"/>
        <v/>
      </c>
      <c r="J439" s="83" t="str">
        <f>IF(ISNONTEXT(node_raw[[#This Row],[Column7]]), "", node_raw[[#This Row],[Column7]]/100)</f>
        <v/>
      </c>
      <c r="K439" s="84" t="str">
        <f>IF(ISNONTEXT(node_raw[[#This Row],[Column8]]), "", node_raw[[#This Row],[Column8]]/100)</f>
        <v/>
      </c>
      <c r="L439" s="85" t="str">
        <f>IF(ISNONTEXT(node_raw[[#This Row],[Column9]]), "", node_raw[[#This Row],[Column9]]/1)</f>
        <v/>
      </c>
      <c r="M439" s="86" t="str">
        <f>IF(ISNONTEXT(node_raw[[#This Row],[Column10]]), "", node_raw[[#This Row],[Column10]]/1)</f>
        <v/>
      </c>
    </row>
    <row r="440" spans="2:13" ht="15.75" customHeight="1" x14ac:dyDescent="0.25">
      <c r="B440" s="32" t="str">
        <f>IF(ISNONTEXT(node_raw[[#This Row],[Column1]]), "", node_raw[[#This Row],[Column1]])</f>
        <v/>
      </c>
      <c r="C440" s="29" t="str">
        <f>IF(ISNONTEXT(node_raw[[#This Row],[Column2]]), "", node_raw[[#This Row],[Column2]])</f>
        <v/>
      </c>
      <c r="D440" s="62" t="str">
        <f>IF(ISNUMBER(node_raw[[#This Row],[Column3]]), node_raw[[#This Row],[Column3]],"")</f>
        <v/>
      </c>
      <c r="E440" s="65" t="str">
        <f>IF(ISNUMBER(node_raw[[#This Row],[Column4]]), node_raw[[#This Row],[Column4]]/1048576,"")</f>
        <v/>
      </c>
      <c r="F440" s="91" t="str">
        <f>IF(ISNUMBER(node_raw[[#This Row],[Column5]]), node_raw[[#This Row],[Column5]],"")</f>
        <v/>
      </c>
      <c r="G440" s="80" t="str">
        <f t="shared" si="12"/>
        <v/>
      </c>
      <c r="H440" s="81" t="str">
        <f>IF(ISNUMBER(node_raw[[#This Row],[Column6]]), node_raw[[#This Row],[Column6]]/1048576,"")</f>
        <v/>
      </c>
      <c r="I440" s="82" t="str">
        <f t="shared" si="13"/>
        <v/>
      </c>
      <c r="J440" s="83" t="str">
        <f>IF(ISNONTEXT(node_raw[[#This Row],[Column7]]), "", node_raw[[#This Row],[Column7]]/100)</f>
        <v/>
      </c>
      <c r="K440" s="84" t="str">
        <f>IF(ISNONTEXT(node_raw[[#This Row],[Column8]]), "", node_raw[[#This Row],[Column8]]/100)</f>
        <v/>
      </c>
      <c r="L440" s="85" t="str">
        <f>IF(ISNONTEXT(node_raw[[#This Row],[Column9]]), "", node_raw[[#This Row],[Column9]]/1)</f>
        <v/>
      </c>
      <c r="M440" s="86" t="str">
        <f>IF(ISNONTEXT(node_raw[[#This Row],[Column10]]), "", node_raw[[#This Row],[Column10]]/1)</f>
        <v/>
      </c>
    </row>
    <row r="441" spans="2:13" ht="15.75" customHeight="1" x14ac:dyDescent="0.25">
      <c r="B441" s="32" t="str">
        <f>IF(ISNONTEXT(node_raw[[#This Row],[Column1]]), "", node_raw[[#This Row],[Column1]])</f>
        <v/>
      </c>
      <c r="C441" s="29" t="str">
        <f>IF(ISNONTEXT(node_raw[[#This Row],[Column2]]), "", node_raw[[#This Row],[Column2]])</f>
        <v/>
      </c>
      <c r="D441" s="62" t="str">
        <f>IF(ISNUMBER(node_raw[[#This Row],[Column3]]), node_raw[[#This Row],[Column3]],"")</f>
        <v/>
      </c>
      <c r="E441" s="65" t="str">
        <f>IF(ISNUMBER(node_raw[[#This Row],[Column4]]), node_raw[[#This Row],[Column4]]/1048576,"")</f>
        <v/>
      </c>
      <c r="F441" s="91" t="str">
        <f>IF(ISNUMBER(node_raw[[#This Row],[Column5]]), node_raw[[#This Row],[Column5]],"")</f>
        <v/>
      </c>
      <c r="G441" s="80" t="str">
        <f t="shared" si="12"/>
        <v/>
      </c>
      <c r="H441" s="81" t="str">
        <f>IF(ISNUMBER(node_raw[[#This Row],[Column6]]), node_raw[[#This Row],[Column6]]/1048576,"")</f>
        <v/>
      </c>
      <c r="I441" s="82" t="str">
        <f t="shared" si="13"/>
        <v/>
      </c>
      <c r="J441" s="83" t="str">
        <f>IF(ISNONTEXT(node_raw[[#This Row],[Column7]]), "", node_raw[[#This Row],[Column7]]/100)</f>
        <v/>
      </c>
      <c r="K441" s="84" t="str">
        <f>IF(ISNONTEXT(node_raw[[#This Row],[Column8]]), "", node_raw[[#This Row],[Column8]]/100)</f>
        <v/>
      </c>
      <c r="L441" s="85" t="str">
        <f>IF(ISNONTEXT(node_raw[[#This Row],[Column9]]), "", node_raw[[#This Row],[Column9]]/1)</f>
        <v/>
      </c>
      <c r="M441" s="86" t="str">
        <f>IF(ISNONTEXT(node_raw[[#This Row],[Column10]]), "", node_raw[[#This Row],[Column10]]/1)</f>
        <v/>
      </c>
    </row>
    <row r="442" spans="2:13" ht="15.75" customHeight="1" x14ac:dyDescent="0.25">
      <c r="B442" s="32" t="str">
        <f>IF(ISNONTEXT(node_raw[[#This Row],[Column1]]), "", node_raw[[#This Row],[Column1]])</f>
        <v/>
      </c>
      <c r="C442" s="29" t="str">
        <f>IF(ISNONTEXT(node_raw[[#This Row],[Column2]]), "", node_raw[[#This Row],[Column2]])</f>
        <v/>
      </c>
      <c r="D442" s="62" t="str">
        <f>IF(ISNUMBER(node_raw[[#This Row],[Column3]]), node_raw[[#This Row],[Column3]],"")</f>
        <v/>
      </c>
      <c r="E442" s="65" t="str">
        <f>IF(ISNUMBER(node_raw[[#This Row],[Column4]]), node_raw[[#This Row],[Column4]]/1048576,"")</f>
        <v/>
      </c>
      <c r="F442" s="91" t="str">
        <f>IF(ISNUMBER(node_raw[[#This Row],[Column5]]), node_raw[[#This Row],[Column5]],"")</f>
        <v/>
      </c>
      <c r="G442" s="80" t="str">
        <f t="shared" si="12"/>
        <v/>
      </c>
      <c r="H442" s="81" t="str">
        <f>IF(ISNUMBER(node_raw[[#This Row],[Column6]]), node_raw[[#This Row],[Column6]]/1048576,"")</f>
        <v/>
      </c>
      <c r="I442" s="82" t="str">
        <f t="shared" si="13"/>
        <v/>
      </c>
      <c r="J442" s="83" t="str">
        <f>IF(ISNONTEXT(node_raw[[#This Row],[Column7]]), "", node_raw[[#This Row],[Column7]]/100)</f>
        <v/>
      </c>
      <c r="K442" s="84" t="str">
        <f>IF(ISNONTEXT(node_raw[[#This Row],[Column8]]), "", node_raw[[#This Row],[Column8]]/100)</f>
        <v/>
      </c>
      <c r="L442" s="85" t="str">
        <f>IF(ISNONTEXT(node_raw[[#This Row],[Column9]]), "", node_raw[[#This Row],[Column9]]/1)</f>
        <v/>
      </c>
      <c r="M442" s="86" t="str">
        <f>IF(ISNONTEXT(node_raw[[#This Row],[Column10]]), "", node_raw[[#This Row],[Column10]]/1)</f>
        <v/>
      </c>
    </row>
    <row r="443" spans="2:13" ht="15.75" customHeight="1" x14ac:dyDescent="0.25">
      <c r="B443" s="32" t="str">
        <f>IF(ISNONTEXT(node_raw[[#This Row],[Column1]]), "", node_raw[[#This Row],[Column1]])</f>
        <v/>
      </c>
      <c r="C443" s="29" t="str">
        <f>IF(ISNONTEXT(node_raw[[#This Row],[Column2]]), "", node_raw[[#This Row],[Column2]])</f>
        <v/>
      </c>
      <c r="D443" s="62" t="str">
        <f>IF(ISNUMBER(node_raw[[#This Row],[Column3]]), node_raw[[#This Row],[Column3]],"")</f>
        <v/>
      </c>
      <c r="E443" s="65" t="str">
        <f>IF(ISNUMBER(node_raw[[#This Row],[Column4]]), node_raw[[#This Row],[Column4]]/1048576,"")</f>
        <v/>
      </c>
      <c r="F443" s="91" t="str">
        <f>IF(ISNUMBER(node_raw[[#This Row],[Column5]]), node_raw[[#This Row],[Column5]],"")</f>
        <v/>
      </c>
      <c r="G443" s="80" t="str">
        <f t="shared" si="12"/>
        <v/>
      </c>
      <c r="H443" s="81" t="str">
        <f>IF(ISNUMBER(node_raw[[#This Row],[Column6]]), node_raw[[#This Row],[Column6]]/1048576,"")</f>
        <v/>
      </c>
      <c r="I443" s="82" t="str">
        <f t="shared" si="13"/>
        <v/>
      </c>
      <c r="J443" s="83" t="str">
        <f>IF(ISNONTEXT(node_raw[[#This Row],[Column7]]), "", node_raw[[#This Row],[Column7]]/100)</f>
        <v/>
      </c>
      <c r="K443" s="84" t="str">
        <f>IF(ISNONTEXT(node_raw[[#This Row],[Column8]]), "", node_raw[[#This Row],[Column8]]/100)</f>
        <v/>
      </c>
      <c r="L443" s="85" t="str">
        <f>IF(ISNONTEXT(node_raw[[#This Row],[Column9]]), "", node_raw[[#This Row],[Column9]]/1)</f>
        <v/>
      </c>
      <c r="M443" s="86" t="str">
        <f>IF(ISNONTEXT(node_raw[[#This Row],[Column10]]), "", node_raw[[#This Row],[Column10]]/1)</f>
        <v/>
      </c>
    </row>
    <row r="444" spans="2:13" ht="15.75" customHeight="1" x14ac:dyDescent="0.25">
      <c r="B444" s="32" t="str">
        <f>IF(ISNONTEXT(node_raw[[#This Row],[Column1]]), "", node_raw[[#This Row],[Column1]])</f>
        <v/>
      </c>
      <c r="C444" s="29" t="str">
        <f>IF(ISNONTEXT(node_raw[[#This Row],[Column2]]), "", node_raw[[#This Row],[Column2]])</f>
        <v/>
      </c>
      <c r="D444" s="62" t="str">
        <f>IF(ISNUMBER(node_raw[[#This Row],[Column3]]), node_raw[[#This Row],[Column3]],"")</f>
        <v/>
      </c>
      <c r="E444" s="65" t="str">
        <f>IF(ISNUMBER(node_raw[[#This Row],[Column4]]), node_raw[[#This Row],[Column4]]/1048576,"")</f>
        <v/>
      </c>
      <c r="F444" s="91" t="str">
        <f>IF(ISNUMBER(node_raw[[#This Row],[Column5]]), node_raw[[#This Row],[Column5]],"")</f>
        <v/>
      </c>
      <c r="G444" s="80" t="str">
        <f t="shared" si="12"/>
        <v/>
      </c>
      <c r="H444" s="81" t="str">
        <f>IF(ISNUMBER(node_raw[[#This Row],[Column6]]), node_raw[[#This Row],[Column6]]/1048576,"")</f>
        <v/>
      </c>
      <c r="I444" s="82" t="str">
        <f t="shared" si="13"/>
        <v/>
      </c>
      <c r="J444" s="83" t="str">
        <f>IF(ISNONTEXT(node_raw[[#This Row],[Column7]]), "", node_raw[[#This Row],[Column7]]/100)</f>
        <v/>
      </c>
      <c r="K444" s="84" t="str">
        <f>IF(ISNONTEXT(node_raw[[#This Row],[Column8]]), "", node_raw[[#This Row],[Column8]]/100)</f>
        <v/>
      </c>
      <c r="L444" s="85" t="str">
        <f>IF(ISNONTEXT(node_raw[[#This Row],[Column9]]), "", node_raw[[#This Row],[Column9]]/1)</f>
        <v/>
      </c>
      <c r="M444" s="86" t="str">
        <f>IF(ISNONTEXT(node_raw[[#This Row],[Column10]]), "", node_raw[[#This Row],[Column10]]/1)</f>
        <v/>
      </c>
    </row>
    <row r="445" spans="2:13" ht="15.75" customHeight="1" x14ac:dyDescent="0.25">
      <c r="B445" s="32" t="str">
        <f>IF(ISNONTEXT(node_raw[[#This Row],[Column1]]), "", node_raw[[#This Row],[Column1]])</f>
        <v/>
      </c>
      <c r="C445" s="29" t="str">
        <f>IF(ISNONTEXT(node_raw[[#This Row],[Column2]]), "", node_raw[[#This Row],[Column2]])</f>
        <v/>
      </c>
      <c r="D445" s="62" t="str">
        <f>IF(ISNUMBER(node_raw[[#This Row],[Column3]]), node_raw[[#This Row],[Column3]],"")</f>
        <v/>
      </c>
      <c r="E445" s="65" t="str">
        <f>IF(ISNUMBER(node_raw[[#This Row],[Column4]]), node_raw[[#This Row],[Column4]]/1048576,"")</f>
        <v/>
      </c>
      <c r="F445" s="91" t="str">
        <f>IF(ISNUMBER(node_raw[[#This Row],[Column5]]), node_raw[[#This Row],[Column5]],"")</f>
        <v/>
      </c>
      <c r="G445" s="80" t="str">
        <f t="shared" si="12"/>
        <v/>
      </c>
      <c r="H445" s="81" t="str">
        <f>IF(ISNUMBER(node_raw[[#This Row],[Column6]]), node_raw[[#This Row],[Column6]]/1048576,"")</f>
        <v/>
      </c>
      <c r="I445" s="82" t="str">
        <f t="shared" si="13"/>
        <v/>
      </c>
      <c r="J445" s="83" t="str">
        <f>IF(ISNONTEXT(node_raw[[#This Row],[Column7]]), "", node_raw[[#This Row],[Column7]]/100)</f>
        <v/>
      </c>
      <c r="K445" s="84" t="str">
        <f>IF(ISNONTEXT(node_raw[[#This Row],[Column8]]), "", node_raw[[#This Row],[Column8]]/100)</f>
        <v/>
      </c>
      <c r="L445" s="85" t="str">
        <f>IF(ISNONTEXT(node_raw[[#This Row],[Column9]]), "", node_raw[[#This Row],[Column9]]/1)</f>
        <v/>
      </c>
      <c r="M445" s="86" t="str">
        <f>IF(ISNONTEXT(node_raw[[#This Row],[Column10]]), "", node_raw[[#This Row],[Column10]]/1)</f>
        <v/>
      </c>
    </row>
    <row r="446" spans="2:13" ht="15.75" customHeight="1" x14ac:dyDescent="0.25">
      <c r="B446" s="32" t="str">
        <f>IF(ISNONTEXT(node_raw[[#This Row],[Column1]]), "", node_raw[[#This Row],[Column1]])</f>
        <v/>
      </c>
      <c r="C446" s="29" t="str">
        <f>IF(ISNONTEXT(node_raw[[#This Row],[Column2]]), "", node_raw[[#This Row],[Column2]])</f>
        <v/>
      </c>
      <c r="D446" s="62" t="str">
        <f>IF(ISNUMBER(node_raw[[#This Row],[Column3]]), node_raw[[#This Row],[Column3]],"")</f>
        <v/>
      </c>
      <c r="E446" s="65" t="str">
        <f>IF(ISNUMBER(node_raw[[#This Row],[Column4]]), node_raw[[#This Row],[Column4]]/1048576,"")</f>
        <v/>
      </c>
      <c r="F446" s="91" t="str">
        <f>IF(ISNUMBER(node_raw[[#This Row],[Column5]]), node_raw[[#This Row],[Column5]],"")</f>
        <v/>
      </c>
      <c r="G446" s="80" t="str">
        <f t="shared" si="12"/>
        <v/>
      </c>
      <c r="H446" s="81" t="str">
        <f>IF(ISNUMBER(node_raw[[#This Row],[Column6]]), node_raw[[#This Row],[Column6]]/1048576,"")</f>
        <v/>
      </c>
      <c r="I446" s="82" t="str">
        <f t="shared" si="13"/>
        <v/>
      </c>
      <c r="J446" s="83" t="str">
        <f>IF(ISNONTEXT(node_raw[[#This Row],[Column7]]), "", node_raw[[#This Row],[Column7]]/100)</f>
        <v/>
      </c>
      <c r="K446" s="84" t="str">
        <f>IF(ISNONTEXT(node_raw[[#This Row],[Column8]]), "", node_raw[[#This Row],[Column8]]/100)</f>
        <v/>
      </c>
      <c r="L446" s="85" t="str">
        <f>IF(ISNONTEXT(node_raw[[#This Row],[Column9]]), "", node_raw[[#This Row],[Column9]]/1)</f>
        <v/>
      </c>
      <c r="M446" s="86" t="str">
        <f>IF(ISNONTEXT(node_raw[[#This Row],[Column10]]), "", node_raw[[#This Row],[Column10]]/1)</f>
        <v/>
      </c>
    </row>
    <row r="447" spans="2:13" ht="15.75" customHeight="1" x14ac:dyDescent="0.25">
      <c r="B447" s="32" t="str">
        <f>IF(ISNONTEXT(node_raw[[#This Row],[Column1]]), "", node_raw[[#This Row],[Column1]])</f>
        <v/>
      </c>
      <c r="C447" s="29" t="str">
        <f>IF(ISNONTEXT(node_raw[[#This Row],[Column2]]), "", node_raw[[#This Row],[Column2]])</f>
        <v/>
      </c>
      <c r="D447" s="62" t="str">
        <f>IF(ISNUMBER(node_raw[[#This Row],[Column3]]), node_raw[[#This Row],[Column3]],"")</f>
        <v/>
      </c>
      <c r="E447" s="65" t="str">
        <f>IF(ISNUMBER(node_raw[[#This Row],[Column4]]), node_raw[[#This Row],[Column4]]/1048576,"")</f>
        <v/>
      </c>
      <c r="F447" s="91" t="str">
        <f>IF(ISNUMBER(node_raw[[#This Row],[Column5]]), node_raw[[#This Row],[Column5]],"")</f>
        <v/>
      </c>
      <c r="G447" s="80" t="str">
        <f t="shared" si="12"/>
        <v/>
      </c>
      <c r="H447" s="81" t="str">
        <f>IF(ISNUMBER(node_raw[[#This Row],[Column6]]), node_raw[[#This Row],[Column6]]/1048576,"")</f>
        <v/>
      </c>
      <c r="I447" s="82" t="str">
        <f t="shared" si="13"/>
        <v/>
      </c>
      <c r="J447" s="83" t="str">
        <f>IF(ISNONTEXT(node_raw[[#This Row],[Column7]]), "", node_raw[[#This Row],[Column7]]/100)</f>
        <v/>
      </c>
      <c r="K447" s="84" t="str">
        <f>IF(ISNONTEXT(node_raw[[#This Row],[Column8]]), "", node_raw[[#This Row],[Column8]]/100)</f>
        <v/>
      </c>
      <c r="L447" s="85" t="str">
        <f>IF(ISNONTEXT(node_raw[[#This Row],[Column9]]), "", node_raw[[#This Row],[Column9]]/1)</f>
        <v/>
      </c>
      <c r="M447" s="86" t="str">
        <f>IF(ISNONTEXT(node_raw[[#This Row],[Column10]]), "", node_raw[[#This Row],[Column10]]/1)</f>
        <v/>
      </c>
    </row>
    <row r="448" spans="2:13" ht="15.75" customHeight="1" x14ac:dyDescent="0.25">
      <c r="B448" s="32" t="str">
        <f>IF(ISNONTEXT(node_raw[[#This Row],[Column1]]), "", node_raw[[#This Row],[Column1]])</f>
        <v/>
      </c>
      <c r="C448" s="29" t="str">
        <f>IF(ISNONTEXT(node_raw[[#This Row],[Column2]]), "", node_raw[[#This Row],[Column2]])</f>
        <v/>
      </c>
      <c r="D448" s="62" t="str">
        <f>IF(ISNUMBER(node_raw[[#This Row],[Column3]]), node_raw[[#This Row],[Column3]],"")</f>
        <v/>
      </c>
      <c r="E448" s="65" t="str">
        <f>IF(ISNUMBER(node_raw[[#This Row],[Column4]]), node_raw[[#This Row],[Column4]]/1048576,"")</f>
        <v/>
      </c>
      <c r="F448" s="91" t="str">
        <f>IF(ISNUMBER(node_raw[[#This Row],[Column5]]), node_raw[[#This Row],[Column5]],"")</f>
        <v/>
      </c>
      <c r="G448" s="80" t="str">
        <f t="shared" si="12"/>
        <v/>
      </c>
      <c r="H448" s="81" t="str">
        <f>IF(ISNUMBER(node_raw[[#This Row],[Column6]]), node_raw[[#This Row],[Column6]]/1048576,"")</f>
        <v/>
      </c>
      <c r="I448" s="82" t="str">
        <f t="shared" si="13"/>
        <v/>
      </c>
      <c r="J448" s="83" t="str">
        <f>IF(ISNONTEXT(node_raw[[#This Row],[Column7]]), "", node_raw[[#This Row],[Column7]]/100)</f>
        <v/>
      </c>
      <c r="K448" s="84" t="str">
        <f>IF(ISNONTEXT(node_raw[[#This Row],[Column8]]), "", node_raw[[#This Row],[Column8]]/100)</f>
        <v/>
      </c>
      <c r="L448" s="85" t="str">
        <f>IF(ISNONTEXT(node_raw[[#This Row],[Column9]]), "", node_raw[[#This Row],[Column9]]/1)</f>
        <v/>
      </c>
      <c r="M448" s="86" t="str">
        <f>IF(ISNONTEXT(node_raw[[#This Row],[Column10]]), "", node_raw[[#This Row],[Column10]]/1)</f>
        <v/>
      </c>
    </row>
    <row r="449" spans="2:13" ht="15.75" customHeight="1" x14ac:dyDescent="0.25">
      <c r="B449" s="32" t="str">
        <f>IF(ISNONTEXT(node_raw[[#This Row],[Column1]]), "", node_raw[[#This Row],[Column1]])</f>
        <v/>
      </c>
      <c r="C449" s="29" t="str">
        <f>IF(ISNONTEXT(node_raw[[#This Row],[Column2]]), "", node_raw[[#This Row],[Column2]])</f>
        <v/>
      </c>
      <c r="D449" s="62" t="str">
        <f>IF(ISNUMBER(node_raw[[#This Row],[Column3]]), node_raw[[#This Row],[Column3]],"")</f>
        <v/>
      </c>
      <c r="E449" s="65" t="str">
        <f>IF(ISNUMBER(node_raw[[#This Row],[Column4]]), node_raw[[#This Row],[Column4]]/1048576,"")</f>
        <v/>
      </c>
      <c r="F449" s="91" t="str">
        <f>IF(ISNUMBER(node_raw[[#This Row],[Column5]]), node_raw[[#This Row],[Column5]],"")</f>
        <v/>
      </c>
      <c r="G449" s="80" t="str">
        <f t="shared" si="12"/>
        <v/>
      </c>
      <c r="H449" s="81" t="str">
        <f>IF(ISNUMBER(node_raw[[#This Row],[Column6]]), node_raw[[#This Row],[Column6]]/1048576,"")</f>
        <v/>
      </c>
      <c r="I449" s="82" t="str">
        <f t="shared" si="13"/>
        <v/>
      </c>
      <c r="J449" s="83" t="str">
        <f>IF(ISNONTEXT(node_raw[[#This Row],[Column7]]), "", node_raw[[#This Row],[Column7]]/100)</f>
        <v/>
      </c>
      <c r="K449" s="84" t="str">
        <f>IF(ISNONTEXT(node_raw[[#This Row],[Column8]]), "", node_raw[[#This Row],[Column8]]/100)</f>
        <v/>
      </c>
      <c r="L449" s="85" t="str">
        <f>IF(ISNONTEXT(node_raw[[#This Row],[Column9]]), "", node_raw[[#This Row],[Column9]]/1)</f>
        <v/>
      </c>
      <c r="M449" s="86" t="str">
        <f>IF(ISNONTEXT(node_raw[[#This Row],[Column10]]), "", node_raw[[#This Row],[Column10]]/1)</f>
        <v/>
      </c>
    </row>
    <row r="450" spans="2:13" ht="15.75" customHeight="1" x14ac:dyDescent="0.25">
      <c r="B450" s="32" t="str">
        <f>IF(ISNONTEXT(node_raw[[#This Row],[Column1]]), "", node_raw[[#This Row],[Column1]])</f>
        <v/>
      </c>
      <c r="C450" s="29" t="str">
        <f>IF(ISNONTEXT(node_raw[[#This Row],[Column2]]), "", node_raw[[#This Row],[Column2]])</f>
        <v/>
      </c>
      <c r="D450" s="62" t="str">
        <f>IF(ISNUMBER(node_raw[[#This Row],[Column3]]), node_raw[[#This Row],[Column3]],"")</f>
        <v/>
      </c>
      <c r="E450" s="65" t="str">
        <f>IF(ISNUMBER(node_raw[[#This Row],[Column4]]), node_raw[[#This Row],[Column4]]/1048576,"")</f>
        <v/>
      </c>
      <c r="F450" s="91" t="str">
        <f>IF(ISNUMBER(node_raw[[#This Row],[Column5]]), node_raw[[#This Row],[Column5]],"")</f>
        <v/>
      </c>
      <c r="G450" s="80" t="str">
        <f t="shared" si="12"/>
        <v/>
      </c>
      <c r="H450" s="81" t="str">
        <f>IF(ISNUMBER(node_raw[[#This Row],[Column6]]), node_raw[[#This Row],[Column6]]/1048576,"")</f>
        <v/>
      </c>
      <c r="I450" s="82" t="str">
        <f t="shared" si="13"/>
        <v/>
      </c>
      <c r="J450" s="83" t="str">
        <f>IF(ISNONTEXT(node_raw[[#This Row],[Column7]]), "", node_raw[[#This Row],[Column7]]/100)</f>
        <v/>
      </c>
      <c r="K450" s="84" t="str">
        <f>IF(ISNONTEXT(node_raw[[#This Row],[Column8]]), "", node_raw[[#This Row],[Column8]]/100)</f>
        <v/>
      </c>
      <c r="L450" s="85" t="str">
        <f>IF(ISNONTEXT(node_raw[[#This Row],[Column9]]), "", node_raw[[#This Row],[Column9]]/1)</f>
        <v/>
      </c>
      <c r="M450" s="86" t="str">
        <f>IF(ISNONTEXT(node_raw[[#This Row],[Column10]]), "", node_raw[[#This Row],[Column10]]/1)</f>
        <v/>
      </c>
    </row>
    <row r="451" spans="2:13" ht="15.75" customHeight="1" x14ac:dyDescent="0.25">
      <c r="B451" s="32" t="str">
        <f>IF(ISNONTEXT(node_raw[[#This Row],[Column1]]), "", node_raw[[#This Row],[Column1]])</f>
        <v/>
      </c>
      <c r="C451" s="29" t="str">
        <f>IF(ISNONTEXT(node_raw[[#This Row],[Column2]]), "", node_raw[[#This Row],[Column2]])</f>
        <v/>
      </c>
      <c r="D451" s="62" t="str">
        <f>IF(ISNUMBER(node_raw[[#This Row],[Column3]]), node_raw[[#This Row],[Column3]],"")</f>
        <v/>
      </c>
      <c r="E451" s="65" t="str">
        <f>IF(ISNUMBER(node_raw[[#This Row],[Column4]]), node_raw[[#This Row],[Column4]]/1048576,"")</f>
        <v/>
      </c>
      <c r="F451" s="91" t="str">
        <f>IF(ISNUMBER(node_raw[[#This Row],[Column5]]), node_raw[[#This Row],[Column5]],"")</f>
        <v/>
      </c>
      <c r="G451" s="80" t="str">
        <f t="shared" ref="G451:G500" si="14">IF(ISNUMBER(F451), F451/D451, "")</f>
        <v/>
      </c>
      <c r="H451" s="81" t="str">
        <f>IF(ISNUMBER(node_raw[[#This Row],[Column6]]), node_raw[[#This Row],[Column6]]/1048576,"")</f>
        <v/>
      </c>
      <c r="I451" s="82" t="str">
        <f t="shared" ref="I451:I500" si="15">IF(ISNUMBER(H451), H451/E451, "")</f>
        <v/>
      </c>
      <c r="J451" s="83" t="str">
        <f>IF(ISNONTEXT(node_raw[[#This Row],[Column7]]), "", node_raw[[#This Row],[Column7]]/100)</f>
        <v/>
      </c>
      <c r="K451" s="84" t="str">
        <f>IF(ISNONTEXT(node_raw[[#This Row],[Column8]]), "", node_raw[[#This Row],[Column8]]/100)</f>
        <v/>
      </c>
      <c r="L451" s="85" t="str">
        <f>IF(ISNONTEXT(node_raw[[#This Row],[Column9]]), "", node_raw[[#This Row],[Column9]]/1)</f>
        <v/>
      </c>
      <c r="M451" s="86" t="str">
        <f>IF(ISNONTEXT(node_raw[[#This Row],[Column10]]), "", node_raw[[#This Row],[Column10]]/1)</f>
        <v/>
      </c>
    </row>
    <row r="452" spans="2:13" ht="15.75" customHeight="1" x14ac:dyDescent="0.25">
      <c r="B452" s="32" t="str">
        <f>IF(ISNONTEXT(node_raw[[#This Row],[Column1]]), "", node_raw[[#This Row],[Column1]])</f>
        <v/>
      </c>
      <c r="C452" s="29" t="str">
        <f>IF(ISNONTEXT(node_raw[[#This Row],[Column2]]), "", node_raw[[#This Row],[Column2]])</f>
        <v/>
      </c>
      <c r="D452" s="62" t="str">
        <f>IF(ISNUMBER(node_raw[[#This Row],[Column3]]), node_raw[[#This Row],[Column3]],"")</f>
        <v/>
      </c>
      <c r="E452" s="65" t="str">
        <f>IF(ISNUMBER(node_raw[[#This Row],[Column4]]), node_raw[[#This Row],[Column4]]/1048576,"")</f>
        <v/>
      </c>
      <c r="F452" s="91" t="str">
        <f>IF(ISNUMBER(node_raw[[#This Row],[Column5]]), node_raw[[#This Row],[Column5]],"")</f>
        <v/>
      </c>
      <c r="G452" s="80" t="str">
        <f t="shared" si="14"/>
        <v/>
      </c>
      <c r="H452" s="81" t="str">
        <f>IF(ISNUMBER(node_raw[[#This Row],[Column6]]), node_raw[[#This Row],[Column6]]/1048576,"")</f>
        <v/>
      </c>
      <c r="I452" s="82" t="str">
        <f t="shared" si="15"/>
        <v/>
      </c>
      <c r="J452" s="83" t="str">
        <f>IF(ISNONTEXT(node_raw[[#This Row],[Column7]]), "", node_raw[[#This Row],[Column7]]/100)</f>
        <v/>
      </c>
      <c r="K452" s="84" t="str">
        <f>IF(ISNONTEXT(node_raw[[#This Row],[Column8]]), "", node_raw[[#This Row],[Column8]]/100)</f>
        <v/>
      </c>
      <c r="L452" s="85" t="str">
        <f>IF(ISNONTEXT(node_raw[[#This Row],[Column9]]), "", node_raw[[#This Row],[Column9]]/1)</f>
        <v/>
      </c>
      <c r="M452" s="86" t="str">
        <f>IF(ISNONTEXT(node_raw[[#This Row],[Column10]]), "", node_raw[[#This Row],[Column10]]/1)</f>
        <v/>
      </c>
    </row>
    <row r="453" spans="2:13" ht="15.75" customHeight="1" x14ac:dyDescent="0.25">
      <c r="B453" s="32" t="str">
        <f>IF(ISNONTEXT(node_raw[[#This Row],[Column1]]), "", node_raw[[#This Row],[Column1]])</f>
        <v/>
      </c>
      <c r="C453" s="29" t="str">
        <f>IF(ISNONTEXT(node_raw[[#This Row],[Column2]]), "", node_raw[[#This Row],[Column2]])</f>
        <v/>
      </c>
      <c r="D453" s="62" t="str">
        <f>IF(ISNUMBER(node_raw[[#This Row],[Column3]]), node_raw[[#This Row],[Column3]],"")</f>
        <v/>
      </c>
      <c r="E453" s="65" t="str">
        <f>IF(ISNUMBER(node_raw[[#This Row],[Column4]]), node_raw[[#This Row],[Column4]]/1048576,"")</f>
        <v/>
      </c>
      <c r="F453" s="91" t="str">
        <f>IF(ISNUMBER(node_raw[[#This Row],[Column5]]), node_raw[[#This Row],[Column5]],"")</f>
        <v/>
      </c>
      <c r="G453" s="80" t="str">
        <f t="shared" si="14"/>
        <v/>
      </c>
      <c r="H453" s="81" t="str">
        <f>IF(ISNUMBER(node_raw[[#This Row],[Column6]]), node_raw[[#This Row],[Column6]]/1048576,"")</f>
        <v/>
      </c>
      <c r="I453" s="82" t="str">
        <f t="shared" si="15"/>
        <v/>
      </c>
      <c r="J453" s="83" t="str">
        <f>IF(ISNONTEXT(node_raw[[#This Row],[Column7]]), "", node_raw[[#This Row],[Column7]]/100)</f>
        <v/>
      </c>
      <c r="K453" s="84" t="str">
        <f>IF(ISNONTEXT(node_raw[[#This Row],[Column8]]), "", node_raw[[#This Row],[Column8]]/100)</f>
        <v/>
      </c>
      <c r="L453" s="85" t="str">
        <f>IF(ISNONTEXT(node_raw[[#This Row],[Column9]]), "", node_raw[[#This Row],[Column9]]/1)</f>
        <v/>
      </c>
      <c r="M453" s="86" t="str">
        <f>IF(ISNONTEXT(node_raw[[#This Row],[Column10]]), "", node_raw[[#This Row],[Column10]]/1)</f>
        <v/>
      </c>
    </row>
    <row r="454" spans="2:13" ht="15.75" customHeight="1" x14ac:dyDescent="0.25">
      <c r="B454" s="32" t="str">
        <f>IF(ISNONTEXT(node_raw[[#This Row],[Column1]]), "", node_raw[[#This Row],[Column1]])</f>
        <v/>
      </c>
      <c r="C454" s="29" t="str">
        <f>IF(ISNONTEXT(node_raw[[#This Row],[Column2]]), "", node_raw[[#This Row],[Column2]])</f>
        <v/>
      </c>
      <c r="D454" s="62" t="str">
        <f>IF(ISNUMBER(node_raw[[#This Row],[Column3]]), node_raw[[#This Row],[Column3]],"")</f>
        <v/>
      </c>
      <c r="E454" s="65" t="str">
        <f>IF(ISNUMBER(node_raw[[#This Row],[Column4]]), node_raw[[#This Row],[Column4]]/1048576,"")</f>
        <v/>
      </c>
      <c r="F454" s="91" t="str">
        <f>IF(ISNUMBER(node_raw[[#This Row],[Column5]]), node_raw[[#This Row],[Column5]],"")</f>
        <v/>
      </c>
      <c r="G454" s="80" t="str">
        <f t="shared" si="14"/>
        <v/>
      </c>
      <c r="H454" s="81" t="str">
        <f>IF(ISNUMBER(node_raw[[#This Row],[Column6]]), node_raw[[#This Row],[Column6]]/1048576,"")</f>
        <v/>
      </c>
      <c r="I454" s="82" t="str">
        <f t="shared" si="15"/>
        <v/>
      </c>
      <c r="J454" s="83" t="str">
        <f>IF(ISNONTEXT(node_raw[[#This Row],[Column7]]), "", node_raw[[#This Row],[Column7]]/100)</f>
        <v/>
      </c>
      <c r="K454" s="84" t="str">
        <f>IF(ISNONTEXT(node_raw[[#This Row],[Column8]]), "", node_raw[[#This Row],[Column8]]/100)</f>
        <v/>
      </c>
      <c r="L454" s="85" t="str">
        <f>IF(ISNONTEXT(node_raw[[#This Row],[Column9]]), "", node_raw[[#This Row],[Column9]]/1)</f>
        <v/>
      </c>
      <c r="M454" s="86" t="str">
        <f>IF(ISNONTEXT(node_raw[[#This Row],[Column10]]), "", node_raw[[#This Row],[Column10]]/1)</f>
        <v/>
      </c>
    </row>
    <row r="455" spans="2:13" ht="15.75" customHeight="1" x14ac:dyDescent="0.25">
      <c r="B455" s="32" t="str">
        <f>IF(ISNONTEXT(node_raw[[#This Row],[Column1]]), "", node_raw[[#This Row],[Column1]])</f>
        <v/>
      </c>
      <c r="C455" s="29" t="str">
        <f>IF(ISNONTEXT(node_raw[[#This Row],[Column2]]), "", node_raw[[#This Row],[Column2]])</f>
        <v/>
      </c>
      <c r="D455" s="62" t="str">
        <f>IF(ISNUMBER(node_raw[[#This Row],[Column3]]), node_raw[[#This Row],[Column3]],"")</f>
        <v/>
      </c>
      <c r="E455" s="65" t="str">
        <f>IF(ISNUMBER(node_raw[[#This Row],[Column4]]), node_raw[[#This Row],[Column4]]/1048576,"")</f>
        <v/>
      </c>
      <c r="F455" s="91" t="str">
        <f>IF(ISNUMBER(node_raw[[#This Row],[Column5]]), node_raw[[#This Row],[Column5]],"")</f>
        <v/>
      </c>
      <c r="G455" s="80" t="str">
        <f t="shared" si="14"/>
        <v/>
      </c>
      <c r="H455" s="81" t="str">
        <f>IF(ISNUMBER(node_raw[[#This Row],[Column6]]), node_raw[[#This Row],[Column6]]/1048576,"")</f>
        <v/>
      </c>
      <c r="I455" s="82" t="str">
        <f t="shared" si="15"/>
        <v/>
      </c>
      <c r="J455" s="83" t="str">
        <f>IF(ISNONTEXT(node_raw[[#This Row],[Column7]]), "", node_raw[[#This Row],[Column7]]/100)</f>
        <v/>
      </c>
      <c r="K455" s="84" t="str">
        <f>IF(ISNONTEXT(node_raw[[#This Row],[Column8]]), "", node_raw[[#This Row],[Column8]]/100)</f>
        <v/>
      </c>
      <c r="L455" s="85" t="str">
        <f>IF(ISNONTEXT(node_raw[[#This Row],[Column9]]), "", node_raw[[#This Row],[Column9]]/1)</f>
        <v/>
      </c>
      <c r="M455" s="86" t="str">
        <f>IF(ISNONTEXT(node_raw[[#This Row],[Column10]]), "", node_raw[[#This Row],[Column10]]/1)</f>
        <v/>
      </c>
    </row>
    <row r="456" spans="2:13" ht="15.75" customHeight="1" x14ac:dyDescent="0.25">
      <c r="B456" s="32" t="str">
        <f>IF(ISNONTEXT(node_raw[[#This Row],[Column1]]), "", node_raw[[#This Row],[Column1]])</f>
        <v/>
      </c>
      <c r="C456" s="29" t="str">
        <f>IF(ISNONTEXT(node_raw[[#This Row],[Column2]]), "", node_raw[[#This Row],[Column2]])</f>
        <v/>
      </c>
      <c r="D456" s="62" t="str">
        <f>IF(ISNUMBER(node_raw[[#This Row],[Column3]]), node_raw[[#This Row],[Column3]],"")</f>
        <v/>
      </c>
      <c r="E456" s="65" t="str">
        <f>IF(ISNUMBER(node_raw[[#This Row],[Column4]]), node_raw[[#This Row],[Column4]]/1048576,"")</f>
        <v/>
      </c>
      <c r="F456" s="91" t="str">
        <f>IF(ISNUMBER(node_raw[[#This Row],[Column5]]), node_raw[[#This Row],[Column5]],"")</f>
        <v/>
      </c>
      <c r="G456" s="80" t="str">
        <f t="shared" si="14"/>
        <v/>
      </c>
      <c r="H456" s="81" t="str">
        <f>IF(ISNUMBER(node_raw[[#This Row],[Column6]]), node_raw[[#This Row],[Column6]]/1048576,"")</f>
        <v/>
      </c>
      <c r="I456" s="82" t="str">
        <f t="shared" si="15"/>
        <v/>
      </c>
      <c r="J456" s="83" t="str">
        <f>IF(ISNONTEXT(node_raw[[#This Row],[Column7]]), "", node_raw[[#This Row],[Column7]]/100)</f>
        <v/>
      </c>
      <c r="K456" s="84" t="str">
        <f>IF(ISNONTEXT(node_raw[[#This Row],[Column8]]), "", node_raw[[#This Row],[Column8]]/100)</f>
        <v/>
      </c>
      <c r="L456" s="85" t="str">
        <f>IF(ISNONTEXT(node_raw[[#This Row],[Column9]]), "", node_raw[[#This Row],[Column9]]/1)</f>
        <v/>
      </c>
      <c r="M456" s="86" t="str">
        <f>IF(ISNONTEXT(node_raw[[#This Row],[Column10]]), "", node_raw[[#This Row],[Column10]]/1)</f>
        <v/>
      </c>
    </row>
    <row r="457" spans="2:13" ht="15.75" customHeight="1" x14ac:dyDescent="0.25">
      <c r="B457" s="32" t="str">
        <f>IF(ISNONTEXT(node_raw[[#This Row],[Column1]]), "", node_raw[[#This Row],[Column1]])</f>
        <v/>
      </c>
      <c r="C457" s="29" t="str">
        <f>IF(ISNONTEXT(node_raw[[#This Row],[Column2]]), "", node_raw[[#This Row],[Column2]])</f>
        <v/>
      </c>
      <c r="D457" s="62" t="str">
        <f>IF(ISNUMBER(node_raw[[#This Row],[Column3]]), node_raw[[#This Row],[Column3]],"")</f>
        <v/>
      </c>
      <c r="E457" s="65" t="str">
        <f>IF(ISNUMBER(node_raw[[#This Row],[Column4]]), node_raw[[#This Row],[Column4]]/1048576,"")</f>
        <v/>
      </c>
      <c r="F457" s="91" t="str">
        <f>IF(ISNUMBER(node_raw[[#This Row],[Column5]]), node_raw[[#This Row],[Column5]],"")</f>
        <v/>
      </c>
      <c r="G457" s="80" t="str">
        <f t="shared" si="14"/>
        <v/>
      </c>
      <c r="H457" s="81" t="str">
        <f>IF(ISNUMBER(node_raw[[#This Row],[Column6]]), node_raw[[#This Row],[Column6]]/1048576,"")</f>
        <v/>
      </c>
      <c r="I457" s="82" t="str">
        <f t="shared" si="15"/>
        <v/>
      </c>
      <c r="J457" s="83" t="str">
        <f>IF(ISNONTEXT(node_raw[[#This Row],[Column7]]), "", node_raw[[#This Row],[Column7]]/100)</f>
        <v/>
      </c>
      <c r="K457" s="84" t="str">
        <f>IF(ISNONTEXT(node_raw[[#This Row],[Column8]]), "", node_raw[[#This Row],[Column8]]/100)</f>
        <v/>
      </c>
      <c r="L457" s="85" t="str">
        <f>IF(ISNONTEXT(node_raw[[#This Row],[Column9]]), "", node_raw[[#This Row],[Column9]]/1)</f>
        <v/>
      </c>
      <c r="M457" s="86" t="str">
        <f>IF(ISNONTEXT(node_raw[[#This Row],[Column10]]), "", node_raw[[#This Row],[Column10]]/1)</f>
        <v/>
      </c>
    </row>
    <row r="458" spans="2:13" ht="15.75" customHeight="1" x14ac:dyDescent="0.25">
      <c r="B458" s="32" t="str">
        <f>IF(ISNONTEXT(node_raw[[#This Row],[Column1]]), "", node_raw[[#This Row],[Column1]])</f>
        <v/>
      </c>
      <c r="C458" s="29" t="str">
        <f>IF(ISNONTEXT(node_raw[[#This Row],[Column2]]), "", node_raw[[#This Row],[Column2]])</f>
        <v/>
      </c>
      <c r="D458" s="62" t="str">
        <f>IF(ISNUMBER(node_raw[[#This Row],[Column3]]), node_raw[[#This Row],[Column3]],"")</f>
        <v/>
      </c>
      <c r="E458" s="65" t="str">
        <f>IF(ISNUMBER(node_raw[[#This Row],[Column4]]), node_raw[[#This Row],[Column4]]/1048576,"")</f>
        <v/>
      </c>
      <c r="F458" s="91" t="str">
        <f>IF(ISNUMBER(node_raw[[#This Row],[Column5]]), node_raw[[#This Row],[Column5]],"")</f>
        <v/>
      </c>
      <c r="G458" s="80" t="str">
        <f t="shared" si="14"/>
        <v/>
      </c>
      <c r="H458" s="81" t="str">
        <f>IF(ISNUMBER(node_raw[[#This Row],[Column6]]), node_raw[[#This Row],[Column6]]/1048576,"")</f>
        <v/>
      </c>
      <c r="I458" s="82" t="str">
        <f t="shared" si="15"/>
        <v/>
      </c>
      <c r="J458" s="83" t="str">
        <f>IF(ISNONTEXT(node_raw[[#This Row],[Column7]]), "", node_raw[[#This Row],[Column7]]/100)</f>
        <v/>
      </c>
      <c r="K458" s="84" t="str">
        <f>IF(ISNONTEXT(node_raw[[#This Row],[Column8]]), "", node_raw[[#This Row],[Column8]]/100)</f>
        <v/>
      </c>
      <c r="L458" s="85" t="str">
        <f>IF(ISNONTEXT(node_raw[[#This Row],[Column9]]), "", node_raw[[#This Row],[Column9]]/1)</f>
        <v/>
      </c>
      <c r="M458" s="86" t="str">
        <f>IF(ISNONTEXT(node_raw[[#This Row],[Column10]]), "", node_raw[[#This Row],[Column10]]/1)</f>
        <v/>
      </c>
    </row>
    <row r="459" spans="2:13" ht="15.75" customHeight="1" x14ac:dyDescent="0.25">
      <c r="B459" s="32" t="str">
        <f>IF(ISNONTEXT(node_raw[[#This Row],[Column1]]), "", node_raw[[#This Row],[Column1]])</f>
        <v/>
      </c>
      <c r="C459" s="29" t="str">
        <f>IF(ISNONTEXT(node_raw[[#This Row],[Column2]]), "", node_raw[[#This Row],[Column2]])</f>
        <v/>
      </c>
      <c r="D459" s="62" t="str">
        <f>IF(ISNUMBER(node_raw[[#This Row],[Column3]]), node_raw[[#This Row],[Column3]],"")</f>
        <v/>
      </c>
      <c r="E459" s="65" t="str">
        <f>IF(ISNUMBER(node_raw[[#This Row],[Column4]]), node_raw[[#This Row],[Column4]]/1048576,"")</f>
        <v/>
      </c>
      <c r="F459" s="91" t="str">
        <f>IF(ISNUMBER(node_raw[[#This Row],[Column5]]), node_raw[[#This Row],[Column5]],"")</f>
        <v/>
      </c>
      <c r="G459" s="80" t="str">
        <f t="shared" si="14"/>
        <v/>
      </c>
      <c r="H459" s="81" t="str">
        <f>IF(ISNUMBER(node_raw[[#This Row],[Column6]]), node_raw[[#This Row],[Column6]]/1048576,"")</f>
        <v/>
      </c>
      <c r="I459" s="82" t="str">
        <f t="shared" si="15"/>
        <v/>
      </c>
      <c r="J459" s="83" t="str">
        <f>IF(ISNONTEXT(node_raw[[#This Row],[Column7]]), "", node_raw[[#This Row],[Column7]]/100)</f>
        <v/>
      </c>
      <c r="K459" s="84" t="str">
        <f>IF(ISNONTEXT(node_raw[[#This Row],[Column8]]), "", node_raw[[#This Row],[Column8]]/100)</f>
        <v/>
      </c>
      <c r="L459" s="85" t="str">
        <f>IF(ISNONTEXT(node_raw[[#This Row],[Column9]]), "", node_raw[[#This Row],[Column9]]/1)</f>
        <v/>
      </c>
      <c r="M459" s="86" t="str">
        <f>IF(ISNONTEXT(node_raw[[#This Row],[Column10]]), "", node_raw[[#This Row],[Column10]]/1)</f>
        <v/>
      </c>
    </row>
    <row r="460" spans="2:13" ht="15.75" customHeight="1" x14ac:dyDescent="0.25">
      <c r="B460" s="32" t="str">
        <f>IF(ISNONTEXT(node_raw[[#This Row],[Column1]]), "", node_raw[[#This Row],[Column1]])</f>
        <v/>
      </c>
      <c r="C460" s="29" t="str">
        <f>IF(ISNONTEXT(node_raw[[#This Row],[Column2]]), "", node_raw[[#This Row],[Column2]])</f>
        <v/>
      </c>
      <c r="D460" s="62" t="str">
        <f>IF(ISNUMBER(node_raw[[#This Row],[Column3]]), node_raw[[#This Row],[Column3]],"")</f>
        <v/>
      </c>
      <c r="E460" s="65" t="str">
        <f>IF(ISNUMBER(node_raw[[#This Row],[Column4]]), node_raw[[#This Row],[Column4]]/1048576,"")</f>
        <v/>
      </c>
      <c r="F460" s="91" t="str">
        <f>IF(ISNUMBER(node_raw[[#This Row],[Column5]]), node_raw[[#This Row],[Column5]],"")</f>
        <v/>
      </c>
      <c r="G460" s="80" t="str">
        <f t="shared" si="14"/>
        <v/>
      </c>
      <c r="H460" s="81" t="str">
        <f>IF(ISNUMBER(node_raw[[#This Row],[Column6]]), node_raw[[#This Row],[Column6]]/1048576,"")</f>
        <v/>
      </c>
      <c r="I460" s="82" t="str">
        <f t="shared" si="15"/>
        <v/>
      </c>
      <c r="J460" s="83" t="str">
        <f>IF(ISNONTEXT(node_raw[[#This Row],[Column7]]), "", node_raw[[#This Row],[Column7]]/100)</f>
        <v/>
      </c>
      <c r="K460" s="84" t="str">
        <f>IF(ISNONTEXT(node_raw[[#This Row],[Column8]]), "", node_raw[[#This Row],[Column8]]/100)</f>
        <v/>
      </c>
      <c r="L460" s="85" t="str">
        <f>IF(ISNONTEXT(node_raw[[#This Row],[Column9]]), "", node_raw[[#This Row],[Column9]]/1)</f>
        <v/>
      </c>
      <c r="M460" s="86" t="str">
        <f>IF(ISNONTEXT(node_raw[[#This Row],[Column10]]), "", node_raw[[#This Row],[Column10]]/1)</f>
        <v/>
      </c>
    </row>
    <row r="461" spans="2:13" ht="15.75" customHeight="1" x14ac:dyDescent="0.25">
      <c r="B461" s="32" t="str">
        <f>IF(ISNONTEXT(node_raw[[#This Row],[Column1]]), "", node_raw[[#This Row],[Column1]])</f>
        <v/>
      </c>
      <c r="C461" s="29" t="str">
        <f>IF(ISNONTEXT(node_raw[[#This Row],[Column2]]), "", node_raw[[#This Row],[Column2]])</f>
        <v/>
      </c>
      <c r="D461" s="62" t="str">
        <f>IF(ISNUMBER(node_raw[[#This Row],[Column3]]), node_raw[[#This Row],[Column3]],"")</f>
        <v/>
      </c>
      <c r="E461" s="65" t="str">
        <f>IF(ISNUMBER(node_raw[[#This Row],[Column4]]), node_raw[[#This Row],[Column4]]/1048576,"")</f>
        <v/>
      </c>
      <c r="F461" s="91" t="str">
        <f>IF(ISNUMBER(node_raw[[#This Row],[Column5]]), node_raw[[#This Row],[Column5]],"")</f>
        <v/>
      </c>
      <c r="G461" s="80" t="str">
        <f t="shared" si="14"/>
        <v/>
      </c>
      <c r="H461" s="81" t="str">
        <f>IF(ISNUMBER(node_raw[[#This Row],[Column6]]), node_raw[[#This Row],[Column6]]/1048576,"")</f>
        <v/>
      </c>
      <c r="I461" s="82" t="str">
        <f t="shared" si="15"/>
        <v/>
      </c>
      <c r="J461" s="83" t="str">
        <f>IF(ISNONTEXT(node_raw[[#This Row],[Column7]]), "", node_raw[[#This Row],[Column7]]/100)</f>
        <v/>
      </c>
      <c r="K461" s="84" t="str">
        <f>IF(ISNONTEXT(node_raw[[#This Row],[Column8]]), "", node_raw[[#This Row],[Column8]]/100)</f>
        <v/>
      </c>
      <c r="L461" s="85" t="str">
        <f>IF(ISNONTEXT(node_raw[[#This Row],[Column9]]), "", node_raw[[#This Row],[Column9]]/1)</f>
        <v/>
      </c>
      <c r="M461" s="86" t="str">
        <f>IF(ISNONTEXT(node_raw[[#This Row],[Column10]]), "", node_raw[[#This Row],[Column10]]/1)</f>
        <v/>
      </c>
    </row>
    <row r="462" spans="2:13" ht="15.75" customHeight="1" x14ac:dyDescent="0.25">
      <c r="B462" s="32" t="str">
        <f>IF(ISNONTEXT(node_raw[[#This Row],[Column1]]), "", node_raw[[#This Row],[Column1]])</f>
        <v/>
      </c>
      <c r="C462" s="29" t="str">
        <f>IF(ISNONTEXT(node_raw[[#This Row],[Column2]]), "", node_raw[[#This Row],[Column2]])</f>
        <v/>
      </c>
      <c r="D462" s="62" t="str">
        <f>IF(ISNUMBER(node_raw[[#This Row],[Column3]]), node_raw[[#This Row],[Column3]],"")</f>
        <v/>
      </c>
      <c r="E462" s="65" t="str">
        <f>IF(ISNUMBER(node_raw[[#This Row],[Column4]]), node_raw[[#This Row],[Column4]]/1048576,"")</f>
        <v/>
      </c>
      <c r="F462" s="91" t="str">
        <f>IF(ISNUMBER(node_raw[[#This Row],[Column5]]), node_raw[[#This Row],[Column5]],"")</f>
        <v/>
      </c>
      <c r="G462" s="80" t="str">
        <f t="shared" si="14"/>
        <v/>
      </c>
      <c r="H462" s="81" t="str">
        <f>IF(ISNUMBER(node_raw[[#This Row],[Column6]]), node_raw[[#This Row],[Column6]]/1048576,"")</f>
        <v/>
      </c>
      <c r="I462" s="82" t="str">
        <f t="shared" si="15"/>
        <v/>
      </c>
      <c r="J462" s="83" t="str">
        <f>IF(ISNONTEXT(node_raw[[#This Row],[Column7]]), "", node_raw[[#This Row],[Column7]]/100)</f>
        <v/>
      </c>
      <c r="K462" s="84" t="str">
        <f>IF(ISNONTEXT(node_raw[[#This Row],[Column8]]), "", node_raw[[#This Row],[Column8]]/100)</f>
        <v/>
      </c>
      <c r="L462" s="85" t="str">
        <f>IF(ISNONTEXT(node_raw[[#This Row],[Column9]]), "", node_raw[[#This Row],[Column9]]/1)</f>
        <v/>
      </c>
      <c r="M462" s="86" t="str">
        <f>IF(ISNONTEXT(node_raw[[#This Row],[Column10]]), "", node_raw[[#This Row],[Column10]]/1)</f>
        <v/>
      </c>
    </row>
    <row r="463" spans="2:13" ht="15.75" customHeight="1" x14ac:dyDescent="0.25">
      <c r="B463" s="32" t="str">
        <f>IF(ISNONTEXT(node_raw[[#This Row],[Column1]]), "", node_raw[[#This Row],[Column1]])</f>
        <v/>
      </c>
      <c r="C463" s="29" t="str">
        <f>IF(ISNONTEXT(node_raw[[#This Row],[Column2]]), "", node_raw[[#This Row],[Column2]])</f>
        <v/>
      </c>
      <c r="D463" s="62" t="str">
        <f>IF(ISNUMBER(node_raw[[#This Row],[Column3]]), node_raw[[#This Row],[Column3]],"")</f>
        <v/>
      </c>
      <c r="E463" s="65" t="str">
        <f>IF(ISNUMBER(node_raw[[#This Row],[Column4]]), node_raw[[#This Row],[Column4]]/1048576,"")</f>
        <v/>
      </c>
      <c r="F463" s="91" t="str">
        <f>IF(ISNUMBER(node_raw[[#This Row],[Column5]]), node_raw[[#This Row],[Column5]],"")</f>
        <v/>
      </c>
      <c r="G463" s="80" t="str">
        <f t="shared" si="14"/>
        <v/>
      </c>
      <c r="H463" s="81" t="str">
        <f>IF(ISNUMBER(node_raw[[#This Row],[Column6]]), node_raw[[#This Row],[Column6]]/1048576,"")</f>
        <v/>
      </c>
      <c r="I463" s="82" t="str">
        <f t="shared" si="15"/>
        <v/>
      </c>
      <c r="J463" s="83" t="str">
        <f>IF(ISNONTEXT(node_raw[[#This Row],[Column7]]), "", node_raw[[#This Row],[Column7]]/100)</f>
        <v/>
      </c>
      <c r="K463" s="84" t="str">
        <f>IF(ISNONTEXT(node_raw[[#This Row],[Column8]]), "", node_raw[[#This Row],[Column8]]/100)</f>
        <v/>
      </c>
      <c r="L463" s="85" t="str">
        <f>IF(ISNONTEXT(node_raw[[#This Row],[Column9]]), "", node_raw[[#This Row],[Column9]]/1)</f>
        <v/>
      </c>
      <c r="M463" s="86" t="str">
        <f>IF(ISNONTEXT(node_raw[[#This Row],[Column10]]), "", node_raw[[#This Row],[Column10]]/1)</f>
        <v/>
      </c>
    </row>
    <row r="464" spans="2:13" ht="15.75" customHeight="1" x14ac:dyDescent="0.25">
      <c r="B464" s="32" t="str">
        <f>IF(ISNONTEXT(node_raw[[#This Row],[Column1]]), "", node_raw[[#This Row],[Column1]])</f>
        <v/>
      </c>
      <c r="C464" s="29" t="str">
        <f>IF(ISNONTEXT(node_raw[[#This Row],[Column2]]), "", node_raw[[#This Row],[Column2]])</f>
        <v/>
      </c>
      <c r="D464" s="62" t="str">
        <f>IF(ISNUMBER(node_raw[[#This Row],[Column3]]), node_raw[[#This Row],[Column3]],"")</f>
        <v/>
      </c>
      <c r="E464" s="65" t="str">
        <f>IF(ISNUMBER(node_raw[[#This Row],[Column4]]), node_raw[[#This Row],[Column4]]/1048576,"")</f>
        <v/>
      </c>
      <c r="F464" s="91" t="str">
        <f>IF(ISNUMBER(node_raw[[#This Row],[Column5]]), node_raw[[#This Row],[Column5]],"")</f>
        <v/>
      </c>
      <c r="G464" s="80" t="str">
        <f t="shared" si="14"/>
        <v/>
      </c>
      <c r="H464" s="81" t="str">
        <f>IF(ISNUMBER(node_raw[[#This Row],[Column6]]), node_raw[[#This Row],[Column6]]/1048576,"")</f>
        <v/>
      </c>
      <c r="I464" s="82" t="str">
        <f t="shared" si="15"/>
        <v/>
      </c>
      <c r="J464" s="83" t="str">
        <f>IF(ISNONTEXT(node_raw[[#This Row],[Column7]]), "", node_raw[[#This Row],[Column7]]/100)</f>
        <v/>
      </c>
      <c r="K464" s="84" t="str">
        <f>IF(ISNONTEXT(node_raw[[#This Row],[Column8]]), "", node_raw[[#This Row],[Column8]]/100)</f>
        <v/>
      </c>
      <c r="L464" s="85" t="str">
        <f>IF(ISNONTEXT(node_raw[[#This Row],[Column9]]), "", node_raw[[#This Row],[Column9]]/1)</f>
        <v/>
      </c>
      <c r="M464" s="86" t="str">
        <f>IF(ISNONTEXT(node_raw[[#This Row],[Column10]]), "", node_raw[[#This Row],[Column10]]/1)</f>
        <v/>
      </c>
    </row>
    <row r="465" spans="2:13" ht="15.75" customHeight="1" x14ac:dyDescent="0.25">
      <c r="B465" s="32" t="str">
        <f>IF(ISNONTEXT(node_raw[[#This Row],[Column1]]), "", node_raw[[#This Row],[Column1]])</f>
        <v/>
      </c>
      <c r="C465" s="29" t="str">
        <f>IF(ISNONTEXT(node_raw[[#This Row],[Column2]]), "", node_raw[[#This Row],[Column2]])</f>
        <v/>
      </c>
      <c r="D465" s="62" t="str">
        <f>IF(ISNUMBER(node_raw[[#This Row],[Column3]]), node_raw[[#This Row],[Column3]],"")</f>
        <v/>
      </c>
      <c r="E465" s="65" t="str">
        <f>IF(ISNUMBER(node_raw[[#This Row],[Column4]]), node_raw[[#This Row],[Column4]]/1048576,"")</f>
        <v/>
      </c>
      <c r="F465" s="91" t="str">
        <f>IF(ISNUMBER(node_raw[[#This Row],[Column5]]), node_raw[[#This Row],[Column5]],"")</f>
        <v/>
      </c>
      <c r="G465" s="80" t="str">
        <f t="shared" si="14"/>
        <v/>
      </c>
      <c r="H465" s="81" t="str">
        <f>IF(ISNUMBER(node_raw[[#This Row],[Column6]]), node_raw[[#This Row],[Column6]]/1048576,"")</f>
        <v/>
      </c>
      <c r="I465" s="82" t="str">
        <f t="shared" si="15"/>
        <v/>
      </c>
      <c r="J465" s="83" t="str">
        <f>IF(ISNONTEXT(node_raw[[#This Row],[Column7]]), "", node_raw[[#This Row],[Column7]]/100)</f>
        <v/>
      </c>
      <c r="K465" s="84" t="str">
        <f>IF(ISNONTEXT(node_raw[[#This Row],[Column8]]), "", node_raw[[#This Row],[Column8]]/100)</f>
        <v/>
      </c>
      <c r="L465" s="85" t="str">
        <f>IF(ISNONTEXT(node_raw[[#This Row],[Column9]]), "", node_raw[[#This Row],[Column9]]/1)</f>
        <v/>
      </c>
      <c r="M465" s="86" t="str">
        <f>IF(ISNONTEXT(node_raw[[#This Row],[Column10]]), "", node_raw[[#This Row],[Column10]]/1)</f>
        <v/>
      </c>
    </row>
    <row r="466" spans="2:13" ht="15.75" customHeight="1" x14ac:dyDescent="0.25">
      <c r="B466" s="32" t="str">
        <f>IF(ISNONTEXT(node_raw[[#This Row],[Column1]]), "", node_raw[[#This Row],[Column1]])</f>
        <v/>
      </c>
      <c r="C466" s="29" t="str">
        <f>IF(ISNONTEXT(node_raw[[#This Row],[Column2]]), "", node_raw[[#This Row],[Column2]])</f>
        <v/>
      </c>
      <c r="D466" s="62" t="str">
        <f>IF(ISNUMBER(node_raw[[#This Row],[Column3]]), node_raw[[#This Row],[Column3]],"")</f>
        <v/>
      </c>
      <c r="E466" s="65" t="str">
        <f>IF(ISNUMBER(node_raw[[#This Row],[Column4]]), node_raw[[#This Row],[Column4]]/1048576,"")</f>
        <v/>
      </c>
      <c r="F466" s="91" t="str">
        <f>IF(ISNUMBER(node_raw[[#This Row],[Column5]]), node_raw[[#This Row],[Column5]],"")</f>
        <v/>
      </c>
      <c r="G466" s="80" t="str">
        <f t="shared" si="14"/>
        <v/>
      </c>
      <c r="H466" s="81" t="str">
        <f>IF(ISNUMBER(node_raw[[#This Row],[Column6]]), node_raw[[#This Row],[Column6]]/1048576,"")</f>
        <v/>
      </c>
      <c r="I466" s="82" t="str">
        <f t="shared" si="15"/>
        <v/>
      </c>
      <c r="J466" s="83" t="str">
        <f>IF(ISNONTEXT(node_raw[[#This Row],[Column7]]), "", node_raw[[#This Row],[Column7]]/100)</f>
        <v/>
      </c>
      <c r="K466" s="84" t="str">
        <f>IF(ISNONTEXT(node_raw[[#This Row],[Column8]]), "", node_raw[[#This Row],[Column8]]/100)</f>
        <v/>
      </c>
      <c r="L466" s="85" t="str">
        <f>IF(ISNONTEXT(node_raw[[#This Row],[Column9]]), "", node_raw[[#This Row],[Column9]]/1)</f>
        <v/>
      </c>
      <c r="M466" s="86" t="str">
        <f>IF(ISNONTEXT(node_raw[[#This Row],[Column10]]), "", node_raw[[#This Row],[Column10]]/1)</f>
        <v/>
      </c>
    </row>
    <row r="467" spans="2:13" ht="15.75" customHeight="1" x14ac:dyDescent="0.25">
      <c r="B467" s="32" t="str">
        <f>IF(ISNONTEXT(node_raw[[#This Row],[Column1]]), "", node_raw[[#This Row],[Column1]])</f>
        <v/>
      </c>
      <c r="C467" s="29" t="str">
        <f>IF(ISNONTEXT(node_raw[[#This Row],[Column2]]), "", node_raw[[#This Row],[Column2]])</f>
        <v/>
      </c>
      <c r="D467" s="62" t="str">
        <f>IF(ISNUMBER(node_raw[[#This Row],[Column3]]), node_raw[[#This Row],[Column3]],"")</f>
        <v/>
      </c>
      <c r="E467" s="65" t="str">
        <f>IF(ISNUMBER(node_raw[[#This Row],[Column4]]), node_raw[[#This Row],[Column4]]/1048576,"")</f>
        <v/>
      </c>
      <c r="F467" s="91" t="str">
        <f>IF(ISNUMBER(node_raw[[#This Row],[Column5]]), node_raw[[#This Row],[Column5]],"")</f>
        <v/>
      </c>
      <c r="G467" s="80" t="str">
        <f t="shared" si="14"/>
        <v/>
      </c>
      <c r="H467" s="81" t="str">
        <f>IF(ISNUMBER(node_raw[[#This Row],[Column6]]), node_raw[[#This Row],[Column6]]/1048576,"")</f>
        <v/>
      </c>
      <c r="I467" s="82" t="str">
        <f t="shared" si="15"/>
        <v/>
      </c>
      <c r="J467" s="83" t="str">
        <f>IF(ISNONTEXT(node_raw[[#This Row],[Column7]]), "", node_raw[[#This Row],[Column7]]/100)</f>
        <v/>
      </c>
      <c r="K467" s="84" t="str">
        <f>IF(ISNONTEXT(node_raw[[#This Row],[Column8]]), "", node_raw[[#This Row],[Column8]]/100)</f>
        <v/>
      </c>
      <c r="L467" s="85" t="str">
        <f>IF(ISNONTEXT(node_raw[[#This Row],[Column9]]), "", node_raw[[#This Row],[Column9]]/1)</f>
        <v/>
      </c>
      <c r="M467" s="86" t="str">
        <f>IF(ISNONTEXT(node_raw[[#This Row],[Column10]]), "", node_raw[[#This Row],[Column10]]/1)</f>
        <v/>
      </c>
    </row>
    <row r="468" spans="2:13" ht="15.75" customHeight="1" x14ac:dyDescent="0.25">
      <c r="B468" s="32" t="str">
        <f>IF(ISNONTEXT(node_raw[[#This Row],[Column1]]), "", node_raw[[#This Row],[Column1]])</f>
        <v/>
      </c>
      <c r="C468" s="29" t="str">
        <f>IF(ISNONTEXT(node_raw[[#This Row],[Column2]]), "", node_raw[[#This Row],[Column2]])</f>
        <v/>
      </c>
      <c r="D468" s="62" t="str">
        <f>IF(ISNUMBER(node_raw[[#This Row],[Column3]]), node_raw[[#This Row],[Column3]],"")</f>
        <v/>
      </c>
      <c r="E468" s="65" t="str">
        <f>IF(ISNUMBER(node_raw[[#This Row],[Column4]]), node_raw[[#This Row],[Column4]]/1048576,"")</f>
        <v/>
      </c>
      <c r="F468" s="91" t="str">
        <f>IF(ISNUMBER(node_raw[[#This Row],[Column5]]), node_raw[[#This Row],[Column5]],"")</f>
        <v/>
      </c>
      <c r="G468" s="80" t="str">
        <f t="shared" si="14"/>
        <v/>
      </c>
      <c r="H468" s="81" t="str">
        <f>IF(ISNUMBER(node_raw[[#This Row],[Column6]]), node_raw[[#This Row],[Column6]]/1048576,"")</f>
        <v/>
      </c>
      <c r="I468" s="82" t="str">
        <f t="shared" si="15"/>
        <v/>
      </c>
      <c r="J468" s="83" t="str">
        <f>IF(ISNONTEXT(node_raw[[#This Row],[Column7]]), "", node_raw[[#This Row],[Column7]]/100)</f>
        <v/>
      </c>
      <c r="K468" s="84" t="str">
        <f>IF(ISNONTEXT(node_raw[[#This Row],[Column8]]), "", node_raw[[#This Row],[Column8]]/100)</f>
        <v/>
      </c>
      <c r="L468" s="85" t="str">
        <f>IF(ISNONTEXT(node_raw[[#This Row],[Column9]]), "", node_raw[[#This Row],[Column9]]/1)</f>
        <v/>
      </c>
      <c r="M468" s="86" t="str">
        <f>IF(ISNONTEXT(node_raw[[#This Row],[Column10]]), "", node_raw[[#This Row],[Column10]]/1)</f>
        <v/>
      </c>
    </row>
    <row r="469" spans="2:13" ht="15.75" customHeight="1" x14ac:dyDescent="0.25">
      <c r="B469" s="32" t="str">
        <f>IF(ISNONTEXT(node_raw[[#This Row],[Column1]]), "", node_raw[[#This Row],[Column1]])</f>
        <v/>
      </c>
      <c r="C469" s="29" t="str">
        <f>IF(ISNONTEXT(node_raw[[#This Row],[Column2]]), "", node_raw[[#This Row],[Column2]])</f>
        <v/>
      </c>
      <c r="D469" s="62" t="str">
        <f>IF(ISNUMBER(node_raw[[#This Row],[Column3]]), node_raw[[#This Row],[Column3]],"")</f>
        <v/>
      </c>
      <c r="E469" s="65" t="str">
        <f>IF(ISNUMBER(node_raw[[#This Row],[Column4]]), node_raw[[#This Row],[Column4]]/1048576,"")</f>
        <v/>
      </c>
      <c r="F469" s="91" t="str">
        <f>IF(ISNUMBER(node_raw[[#This Row],[Column5]]), node_raw[[#This Row],[Column5]],"")</f>
        <v/>
      </c>
      <c r="G469" s="80" t="str">
        <f t="shared" si="14"/>
        <v/>
      </c>
      <c r="H469" s="81" t="str">
        <f>IF(ISNUMBER(node_raw[[#This Row],[Column6]]), node_raw[[#This Row],[Column6]]/1048576,"")</f>
        <v/>
      </c>
      <c r="I469" s="82" t="str">
        <f t="shared" si="15"/>
        <v/>
      </c>
      <c r="J469" s="83" t="str">
        <f>IF(ISNONTEXT(node_raw[[#This Row],[Column7]]), "", node_raw[[#This Row],[Column7]]/100)</f>
        <v/>
      </c>
      <c r="K469" s="84" t="str">
        <f>IF(ISNONTEXT(node_raw[[#This Row],[Column8]]), "", node_raw[[#This Row],[Column8]]/100)</f>
        <v/>
      </c>
      <c r="L469" s="85" t="str">
        <f>IF(ISNONTEXT(node_raw[[#This Row],[Column9]]), "", node_raw[[#This Row],[Column9]]/1)</f>
        <v/>
      </c>
      <c r="M469" s="86" t="str">
        <f>IF(ISNONTEXT(node_raw[[#This Row],[Column10]]), "", node_raw[[#This Row],[Column10]]/1)</f>
        <v/>
      </c>
    </row>
    <row r="470" spans="2:13" ht="15.75" customHeight="1" x14ac:dyDescent="0.25">
      <c r="B470" s="32" t="str">
        <f>IF(ISNONTEXT(node_raw[[#This Row],[Column1]]), "", node_raw[[#This Row],[Column1]])</f>
        <v/>
      </c>
      <c r="C470" s="29" t="str">
        <f>IF(ISNONTEXT(node_raw[[#This Row],[Column2]]), "", node_raw[[#This Row],[Column2]])</f>
        <v/>
      </c>
      <c r="D470" s="62" t="str">
        <f>IF(ISNUMBER(node_raw[[#This Row],[Column3]]), node_raw[[#This Row],[Column3]],"")</f>
        <v/>
      </c>
      <c r="E470" s="65" t="str">
        <f>IF(ISNUMBER(node_raw[[#This Row],[Column4]]), node_raw[[#This Row],[Column4]]/1048576,"")</f>
        <v/>
      </c>
      <c r="F470" s="91" t="str">
        <f>IF(ISNUMBER(node_raw[[#This Row],[Column5]]), node_raw[[#This Row],[Column5]],"")</f>
        <v/>
      </c>
      <c r="G470" s="80" t="str">
        <f t="shared" si="14"/>
        <v/>
      </c>
      <c r="H470" s="81" t="str">
        <f>IF(ISNUMBER(node_raw[[#This Row],[Column6]]), node_raw[[#This Row],[Column6]]/1048576,"")</f>
        <v/>
      </c>
      <c r="I470" s="82" t="str">
        <f t="shared" si="15"/>
        <v/>
      </c>
      <c r="J470" s="83" t="str">
        <f>IF(ISNONTEXT(node_raw[[#This Row],[Column7]]), "", node_raw[[#This Row],[Column7]]/100)</f>
        <v/>
      </c>
      <c r="K470" s="84" t="str">
        <f>IF(ISNONTEXT(node_raw[[#This Row],[Column8]]), "", node_raw[[#This Row],[Column8]]/100)</f>
        <v/>
      </c>
      <c r="L470" s="85" t="str">
        <f>IF(ISNONTEXT(node_raw[[#This Row],[Column9]]), "", node_raw[[#This Row],[Column9]]/1)</f>
        <v/>
      </c>
      <c r="M470" s="86" t="str">
        <f>IF(ISNONTEXT(node_raw[[#This Row],[Column10]]), "", node_raw[[#This Row],[Column10]]/1)</f>
        <v/>
      </c>
    </row>
    <row r="471" spans="2:13" ht="15.75" customHeight="1" x14ac:dyDescent="0.25">
      <c r="B471" s="32" t="str">
        <f>IF(ISNONTEXT(node_raw[[#This Row],[Column1]]), "", node_raw[[#This Row],[Column1]])</f>
        <v/>
      </c>
      <c r="C471" s="29" t="str">
        <f>IF(ISNONTEXT(node_raw[[#This Row],[Column2]]), "", node_raw[[#This Row],[Column2]])</f>
        <v/>
      </c>
      <c r="D471" s="62" t="str">
        <f>IF(ISNUMBER(node_raw[[#This Row],[Column3]]), node_raw[[#This Row],[Column3]],"")</f>
        <v/>
      </c>
      <c r="E471" s="65" t="str">
        <f>IF(ISNUMBER(node_raw[[#This Row],[Column4]]), node_raw[[#This Row],[Column4]]/1048576,"")</f>
        <v/>
      </c>
      <c r="F471" s="91" t="str">
        <f>IF(ISNUMBER(node_raw[[#This Row],[Column5]]), node_raw[[#This Row],[Column5]],"")</f>
        <v/>
      </c>
      <c r="G471" s="80" t="str">
        <f t="shared" si="14"/>
        <v/>
      </c>
      <c r="H471" s="81" t="str">
        <f>IF(ISNUMBER(node_raw[[#This Row],[Column6]]), node_raw[[#This Row],[Column6]]/1048576,"")</f>
        <v/>
      </c>
      <c r="I471" s="82" t="str">
        <f t="shared" si="15"/>
        <v/>
      </c>
      <c r="J471" s="83" t="str">
        <f>IF(ISNONTEXT(node_raw[[#This Row],[Column7]]), "", node_raw[[#This Row],[Column7]]/100)</f>
        <v/>
      </c>
      <c r="K471" s="84" t="str">
        <f>IF(ISNONTEXT(node_raw[[#This Row],[Column8]]), "", node_raw[[#This Row],[Column8]]/100)</f>
        <v/>
      </c>
      <c r="L471" s="85" t="str">
        <f>IF(ISNONTEXT(node_raw[[#This Row],[Column9]]), "", node_raw[[#This Row],[Column9]]/1)</f>
        <v/>
      </c>
      <c r="M471" s="86" t="str">
        <f>IF(ISNONTEXT(node_raw[[#This Row],[Column10]]), "", node_raw[[#This Row],[Column10]]/1)</f>
        <v/>
      </c>
    </row>
    <row r="472" spans="2:13" ht="15.75" customHeight="1" x14ac:dyDescent="0.25">
      <c r="B472" s="32" t="str">
        <f>IF(ISNONTEXT(node_raw[[#This Row],[Column1]]), "", node_raw[[#This Row],[Column1]])</f>
        <v/>
      </c>
      <c r="C472" s="29" t="str">
        <f>IF(ISNONTEXT(node_raw[[#This Row],[Column2]]), "", node_raw[[#This Row],[Column2]])</f>
        <v/>
      </c>
      <c r="D472" s="62" t="str">
        <f>IF(ISNUMBER(node_raw[[#This Row],[Column3]]), node_raw[[#This Row],[Column3]],"")</f>
        <v/>
      </c>
      <c r="E472" s="65" t="str">
        <f>IF(ISNUMBER(node_raw[[#This Row],[Column4]]), node_raw[[#This Row],[Column4]]/1048576,"")</f>
        <v/>
      </c>
      <c r="F472" s="91" t="str">
        <f>IF(ISNUMBER(node_raw[[#This Row],[Column5]]), node_raw[[#This Row],[Column5]],"")</f>
        <v/>
      </c>
      <c r="G472" s="80" t="str">
        <f t="shared" si="14"/>
        <v/>
      </c>
      <c r="H472" s="81" t="str">
        <f>IF(ISNUMBER(node_raw[[#This Row],[Column6]]), node_raw[[#This Row],[Column6]]/1048576,"")</f>
        <v/>
      </c>
      <c r="I472" s="82" t="str">
        <f t="shared" si="15"/>
        <v/>
      </c>
      <c r="J472" s="83" t="str">
        <f>IF(ISNONTEXT(node_raw[[#This Row],[Column7]]), "", node_raw[[#This Row],[Column7]]/100)</f>
        <v/>
      </c>
      <c r="K472" s="84" t="str">
        <f>IF(ISNONTEXT(node_raw[[#This Row],[Column8]]), "", node_raw[[#This Row],[Column8]]/100)</f>
        <v/>
      </c>
      <c r="L472" s="85" t="str">
        <f>IF(ISNONTEXT(node_raw[[#This Row],[Column9]]), "", node_raw[[#This Row],[Column9]]/1)</f>
        <v/>
      </c>
      <c r="M472" s="86" t="str">
        <f>IF(ISNONTEXT(node_raw[[#This Row],[Column10]]), "", node_raw[[#This Row],[Column10]]/1)</f>
        <v/>
      </c>
    </row>
    <row r="473" spans="2:13" ht="15.75" customHeight="1" x14ac:dyDescent="0.25">
      <c r="B473" s="32" t="str">
        <f>IF(ISNONTEXT(node_raw[[#This Row],[Column1]]), "", node_raw[[#This Row],[Column1]])</f>
        <v/>
      </c>
      <c r="C473" s="29" t="str">
        <f>IF(ISNONTEXT(node_raw[[#This Row],[Column2]]), "", node_raw[[#This Row],[Column2]])</f>
        <v/>
      </c>
      <c r="D473" s="62" t="str">
        <f>IF(ISNUMBER(node_raw[[#This Row],[Column3]]), node_raw[[#This Row],[Column3]],"")</f>
        <v/>
      </c>
      <c r="E473" s="65" t="str">
        <f>IF(ISNUMBER(node_raw[[#This Row],[Column4]]), node_raw[[#This Row],[Column4]]/1048576,"")</f>
        <v/>
      </c>
      <c r="F473" s="91" t="str">
        <f>IF(ISNUMBER(node_raw[[#This Row],[Column5]]), node_raw[[#This Row],[Column5]],"")</f>
        <v/>
      </c>
      <c r="G473" s="80" t="str">
        <f t="shared" si="14"/>
        <v/>
      </c>
      <c r="H473" s="81" t="str">
        <f>IF(ISNUMBER(node_raw[[#This Row],[Column6]]), node_raw[[#This Row],[Column6]]/1048576,"")</f>
        <v/>
      </c>
      <c r="I473" s="82" t="str">
        <f t="shared" si="15"/>
        <v/>
      </c>
      <c r="J473" s="83" t="str">
        <f>IF(ISNONTEXT(node_raw[[#This Row],[Column7]]), "", node_raw[[#This Row],[Column7]]/100)</f>
        <v/>
      </c>
      <c r="K473" s="84" t="str">
        <f>IF(ISNONTEXT(node_raw[[#This Row],[Column8]]), "", node_raw[[#This Row],[Column8]]/100)</f>
        <v/>
      </c>
      <c r="L473" s="85" t="str">
        <f>IF(ISNONTEXT(node_raw[[#This Row],[Column9]]), "", node_raw[[#This Row],[Column9]]/1)</f>
        <v/>
      </c>
      <c r="M473" s="86" t="str">
        <f>IF(ISNONTEXT(node_raw[[#This Row],[Column10]]), "", node_raw[[#This Row],[Column10]]/1)</f>
        <v/>
      </c>
    </row>
    <row r="474" spans="2:13" ht="15.75" customHeight="1" x14ac:dyDescent="0.25">
      <c r="B474" s="32" t="str">
        <f>IF(ISNONTEXT(node_raw[[#This Row],[Column1]]), "", node_raw[[#This Row],[Column1]])</f>
        <v/>
      </c>
      <c r="C474" s="29" t="str">
        <f>IF(ISNONTEXT(node_raw[[#This Row],[Column2]]), "", node_raw[[#This Row],[Column2]])</f>
        <v/>
      </c>
      <c r="D474" s="62" t="str">
        <f>IF(ISNUMBER(node_raw[[#This Row],[Column3]]), node_raw[[#This Row],[Column3]],"")</f>
        <v/>
      </c>
      <c r="E474" s="65" t="str">
        <f>IF(ISNUMBER(node_raw[[#This Row],[Column4]]), node_raw[[#This Row],[Column4]]/1048576,"")</f>
        <v/>
      </c>
      <c r="F474" s="91" t="str">
        <f>IF(ISNUMBER(node_raw[[#This Row],[Column5]]), node_raw[[#This Row],[Column5]],"")</f>
        <v/>
      </c>
      <c r="G474" s="80" t="str">
        <f t="shared" si="14"/>
        <v/>
      </c>
      <c r="H474" s="81" t="str">
        <f>IF(ISNUMBER(node_raw[[#This Row],[Column6]]), node_raw[[#This Row],[Column6]]/1048576,"")</f>
        <v/>
      </c>
      <c r="I474" s="82" t="str">
        <f t="shared" si="15"/>
        <v/>
      </c>
      <c r="J474" s="83" t="str">
        <f>IF(ISNONTEXT(node_raw[[#This Row],[Column7]]), "", node_raw[[#This Row],[Column7]]/100)</f>
        <v/>
      </c>
      <c r="K474" s="84" t="str">
        <f>IF(ISNONTEXT(node_raw[[#This Row],[Column8]]), "", node_raw[[#This Row],[Column8]]/100)</f>
        <v/>
      </c>
      <c r="L474" s="85" t="str">
        <f>IF(ISNONTEXT(node_raw[[#This Row],[Column9]]), "", node_raw[[#This Row],[Column9]]/1)</f>
        <v/>
      </c>
      <c r="M474" s="86" t="str">
        <f>IF(ISNONTEXT(node_raw[[#This Row],[Column10]]), "", node_raw[[#This Row],[Column10]]/1)</f>
        <v/>
      </c>
    </row>
    <row r="475" spans="2:13" ht="15.75" customHeight="1" x14ac:dyDescent="0.25">
      <c r="B475" s="32" t="str">
        <f>IF(ISNONTEXT(node_raw[[#This Row],[Column1]]), "", node_raw[[#This Row],[Column1]])</f>
        <v/>
      </c>
      <c r="C475" s="29" t="str">
        <f>IF(ISNONTEXT(node_raw[[#This Row],[Column2]]), "", node_raw[[#This Row],[Column2]])</f>
        <v/>
      </c>
      <c r="D475" s="62" t="str">
        <f>IF(ISNUMBER(node_raw[[#This Row],[Column3]]), node_raw[[#This Row],[Column3]],"")</f>
        <v/>
      </c>
      <c r="E475" s="65" t="str">
        <f>IF(ISNUMBER(node_raw[[#This Row],[Column4]]), node_raw[[#This Row],[Column4]]/1048576,"")</f>
        <v/>
      </c>
      <c r="F475" s="91" t="str">
        <f>IF(ISNUMBER(node_raw[[#This Row],[Column5]]), node_raw[[#This Row],[Column5]],"")</f>
        <v/>
      </c>
      <c r="G475" s="80" t="str">
        <f t="shared" si="14"/>
        <v/>
      </c>
      <c r="H475" s="81" t="str">
        <f>IF(ISNUMBER(node_raw[[#This Row],[Column6]]), node_raw[[#This Row],[Column6]]/1048576,"")</f>
        <v/>
      </c>
      <c r="I475" s="82" t="str">
        <f t="shared" si="15"/>
        <v/>
      </c>
      <c r="J475" s="83" t="str">
        <f>IF(ISNONTEXT(node_raw[[#This Row],[Column7]]), "", node_raw[[#This Row],[Column7]]/100)</f>
        <v/>
      </c>
      <c r="K475" s="84" t="str">
        <f>IF(ISNONTEXT(node_raw[[#This Row],[Column8]]), "", node_raw[[#This Row],[Column8]]/100)</f>
        <v/>
      </c>
      <c r="L475" s="85" t="str">
        <f>IF(ISNONTEXT(node_raw[[#This Row],[Column9]]), "", node_raw[[#This Row],[Column9]]/1)</f>
        <v/>
      </c>
      <c r="M475" s="86" t="str">
        <f>IF(ISNONTEXT(node_raw[[#This Row],[Column10]]), "", node_raw[[#This Row],[Column10]]/1)</f>
        <v/>
      </c>
    </row>
    <row r="476" spans="2:13" ht="15.75" customHeight="1" x14ac:dyDescent="0.25">
      <c r="B476" s="32" t="str">
        <f>IF(ISNONTEXT(node_raw[[#This Row],[Column1]]), "", node_raw[[#This Row],[Column1]])</f>
        <v/>
      </c>
      <c r="C476" s="29" t="str">
        <f>IF(ISNONTEXT(node_raw[[#This Row],[Column2]]), "", node_raw[[#This Row],[Column2]])</f>
        <v/>
      </c>
      <c r="D476" s="62" t="str">
        <f>IF(ISNUMBER(node_raw[[#This Row],[Column3]]), node_raw[[#This Row],[Column3]],"")</f>
        <v/>
      </c>
      <c r="E476" s="65" t="str">
        <f>IF(ISNUMBER(node_raw[[#This Row],[Column4]]), node_raw[[#This Row],[Column4]]/1048576,"")</f>
        <v/>
      </c>
      <c r="F476" s="91" t="str">
        <f>IF(ISNUMBER(node_raw[[#This Row],[Column5]]), node_raw[[#This Row],[Column5]],"")</f>
        <v/>
      </c>
      <c r="G476" s="80" t="str">
        <f t="shared" si="14"/>
        <v/>
      </c>
      <c r="H476" s="81" t="str">
        <f>IF(ISNUMBER(node_raw[[#This Row],[Column6]]), node_raw[[#This Row],[Column6]]/1048576,"")</f>
        <v/>
      </c>
      <c r="I476" s="82" t="str">
        <f t="shared" si="15"/>
        <v/>
      </c>
      <c r="J476" s="83" t="str">
        <f>IF(ISNONTEXT(node_raw[[#This Row],[Column7]]), "", node_raw[[#This Row],[Column7]]/100)</f>
        <v/>
      </c>
      <c r="K476" s="84" t="str">
        <f>IF(ISNONTEXT(node_raw[[#This Row],[Column8]]), "", node_raw[[#This Row],[Column8]]/100)</f>
        <v/>
      </c>
      <c r="L476" s="85" t="str">
        <f>IF(ISNONTEXT(node_raw[[#This Row],[Column9]]), "", node_raw[[#This Row],[Column9]]/1)</f>
        <v/>
      </c>
      <c r="M476" s="86" t="str">
        <f>IF(ISNONTEXT(node_raw[[#This Row],[Column10]]), "", node_raw[[#This Row],[Column10]]/1)</f>
        <v/>
      </c>
    </row>
    <row r="477" spans="2:13" ht="15.75" customHeight="1" x14ac:dyDescent="0.25">
      <c r="B477" s="32" t="str">
        <f>IF(ISNONTEXT(node_raw[[#This Row],[Column1]]), "", node_raw[[#This Row],[Column1]])</f>
        <v/>
      </c>
      <c r="C477" s="29" t="str">
        <f>IF(ISNONTEXT(node_raw[[#This Row],[Column2]]), "", node_raw[[#This Row],[Column2]])</f>
        <v/>
      </c>
      <c r="D477" s="62" t="str">
        <f>IF(ISNUMBER(node_raw[[#This Row],[Column3]]), node_raw[[#This Row],[Column3]],"")</f>
        <v/>
      </c>
      <c r="E477" s="65" t="str">
        <f>IF(ISNUMBER(node_raw[[#This Row],[Column4]]), node_raw[[#This Row],[Column4]]/1048576,"")</f>
        <v/>
      </c>
      <c r="F477" s="91" t="str">
        <f>IF(ISNUMBER(node_raw[[#This Row],[Column5]]), node_raw[[#This Row],[Column5]],"")</f>
        <v/>
      </c>
      <c r="G477" s="80" t="str">
        <f t="shared" si="14"/>
        <v/>
      </c>
      <c r="H477" s="81" t="str">
        <f>IF(ISNUMBER(node_raw[[#This Row],[Column6]]), node_raw[[#This Row],[Column6]]/1048576,"")</f>
        <v/>
      </c>
      <c r="I477" s="82" t="str">
        <f t="shared" si="15"/>
        <v/>
      </c>
      <c r="J477" s="83" t="str">
        <f>IF(ISNONTEXT(node_raw[[#This Row],[Column7]]), "", node_raw[[#This Row],[Column7]]/100)</f>
        <v/>
      </c>
      <c r="K477" s="84" t="str">
        <f>IF(ISNONTEXT(node_raw[[#This Row],[Column8]]), "", node_raw[[#This Row],[Column8]]/100)</f>
        <v/>
      </c>
      <c r="L477" s="85" t="str">
        <f>IF(ISNONTEXT(node_raw[[#This Row],[Column9]]), "", node_raw[[#This Row],[Column9]]/1)</f>
        <v/>
      </c>
      <c r="M477" s="86" t="str">
        <f>IF(ISNONTEXT(node_raw[[#This Row],[Column10]]), "", node_raw[[#This Row],[Column10]]/1)</f>
        <v/>
      </c>
    </row>
    <row r="478" spans="2:13" ht="15.75" customHeight="1" x14ac:dyDescent="0.25">
      <c r="B478" s="32" t="str">
        <f>IF(ISNONTEXT(node_raw[[#This Row],[Column1]]), "", node_raw[[#This Row],[Column1]])</f>
        <v/>
      </c>
      <c r="C478" s="29" t="str">
        <f>IF(ISNONTEXT(node_raw[[#This Row],[Column2]]), "", node_raw[[#This Row],[Column2]])</f>
        <v/>
      </c>
      <c r="D478" s="62" t="str">
        <f>IF(ISNUMBER(node_raw[[#This Row],[Column3]]), node_raw[[#This Row],[Column3]],"")</f>
        <v/>
      </c>
      <c r="E478" s="65" t="str">
        <f>IF(ISNUMBER(node_raw[[#This Row],[Column4]]), node_raw[[#This Row],[Column4]]/1048576,"")</f>
        <v/>
      </c>
      <c r="F478" s="91" t="str">
        <f>IF(ISNUMBER(node_raw[[#This Row],[Column5]]), node_raw[[#This Row],[Column5]],"")</f>
        <v/>
      </c>
      <c r="G478" s="80" t="str">
        <f t="shared" si="14"/>
        <v/>
      </c>
      <c r="H478" s="81" t="str">
        <f>IF(ISNUMBER(node_raw[[#This Row],[Column6]]), node_raw[[#This Row],[Column6]]/1048576,"")</f>
        <v/>
      </c>
      <c r="I478" s="82" t="str">
        <f t="shared" si="15"/>
        <v/>
      </c>
      <c r="J478" s="83" t="str">
        <f>IF(ISNONTEXT(node_raw[[#This Row],[Column7]]), "", node_raw[[#This Row],[Column7]]/100)</f>
        <v/>
      </c>
      <c r="K478" s="84" t="str">
        <f>IF(ISNONTEXT(node_raw[[#This Row],[Column8]]), "", node_raw[[#This Row],[Column8]]/100)</f>
        <v/>
      </c>
      <c r="L478" s="85" t="str">
        <f>IF(ISNONTEXT(node_raw[[#This Row],[Column9]]), "", node_raw[[#This Row],[Column9]]/1)</f>
        <v/>
      </c>
      <c r="M478" s="86" t="str">
        <f>IF(ISNONTEXT(node_raw[[#This Row],[Column10]]), "", node_raw[[#This Row],[Column10]]/1)</f>
        <v/>
      </c>
    </row>
    <row r="479" spans="2:13" ht="15.75" customHeight="1" x14ac:dyDescent="0.25">
      <c r="B479" s="32" t="str">
        <f>IF(ISNONTEXT(node_raw[[#This Row],[Column1]]), "", node_raw[[#This Row],[Column1]])</f>
        <v/>
      </c>
      <c r="C479" s="29" t="str">
        <f>IF(ISNONTEXT(node_raw[[#This Row],[Column2]]), "", node_raw[[#This Row],[Column2]])</f>
        <v/>
      </c>
      <c r="D479" s="62" t="str">
        <f>IF(ISNUMBER(node_raw[[#This Row],[Column3]]), node_raw[[#This Row],[Column3]],"")</f>
        <v/>
      </c>
      <c r="E479" s="65" t="str">
        <f>IF(ISNUMBER(node_raw[[#This Row],[Column4]]), node_raw[[#This Row],[Column4]]/1048576,"")</f>
        <v/>
      </c>
      <c r="F479" s="91" t="str">
        <f>IF(ISNUMBER(node_raw[[#This Row],[Column5]]), node_raw[[#This Row],[Column5]],"")</f>
        <v/>
      </c>
      <c r="G479" s="80" t="str">
        <f t="shared" si="14"/>
        <v/>
      </c>
      <c r="H479" s="81" t="str">
        <f>IF(ISNUMBER(node_raw[[#This Row],[Column6]]), node_raw[[#This Row],[Column6]]/1048576,"")</f>
        <v/>
      </c>
      <c r="I479" s="82" t="str">
        <f t="shared" si="15"/>
        <v/>
      </c>
      <c r="J479" s="83" t="str">
        <f>IF(ISNONTEXT(node_raw[[#This Row],[Column7]]), "", node_raw[[#This Row],[Column7]]/100)</f>
        <v/>
      </c>
      <c r="K479" s="84" t="str">
        <f>IF(ISNONTEXT(node_raw[[#This Row],[Column8]]), "", node_raw[[#This Row],[Column8]]/100)</f>
        <v/>
      </c>
      <c r="L479" s="85" t="str">
        <f>IF(ISNONTEXT(node_raw[[#This Row],[Column9]]), "", node_raw[[#This Row],[Column9]]/1)</f>
        <v/>
      </c>
      <c r="M479" s="86" t="str">
        <f>IF(ISNONTEXT(node_raw[[#This Row],[Column10]]), "", node_raw[[#This Row],[Column10]]/1)</f>
        <v/>
      </c>
    </row>
    <row r="480" spans="2:13" ht="15.75" customHeight="1" x14ac:dyDescent="0.25">
      <c r="B480" s="32" t="str">
        <f>IF(ISNONTEXT(node_raw[[#This Row],[Column1]]), "", node_raw[[#This Row],[Column1]])</f>
        <v/>
      </c>
      <c r="C480" s="29" t="str">
        <f>IF(ISNONTEXT(node_raw[[#This Row],[Column2]]), "", node_raw[[#This Row],[Column2]])</f>
        <v/>
      </c>
      <c r="D480" s="62" t="str">
        <f>IF(ISNUMBER(node_raw[[#This Row],[Column3]]), node_raw[[#This Row],[Column3]],"")</f>
        <v/>
      </c>
      <c r="E480" s="65" t="str">
        <f>IF(ISNUMBER(node_raw[[#This Row],[Column4]]), node_raw[[#This Row],[Column4]]/1048576,"")</f>
        <v/>
      </c>
      <c r="F480" s="91" t="str">
        <f>IF(ISNUMBER(node_raw[[#This Row],[Column5]]), node_raw[[#This Row],[Column5]],"")</f>
        <v/>
      </c>
      <c r="G480" s="80" t="str">
        <f t="shared" si="14"/>
        <v/>
      </c>
      <c r="H480" s="81" t="str">
        <f>IF(ISNUMBER(node_raw[[#This Row],[Column6]]), node_raw[[#This Row],[Column6]]/1048576,"")</f>
        <v/>
      </c>
      <c r="I480" s="82" t="str">
        <f t="shared" si="15"/>
        <v/>
      </c>
      <c r="J480" s="83" t="str">
        <f>IF(ISNONTEXT(node_raw[[#This Row],[Column7]]), "", node_raw[[#This Row],[Column7]]/100)</f>
        <v/>
      </c>
      <c r="K480" s="84" t="str">
        <f>IF(ISNONTEXT(node_raw[[#This Row],[Column8]]), "", node_raw[[#This Row],[Column8]]/100)</f>
        <v/>
      </c>
      <c r="L480" s="85" t="str">
        <f>IF(ISNONTEXT(node_raw[[#This Row],[Column9]]), "", node_raw[[#This Row],[Column9]]/1)</f>
        <v/>
      </c>
      <c r="M480" s="86" t="str">
        <f>IF(ISNONTEXT(node_raw[[#This Row],[Column10]]), "", node_raw[[#This Row],[Column10]]/1)</f>
        <v/>
      </c>
    </row>
    <row r="481" spans="2:13" ht="15.75" customHeight="1" x14ac:dyDescent="0.25">
      <c r="B481" s="32" t="str">
        <f>IF(ISNONTEXT(node_raw[[#This Row],[Column1]]), "", node_raw[[#This Row],[Column1]])</f>
        <v/>
      </c>
      <c r="C481" s="29" t="str">
        <f>IF(ISNONTEXT(node_raw[[#This Row],[Column2]]), "", node_raw[[#This Row],[Column2]])</f>
        <v/>
      </c>
      <c r="D481" s="62" t="str">
        <f>IF(ISNUMBER(node_raw[[#This Row],[Column3]]), node_raw[[#This Row],[Column3]],"")</f>
        <v/>
      </c>
      <c r="E481" s="65" t="str">
        <f>IF(ISNUMBER(node_raw[[#This Row],[Column4]]), node_raw[[#This Row],[Column4]]/1048576,"")</f>
        <v/>
      </c>
      <c r="F481" s="91" t="str">
        <f>IF(ISNUMBER(node_raw[[#This Row],[Column5]]), node_raw[[#This Row],[Column5]],"")</f>
        <v/>
      </c>
      <c r="G481" s="80" t="str">
        <f t="shared" si="14"/>
        <v/>
      </c>
      <c r="H481" s="81" t="str">
        <f>IF(ISNUMBER(node_raw[[#This Row],[Column6]]), node_raw[[#This Row],[Column6]]/1048576,"")</f>
        <v/>
      </c>
      <c r="I481" s="82" t="str">
        <f t="shared" si="15"/>
        <v/>
      </c>
      <c r="J481" s="83" t="str">
        <f>IF(ISNONTEXT(node_raw[[#This Row],[Column7]]), "", node_raw[[#This Row],[Column7]]/100)</f>
        <v/>
      </c>
      <c r="K481" s="84" t="str">
        <f>IF(ISNONTEXT(node_raw[[#This Row],[Column8]]), "", node_raw[[#This Row],[Column8]]/100)</f>
        <v/>
      </c>
      <c r="L481" s="85" t="str">
        <f>IF(ISNONTEXT(node_raw[[#This Row],[Column9]]), "", node_raw[[#This Row],[Column9]]/1)</f>
        <v/>
      </c>
      <c r="M481" s="86" t="str">
        <f>IF(ISNONTEXT(node_raw[[#This Row],[Column10]]), "", node_raw[[#This Row],[Column10]]/1)</f>
        <v/>
      </c>
    </row>
    <row r="482" spans="2:13" ht="15.75" customHeight="1" x14ac:dyDescent="0.25">
      <c r="B482" s="32" t="str">
        <f>IF(ISNONTEXT(node_raw[[#This Row],[Column1]]), "", node_raw[[#This Row],[Column1]])</f>
        <v/>
      </c>
      <c r="C482" s="29" t="str">
        <f>IF(ISNONTEXT(node_raw[[#This Row],[Column2]]), "", node_raw[[#This Row],[Column2]])</f>
        <v/>
      </c>
      <c r="D482" s="62" t="str">
        <f>IF(ISNUMBER(node_raw[[#This Row],[Column3]]), node_raw[[#This Row],[Column3]],"")</f>
        <v/>
      </c>
      <c r="E482" s="65" t="str">
        <f>IF(ISNUMBER(node_raw[[#This Row],[Column4]]), node_raw[[#This Row],[Column4]]/1048576,"")</f>
        <v/>
      </c>
      <c r="F482" s="91" t="str">
        <f>IF(ISNUMBER(node_raw[[#This Row],[Column5]]), node_raw[[#This Row],[Column5]],"")</f>
        <v/>
      </c>
      <c r="G482" s="80" t="str">
        <f t="shared" si="14"/>
        <v/>
      </c>
      <c r="H482" s="81" t="str">
        <f>IF(ISNUMBER(node_raw[[#This Row],[Column6]]), node_raw[[#This Row],[Column6]]/1048576,"")</f>
        <v/>
      </c>
      <c r="I482" s="82" t="str">
        <f t="shared" si="15"/>
        <v/>
      </c>
      <c r="J482" s="83" t="str">
        <f>IF(ISNONTEXT(node_raw[[#This Row],[Column7]]), "", node_raw[[#This Row],[Column7]]/100)</f>
        <v/>
      </c>
      <c r="K482" s="84" t="str">
        <f>IF(ISNONTEXT(node_raw[[#This Row],[Column8]]), "", node_raw[[#This Row],[Column8]]/100)</f>
        <v/>
      </c>
      <c r="L482" s="85" t="str">
        <f>IF(ISNONTEXT(node_raw[[#This Row],[Column9]]), "", node_raw[[#This Row],[Column9]]/1)</f>
        <v/>
      </c>
      <c r="M482" s="86" t="str">
        <f>IF(ISNONTEXT(node_raw[[#This Row],[Column10]]), "", node_raw[[#This Row],[Column10]]/1)</f>
        <v/>
      </c>
    </row>
    <row r="483" spans="2:13" ht="15.75" customHeight="1" x14ac:dyDescent="0.25">
      <c r="B483" s="32" t="str">
        <f>IF(ISNONTEXT(node_raw[[#This Row],[Column1]]), "", node_raw[[#This Row],[Column1]])</f>
        <v/>
      </c>
      <c r="C483" s="29" t="str">
        <f>IF(ISNONTEXT(node_raw[[#This Row],[Column2]]), "", node_raw[[#This Row],[Column2]])</f>
        <v/>
      </c>
      <c r="D483" s="62" t="str">
        <f>IF(ISNUMBER(node_raw[[#This Row],[Column3]]), node_raw[[#This Row],[Column3]],"")</f>
        <v/>
      </c>
      <c r="E483" s="65" t="str">
        <f>IF(ISNUMBER(node_raw[[#This Row],[Column4]]), node_raw[[#This Row],[Column4]]/1048576,"")</f>
        <v/>
      </c>
      <c r="F483" s="91" t="str">
        <f>IF(ISNUMBER(node_raw[[#This Row],[Column5]]), node_raw[[#This Row],[Column5]],"")</f>
        <v/>
      </c>
      <c r="G483" s="80" t="str">
        <f t="shared" si="14"/>
        <v/>
      </c>
      <c r="H483" s="81" t="str">
        <f>IF(ISNUMBER(node_raw[[#This Row],[Column6]]), node_raw[[#This Row],[Column6]]/1048576,"")</f>
        <v/>
      </c>
      <c r="I483" s="82" t="str">
        <f t="shared" si="15"/>
        <v/>
      </c>
      <c r="J483" s="83" t="str">
        <f>IF(ISNONTEXT(node_raw[[#This Row],[Column7]]), "", node_raw[[#This Row],[Column7]]/100)</f>
        <v/>
      </c>
      <c r="K483" s="84" t="str">
        <f>IF(ISNONTEXT(node_raw[[#This Row],[Column8]]), "", node_raw[[#This Row],[Column8]]/100)</f>
        <v/>
      </c>
      <c r="L483" s="85" t="str">
        <f>IF(ISNONTEXT(node_raw[[#This Row],[Column9]]), "", node_raw[[#This Row],[Column9]]/1)</f>
        <v/>
      </c>
      <c r="M483" s="86" t="str">
        <f>IF(ISNONTEXT(node_raw[[#This Row],[Column10]]), "", node_raw[[#This Row],[Column10]]/1)</f>
        <v/>
      </c>
    </row>
    <row r="484" spans="2:13" ht="15.75" customHeight="1" x14ac:dyDescent="0.25">
      <c r="B484" s="32" t="str">
        <f>IF(ISNONTEXT(node_raw[[#This Row],[Column1]]), "", node_raw[[#This Row],[Column1]])</f>
        <v/>
      </c>
      <c r="C484" s="29" t="str">
        <f>IF(ISNONTEXT(node_raw[[#This Row],[Column2]]), "", node_raw[[#This Row],[Column2]])</f>
        <v/>
      </c>
      <c r="D484" s="62" t="str">
        <f>IF(ISNUMBER(node_raw[[#This Row],[Column3]]), node_raw[[#This Row],[Column3]],"")</f>
        <v/>
      </c>
      <c r="E484" s="65" t="str">
        <f>IF(ISNUMBER(node_raw[[#This Row],[Column4]]), node_raw[[#This Row],[Column4]]/1048576,"")</f>
        <v/>
      </c>
      <c r="F484" s="91" t="str">
        <f>IF(ISNUMBER(node_raw[[#This Row],[Column5]]), node_raw[[#This Row],[Column5]],"")</f>
        <v/>
      </c>
      <c r="G484" s="80" t="str">
        <f t="shared" si="14"/>
        <v/>
      </c>
      <c r="H484" s="81" t="str">
        <f>IF(ISNUMBER(node_raw[[#This Row],[Column6]]), node_raw[[#This Row],[Column6]]/1048576,"")</f>
        <v/>
      </c>
      <c r="I484" s="82" t="str">
        <f t="shared" si="15"/>
        <v/>
      </c>
      <c r="J484" s="83" t="str">
        <f>IF(ISNONTEXT(node_raw[[#This Row],[Column7]]), "", node_raw[[#This Row],[Column7]]/100)</f>
        <v/>
      </c>
      <c r="K484" s="84" t="str">
        <f>IF(ISNONTEXT(node_raw[[#This Row],[Column8]]), "", node_raw[[#This Row],[Column8]]/100)</f>
        <v/>
      </c>
      <c r="L484" s="85" t="str">
        <f>IF(ISNONTEXT(node_raw[[#This Row],[Column9]]), "", node_raw[[#This Row],[Column9]]/1)</f>
        <v/>
      </c>
      <c r="M484" s="86" t="str">
        <f>IF(ISNONTEXT(node_raw[[#This Row],[Column10]]), "", node_raw[[#This Row],[Column10]]/1)</f>
        <v/>
      </c>
    </row>
    <row r="485" spans="2:13" ht="15.75" customHeight="1" x14ac:dyDescent="0.25">
      <c r="B485" s="32" t="str">
        <f>IF(ISNONTEXT(node_raw[[#This Row],[Column1]]), "", node_raw[[#This Row],[Column1]])</f>
        <v/>
      </c>
      <c r="C485" s="29" t="str">
        <f>IF(ISNONTEXT(node_raw[[#This Row],[Column2]]), "", node_raw[[#This Row],[Column2]])</f>
        <v/>
      </c>
      <c r="D485" s="62" t="str">
        <f>IF(ISNUMBER(node_raw[[#This Row],[Column3]]), node_raw[[#This Row],[Column3]],"")</f>
        <v/>
      </c>
      <c r="E485" s="65" t="str">
        <f>IF(ISNUMBER(node_raw[[#This Row],[Column4]]), node_raw[[#This Row],[Column4]]/1048576,"")</f>
        <v/>
      </c>
      <c r="F485" s="91" t="str">
        <f>IF(ISNUMBER(node_raw[[#This Row],[Column5]]), node_raw[[#This Row],[Column5]],"")</f>
        <v/>
      </c>
      <c r="G485" s="80" t="str">
        <f t="shared" si="14"/>
        <v/>
      </c>
      <c r="H485" s="81" t="str">
        <f>IF(ISNUMBER(node_raw[[#This Row],[Column6]]), node_raw[[#This Row],[Column6]]/1048576,"")</f>
        <v/>
      </c>
      <c r="I485" s="82" t="str">
        <f t="shared" si="15"/>
        <v/>
      </c>
      <c r="J485" s="83" t="str">
        <f>IF(ISNONTEXT(node_raw[[#This Row],[Column7]]), "", node_raw[[#This Row],[Column7]]/100)</f>
        <v/>
      </c>
      <c r="K485" s="84" t="str">
        <f>IF(ISNONTEXT(node_raw[[#This Row],[Column8]]), "", node_raw[[#This Row],[Column8]]/100)</f>
        <v/>
      </c>
      <c r="L485" s="85" t="str">
        <f>IF(ISNONTEXT(node_raw[[#This Row],[Column9]]), "", node_raw[[#This Row],[Column9]]/1)</f>
        <v/>
      </c>
      <c r="M485" s="86" t="str">
        <f>IF(ISNONTEXT(node_raw[[#This Row],[Column10]]), "", node_raw[[#This Row],[Column10]]/1)</f>
        <v/>
      </c>
    </row>
    <row r="486" spans="2:13" ht="15.75" customHeight="1" x14ac:dyDescent="0.25">
      <c r="B486" s="32" t="str">
        <f>IF(ISNONTEXT(node_raw[[#This Row],[Column1]]), "", node_raw[[#This Row],[Column1]])</f>
        <v/>
      </c>
      <c r="C486" s="29" t="str">
        <f>IF(ISNONTEXT(node_raw[[#This Row],[Column2]]), "", node_raw[[#This Row],[Column2]])</f>
        <v/>
      </c>
      <c r="D486" s="62" t="str">
        <f>IF(ISNUMBER(node_raw[[#This Row],[Column3]]), node_raw[[#This Row],[Column3]],"")</f>
        <v/>
      </c>
      <c r="E486" s="65" t="str">
        <f>IF(ISNUMBER(node_raw[[#This Row],[Column4]]), node_raw[[#This Row],[Column4]]/1048576,"")</f>
        <v/>
      </c>
      <c r="F486" s="91" t="str">
        <f>IF(ISNUMBER(node_raw[[#This Row],[Column5]]), node_raw[[#This Row],[Column5]],"")</f>
        <v/>
      </c>
      <c r="G486" s="80" t="str">
        <f t="shared" si="14"/>
        <v/>
      </c>
      <c r="H486" s="81" t="str">
        <f>IF(ISNUMBER(node_raw[[#This Row],[Column6]]), node_raw[[#This Row],[Column6]]/1048576,"")</f>
        <v/>
      </c>
      <c r="I486" s="82" t="str">
        <f t="shared" si="15"/>
        <v/>
      </c>
      <c r="J486" s="83" t="str">
        <f>IF(ISNONTEXT(node_raw[[#This Row],[Column7]]), "", node_raw[[#This Row],[Column7]]/100)</f>
        <v/>
      </c>
      <c r="K486" s="84" t="str">
        <f>IF(ISNONTEXT(node_raw[[#This Row],[Column8]]), "", node_raw[[#This Row],[Column8]]/100)</f>
        <v/>
      </c>
      <c r="L486" s="85" t="str">
        <f>IF(ISNONTEXT(node_raw[[#This Row],[Column9]]), "", node_raw[[#This Row],[Column9]]/1)</f>
        <v/>
      </c>
      <c r="M486" s="86" t="str">
        <f>IF(ISNONTEXT(node_raw[[#This Row],[Column10]]), "", node_raw[[#This Row],[Column10]]/1)</f>
        <v/>
      </c>
    </row>
    <row r="487" spans="2:13" ht="15.75" customHeight="1" x14ac:dyDescent="0.25">
      <c r="B487" s="32" t="str">
        <f>IF(ISNONTEXT(node_raw[[#This Row],[Column1]]), "", node_raw[[#This Row],[Column1]])</f>
        <v/>
      </c>
      <c r="C487" s="29" t="str">
        <f>IF(ISNONTEXT(node_raw[[#This Row],[Column2]]), "", node_raw[[#This Row],[Column2]])</f>
        <v/>
      </c>
      <c r="D487" s="62" t="str">
        <f>IF(ISNUMBER(node_raw[[#This Row],[Column3]]), node_raw[[#This Row],[Column3]],"")</f>
        <v/>
      </c>
      <c r="E487" s="65" t="str">
        <f>IF(ISNUMBER(node_raw[[#This Row],[Column4]]), node_raw[[#This Row],[Column4]]/1048576,"")</f>
        <v/>
      </c>
      <c r="F487" s="91" t="str">
        <f>IF(ISNUMBER(node_raw[[#This Row],[Column5]]), node_raw[[#This Row],[Column5]],"")</f>
        <v/>
      </c>
      <c r="G487" s="80" t="str">
        <f t="shared" si="14"/>
        <v/>
      </c>
      <c r="H487" s="81" t="str">
        <f>IF(ISNUMBER(node_raw[[#This Row],[Column6]]), node_raw[[#This Row],[Column6]]/1048576,"")</f>
        <v/>
      </c>
      <c r="I487" s="82" t="str">
        <f t="shared" si="15"/>
        <v/>
      </c>
      <c r="J487" s="83" t="str">
        <f>IF(ISNONTEXT(node_raw[[#This Row],[Column7]]), "", node_raw[[#This Row],[Column7]]/100)</f>
        <v/>
      </c>
      <c r="K487" s="84" t="str">
        <f>IF(ISNONTEXT(node_raw[[#This Row],[Column8]]), "", node_raw[[#This Row],[Column8]]/100)</f>
        <v/>
      </c>
      <c r="L487" s="85" t="str">
        <f>IF(ISNONTEXT(node_raw[[#This Row],[Column9]]), "", node_raw[[#This Row],[Column9]]/1)</f>
        <v/>
      </c>
      <c r="M487" s="86" t="str">
        <f>IF(ISNONTEXT(node_raw[[#This Row],[Column10]]), "", node_raw[[#This Row],[Column10]]/1)</f>
        <v/>
      </c>
    </row>
    <row r="488" spans="2:13" ht="15.75" customHeight="1" x14ac:dyDescent="0.25">
      <c r="B488" s="32" t="str">
        <f>IF(ISNONTEXT(node_raw[[#This Row],[Column1]]), "", node_raw[[#This Row],[Column1]])</f>
        <v/>
      </c>
      <c r="C488" s="29" t="str">
        <f>IF(ISNONTEXT(node_raw[[#This Row],[Column2]]), "", node_raw[[#This Row],[Column2]])</f>
        <v/>
      </c>
      <c r="D488" s="62" t="str">
        <f>IF(ISNUMBER(node_raw[[#This Row],[Column3]]), node_raw[[#This Row],[Column3]],"")</f>
        <v/>
      </c>
      <c r="E488" s="65" t="str">
        <f>IF(ISNUMBER(node_raw[[#This Row],[Column4]]), node_raw[[#This Row],[Column4]]/1048576,"")</f>
        <v/>
      </c>
      <c r="F488" s="91" t="str">
        <f>IF(ISNUMBER(node_raw[[#This Row],[Column5]]), node_raw[[#This Row],[Column5]],"")</f>
        <v/>
      </c>
      <c r="G488" s="80" t="str">
        <f t="shared" si="14"/>
        <v/>
      </c>
      <c r="H488" s="81" t="str">
        <f>IF(ISNUMBER(node_raw[[#This Row],[Column6]]), node_raw[[#This Row],[Column6]]/1048576,"")</f>
        <v/>
      </c>
      <c r="I488" s="82" t="str">
        <f t="shared" si="15"/>
        <v/>
      </c>
      <c r="J488" s="83" t="str">
        <f>IF(ISNONTEXT(node_raw[[#This Row],[Column7]]), "", node_raw[[#This Row],[Column7]]/100)</f>
        <v/>
      </c>
      <c r="K488" s="84" t="str">
        <f>IF(ISNONTEXT(node_raw[[#This Row],[Column8]]), "", node_raw[[#This Row],[Column8]]/100)</f>
        <v/>
      </c>
      <c r="L488" s="85" t="str">
        <f>IF(ISNONTEXT(node_raw[[#This Row],[Column9]]), "", node_raw[[#This Row],[Column9]]/1)</f>
        <v/>
      </c>
      <c r="M488" s="86" t="str">
        <f>IF(ISNONTEXT(node_raw[[#This Row],[Column10]]), "", node_raw[[#This Row],[Column10]]/1)</f>
        <v/>
      </c>
    </row>
    <row r="489" spans="2:13" ht="15.75" customHeight="1" x14ac:dyDescent="0.25">
      <c r="B489" s="32" t="str">
        <f>IF(ISNONTEXT(node_raw[[#This Row],[Column1]]), "", node_raw[[#This Row],[Column1]])</f>
        <v/>
      </c>
      <c r="C489" s="29" t="str">
        <f>IF(ISNONTEXT(node_raw[[#This Row],[Column2]]), "", node_raw[[#This Row],[Column2]])</f>
        <v/>
      </c>
      <c r="D489" s="62" t="str">
        <f>IF(ISNUMBER(node_raw[[#This Row],[Column3]]), node_raw[[#This Row],[Column3]],"")</f>
        <v/>
      </c>
      <c r="E489" s="65" t="str">
        <f>IF(ISNUMBER(node_raw[[#This Row],[Column4]]), node_raw[[#This Row],[Column4]]/1048576,"")</f>
        <v/>
      </c>
      <c r="F489" s="91" t="str">
        <f>IF(ISNUMBER(node_raw[[#This Row],[Column5]]), node_raw[[#This Row],[Column5]],"")</f>
        <v/>
      </c>
      <c r="G489" s="80" t="str">
        <f t="shared" si="14"/>
        <v/>
      </c>
      <c r="H489" s="81" t="str">
        <f>IF(ISNUMBER(node_raw[[#This Row],[Column6]]), node_raw[[#This Row],[Column6]]/1048576,"")</f>
        <v/>
      </c>
      <c r="I489" s="82" t="str">
        <f t="shared" si="15"/>
        <v/>
      </c>
      <c r="J489" s="83" t="str">
        <f>IF(ISNONTEXT(node_raw[[#This Row],[Column7]]), "", node_raw[[#This Row],[Column7]]/100)</f>
        <v/>
      </c>
      <c r="K489" s="84" t="str">
        <f>IF(ISNONTEXT(node_raw[[#This Row],[Column8]]), "", node_raw[[#This Row],[Column8]]/100)</f>
        <v/>
      </c>
      <c r="L489" s="85" t="str">
        <f>IF(ISNONTEXT(node_raw[[#This Row],[Column9]]), "", node_raw[[#This Row],[Column9]]/1)</f>
        <v/>
      </c>
      <c r="M489" s="86" t="str">
        <f>IF(ISNONTEXT(node_raw[[#This Row],[Column10]]), "", node_raw[[#This Row],[Column10]]/1)</f>
        <v/>
      </c>
    </row>
    <row r="490" spans="2:13" ht="15.75" customHeight="1" x14ac:dyDescent="0.25">
      <c r="B490" s="32" t="str">
        <f>IF(ISNONTEXT(node_raw[[#This Row],[Column1]]), "", node_raw[[#This Row],[Column1]])</f>
        <v/>
      </c>
      <c r="C490" s="29" t="str">
        <f>IF(ISNONTEXT(node_raw[[#This Row],[Column2]]), "", node_raw[[#This Row],[Column2]])</f>
        <v/>
      </c>
      <c r="D490" s="62" t="str">
        <f>IF(ISNUMBER(node_raw[[#This Row],[Column3]]), node_raw[[#This Row],[Column3]],"")</f>
        <v/>
      </c>
      <c r="E490" s="65" t="str">
        <f>IF(ISNUMBER(node_raw[[#This Row],[Column4]]), node_raw[[#This Row],[Column4]]/1048576,"")</f>
        <v/>
      </c>
      <c r="F490" s="91" t="str">
        <f>IF(ISNUMBER(node_raw[[#This Row],[Column5]]), node_raw[[#This Row],[Column5]],"")</f>
        <v/>
      </c>
      <c r="G490" s="80" t="str">
        <f t="shared" si="14"/>
        <v/>
      </c>
      <c r="H490" s="81" t="str">
        <f>IF(ISNUMBER(node_raw[[#This Row],[Column6]]), node_raw[[#This Row],[Column6]]/1048576,"")</f>
        <v/>
      </c>
      <c r="I490" s="82" t="str">
        <f t="shared" si="15"/>
        <v/>
      </c>
      <c r="J490" s="83" t="str">
        <f>IF(ISNONTEXT(node_raw[[#This Row],[Column7]]), "", node_raw[[#This Row],[Column7]]/100)</f>
        <v/>
      </c>
      <c r="K490" s="84" t="str">
        <f>IF(ISNONTEXT(node_raw[[#This Row],[Column8]]), "", node_raw[[#This Row],[Column8]]/100)</f>
        <v/>
      </c>
      <c r="L490" s="85" t="str">
        <f>IF(ISNONTEXT(node_raw[[#This Row],[Column9]]), "", node_raw[[#This Row],[Column9]]/1)</f>
        <v/>
      </c>
      <c r="M490" s="86" t="str">
        <f>IF(ISNONTEXT(node_raw[[#This Row],[Column10]]), "", node_raw[[#This Row],[Column10]]/1)</f>
        <v/>
      </c>
    </row>
    <row r="491" spans="2:13" ht="15.75" customHeight="1" x14ac:dyDescent="0.25">
      <c r="B491" s="32" t="str">
        <f>IF(ISNONTEXT(node_raw[[#This Row],[Column1]]), "", node_raw[[#This Row],[Column1]])</f>
        <v/>
      </c>
      <c r="C491" s="29" t="str">
        <f>IF(ISNONTEXT(node_raw[[#This Row],[Column2]]), "", node_raw[[#This Row],[Column2]])</f>
        <v/>
      </c>
      <c r="D491" s="62" t="str">
        <f>IF(ISNUMBER(node_raw[[#This Row],[Column3]]), node_raw[[#This Row],[Column3]],"")</f>
        <v/>
      </c>
      <c r="E491" s="65" t="str">
        <f>IF(ISNUMBER(node_raw[[#This Row],[Column4]]), node_raw[[#This Row],[Column4]]/1048576,"")</f>
        <v/>
      </c>
      <c r="F491" s="91" t="str">
        <f>IF(ISNUMBER(node_raw[[#This Row],[Column5]]), node_raw[[#This Row],[Column5]],"")</f>
        <v/>
      </c>
      <c r="G491" s="80" t="str">
        <f t="shared" si="14"/>
        <v/>
      </c>
      <c r="H491" s="81" t="str">
        <f>IF(ISNUMBER(node_raw[[#This Row],[Column6]]), node_raw[[#This Row],[Column6]]/1048576,"")</f>
        <v/>
      </c>
      <c r="I491" s="82" t="str">
        <f t="shared" si="15"/>
        <v/>
      </c>
      <c r="J491" s="83" t="str">
        <f>IF(ISNONTEXT(node_raw[[#This Row],[Column7]]), "", node_raw[[#This Row],[Column7]]/100)</f>
        <v/>
      </c>
      <c r="K491" s="84" t="str">
        <f>IF(ISNONTEXT(node_raw[[#This Row],[Column8]]), "", node_raw[[#This Row],[Column8]]/100)</f>
        <v/>
      </c>
      <c r="L491" s="85" t="str">
        <f>IF(ISNONTEXT(node_raw[[#This Row],[Column9]]), "", node_raw[[#This Row],[Column9]]/1)</f>
        <v/>
      </c>
      <c r="M491" s="86" t="str">
        <f>IF(ISNONTEXT(node_raw[[#This Row],[Column10]]), "", node_raw[[#This Row],[Column10]]/1)</f>
        <v/>
      </c>
    </row>
    <row r="492" spans="2:13" ht="15.75" customHeight="1" x14ac:dyDescent="0.25">
      <c r="B492" s="32" t="str">
        <f>IF(ISNONTEXT(node_raw[[#This Row],[Column1]]), "", node_raw[[#This Row],[Column1]])</f>
        <v/>
      </c>
      <c r="C492" s="29" t="str">
        <f>IF(ISNONTEXT(node_raw[[#This Row],[Column2]]), "", node_raw[[#This Row],[Column2]])</f>
        <v/>
      </c>
      <c r="D492" s="62" t="str">
        <f>IF(ISNUMBER(node_raw[[#This Row],[Column3]]), node_raw[[#This Row],[Column3]],"")</f>
        <v/>
      </c>
      <c r="E492" s="65" t="str">
        <f>IF(ISNUMBER(node_raw[[#This Row],[Column4]]), node_raw[[#This Row],[Column4]]/1048576,"")</f>
        <v/>
      </c>
      <c r="F492" s="91" t="str">
        <f>IF(ISNUMBER(node_raw[[#This Row],[Column5]]), node_raw[[#This Row],[Column5]],"")</f>
        <v/>
      </c>
      <c r="G492" s="80" t="str">
        <f t="shared" si="14"/>
        <v/>
      </c>
      <c r="H492" s="81" t="str">
        <f>IF(ISNUMBER(node_raw[[#This Row],[Column6]]), node_raw[[#This Row],[Column6]]/1048576,"")</f>
        <v/>
      </c>
      <c r="I492" s="82" t="str">
        <f t="shared" si="15"/>
        <v/>
      </c>
      <c r="J492" s="83" t="str">
        <f>IF(ISNONTEXT(node_raw[[#This Row],[Column7]]), "", node_raw[[#This Row],[Column7]]/100)</f>
        <v/>
      </c>
      <c r="K492" s="84" t="str">
        <f>IF(ISNONTEXT(node_raw[[#This Row],[Column8]]), "", node_raw[[#This Row],[Column8]]/100)</f>
        <v/>
      </c>
      <c r="L492" s="85" t="str">
        <f>IF(ISNONTEXT(node_raw[[#This Row],[Column9]]), "", node_raw[[#This Row],[Column9]]/1)</f>
        <v/>
      </c>
      <c r="M492" s="86" t="str">
        <f>IF(ISNONTEXT(node_raw[[#This Row],[Column10]]), "", node_raw[[#This Row],[Column10]]/1)</f>
        <v/>
      </c>
    </row>
    <row r="493" spans="2:13" ht="15.75" customHeight="1" x14ac:dyDescent="0.25">
      <c r="B493" s="32" t="str">
        <f>IF(ISNONTEXT(node_raw[[#This Row],[Column1]]), "", node_raw[[#This Row],[Column1]])</f>
        <v/>
      </c>
      <c r="C493" s="29" t="str">
        <f>IF(ISNONTEXT(node_raw[[#This Row],[Column2]]), "", node_raw[[#This Row],[Column2]])</f>
        <v/>
      </c>
      <c r="D493" s="62" t="str">
        <f>IF(ISNUMBER(node_raw[[#This Row],[Column3]]), node_raw[[#This Row],[Column3]],"")</f>
        <v/>
      </c>
      <c r="E493" s="65" t="str">
        <f>IF(ISNUMBER(node_raw[[#This Row],[Column4]]), node_raw[[#This Row],[Column4]]/1048576,"")</f>
        <v/>
      </c>
      <c r="F493" s="91" t="str">
        <f>IF(ISNUMBER(node_raw[[#This Row],[Column5]]), node_raw[[#This Row],[Column5]],"")</f>
        <v/>
      </c>
      <c r="G493" s="80" t="str">
        <f t="shared" si="14"/>
        <v/>
      </c>
      <c r="H493" s="81" t="str">
        <f>IF(ISNUMBER(node_raw[[#This Row],[Column6]]), node_raw[[#This Row],[Column6]]/1048576,"")</f>
        <v/>
      </c>
      <c r="I493" s="82" t="str">
        <f t="shared" si="15"/>
        <v/>
      </c>
      <c r="J493" s="83" t="str">
        <f>IF(ISNONTEXT(node_raw[[#This Row],[Column7]]), "", node_raw[[#This Row],[Column7]]/100)</f>
        <v/>
      </c>
      <c r="K493" s="84" t="str">
        <f>IF(ISNONTEXT(node_raw[[#This Row],[Column8]]), "", node_raw[[#This Row],[Column8]]/100)</f>
        <v/>
      </c>
      <c r="L493" s="85" t="str">
        <f>IF(ISNONTEXT(node_raw[[#This Row],[Column9]]), "", node_raw[[#This Row],[Column9]]/1)</f>
        <v/>
      </c>
      <c r="M493" s="86" t="str">
        <f>IF(ISNONTEXT(node_raw[[#This Row],[Column10]]), "", node_raw[[#This Row],[Column10]]/1)</f>
        <v/>
      </c>
    </row>
    <row r="494" spans="2:13" ht="15.75" customHeight="1" x14ac:dyDescent="0.25">
      <c r="B494" s="32" t="str">
        <f>IF(ISNONTEXT(node_raw[[#This Row],[Column1]]), "", node_raw[[#This Row],[Column1]])</f>
        <v/>
      </c>
      <c r="C494" s="29" t="str">
        <f>IF(ISNONTEXT(node_raw[[#This Row],[Column2]]), "", node_raw[[#This Row],[Column2]])</f>
        <v/>
      </c>
      <c r="D494" s="62" t="str">
        <f>IF(ISNUMBER(node_raw[[#This Row],[Column3]]), node_raw[[#This Row],[Column3]],"")</f>
        <v/>
      </c>
      <c r="E494" s="65" t="str">
        <f>IF(ISNUMBER(node_raw[[#This Row],[Column4]]), node_raw[[#This Row],[Column4]]/1048576,"")</f>
        <v/>
      </c>
      <c r="F494" s="91" t="str">
        <f>IF(ISNUMBER(node_raw[[#This Row],[Column5]]), node_raw[[#This Row],[Column5]],"")</f>
        <v/>
      </c>
      <c r="G494" s="80" t="str">
        <f t="shared" si="14"/>
        <v/>
      </c>
      <c r="H494" s="81" t="str">
        <f>IF(ISNUMBER(node_raw[[#This Row],[Column6]]), node_raw[[#This Row],[Column6]]/1048576,"")</f>
        <v/>
      </c>
      <c r="I494" s="82" t="str">
        <f t="shared" si="15"/>
        <v/>
      </c>
      <c r="J494" s="83" t="str">
        <f>IF(ISNONTEXT(node_raw[[#This Row],[Column7]]), "", node_raw[[#This Row],[Column7]]/100)</f>
        <v/>
      </c>
      <c r="K494" s="84" t="str">
        <f>IF(ISNONTEXT(node_raw[[#This Row],[Column8]]), "", node_raw[[#This Row],[Column8]]/100)</f>
        <v/>
      </c>
      <c r="L494" s="85" t="str">
        <f>IF(ISNONTEXT(node_raw[[#This Row],[Column9]]), "", node_raw[[#This Row],[Column9]]/1)</f>
        <v/>
      </c>
      <c r="M494" s="86" t="str">
        <f>IF(ISNONTEXT(node_raw[[#This Row],[Column10]]), "", node_raw[[#This Row],[Column10]]/1)</f>
        <v/>
      </c>
    </row>
    <row r="495" spans="2:13" ht="15.75" customHeight="1" x14ac:dyDescent="0.25">
      <c r="B495" s="32" t="str">
        <f>IF(ISNONTEXT(node_raw[[#This Row],[Column1]]), "", node_raw[[#This Row],[Column1]])</f>
        <v/>
      </c>
      <c r="C495" s="29" t="str">
        <f>IF(ISNONTEXT(node_raw[[#This Row],[Column2]]), "", node_raw[[#This Row],[Column2]])</f>
        <v/>
      </c>
      <c r="D495" s="62" t="str">
        <f>IF(ISNUMBER(node_raw[[#This Row],[Column3]]), node_raw[[#This Row],[Column3]],"")</f>
        <v/>
      </c>
      <c r="E495" s="65" t="str">
        <f>IF(ISNUMBER(node_raw[[#This Row],[Column4]]), node_raw[[#This Row],[Column4]]/1048576,"")</f>
        <v/>
      </c>
      <c r="F495" s="91" t="str">
        <f>IF(ISNUMBER(node_raw[[#This Row],[Column5]]), node_raw[[#This Row],[Column5]],"")</f>
        <v/>
      </c>
      <c r="G495" s="80" t="str">
        <f t="shared" si="14"/>
        <v/>
      </c>
      <c r="H495" s="81" t="str">
        <f>IF(ISNUMBER(node_raw[[#This Row],[Column6]]), node_raw[[#This Row],[Column6]]/1048576,"")</f>
        <v/>
      </c>
      <c r="I495" s="82" t="str">
        <f t="shared" si="15"/>
        <v/>
      </c>
      <c r="J495" s="83" t="str">
        <f>IF(ISNONTEXT(node_raw[[#This Row],[Column7]]), "", node_raw[[#This Row],[Column7]]/100)</f>
        <v/>
      </c>
      <c r="K495" s="84" t="str">
        <f>IF(ISNONTEXT(node_raw[[#This Row],[Column8]]), "", node_raw[[#This Row],[Column8]]/100)</f>
        <v/>
      </c>
      <c r="L495" s="85" t="str">
        <f>IF(ISNONTEXT(node_raw[[#This Row],[Column9]]), "", node_raw[[#This Row],[Column9]]/1)</f>
        <v/>
      </c>
      <c r="M495" s="86" t="str">
        <f>IF(ISNONTEXT(node_raw[[#This Row],[Column10]]), "", node_raw[[#This Row],[Column10]]/1)</f>
        <v/>
      </c>
    </row>
    <row r="496" spans="2:13" ht="15.75" customHeight="1" x14ac:dyDescent="0.25">
      <c r="B496" s="32" t="str">
        <f>IF(ISNONTEXT(node_raw[[#This Row],[Column1]]), "", node_raw[[#This Row],[Column1]])</f>
        <v/>
      </c>
      <c r="C496" s="29" t="str">
        <f>IF(ISNONTEXT(node_raw[[#This Row],[Column2]]), "", node_raw[[#This Row],[Column2]])</f>
        <v/>
      </c>
      <c r="D496" s="62" t="str">
        <f>IF(ISNUMBER(node_raw[[#This Row],[Column3]]), node_raw[[#This Row],[Column3]],"")</f>
        <v/>
      </c>
      <c r="E496" s="65" t="str">
        <f>IF(ISNUMBER(node_raw[[#This Row],[Column4]]), node_raw[[#This Row],[Column4]]/1048576,"")</f>
        <v/>
      </c>
      <c r="F496" s="91" t="str">
        <f>IF(ISNUMBER(node_raw[[#This Row],[Column5]]), node_raw[[#This Row],[Column5]],"")</f>
        <v/>
      </c>
      <c r="G496" s="80" t="str">
        <f t="shared" si="14"/>
        <v/>
      </c>
      <c r="H496" s="81" t="str">
        <f>IF(ISNUMBER(node_raw[[#This Row],[Column6]]), node_raw[[#This Row],[Column6]]/1048576,"")</f>
        <v/>
      </c>
      <c r="I496" s="82" t="str">
        <f t="shared" si="15"/>
        <v/>
      </c>
      <c r="J496" s="83" t="str">
        <f>IF(ISNONTEXT(node_raw[[#This Row],[Column7]]), "", node_raw[[#This Row],[Column7]]/100)</f>
        <v/>
      </c>
      <c r="K496" s="84" t="str">
        <f>IF(ISNONTEXT(node_raw[[#This Row],[Column8]]), "", node_raw[[#This Row],[Column8]]/100)</f>
        <v/>
      </c>
      <c r="L496" s="85" t="str">
        <f>IF(ISNONTEXT(node_raw[[#This Row],[Column9]]), "", node_raw[[#This Row],[Column9]]/1)</f>
        <v/>
      </c>
      <c r="M496" s="86" t="str">
        <f>IF(ISNONTEXT(node_raw[[#This Row],[Column10]]), "", node_raw[[#This Row],[Column10]]/1)</f>
        <v/>
      </c>
    </row>
    <row r="497" spans="2:13" ht="15.75" customHeight="1" x14ac:dyDescent="0.25">
      <c r="B497" s="32" t="str">
        <f>IF(ISNONTEXT(node_raw[[#This Row],[Column1]]), "", node_raw[[#This Row],[Column1]])</f>
        <v/>
      </c>
      <c r="C497" s="29" t="str">
        <f>IF(ISNONTEXT(node_raw[[#This Row],[Column2]]), "", node_raw[[#This Row],[Column2]])</f>
        <v/>
      </c>
      <c r="D497" s="62" t="str">
        <f>IF(ISNUMBER(node_raw[[#This Row],[Column3]]), node_raw[[#This Row],[Column3]],"")</f>
        <v/>
      </c>
      <c r="E497" s="65" t="str">
        <f>IF(ISNUMBER(node_raw[[#This Row],[Column4]]), node_raw[[#This Row],[Column4]]/1048576,"")</f>
        <v/>
      </c>
      <c r="F497" s="91" t="str">
        <f>IF(ISNUMBER(node_raw[[#This Row],[Column5]]), node_raw[[#This Row],[Column5]],"")</f>
        <v/>
      </c>
      <c r="G497" s="80" t="str">
        <f t="shared" si="14"/>
        <v/>
      </c>
      <c r="H497" s="81" t="str">
        <f>IF(ISNUMBER(node_raw[[#This Row],[Column6]]), node_raw[[#This Row],[Column6]]/1048576,"")</f>
        <v/>
      </c>
      <c r="I497" s="82" t="str">
        <f t="shared" si="15"/>
        <v/>
      </c>
      <c r="J497" s="83" t="str">
        <f>IF(ISNONTEXT(node_raw[[#This Row],[Column7]]), "", node_raw[[#This Row],[Column7]]/100)</f>
        <v/>
      </c>
      <c r="K497" s="84" t="str">
        <f>IF(ISNONTEXT(node_raw[[#This Row],[Column8]]), "", node_raw[[#This Row],[Column8]]/100)</f>
        <v/>
      </c>
      <c r="L497" s="85" t="str">
        <f>IF(ISNONTEXT(node_raw[[#This Row],[Column9]]), "", node_raw[[#This Row],[Column9]]/1)</f>
        <v/>
      </c>
      <c r="M497" s="86" t="str">
        <f>IF(ISNONTEXT(node_raw[[#This Row],[Column10]]), "", node_raw[[#This Row],[Column10]]/1)</f>
        <v/>
      </c>
    </row>
    <row r="498" spans="2:13" ht="15.75" customHeight="1" x14ac:dyDescent="0.25">
      <c r="B498" s="32" t="str">
        <f>IF(ISNONTEXT(node_raw[[#This Row],[Column1]]), "", node_raw[[#This Row],[Column1]])</f>
        <v/>
      </c>
      <c r="C498" s="29" t="str">
        <f>IF(ISNONTEXT(node_raw[[#This Row],[Column2]]), "", node_raw[[#This Row],[Column2]])</f>
        <v/>
      </c>
      <c r="D498" s="62" t="str">
        <f>IF(ISNUMBER(node_raw[[#This Row],[Column3]]), node_raw[[#This Row],[Column3]],"")</f>
        <v/>
      </c>
      <c r="E498" s="65" t="str">
        <f>IF(ISNUMBER(node_raw[[#This Row],[Column4]]), node_raw[[#This Row],[Column4]]/1048576,"")</f>
        <v/>
      </c>
      <c r="F498" s="91" t="str">
        <f>IF(ISNUMBER(node_raw[[#This Row],[Column5]]), node_raw[[#This Row],[Column5]],"")</f>
        <v/>
      </c>
      <c r="G498" s="80" t="str">
        <f t="shared" si="14"/>
        <v/>
      </c>
      <c r="H498" s="81" t="str">
        <f>IF(ISNUMBER(node_raw[[#This Row],[Column6]]), node_raw[[#This Row],[Column6]]/1048576,"")</f>
        <v/>
      </c>
      <c r="I498" s="82" t="str">
        <f t="shared" si="15"/>
        <v/>
      </c>
      <c r="J498" s="83" t="str">
        <f>IF(ISNONTEXT(node_raw[[#This Row],[Column7]]), "", node_raw[[#This Row],[Column7]]/100)</f>
        <v/>
      </c>
      <c r="K498" s="84" t="str">
        <f>IF(ISNONTEXT(node_raw[[#This Row],[Column8]]), "", node_raw[[#This Row],[Column8]]/100)</f>
        <v/>
      </c>
      <c r="L498" s="85" t="str">
        <f>IF(ISNONTEXT(node_raw[[#This Row],[Column9]]), "", node_raw[[#This Row],[Column9]]/1)</f>
        <v/>
      </c>
      <c r="M498" s="86" t="str">
        <f>IF(ISNONTEXT(node_raw[[#This Row],[Column10]]), "", node_raw[[#This Row],[Column10]]/1)</f>
        <v/>
      </c>
    </row>
    <row r="499" spans="2:13" ht="15.75" customHeight="1" x14ac:dyDescent="0.25">
      <c r="B499" s="32" t="str">
        <f>IF(ISNONTEXT(node_raw[[#This Row],[Column1]]), "", node_raw[[#This Row],[Column1]])</f>
        <v/>
      </c>
      <c r="C499" s="29" t="str">
        <f>IF(ISNONTEXT(node_raw[[#This Row],[Column2]]), "", node_raw[[#This Row],[Column2]])</f>
        <v/>
      </c>
      <c r="D499" s="62" t="str">
        <f>IF(ISNUMBER(node_raw[[#This Row],[Column3]]), node_raw[[#This Row],[Column3]],"")</f>
        <v/>
      </c>
      <c r="E499" s="65" t="str">
        <f>IF(ISNUMBER(node_raw[[#This Row],[Column4]]), node_raw[[#This Row],[Column4]]/1048576,"")</f>
        <v/>
      </c>
      <c r="F499" s="91" t="str">
        <f>IF(ISNUMBER(node_raw[[#This Row],[Column5]]), node_raw[[#This Row],[Column5]],"")</f>
        <v/>
      </c>
      <c r="G499" s="80" t="str">
        <f t="shared" si="14"/>
        <v/>
      </c>
      <c r="H499" s="81" t="str">
        <f>IF(ISNUMBER(node_raw[[#This Row],[Column6]]), node_raw[[#This Row],[Column6]]/1048576,"")</f>
        <v/>
      </c>
      <c r="I499" s="82" t="str">
        <f t="shared" si="15"/>
        <v/>
      </c>
      <c r="J499" s="83" t="str">
        <f>IF(ISNONTEXT(node_raw[[#This Row],[Column7]]), "", node_raw[[#This Row],[Column7]]/100)</f>
        <v/>
      </c>
      <c r="K499" s="84" t="str">
        <f>IF(ISNONTEXT(node_raw[[#This Row],[Column8]]), "", node_raw[[#This Row],[Column8]]/100)</f>
        <v/>
      </c>
      <c r="L499" s="85" t="str">
        <f>IF(ISNONTEXT(node_raw[[#This Row],[Column9]]), "", node_raw[[#This Row],[Column9]]/1)</f>
        <v/>
      </c>
      <c r="M499" s="86" t="str">
        <f>IF(ISNONTEXT(node_raw[[#This Row],[Column10]]), "", node_raw[[#This Row],[Column10]]/1)</f>
        <v/>
      </c>
    </row>
    <row r="500" spans="2:13" ht="15.75" customHeight="1" x14ac:dyDescent="0.25">
      <c r="B500" s="32" t="str">
        <f>IF(ISNONTEXT(node_raw[[#This Row],[Column1]]), "", node_raw[[#This Row],[Column1]])</f>
        <v/>
      </c>
      <c r="C500" s="29" t="str">
        <f>IF(ISNONTEXT(node_raw[[#This Row],[Column2]]), "", node_raw[[#This Row],[Column2]])</f>
        <v/>
      </c>
      <c r="D500" s="62" t="str">
        <f>IF(ISNUMBER(node_raw[[#This Row],[Column3]]), node_raw[[#This Row],[Column3]],"")</f>
        <v/>
      </c>
      <c r="E500" s="65" t="str">
        <f>IF(ISNUMBER(node_raw[[#This Row],[Column4]]), node_raw[[#This Row],[Column4]]/1048576,"")</f>
        <v/>
      </c>
      <c r="F500" s="91" t="str">
        <f>IF(ISNUMBER(node_raw[[#This Row],[Column5]]), node_raw[[#This Row],[Column5]],"")</f>
        <v/>
      </c>
      <c r="G500" s="80" t="str">
        <f t="shared" si="14"/>
        <v/>
      </c>
      <c r="H500" s="81" t="str">
        <f>IF(ISNUMBER(node_raw[[#This Row],[Column6]]), node_raw[[#This Row],[Column6]]/1048576,"")</f>
        <v/>
      </c>
      <c r="I500" s="82" t="str">
        <f t="shared" si="15"/>
        <v/>
      </c>
      <c r="J500" s="83" t="str">
        <f>IF(ISNONTEXT(node_raw[[#This Row],[Column7]]), "", node_raw[[#This Row],[Column7]]/100)</f>
        <v/>
      </c>
      <c r="K500" s="84" t="str">
        <f>IF(ISNONTEXT(node_raw[[#This Row],[Column8]]), "", node_raw[[#This Row],[Column8]]/100)</f>
        <v/>
      </c>
      <c r="L500" s="85" t="str">
        <f>IF(ISNONTEXT(node_raw[[#This Row],[Column9]]), "", node_raw[[#This Row],[Column9]]/1)</f>
        <v/>
      </c>
      <c r="M500" s="86" t="str">
        <f>IF(ISNONTEXT(node_raw[[#This Row],[Column10]]), "", node_raw[[#This Row],[Column10]]/1)</f>
        <v/>
      </c>
    </row>
    <row r="501" spans="2:13" ht="15.75" customHeight="1" x14ac:dyDescent="0.25">
      <c r="G501" s="87"/>
      <c r="H501" s="85"/>
      <c r="I501" s="88"/>
      <c r="J501" s="83"/>
      <c r="K501" s="89"/>
      <c r="L501" s="85"/>
      <c r="M501" s="86"/>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1002"/>
  <sheetViews>
    <sheetView zoomScaleNormal="100" workbookViewId="0">
      <pane xSplit="1" topLeftCell="G1" activePane="topRight" state="frozen"/>
      <selection pane="topRight" activeCell="M18" sqref="M18"/>
    </sheetView>
  </sheetViews>
  <sheetFormatPr defaultColWidth="14.42578125" defaultRowHeight="15" customHeight="1" x14ac:dyDescent="0.25"/>
  <cols>
    <col min="1" max="1" width="38.7109375" style="40" customWidth="1"/>
    <col min="2" max="2" width="16.42578125" style="41" customWidth="1"/>
    <col min="3" max="3" width="16.7109375" style="41" customWidth="1"/>
    <col min="4" max="4" width="21.28515625" style="41" customWidth="1"/>
    <col min="5" max="5" width="13.7109375" style="42" customWidth="1"/>
    <col min="6" max="6" width="18.28515625" style="177" customWidth="1"/>
    <col min="7" max="7" width="18.42578125" style="178" customWidth="1"/>
    <col min="8" max="8" width="22" style="178" customWidth="1"/>
    <col min="9" max="9" width="22.85546875" style="179" customWidth="1"/>
    <col min="10" max="10" width="18.28515625" style="59" customWidth="1"/>
    <col min="11" max="11" width="18.42578125" style="60" customWidth="1"/>
    <col min="12" max="12" width="25.85546875" style="182" customWidth="1"/>
    <col min="13" max="13" width="25.85546875" style="183" customWidth="1"/>
    <col min="14" max="14" width="18.28515625" style="188" customWidth="1"/>
    <col min="15" max="15" width="18.28515625" style="189" customWidth="1"/>
    <col min="16" max="16" width="18.28515625" style="190" customWidth="1"/>
    <col min="17" max="17" width="18.28515625" style="189" customWidth="1"/>
    <col min="18" max="26" width="8.7109375" style="12" customWidth="1"/>
    <col min="27" max="16384" width="14.42578125" style="12"/>
  </cols>
  <sheetData>
    <row r="1" spans="1:17" ht="30.75" customHeight="1" thickBot="1" x14ac:dyDescent="0.3">
      <c r="A1" s="153"/>
      <c r="B1" s="154"/>
      <c r="C1" s="154"/>
      <c r="D1" s="154"/>
      <c r="E1" s="155"/>
      <c r="F1" s="156"/>
      <c r="G1" s="156"/>
      <c r="H1" s="129" t="s">
        <v>64</v>
      </c>
      <c r="I1" s="130" t="s">
        <v>65</v>
      </c>
      <c r="J1" s="157"/>
      <c r="K1" s="158"/>
      <c r="L1" s="129" t="s">
        <v>66</v>
      </c>
      <c r="M1" s="167" t="s">
        <v>67</v>
      </c>
      <c r="N1" s="194"/>
      <c r="O1" s="195"/>
      <c r="P1" s="171"/>
      <c r="Q1" s="172"/>
    </row>
    <row r="2" spans="1:17" ht="24.75" customHeight="1" thickBot="1" x14ac:dyDescent="0.3">
      <c r="A2" s="159"/>
      <c r="B2" s="160"/>
      <c r="C2" s="160"/>
      <c r="D2" s="160"/>
      <c r="E2" s="161"/>
      <c r="F2" s="162"/>
      <c r="G2" s="162"/>
      <c r="H2" s="165">
        <v>50</v>
      </c>
      <c r="I2" s="166">
        <v>25</v>
      </c>
      <c r="J2" s="163"/>
      <c r="K2" s="164"/>
      <c r="L2" s="131">
        <v>0.5</v>
      </c>
      <c r="M2" s="168">
        <v>0.5</v>
      </c>
      <c r="N2" s="196" t="s">
        <v>84</v>
      </c>
      <c r="O2" s="197">
        <f>IF(ISNUMBER(deployment_raw[[#This Row],[Column16]]), deployment_raw[[#This Row],[Column16]],"")</f>
        <v>28</v>
      </c>
      <c r="P2" s="193"/>
      <c r="Q2" s="173"/>
    </row>
    <row r="3" spans="1:17" ht="59.25" customHeight="1" thickTop="1" thickBot="1" x14ac:dyDescent="0.3">
      <c r="A3" s="148" t="s">
        <v>0</v>
      </c>
      <c r="B3" s="148" t="s">
        <v>29</v>
      </c>
      <c r="C3" s="148" t="s">
        <v>30</v>
      </c>
      <c r="D3" s="148" t="s">
        <v>1</v>
      </c>
      <c r="E3" s="149" t="s">
        <v>2</v>
      </c>
      <c r="F3" s="150" t="s">
        <v>71</v>
      </c>
      <c r="G3" s="151" t="s">
        <v>72</v>
      </c>
      <c r="H3" s="151" t="s">
        <v>73</v>
      </c>
      <c r="I3" s="152" t="s">
        <v>74</v>
      </c>
      <c r="J3" s="150" t="s">
        <v>75</v>
      </c>
      <c r="K3" s="151" t="s">
        <v>76</v>
      </c>
      <c r="L3" s="10" t="s">
        <v>77</v>
      </c>
      <c r="M3" s="11" t="s">
        <v>78</v>
      </c>
      <c r="N3" s="191" t="s">
        <v>79</v>
      </c>
      <c r="O3" s="192" t="s">
        <v>80</v>
      </c>
      <c r="P3" s="169" t="s">
        <v>81</v>
      </c>
      <c r="Q3" s="170" t="s">
        <v>82</v>
      </c>
    </row>
    <row r="4" spans="1:17" ht="15.75" thickTop="1" x14ac:dyDescent="0.25">
      <c r="A4" s="34" t="str">
        <f>IF(ISNONTEXT(deployment_raw[[#This Row],[Column1]]), "", deployment_raw[[#This Row],[Column1]])</f>
        <v>nfs-client-provisioner</v>
      </c>
      <c r="B4" s="35" t="str">
        <f>IF(ISNONTEXT(deployment_raw[[#This Row],[Column2]]), "", deployment_raw[[#This Row],[Column2]])</f>
        <v>deployment</v>
      </c>
      <c r="C4" s="35" t="str">
        <f>IF(ISNONTEXT(deployment_raw[[#This Row],[Column3]]), "", deployment_raw[[#This Row],[Column3]])</f>
        <v>default</v>
      </c>
      <c r="D4" s="35" t="str">
        <f>IF(ISNONTEXT(deployment_raw[[#This Row],[Column4]]), "", deployment_raw[[#This Row],[Column4]])</f>
        <v>&lt;none&gt;</v>
      </c>
      <c r="E4" s="36">
        <f>IF(ISNUMBER(deployment_raw[[#This Row],[Column5]]), deployment_raw[[#This Row],[Column5]],"")</f>
        <v>1</v>
      </c>
      <c r="F4" s="174">
        <f>IF(ISNUMBER(deployment_raw[[#This Row],[Column6]]), (deployment_raw[[#This Row],[Column6]] * deployment_raw[[#This Row],[Column5]]),"")</f>
        <v>0</v>
      </c>
      <c r="G4" s="175">
        <f>IF(ISNUMBER(deployment_raw[[#This Row],[Column7]]), (deployment_raw[[#This Row],[Column7]] * deployment_raw[[#This Row],[Column5]])/1048576,"")</f>
        <v>0</v>
      </c>
      <c r="H4" s="175">
        <f>IF(ISNUMBER(deployment_raw[[#This Row],[Column8]]), (deployment_raw[[#This Row],[Column8]]  * deployment_raw[[#This Row],[Column5]]),"")</f>
        <v>0</v>
      </c>
      <c r="I4" s="176">
        <f>IF(ISNUMBER(deployment_raw[[#This Row],[Column9]]), (deployment_raw[[#This Row],[Column9]] * deployment_raw[[#This Row],[Column5]])/1048576,"")</f>
        <v>0</v>
      </c>
      <c r="J4" s="57">
        <f>IF(ISNUMBER(deployment_raw[[#This Row],[Column10]]), (deployment_raw[[#This Row],[Column10]] * deployment_raw[[#This Row],[Column5]]),"")</f>
        <v>0</v>
      </c>
      <c r="K4" s="58">
        <f>IF(ISNUMBER(deployment_raw[[#This Row],[Column11]]), (deployment_raw[[#This Row],[Column11]] * deployment_raw[[#This Row],[Column5]])/1048576,"")</f>
        <v>0</v>
      </c>
      <c r="L4" s="180">
        <f>IF(ISNUMBER(deployment_raw[[#This Row],[Column8]]),IF(deployment_raw[[#This Row],[Column5]] &lt;&gt; 0, MAX((deployment_raw[[#This Row],[Column12]] * deployment_raw[[#This Row],[Column5]]), ((deployment_raw[[#This Row],[Column8]] * deployment_raw[[#This Row],[Column5]]) * $L$2), ($H$2 * deployment_raw[[#This Row],[Column5]])), 0),"")</f>
        <v>50</v>
      </c>
      <c r="M4" s="181">
        <f>IF(ISNUMBER(deployment_raw[[#This Row],[Column9]]),IF(deployment_raw[[#This Row],[Column5]] &lt;&gt; 0, MAX((deployment_raw[[#This Row],[Column13]] * deployment_raw[[#This Row],[Column5]])/1048576, ((deployment_raw[[#This Row],[Column9]] * deployment_raw[[#This Row],[Column5]]) * $M$2)/1048576, ($I$2 * deployment_raw[[#This Row],[Column5]])), 0),"")</f>
        <v>25</v>
      </c>
      <c r="N4" s="184">
        <f>IF(ISNUMBER(deployment_raw[[#This Row],[Column14]]), deployment_raw[[#This Row],[Column14]],"")</f>
        <v>0</v>
      </c>
      <c r="O4" s="185">
        <f>IF(ISNUMBER(deployment_raw[[#This Row],[Column15]]), deployment_raw[[#This Row],[Column15]]/1048576,"")</f>
        <v>0</v>
      </c>
      <c r="P4" s="186">
        <f>IF(ISNUMBER(deployment_raw[[#This Row],[Column12]]), (deployment_raw[[#This Row],[Column12]] * deployment_raw[[#This Row],[Column5]]),"")</f>
        <v>0</v>
      </c>
      <c r="Q4" s="187">
        <f>IF(ISNUMBER(deployment_raw[[#This Row],[Column13]]), (deployment_raw[[#This Row],[Column13]] * deployment_raw[[#This Row],[Column5]])/1048576,"")</f>
        <v>0</v>
      </c>
    </row>
    <row r="5" spans="1:17" x14ac:dyDescent="0.25">
      <c r="A5" s="37" t="str">
        <f>IF(ISNONTEXT(deployment_raw[[#This Row],[Column1]]), "", deployment_raw[[#This Row],[Column1]])</f>
        <v>wpacontroller-watermarkpodautoscaler</v>
      </c>
      <c r="B5" s="38" t="str">
        <f>IF(ISNONTEXT(deployment_raw[[#This Row],[Column2]]), "", deployment_raw[[#This Row],[Column2]])</f>
        <v>deployment</v>
      </c>
      <c r="C5" s="38" t="str">
        <f>IF(ISNONTEXT(deployment_raw[[#This Row],[Column3]]), "", deployment_raw[[#This Row],[Column3]])</f>
        <v>default</v>
      </c>
      <c r="D5" s="38" t="str">
        <f>IF(ISNONTEXT(deployment_raw[[#This Row],[Column4]]), "", deployment_raw[[#This Row],[Column4]])</f>
        <v>&lt;none&gt;</v>
      </c>
      <c r="E5" s="39">
        <f>IF(ISNUMBER(deployment_raw[[#This Row],[Column5]]), deployment_raw[[#This Row],[Column5]],"")</f>
        <v>1</v>
      </c>
      <c r="F5" s="174">
        <f>IF(ISNUMBER(deployment_raw[[#This Row],[Column6]]), (deployment_raw[[#This Row],[Column6]] * deployment_raw[[#This Row],[Column5]]),"")</f>
        <v>0</v>
      </c>
      <c r="G5" s="175">
        <f>IF(ISNUMBER(deployment_raw[[#This Row],[Column7]]), (deployment_raw[[#This Row],[Column7]] * deployment_raw[[#This Row],[Column5]])/1048576,"")</f>
        <v>0</v>
      </c>
      <c r="H5" s="175">
        <f>IF(ISNUMBER(deployment_raw[[#This Row],[Column8]]), (deployment_raw[[#This Row],[Column8]]  * deployment_raw[[#This Row],[Column5]]),"")</f>
        <v>0</v>
      </c>
      <c r="I5" s="176">
        <f>IF(ISNUMBER(deployment_raw[[#This Row],[Column9]]), (deployment_raw[[#This Row],[Column9]] * deployment_raw[[#This Row],[Column5]])/1048576,"")</f>
        <v>0</v>
      </c>
      <c r="J5" s="57">
        <f>IF(ISNUMBER(deployment_raw[[#This Row],[Column10]]), (deployment_raw[[#This Row],[Column10]] * deployment_raw[[#This Row],[Column5]]),"")</f>
        <v>0</v>
      </c>
      <c r="K5" s="58">
        <f>IF(ISNUMBER(deployment_raw[[#This Row],[Column11]]), (deployment_raw[[#This Row],[Column11]] * deployment_raw[[#This Row],[Column5]])/1048576,"")</f>
        <v>0</v>
      </c>
      <c r="L5" s="180">
        <f>IF(ISNUMBER(deployment_raw[[#This Row],[Column8]]),IF(deployment_raw[[#This Row],[Column5]] &lt;&gt; 0, MAX((deployment_raw[[#This Row],[Column12]] * deployment_raw[[#This Row],[Column5]]), ((deployment_raw[[#This Row],[Column8]] * deployment_raw[[#This Row],[Column5]]) * $L$2), ($H$2 * deployment_raw[[#This Row],[Column5]])), 0),"")</f>
        <v>50</v>
      </c>
      <c r="M5" s="181">
        <f>IF(ISNUMBER(deployment_raw[[#This Row],[Column9]]),IF(deployment_raw[[#This Row],[Column5]] &lt;&gt; 0, MAX((deployment_raw[[#This Row],[Column13]] * deployment_raw[[#This Row],[Column5]])/1048576, ((deployment_raw[[#This Row],[Column9]] * deployment_raw[[#This Row],[Column5]]) * $M$2)/1048576, ($I$2 * deployment_raw[[#This Row],[Column5]])), 0),"")</f>
        <v>25</v>
      </c>
      <c r="N5" s="188">
        <f>IF(ISNUMBER(deployment_raw[[#This Row],[Column14]]), deployment_raw[[#This Row],[Column14]],"")</f>
        <v>0</v>
      </c>
      <c r="O5" s="189">
        <f>IF(ISNUMBER(deployment_raw[[#This Row],[Column15]]), deployment_raw[[#This Row],[Column15]]/1048576,"")</f>
        <v>0</v>
      </c>
      <c r="P5" s="190">
        <f>IF(ISNUMBER(deployment_raw[[#This Row],[Column12]]), (deployment_raw[[#This Row],[Column12]] * deployment_raw[[#This Row],[Column5]]),"")</f>
        <v>0</v>
      </c>
      <c r="Q5" s="189">
        <f>IF(ISNUMBER(deployment_raw[[#This Row],[Column13]]), (deployment_raw[[#This Row],[Column13]] * deployment_raw[[#This Row],[Column5]])/1048576,"")</f>
        <v>0</v>
      </c>
    </row>
    <row r="6" spans="1:17" x14ac:dyDescent="0.25">
      <c r="A6" s="37" t="str">
        <f>IF(ISNONTEXT(deployment_raw[[#This Row],[Column1]]), "", deployment_raw[[#This Row],[Column1]])</f>
        <v>calico-kube-controllers</v>
      </c>
      <c r="B6" s="38" t="str">
        <f>IF(ISNONTEXT(deployment_raw[[#This Row],[Column2]]), "", deployment_raw[[#This Row],[Column2]])</f>
        <v>deployment</v>
      </c>
      <c r="C6" s="38" t="str">
        <f>IF(ISNONTEXT(deployment_raw[[#This Row],[Column3]]), "", deployment_raw[[#This Row],[Column3]])</f>
        <v>kube-system</v>
      </c>
      <c r="D6" s="38" t="str">
        <f>IF(ISNONTEXT(deployment_raw[[#This Row],[Column4]]), "", deployment_raw[[#This Row],[Column4]])</f>
        <v>&lt;none&gt;</v>
      </c>
      <c r="E6" s="39">
        <f>IF(ISNUMBER(deployment_raw[[#This Row],[Column5]]), deployment_raw[[#This Row],[Column5]],"")</f>
        <v>1</v>
      </c>
      <c r="F6" s="174">
        <f>IF(ISNUMBER(deployment_raw[[#This Row],[Column6]]), (deployment_raw[[#This Row],[Column6]] * deployment_raw[[#This Row],[Column5]]),"")</f>
        <v>0</v>
      </c>
      <c r="G6" s="175">
        <f>IF(ISNUMBER(deployment_raw[[#This Row],[Column7]]), (deployment_raw[[#This Row],[Column7]] * deployment_raw[[#This Row],[Column5]])/1048576,"")</f>
        <v>0</v>
      </c>
      <c r="H6" s="175">
        <f>IF(ISNUMBER(deployment_raw[[#This Row],[Column8]]), (deployment_raw[[#This Row],[Column8]]  * deployment_raw[[#This Row],[Column5]]),"")</f>
        <v>0</v>
      </c>
      <c r="I6" s="176">
        <f>IF(ISNUMBER(deployment_raw[[#This Row],[Column9]]), (deployment_raw[[#This Row],[Column9]] * deployment_raw[[#This Row],[Column5]])/1048576,"")</f>
        <v>0</v>
      </c>
      <c r="J6" s="57">
        <f>IF(ISNUMBER(deployment_raw[[#This Row],[Column10]]), (deployment_raw[[#This Row],[Column10]] * deployment_raw[[#This Row],[Column5]]),"")</f>
        <v>0</v>
      </c>
      <c r="K6" s="58">
        <f>IF(ISNUMBER(deployment_raw[[#This Row],[Column11]]), (deployment_raw[[#This Row],[Column11]] * deployment_raw[[#This Row],[Column5]])/1048576,"")</f>
        <v>0</v>
      </c>
      <c r="L6" s="180">
        <f>IF(ISNUMBER(deployment_raw[[#This Row],[Column8]]),IF(deployment_raw[[#This Row],[Column5]] &lt;&gt; 0, MAX((deployment_raw[[#This Row],[Column12]] * deployment_raw[[#This Row],[Column5]]), ((deployment_raw[[#This Row],[Column8]] * deployment_raw[[#This Row],[Column5]]) * $L$2), ($H$2 * deployment_raw[[#This Row],[Column5]])), 0),"")</f>
        <v>50</v>
      </c>
      <c r="M6" s="181">
        <f>IF(ISNUMBER(deployment_raw[[#This Row],[Column9]]),IF(deployment_raw[[#This Row],[Column5]] &lt;&gt; 0, MAX((deployment_raw[[#This Row],[Column13]] * deployment_raw[[#This Row],[Column5]])/1048576, ((deployment_raw[[#This Row],[Column9]] * deployment_raw[[#This Row],[Column5]]) * $M$2)/1048576, ($I$2 * deployment_raw[[#This Row],[Column5]])), 0),"")</f>
        <v>25</v>
      </c>
      <c r="N6" s="188">
        <f>IF(ISNUMBER(deployment_raw[[#This Row],[Column14]]), deployment_raw[[#This Row],[Column14]],"")</f>
        <v>0</v>
      </c>
      <c r="O6" s="189">
        <f>IF(ISNUMBER(deployment_raw[[#This Row],[Column15]]), deployment_raw[[#This Row],[Column15]]/1048576,"")</f>
        <v>0</v>
      </c>
      <c r="P6" s="190">
        <f>IF(ISNUMBER(deployment_raw[[#This Row],[Column12]]), (deployment_raw[[#This Row],[Column12]] * deployment_raw[[#This Row],[Column5]]),"")</f>
        <v>0</v>
      </c>
      <c r="Q6" s="189">
        <f>IF(ISNUMBER(deployment_raw[[#This Row],[Column13]]), (deployment_raw[[#This Row],[Column13]] * deployment_raw[[#This Row],[Column5]])/1048576,"")</f>
        <v>0</v>
      </c>
    </row>
    <row r="7" spans="1:17" x14ac:dyDescent="0.25">
      <c r="A7" s="37" t="str">
        <f>IF(ISNONTEXT(deployment_raw[[#This Row],[Column1]]), "", deployment_raw[[#This Row],[Column1]])</f>
        <v>coredns</v>
      </c>
      <c r="B7" s="38" t="str">
        <f>IF(ISNONTEXT(deployment_raw[[#This Row],[Column2]]), "", deployment_raw[[#This Row],[Column2]])</f>
        <v>deployment</v>
      </c>
      <c r="C7" s="38" t="str">
        <f>IF(ISNONTEXT(deployment_raw[[#This Row],[Column3]]), "", deployment_raw[[#This Row],[Column3]])</f>
        <v>kube-system</v>
      </c>
      <c r="D7" s="38" t="str">
        <f>IF(ISNONTEXT(deployment_raw[[#This Row],[Column4]]), "", deployment_raw[[#This Row],[Column4]])</f>
        <v>&lt;none&gt;</v>
      </c>
      <c r="E7" s="39">
        <f>IF(ISNUMBER(deployment_raw[[#This Row],[Column5]]), deployment_raw[[#This Row],[Column5]],"")</f>
        <v>2</v>
      </c>
      <c r="F7" s="174">
        <f>IF(ISNUMBER(deployment_raw[[#This Row],[Column6]]), (deployment_raw[[#This Row],[Column6]] * deployment_raw[[#This Row],[Column5]]),"")</f>
        <v>200</v>
      </c>
      <c r="G7" s="175">
        <f>IF(ISNUMBER(deployment_raw[[#This Row],[Column7]]), (deployment_raw[[#This Row],[Column7]] * deployment_raw[[#This Row],[Column5]])/1048576,"")</f>
        <v>140</v>
      </c>
      <c r="H7" s="175">
        <f>IF(ISNUMBER(deployment_raw[[#This Row],[Column8]]), (deployment_raw[[#This Row],[Column8]]  * deployment_raw[[#This Row],[Column5]]),"")</f>
        <v>0</v>
      </c>
      <c r="I7" s="176">
        <f>IF(ISNUMBER(deployment_raw[[#This Row],[Column9]]), (deployment_raw[[#This Row],[Column9]] * deployment_raw[[#This Row],[Column5]])/1048576,"")</f>
        <v>340</v>
      </c>
      <c r="J7" s="57">
        <f>IF(ISNUMBER(deployment_raw[[#This Row],[Column10]]), (deployment_raw[[#This Row],[Column10]] * deployment_raw[[#This Row],[Column5]]),"")</f>
        <v>200</v>
      </c>
      <c r="K7" s="58">
        <f>IF(ISNUMBER(deployment_raw[[#This Row],[Column11]]), (deployment_raw[[#This Row],[Column11]] * deployment_raw[[#This Row],[Column5]])/1048576,"")</f>
        <v>140</v>
      </c>
      <c r="L7" s="180">
        <f>IF(ISNUMBER(deployment_raw[[#This Row],[Column8]]),IF(deployment_raw[[#This Row],[Column5]] &lt;&gt; 0, MAX((deployment_raw[[#This Row],[Column12]] * deployment_raw[[#This Row],[Column5]]), ((deployment_raw[[#This Row],[Column8]] * deployment_raw[[#This Row],[Column5]]) * $L$2), ($H$2 * deployment_raw[[#This Row],[Column5]])), 0),"")</f>
        <v>100</v>
      </c>
      <c r="M7" s="181">
        <f>IF(ISNUMBER(deployment_raw[[#This Row],[Column9]]),IF(deployment_raw[[#This Row],[Column5]] &lt;&gt; 0, MAX((deployment_raw[[#This Row],[Column13]] * deployment_raw[[#This Row],[Column5]])/1048576, ((deployment_raw[[#This Row],[Column9]] * deployment_raw[[#This Row],[Column5]]) * $M$2)/1048576, ($I$2 * deployment_raw[[#This Row],[Column5]])), 0),"")</f>
        <v>340</v>
      </c>
      <c r="N7" s="188">
        <f>IF(ISNUMBER(deployment_raw[[#This Row],[Column14]]), deployment_raw[[#This Row],[Column14]],"")</f>
        <v>0</v>
      </c>
      <c r="O7" s="189">
        <f>IF(ISNUMBER(deployment_raw[[#This Row],[Column15]]), deployment_raw[[#This Row],[Column15]]/1048576,"")</f>
        <v>0</v>
      </c>
      <c r="P7" s="190">
        <f>IF(ISNUMBER(deployment_raw[[#This Row],[Column12]]), (deployment_raw[[#This Row],[Column12]] * deployment_raw[[#This Row],[Column5]]),"")</f>
        <v>0</v>
      </c>
      <c r="Q7" s="189">
        <f>IF(ISNUMBER(deployment_raw[[#This Row],[Column13]]), (deployment_raw[[#This Row],[Column13]] * deployment_raw[[#This Row],[Column5]])/1048576,"")</f>
        <v>340</v>
      </c>
    </row>
    <row r="8" spans="1:17" x14ac:dyDescent="0.25">
      <c r="A8" s="37" t="str">
        <f>IF(ISNONTEXT(deployment_raw[[#This Row],[Column1]]), "", deployment_raw[[#This Row],[Column1]])</f>
        <v>metrics-server</v>
      </c>
      <c r="B8" s="38" t="str">
        <f>IF(ISNONTEXT(deployment_raw[[#This Row],[Column2]]), "", deployment_raw[[#This Row],[Column2]])</f>
        <v>deployment</v>
      </c>
      <c r="C8" s="38" t="str">
        <f>IF(ISNONTEXT(deployment_raw[[#This Row],[Column3]]), "", deployment_raw[[#This Row],[Column3]])</f>
        <v>kube-system</v>
      </c>
      <c r="D8" s="38" t="str">
        <f>IF(ISNONTEXT(deployment_raw[[#This Row],[Column4]]), "", deployment_raw[[#This Row],[Column4]])</f>
        <v>&lt;none&gt;</v>
      </c>
      <c r="E8" s="39">
        <f>IF(ISNUMBER(deployment_raw[[#This Row],[Column5]]), deployment_raw[[#This Row],[Column5]],"")</f>
        <v>1</v>
      </c>
      <c r="F8" s="174">
        <f>IF(ISNUMBER(deployment_raw[[#This Row],[Column6]]), (deployment_raw[[#This Row],[Column6]] * deployment_raw[[#This Row],[Column5]]),"")</f>
        <v>0</v>
      </c>
      <c r="G8" s="175">
        <f>IF(ISNUMBER(deployment_raw[[#This Row],[Column7]]), (deployment_raw[[#This Row],[Column7]] * deployment_raw[[#This Row],[Column5]])/1048576,"")</f>
        <v>0</v>
      </c>
      <c r="H8" s="175">
        <f>IF(ISNUMBER(deployment_raw[[#This Row],[Column8]]), (deployment_raw[[#This Row],[Column8]]  * deployment_raw[[#This Row],[Column5]]),"")</f>
        <v>0</v>
      </c>
      <c r="I8" s="176">
        <f>IF(ISNUMBER(deployment_raw[[#This Row],[Column9]]), (deployment_raw[[#This Row],[Column9]] * deployment_raw[[#This Row],[Column5]])/1048576,"")</f>
        <v>0</v>
      </c>
      <c r="J8" s="57">
        <f>IF(ISNUMBER(deployment_raw[[#This Row],[Column10]]), (deployment_raw[[#This Row],[Column10]] * deployment_raw[[#This Row],[Column5]]),"")</f>
        <v>0</v>
      </c>
      <c r="K8" s="58">
        <f>IF(ISNUMBER(deployment_raw[[#This Row],[Column11]]), (deployment_raw[[#This Row],[Column11]] * deployment_raw[[#This Row],[Column5]])/1048576,"")</f>
        <v>0</v>
      </c>
      <c r="L8" s="180">
        <f>IF(ISNUMBER(deployment_raw[[#This Row],[Column8]]),IF(deployment_raw[[#This Row],[Column5]] &lt;&gt; 0, MAX((deployment_raw[[#This Row],[Column12]] * deployment_raw[[#This Row],[Column5]]), ((deployment_raw[[#This Row],[Column8]] * deployment_raw[[#This Row],[Column5]]) * $L$2), ($H$2 * deployment_raw[[#This Row],[Column5]])), 0),"")</f>
        <v>50</v>
      </c>
      <c r="M8" s="181">
        <f>IF(ISNUMBER(deployment_raw[[#This Row],[Column9]]),IF(deployment_raw[[#This Row],[Column5]] &lt;&gt; 0, MAX((deployment_raw[[#This Row],[Column13]] * deployment_raw[[#This Row],[Column5]])/1048576, ((deployment_raw[[#This Row],[Column9]] * deployment_raw[[#This Row],[Column5]]) * $M$2)/1048576, ($I$2 * deployment_raw[[#This Row],[Column5]])), 0),"")</f>
        <v>25</v>
      </c>
      <c r="N8" s="188">
        <f>IF(ISNUMBER(deployment_raw[[#This Row],[Column14]]), deployment_raw[[#This Row],[Column14]],"")</f>
        <v>0</v>
      </c>
      <c r="O8" s="189">
        <f>IF(ISNUMBER(deployment_raw[[#This Row],[Column15]]), deployment_raw[[#This Row],[Column15]]/1048576,"")</f>
        <v>0</v>
      </c>
      <c r="P8" s="190">
        <f>IF(ISNUMBER(deployment_raw[[#This Row],[Column12]]), (deployment_raw[[#This Row],[Column12]] * deployment_raw[[#This Row],[Column5]]),"")</f>
        <v>0</v>
      </c>
      <c r="Q8" s="189">
        <f>IF(ISNUMBER(deployment_raw[[#This Row],[Column13]]), (deployment_raw[[#This Row],[Column13]] * deployment_raw[[#This Row],[Column5]])/1048576,"")</f>
        <v>0</v>
      </c>
    </row>
    <row r="9" spans="1:17" x14ac:dyDescent="0.25">
      <c r="A9" s="37" t="str">
        <f>IF(ISNONTEXT(deployment_raw[[#This Row],[Column1]]), "", deployment_raw[[#This Row],[Column1]])</f>
        <v>local-path-provisioner</v>
      </c>
      <c r="B9" s="38" t="str">
        <f>IF(ISNONTEXT(deployment_raw[[#This Row],[Column2]]), "", deployment_raw[[#This Row],[Column2]])</f>
        <v>deployment</v>
      </c>
      <c r="C9" s="38" t="str">
        <f>IF(ISNONTEXT(deployment_raw[[#This Row],[Column3]]), "", deployment_raw[[#This Row],[Column3]])</f>
        <v>local-path-storage</v>
      </c>
      <c r="D9" s="38" t="str">
        <f>IF(ISNONTEXT(deployment_raw[[#This Row],[Column4]]), "", deployment_raw[[#This Row],[Column4]])</f>
        <v>&lt;none&gt;</v>
      </c>
      <c r="E9" s="39">
        <f>IF(ISNUMBER(deployment_raw[[#This Row],[Column5]]), deployment_raw[[#This Row],[Column5]],"")</f>
        <v>1</v>
      </c>
      <c r="F9" s="174">
        <f>IF(ISNUMBER(deployment_raw[[#This Row],[Column6]]), (deployment_raw[[#This Row],[Column6]] * deployment_raw[[#This Row],[Column5]]),"")</f>
        <v>0</v>
      </c>
      <c r="G9" s="175">
        <f>IF(ISNUMBER(deployment_raw[[#This Row],[Column7]]), (deployment_raw[[#This Row],[Column7]] * deployment_raw[[#This Row],[Column5]])/1048576,"")</f>
        <v>0</v>
      </c>
      <c r="H9" s="175">
        <f>IF(ISNUMBER(deployment_raw[[#This Row],[Column8]]), (deployment_raw[[#This Row],[Column8]]  * deployment_raw[[#This Row],[Column5]]),"")</f>
        <v>0</v>
      </c>
      <c r="I9" s="176">
        <f>IF(ISNUMBER(deployment_raw[[#This Row],[Column9]]), (deployment_raw[[#This Row],[Column9]] * deployment_raw[[#This Row],[Column5]])/1048576,"")</f>
        <v>0</v>
      </c>
      <c r="J9" s="57">
        <f>IF(ISNUMBER(deployment_raw[[#This Row],[Column10]]), (deployment_raw[[#This Row],[Column10]] * deployment_raw[[#This Row],[Column5]]),"")</f>
        <v>0</v>
      </c>
      <c r="K9" s="58">
        <f>IF(ISNUMBER(deployment_raw[[#This Row],[Column11]]), (deployment_raw[[#This Row],[Column11]] * deployment_raw[[#This Row],[Column5]])/1048576,"")</f>
        <v>0</v>
      </c>
      <c r="L9" s="180">
        <f>IF(ISNUMBER(deployment_raw[[#This Row],[Column8]]),IF(deployment_raw[[#This Row],[Column5]] &lt;&gt; 0, MAX((deployment_raw[[#This Row],[Column12]] * deployment_raw[[#This Row],[Column5]]), ((deployment_raw[[#This Row],[Column8]] * deployment_raw[[#This Row],[Column5]]) * $L$2), ($H$2 * deployment_raw[[#This Row],[Column5]])), 0),"")</f>
        <v>50</v>
      </c>
      <c r="M9" s="181">
        <f>IF(ISNUMBER(deployment_raw[[#This Row],[Column9]]),IF(deployment_raw[[#This Row],[Column5]] &lt;&gt; 0, MAX((deployment_raw[[#This Row],[Column13]] * deployment_raw[[#This Row],[Column5]])/1048576, ((deployment_raw[[#This Row],[Column9]] * deployment_raw[[#This Row],[Column5]]) * $M$2)/1048576, ($I$2 * deployment_raw[[#This Row],[Column5]])), 0),"")</f>
        <v>25</v>
      </c>
      <c r="N9" s="188">
        <f>IF(ISNUMBER(deployment_raw[[#This Row],[Column14]]), deployment_raw[[#This Row],[Column14]],"")</f>
        <v>0</v>
      </c>
      <c r="O9" s="189">
        <f>IF(ISNUMBER(deployment_raw[[#This Row],[Column15]]), deployment_raw[[#This Row],[Column15]]/1048576,"")</f>
        <v>0</v>
      </c>
      <c r="P9" s="190">
        <f>IF(ISNUMBER(deployment_raw[[#This Row],[Column12]]), (deployment_raw[[#This Row],[Column12]] * deployment_raw[[#This Row],[Column5]]),"")</f>
        <v>0</v>
      </c>
      <c r="Q9" s="189">
        <f>IF(ISNUMBER(deployment_raw[[#This Row],[Column13]]), (deployment_raw[[#This Row],[Column13]] * deployment_raw[[#This Row],[Column5]])/1048576,"")</f>
        <v>0</v>
      </c>
    </row>
    <row r="10" spans="1:17" x14ac:dyDescent="0.25">
      <c r="A10" s="37" t="str">
        <f>IF(ISNONTEXT(deployment_raw[[#This Row],[Column1]]), "", deployment_raw[[#This Row],[Column1]])</f>
        <v>my-prometheus-operator-grafana</v>
      </c>
      <c r="B10" s="38" t="str">
        <f>IF(ISNONTEXT(deployment_raw[[#This Row],[Column2]]), "", deployment_raw[[#This Row],[Column2]])</f>
        <v>deployment</v>
      </c>
      <c r="C10" s="38" t="str">
        <f>IF(ISNONTEXT(deployment_raw[[#This Row],[Column3]]), "", deployment_raw[[#This Row],[Column3]])</f>
        <v>monitoring</v>
      </c>
      <c r="D10" s="38" t="str">
        <f>IF(ISNONTEXT(deployment_raw[[#This Row],[Column4]]), "", deployment_raw[[#This Row],[Column4]])</f>
        <v>&lt;none&gt;</v>
      </c>
      <c r="E10" s="39">
        <f>IF(ISNUMBER(deployment_raw[[#This Row],[Column5]]), deployment_raw[[#This Row],[Column5]],"")</f>
        <v>1</v>
      </c>
      <c r="F10" s="174">
        <f>IF(ISNUMBER(deployment_raw[[#This Row],[Column6]]), (deployment_raw[[#This Row],[Column6]] * deployment_raw[[#This Row],[Column5]]),"")</f>
        <v>0</v>
      </c>
      <c r="G10" s="175">
        <f>IF(ISNUMBER(deployment_raw[[#This Row],[Column7]]), (deployment_raw[[#This Row],[Column7]] * deployment_raw[[#This Row],[Column5]])/1048576,"")</f>
        <v>0</v>
      </c>
      <c r="H10" s="175">
        <f>IF(ISNUMBER(deployment_raw[[#This Row],[Column8]]), (deployment_raw[[#This Row],[Column8]]  * deployment_raw[[#This Row],[Column5]]),"")</f>
        <v>0</v>
      </c>
      <c r="I10" s="176">
        <f>IF(ISNUMBER(deployment_raw[[#This Row],[Column9]]), (deployment_raw[[#This Row],[Column9]] * deployment_raw[[#This Row],[Column5]])/1048576,"")</f>
        <v>0</v>
      </c>
      <c r="J10" s="57">
        <f>IF(ISNUMBER(deployment_raw[[#This Row],[Column10]]), (deployment_raw[[#This Row],[Column10]] * deployment_raw[[#This Row],[Column5]]),"")</f>
        <v>0</v>
      </c>
      <c r="K10" s="58">
        <f>IF(ISNUMBER(deployment_raw[[#This Row],[Column11]]), (deployment_raw[[#This Row],[Column11]] * deployment_raw[[#This Row],[Column5]])/1048576,"")</f>
        <v>0</v>
      </c>
      <c r="L10" s="180">
        <f>IF(ISNUMBER(deployment_raw[[#This Row],[Column8]]),IF(deployment_raw[[#This Row],[Column5]] &lt;&gt; 0, MAX((deployment_raw[[#This Row],[Column12]] * deployment_raw[[#This Row],[Column5]]), ((deployment_raw[[#This Row],[Column8]] * deployment_raw[[#This Row],[Column5]]) * $L$2), ($H$2 * deployment_raw[[#This Row],[Column5]])), 0),"")</f>
        <v>50</v>
      </c>
      <c r="M10" s="181">
        <f>IF(ISNUMBER(deployment_raw[[#This Row],[Column9]]),IF(deployment_raw[[#This Row],[Column5]] &lt;&gt; 0, MAX((deployment_raw[[#This Row],[Column13]] * deployment_raw[[#This Row],[Column5]])/1048576, ((deployment_raw[[#This Row],[Column9]] * deployment_raw[[#This Row],[Column5]]) * $M$2)/1048576, ($I$2 * deployment_raw[[#This Row],[Column5]])), 0),"")</f>
        <v>25</v>
      </c>
      <c r="N10" s="188">
        <f>IF(ISNUMBER(deployment_raw[[#This Row],[Column14]]), deployment_raw[[#This Row],[Column14]],"")</f>
        <v>0</v>
      </c>
      <c r="O10" s="189">
        <f>IF(ISNUMBER(deployment_raw[[#This Row],[Column15]]), deployment_raw[[#This Row],[Column15]]/1048576,"")</f>
        <v>0</v>
      </c>
      <c r="P10" s="190">
        <f>IF(ISNUMBER(deployment_raw[[#This Row],[Column12]]), (deployment_raw[[#This Row],[Column12]] * deployment_raw[[#This Row],[Column5]]),"")</f>
        <v>0</v>
      </c>
      <c r="Q10" s="189">
        <f>IF(ISNUMBER(deployment_raw[[#This Row],[Column13]]), (deployment_raw[[#This Row],[Column13]] * deployment_raw[[#This Row],[Column5]])/1048576,"")</f>
        <v>0</v>
      </c>
    </row>
    <row r="11" spans="1:17" x14ac:dyDescent="0.25">
      <c r="A11" s="37" t="str">
        <f>IF(ISNONTEXT(deployment_raw[[#This Row],[Column1]]), "", deployment_raw[[#This Row],[Column1]])</f>
        <v>my-prometheus-operator-kub-operator</v>
      </c>
      <c r="B11" s="38" t="str">
        <f>IF(ISNONTEXT(deployment_raw[[#This Row],[Column2]]), "", deployment_raw[[#This Row],[Column2]])</f>
        <v>deployment</v>
      </c>
      <c r="C11" s="38" t="str">
        <f>IF(ISNONTEXT(deployment_raw[[#This Row],[Column3]]), "", deployment_raw[[#This Row],[Column3]])</f>
        <v>monitoring</v>
      </c>
      <c r="D11" s="38" t="str">
        <f>IF(ISNONTEXT(deployment_raw[[#This Row],[Column4]]), "", deployment_raw[[#This Row],[Column4]])</f>
        <v>&lt;none&gt;</v>
      </c>
      <c r="E11" s="39">
        <f>IF(ISNUMBER(deployment_raw[[#This Row],[Column5]]), deployment_raw[[#This Row],[Column5]],"")</f>
        <v>1</v>
      </c>
      <c r="F11" s="174">
        <f>IF(ISNUMBER(deployment_raw[[#This Row],[Column6]]), (deployment_raw[[#This Row],[Column6]] * deployment_raw[[#This Row],[Column5]]),"")</f>
        <v>0</v>
      </c>
      <c r="G11" s="175">
        <f>IF(ISNUMBER(deployment_raw[[#This Row],[Column7]]), (deployment_raw[[#This Row],[Column7]] * deployment_raw[[#This Row],[Column5]])/1048576,"")</f>
        <v>0</v>
      </c>
      <c r="H11" s="175">
        <f>IF(ISNUMBER(deployment_raw[[#This Row],[Column8]]), (deployment_raw[[#This Row],[Column8]]  * deployment_raw[[#This Row],[Column5]]),"")</f>
        <v>0</v>
      </c>
      <c r="I11" s="176">
        <f>IF(ISNUMBER(deployment_raw[[#This Row],[Column9]]), (deployment_raw[[#This Row],[Column9]] * deployment_raw[[#This Row],[Column5]])/1048576,"")</f>
        <v>0</v>
      </c>
      <c r="J11" s="57">
        <f>IF(ISNUMBER(deployment_raw[[#This Row],[Column10]]), (deployment_raw[[#This Row],[Column10]] * deployment_raw[[#This Row],[Column5]]),"")</f>
        <v>0</v>
      </c>
      <c r="K11" s="58">
        <f>IF(ISNUMBER(deployment_raw[[#This Row],[Column11]]), (deployment_raw[[#This Row],[Column11]] * deployment_raw[[#This Row],[Column5]])/1048576,"")</f>
        <v>0</v>
      </c>
      <c r="L11" s="180">
        <f>IF(ISNUMBER(deployment_raw[[#This Row],[Column8]]),IF(deployment_raw[[#This Row],[Column5]] &lt;&gt; 0, MAX((deployment_raw[[#This Row],[Column12]] * deployment_raw[[#This Row],[Column5]]), ((deployment_raw[[#This Row],[Column8]] * deployment_raw[[#This Row],[Column5]]) * $L$2), ($H$2 * deployment_raw[[#This Row],[Column5]])), 0),"")</f>
        <v>50</v>
      </c>
      <c r="M11" s="181">
        <f>IF(ISNUMBER(deployment_raw[[#This Row],[Column9]]),IF(deployment_raw[[#This Row],[Column5]] &lt;&gt; 0, MAX((deployment_raw[[#This Row],[Column13]] * deployment_raw[[#This Row],[Column5]])/1048576, ((deployment_raw[[#This Row],[Column9]] * deployment_raw[[#This Row],[Column5]]) * $M$2)/1048576, ($I$2 * deployment_raw[[#This Row],[Column5]])), 0),"")</f>
        <v>25</v>
      </c>
      <c r="N11" s="188">
        <f>IF(ISNUMBER(deployment_raw[[#This Row],[Column14]]), deployment_raw[[#This Row],[Column14]],"")</f>
        <v>0</v>
      </c>
      <c r="O11" s="189">
        <f>IF(ISNUMBER(deployment_raw[[#This Row],[Column15]]), deployment_raw[[#This Row],[Column15]]/1048576,"")</f>
        <v>0</v>
      </c>
      <c r="P11" s="190">
        <f>IF(ISNUMBER(deployment_raw[[#This Row],[Column12]]), (deployment_raw[[#This Row],[Column12]] * deployment_raw[[#This Row],[Column5]]),"")</f>
        <v>0</v>
      </c>
      <c r="Q11" s="189">
        <f>IF(ISNUMBER(deployment_raw[[#This Row],[Column13]]), (deployment_raw[[#This Row],[Column13]] * deployment_raw[[#This Row],[Column5]])/1048576,"")</f>
        <v>0</v>
      </c>
    </row>
    <row r="12" spans="1:17" x14ac:dyDescent="0.25">
      <c r="A12" s="37" t="str">
        <f>IF(ISNONTEXT(deployment_raw[[#This Row],[Column1]]), "", deployment_raw[[#This Row],[Column1]])</f>
        <v>my-prometheus-operator-kube-state-metrics</v>
      </c>
      <c r="B12" s="38" t="str">
        <f>IF(ISNONTEXT(deployment_raw[[#This Row],[Column2]]), "", deployment_raw[[#This Row],[Column2]])</f>
        <v>deployment</v>
      </c>
      <c r="C12" s="38" t="str">
        <f>IF(ISNONTEXT(deployment_raw[[#This Row],[Column3]]), "", deployment_raw[[#This Row],[Column3]])</f>
        <v>monitoring</v>
      </c>
      <c r="D12" s="38" t="str">
        <f>IF(ISNONTEXT(deployment_raw[[#This Row],[Column4]]), "", deployment_raw[[#This Row],[Column4]])</f>
        <v>&lt;none&gt;</v>
      </c>
      <c r="E12" s="39">
        <f>IF(ISNUMBER(deployment_raw[[#This Row],[Column5]]), deployment_raw[[#This Row],[Column5]],"")</f>
        <v>1</v>
      </c>
      <c r="F12" s="174">
        <f>IF(ISNUMBER(deployment_raw[[#This Row],[Column6]]), (deployment_raw[[#This Row],[Column6]] * deployment_raw[[#This Row],[Column5]]),"")</f>
        <v>0</v>
      </c>
      <c r="G12" s="175">
        <f>IF(ISNUMBER(deployment_raw[[#This Row],[Column7]]), (deployment_raw[[#This Row],[Column7]] * deployment_raw[[#This Row],[Column5]])/1048576,"")</f>
        <v>0</v>
      </c>
      <c r="H12" s="175">
        <f>IF(ISNUMBER(deployment_raw[[#This Row],[Column8]]), (deployment_raw[[#This Row],[Column8]]  * deployment_raw[[#This Row],[Column5]]),"")</f>
        <v>0</v>
      </c>
      <c r="I12" s="176">
        <f>IF(ISNUMBER(deployment_raw[[#This Row],[Column9]]), (deployment_raw[[#This Row],[Column9]] * deployment_raw[[#This Row],[Column5]])/1048576,"")</f>
        <v>0</v>
      </c>
      <c r="J12" s="57">
        <f>IF(ISNUMBER(deployment_raw[[#This Row],[Column10]]), (deployment_raw[[#This Row],[Column10]] * deployment_raw[[#This Row],[Column5]]),"")</f>
        <v>0</v>
      </c>
      <c r="K12" s="58">
        <f>IF(ISNUMBER(deployment_raw[[#This Row],[Column11]]), (deployment_raw[[#This Row],[Column11]] * deployment_raw[[#This Row],[Column5]])/1048576,"")</f>
        <v>0</v>
      </c>
      <c r="L12" s="180">
        <f>IF(ISNUMBER(deployment_raw[[#This Row],[Column8]]),IF(deployment_raw[[#This Row],[Column5]] &lt;&gt; 0, MAX((deployment_raw[[#This Row],[Column12]] * deployment_raw[[#This Row],[Column5]]), ((deployment_raw[[#This Row],[Column8]] * deployment_raw[[#This Row],[Column5]]) * $L$2), ($H$2 * deployment_raw[[#This Row],[Column5]])), 0),"")</f>
        <v>50</v>
      </c>
      <c r="M12" s="181">
        <f>IF(ISNUMBER(deployment_raw[[#This Row],[Column9]]),IF(deployment_raw[[#This Row],[Column5]] &lt;&gt; 0, MAX((deployment_raw[[#This Row],[Column13]] * deployment_raw[[#This Row],[Column5]])/1048576, ((deployment_raw[[#This Row],[Column9]] * deployment_raw[[#This Row],[Column5]]) * $M$2)/1048576, ($I$2 * deployment_raw[[#This Row],[Column5]])), 0),"")</f>
        <v>25</v>
      </c>
      <c r="N12" s="188">
        <f>IF(ISNUMBER(deployment_raw[[#This Row],[Column14]]), deployment_raw[[#This Row],[Column14]],"")</f>
        <v>0</v>
      </c>
      <c r="O12" s="189">
        <f>IF(ISNUMBER(deployment_raw[[#This Row],[Column15]]), deployment_raw[[#This Row],[Column15]]/1048576,"")</f>
        <v>0</v>
      </c>
      <c r="P12" s="190">
        <f>IF(ISNUMBER(deployment_raw[[#This Row],[Column12]]), (deployment_raw[[#This Row],[Column12]] * deployment_raw[[#This Row],[Column5]]),"")</f>
        <v>0</v>
      </c>
      <c r="Q12" s="189">
        <f>IF(ISNUMBER(deployment_raw[[#This Row],[Column13]]), (deployment_raw[[#This Row],[Column13]] * deployment_raw[[#This Row],[Column5]])/1048576,"")</f>
        <v>0</v>
      </c>
    </row>
    <row r="13" spans="1:17" x14ac:dyDescent="0.25">
      <c r="A13" s="37" t="str">
        <f>IF(ISNONTEXT(deployment_raw[[#This Row],[Column1]]), "", deployment_raw[[#This Row],[Column1]])</f>
        <v>consumer</v>
      </c>
      <c r="B13" s="38" t="str">
        <f>IF(ISNONTEXT(deployment_raw[[#This Row],[Column2]]), "", deployment_raw[[#This Row],[Column2]])</f>
        <v>deployment</v>
      </c>
      <c r="C13" s="38" t="str">
        <f>IF(ISNONTEXT(deployment_raw[[#This Row],[Column3]]), "", deployment_raw[[#This Row],[Column3]])</f>
        <v>myproject</v>
      </c>
      <c r="D13" s="38" t="str">
        <f>IF(ISNONTEXT(deployment_raw[[#This Row],[Column4]]), "", deployment_raw[[#This Row],[Column4]])</f>
        <v>&lt;none&gt;</v>
      </c>
      <c r="E13" s="39">
        <f>IF(ISNUMBER(deployment_raw[[#This Row],[Column5]]), deployment_raw[[#This Row],[Column5]],"")</f>
        <v>1</v>
      </c>
      <c r="F13" s="174">
        <f>IF(ISNUMBER(deployment_raw[[#This Row],[Column6]]), (deployment_raw[[#This Row],[Column6]] * deployment_raw[[#This Row],[Column5]]),"")</f>
        <v>100</v>
      </c>
      <c r="G13" s="175">
        <f>IF(ISNUMBER(deployment_raw[[#This Row],[Column7]]), (deployment_raw[[#This Row],[Column7]] * deployment_raw[[#This Row],[Column5]])/1048576,"")</f>
        <v>500</v>
      </c>
      <c r="H13" s="175">
        <f>IF(ISNUMBER(deployment_raw[[#This Row],[Column8]]), (deployment_raw[[#This Row],[Column8]]  * deployment_raw[[#This Row],[Column5]]),"")</f>
        <v>100</v>
      </c>
      <c r="I13" s="176">
        <f>IF(ISNUMBER(deployment_raw[[#This Row],[Column9]]), (deployment_raw[[#This Row],[Column9]] * deployment_raw[[#This Row],[Column5]])/1048576,"")</f>
        <v>500</v>
      </c>
      <c r="J13" s="57">
        <f>IF(ISNUMBER(deployment_raw[[#This Row],[Column10]]), (deployment_raw[[#This Row],[Column10]] * deployment_raw[[#This Row],[Column5]]),"")</f>
        <v>100</v>
      </c>
      <c r="K13" s="58">
        <f>IF(ISNUMBER(deployment_raw[[#This Row],[Column11]]), (deployment_raw[[#This Row],[Column11]] * deployment_raw[[#This Row],[Column5]])/1048576,"")</f>
        <v>500</v>
      </c>
      <c r="L13" s="180">
        <f>IF(ISNUMBER(deployment_raw[[#This Row],[Column8]]),IF(deployment_raw[[#This Row],[Column5]] &lt;&gt; 0, MAX((deployment_raw[[#This Row],[Column12]] * deployment_raw[[#This Row],[Column5]]), ((deployment_raw[[#This Row],[Column8]] * deployment_raw[[#This Row],[Column5]]) * $L$2), ($H$2 * deployment_raw[[#This Row],[Column5]])), 0),"")</f>
        <v>100</v>
      </c>
      <c r="M13" s="181">
        <f>IF(ISNUMBER(deployment_raw[[#This Row],[Column9]]),IF(deployment_raw[[#This Row],[Column5]] &lt;&gt; 0, MAX((deployment_raw[[#This Row],[Column13]] * deployment_raw[[#This Row],[Column5]])/1048576, ((deployment_raw[[#This Row],[Column9]] * deployment_raw[[#This Row],[Column5]]) * $M$2)/1048576, ($I$2 * deployment_raw[[#This Row],[Column5]])), 0),"")</f>
        <v>500</v>
      </c>
      <c r="N13" s="188">
        <f>IF(ISNUMBER(deployment_raw[[#This Row],[Column14]]), deployment_raw[[#This Row],[Column14]],"")</f>
        <v>0</v>
      </c>
      <c r="O13" s="189">
        <f>IF(ISNUMBER(deployment_raw[[#This Row],[Column15]]), deployment_raw[[#This Row],[Column15]]/1048576,"")</f>
        <v>0</v>
      </c>
      <c r="P13" s="190">
        <f>IF(ISNUMBER(deployment_raw[[#This Row],[Column12]]), (deployment_raw[[#This Row],[Column12]] * deployment_raw[[#This Row],[Column5]]),"")</f>
        <v>100</v>
      </c>
      <c r="Q13" s="189">
        <f>IF(ISNUMBER(deployment_raw[[#This Row],[Column13]]), (deployment_raw[[#This Row],[Column13]] * deployment_raw[[#This Row],[Column5]])/1048576,"")</f>
        <v>500</v>
      </c>
    </row>
    <row r="14" spans="1:17" x14ac:dyDescent="0.25">
      <c r="A14" s="37" t="str">
        <f>IF(ISNONTEXT(deployment_raw[[#This Row],[Column1]]), "", deployment_raw[[#This Row],[Column1]])</f>
        <v>my-cluster-entity-operator</v>
      </c>
      <c r="B14" s="38" t="str">
        <f>IF(ISNONTEXT(deployment_raw[[#This Row],[Column2]]), "", deployment_raw[[#This Row],[Column2]])</f>
        <v>deployment</v>
      </c>
      <c r="C14" s="38" t="str">
        <f>IF(ISNONTEXT(deployment_raw[[#This Row],[Column3]]), "", deployment_raw[[#This Row],[Column3]])</f>
        <v>myproject</v>
      </c>
      <c r="D14" s="38" t="str">
        <f>IF(ISNONTEXT(deployment_raw[[#This Row],[Column4]]), "", deployment_raw[[#This Row],[Column4]])</f>
        <v>&lt;none&gt;</v>
      </c>
      <c r="E14" s="39">
        <f>IF(ISNUMBER(deployment_raw[[#This Row],[Column5]]), deployment_raw[[#This Row],[Column5]],"")</f>
        <v>1</v>
      </c>
      <c r="F14" s="174">
        <f>IF(ISNUMBER(deployment_raw[[#This Row],[Column6]]), (deployment_raw[[#This Row],[Column6]] * deployment_raw[[#This Row],[Column5]]),"")</f>
        <v>0</v>
      </c>
      <c r="G14" s="175">
        <f>IF(ISNUMBER(deployment_raw[[#This Row],[Column7]]), (deployment_raw[[#This Row],[Column7]] * deployment_raw[[#This Row],[Column5]])/1048576,"")</f>
        <v>0</v>
      </c>
      <c r="H14" s="175">
        <f>IF(ISNUMBER(deployment_raw[[#This Row],[Column8]]), (deployment_raw[[#This Row],[Column8]]  * deployment_raw[[#This Row],[Column5]]),"")</f>
        <v>0</v>
      </c>
      <c r="I14" s="176">
        <f>IF(ISNUMBER(deployment_raw[[#This Row],[Column9]]), (deployment_raw[[#This Row],[Column9]] * deployment_raw[[#This Row],[Column5]])/1048576,"")</f>
        <v>0</v>
      </c>
      <c r="J14" s="57">
        <f>IF(ISNUMBER(deployment_raw[[#This Row],[Column10]]), (deployment_raw[[#This Row],[Column10]] * deployment_raw[[#This Row],[Column5]]),"")</f>
        <v>0</v>
      </c>
      <c r="K14" s="58">
        <f>IF(ISNUMBER(deployment_raw[[#This Row],[Column11]]), (deployment_raw[[#This Row],[Column11]] * deployment_raw[[#This Row],[Column5]])/1048576,"")</f>
        <v>0</v>
      </c>
      <c r="L14" s="180">
        <f>IF(ISNUMBER(deployment_raw[[#This Row],[Column8]]),IF(deployment_raw[[#This Row],[Column5]] &lt;&gt; 0, MAX((deployment_raw[[#This Row],[Column12]] * deployment_raw[[#This Row],[Column5]]), ((deployment_raw[[#This Row],[Column8]] * deployment_raw[[#This Row],[Column5]]) * $L$2), ($H$2 * deployment_raw[[#This Row],[Column5]])), 0),"")</f>
        <v>50</v>
      </c>
      <c r="M14" s="181">
        <f>IF(ISNUMBER(deployment_raw[[#This Row],[Column9]]),IF(deployment_raw[[#This Row],[Column5]] &lt;&gt; 0, MAX((deployment_raw[[#This Row],[Column13]] * deployment_raw[[#This Row],[Column5]])/1048576, ((deployment_raw[[#This Row],[Column9]] * deployment_raw[[#This Row],[Column5]]) * $M$2)/1048576, ($I$2 * deployment_raw[[#This Row],[Column5]])), 0),"")</f>
        <v>25</v>
      </c>
      <c r="N14" s="188">
        <f>IF(ISNUMBER(deployment_raw[[#This Row],[Column14]]), deployment_raw[[#This Row],[Column14]],"")</f>
        <v>0</v>
      </c>
      <c r="O14" s="189">
        <f>IF(ISNUMBER(deployment_raw[[#This Row],[Column15]]), deployment_raw[[#This Row],[Column15]]/1048576,"")</f>
        <v>0</v>
      </c>
      <c r="P14" s="190">
        <f>IF(ISNUMBER(deployment_raw[[#This Row],[Column12]]), (deployment_raw[[#This Row],[Column12]] * deployment_raw[[#This Row],[Column5]]),"")</f>
        <v>0</v>
      </c>
      <c r="Q14" s="189">
        <f>IF(ISNUMBER(deployment_raw[[#This Row],[Column13]]), (deployment_raw[[#This Row],[Column13]] * deployment_raw[[#This Row],[Column5]])/1048576,"")</f>
        <v>0</v>
      </c>
    </row>
    <row r="15" spans="1:17" x14ac:dyDescent="0.25">
      <c r="A15" s="37" t="str">
        <f>IF(ISNONTEXT(deployment_raw[[#This Row],[Column1]]), "", deployment_raw[[#This Row],[Column1]])</f>
        <v>my-cluster-kafka-exporter</v>
      </c>
      <c r="B15" s="38" t="str">
        <f>IF(ISNONTEXT(deployment_raw[[#This Row],[Column2]]), "", deployment_raw[[#This Row],[Column2]])</f>
        <v>deployment</v>
      </c>
      <c r="C15" s="38" t="str">
        <f>IF(ISNONTEXT(deployment_raw[[#This Row],[Column3]]), "", deployment_raw[[#This Row],[Column3]])</f>
        <v>myproject</v>
      </c>
      <c r="D15" s="38" t="str">
        <f>IF(ISNONTEXT(deployment_raw[[#This Row],[Column4]]), "", deployment_raw[[#This Row],[Column4]])</f>
        <v>&lt;none&gt;</v>
      </c>
      <c r="E15" s="39">
        <f>IF(ISNUMBER(deployment_raw[[#This Row],[Column5]]), deployment_raw[[#This Row],[Column5]],"")</f>
        <v>1</v>
      </c>
      <c r="F15" s="174">
        <f>IF(ISNUMBER(deployment_raw[[#This Row],[Column6]]), (deployment_raw[[#This Row],[Column6]] * deployment_raw[[#This Row],[Column5]]),"")</f>
        <v>0</v>
      </c>
      <c r="G15" s="175">
        <f>IF(ISNUMBER(deployment_raw[[#This Row],[Column7]]), (deployment_raw[[#This Row],[Column7]] * deployment_raw[[#This Row],[Column5]])/1048576,"")</f>
        <v>0</v>
      </c>
      <c r="H15" s="175">
        <f>IF(ISNUMBER(deployment_raw[[#This Row],[Column8]]), (deployment_raw[[#This Row],[Column8]]  * deployment_raw[[#This Row],[Column5]]),"")</f>
        <v>0</v>
      </c>
      <c r="I15" s="176">
        <f>IF(ISNUMBER(deployment_raw[[#This Row],[Column9]]), (deployment_raw[[#This Row],[Column9]] * deployment_raw[[#This Row],[Column5]])/1048576,"")</f>
        <v>0</v>
      </c>
      <c r="J15" s="57">
        <f>IF(ISNUMBER(deployment_raw[[#This Row],[Column10]]), (deployment_raw[[#This Row],[Column10]] * deployment_raw[[#This Row],[Column5]]),"")</f>
        <v>0</v>
      </c>
      <c r="K15" s="58">
        <f>IF(ISNUMBER(deployment_raw[[#This Row],[Column11]]), (deployment_raw[[#This Row],[Column11]] * deployment_raw[[#This Row],[Column5]])/1048576,"")</f>
        <v>0</v>
      </c>
      <c r="L15" s="180">
        <f>IF(ISNUMBER(deployment_raw[[#This Row],[Column8]]),IF(deployment_raw[[#This Row],[Column5]] &lt;&gt; 0, MAX((deployment_raw[[#This Row],[Column12]] * deployment_raw[[#This Row],[Column5]]), ((deployment_raw[[#This Row],[Column8]] * deployment_raw[[#This Row],[Column5]]) * $L$2), ($H$2 * deployment_raw[[#This Row],[Column5]])), 0),"")</f>
        <v>50</v>
      </c>
      <c r="M15" s="181">
        <f>IF(ISNUMBER(deployment_raw[[#This Row],[Column9]]),IF(deployment_raw[[#This Row],[Column5]] &lt;&gt; 0, MAX((deployment_raw[[#This Row],[Column13]] * deployment_raw[[#This Row],[Column5]])/1048576, ((deployment_raw[[#This Row],[Column9]] * deployment_raw[[#This Row],[Column5]]) * $M$2)/1048576, ($I$2 * deployment_raw[[#This Row],[Column5]])), 0),"")</f>
        <v>25</v>
      </c>
      <c r="N15" s="188">
        <f>IF(ISNUMBER(deployment_raw[[#This Row],[Column14]]), deployment_raw[[#This Row],[Column14]],"")</f>
        <v>0</v>
      </c>
      <c r="O15" s="189">
        <f>IF(ISNUMBER(deployment_raw[[#This Row],[Column15]]), deployment_raw[[#This Row],[Column15]]/1048576,"")</f>
        <v>0</v>
      </c>
      <c r="P15" s="190">
        <f>IF(ISNUMBER(deployment_raw[[#This Row],[Column12]]), (deployment_raw[[#This Row],[Column12]] * deployment_raw[[#This Row],[Column5]]),"")</f>
        <v>0</v>
      </c>
      <c r="Q15" s="189">
        <f>IF(ISNUMBER(deployment_raw[[#This Row],[Column13]]), (deployment_raw[[#This Row],[Column13]] * deployment_raw[[#This Row],[Column5]])/1048576,"")</f>
        <v>0</v>
      </c>
    </row>
    <row r="16" spans="1:17" x14ac:dyDescent="0.25">
      <c r="A16" s="37" t="str">
        <f>IF(ISNONTEXT(deployment_raw[[#This Row],[Column1]]), "", deployment_raw[[#This Row],[Column1]])</f>
        <v>producer</v>
      </c>
      <c r="B16" s="38" t="str">
        <f>IF(ISNONTEXT(deployment_raw[[#This Row],[Column2]]), "", deployment_raw[[#This Row],[Column2]])</f>
        <v>deployment</v>
      </c>
      <c r="C16" s="38" t="str">
        <f>IF(ISNONTEXT(deployment_raw[[#This Row],[Column3]]), "", deployment_raw[[#This Row],[Column3]])</f>
        <v>myproject</v>
      </c>
      <c r="D16" s="38" t="str">
        <f>IF(ISNONTEXT(deployment_raw[[#This Row],[Column4]]), "", deployment_raw[[#This Row],[Column4]])</f>
        <v>&lt;none&gt;</v>
      </c>
      <c r="E16" s="39">
        <f>IF(ISNUMBER(deployment_raw[[#This Row],[Column5]]), deployment_raw[[#This Row],[Column5]],"")</f>
        <v>1</v>
      </c>
      <c r="F16" s="174">
        <f>IF(ISNUMBER(deployment_raw[[#This Row],[Column6]]), (deployment_raw[[#This Row],[Column6]] * deployment_raw[[#This Row],[Column5]]),"")</f>
        <v>0</v>
      </c>
      <c r="G16" s="175">
        <f>IF(ISNUMBER(deployment_raw[[#This Row],[Column7]]), (deployment_raw[[#This Row],[Column7]] * deployment_raw[[#This Row],[Column5]])/1048576,"")</f>
        <v>0</v>
      </c>
      <c r="H16" s="175">
        <f>IF(ISNUMBER(deployment_raw[[#This Row],[Column8]]), (deployment_raw[[#This Row],[Column8]]  * deployment_raw[[#This Row],[Column5]]),"")</f>
        <v>0</v>
      </c>
      <c r="I16" s="176">
        <f>IF(ISNUMBER(deployment_raw[[#This Row],[Column9]]), (deployment_raw[[#This Row],[Column9]] * deployment_raw[[#This Row],[Column5]])/1048576,"")</f>
        <v>0</v>
      </c>
      <c r="J16" s="57">
        <f>IF(ISNUMBER(deployment_raw[[#This Row],[Column10]]), (deployment_raw[[#This Row],[Column10]] * deployment_raw[[#This Row],[Column5]]),"")</f>
        <v>0</v>
      </c>
      <c r="K16" s="58">
        <f>IF(ISNUMBER(deployment_raw[[#This Row],[Column11]]), (deployment_raw[[#This Row],[Column11]] * deployment_raw[[#This Row],[Column5]])/1048576,"")</f>
        <v>0</v>
      </c>
      <c r="L16" s="180">
        <f>IF(ISNUMBER(deployment_raw[[#This Row],[Column8]]),IF(deployment_raw[[#This Row],[Column5]] &lt;&gt; 0, MAX((deployment_raw[[#This Row],[Column12]] * deployment_raw[[#This Row],[Column5]]), ((deployment_raw[[#This Row],[Column8]] * deployment_raw[[#This Row],[Column5]]) * $L$2), ($H$2 * deployment_raw[[#This Row],[Column5]])), 0),"")</f>
        <v>50</v>
      </c>
      <c r="M16" s="181">
        <f>IF(ISNUMBER(deployment_raw[[#This Row],[Column9]]),IF(deployment_raw[[#This Row],[Column5]] &lt;&gt; 0, MAX((deployment_raw[[#This Row],[Column13]] * deployment_raw[[#This Row],[Column5]])/1048576, ((deployment_raw[[#This Row],[Column9]] * deployment_raw[[#This Row],[Column5]]) * $M$2)/1048576, ($I$2 * deployment_raw[[#This Row],[Column5]])), 0),"")</f>
        <v>25</v>
      </c>
      <c r="N16" s="188">
        <f>IF(ISNUMBER(deployment_raw[[#This Row],[Column14]]), deployment_raw[[#This Row],[Column14]],"")</f>
        <v>0</v>
      </c>
      <c r="O16" s="189">
        <f>IF(ISNUMBER(deployment_raw[[#This Row],[Column15]]), deployment_raw[[#This Row],[Column15]]/1048576,"")</f>
        <v>0</v>
      </c>
      <c r="P16" s="190">
        <f>IF(ISNUMBER(deployment_raw[[#This Row],[Column12]]), (deployment_raw[[#This Row],[Column12]] * deployment_raw[[#This Row],[Column5]]),"")</f>
        <v>0</v>
      </c>
      <c r="Q16" s="189">
        <f>IF(ISNUMBER(deployment_raw[[#This Row],[Column13]]), (deployment_raw[[#This Row],[Column13]] * deployment_raw[[#This Row],[Column5]])/1048576,"")</f>
        <v>0</v>
      </c>
    </row>
    <row r="17" spans="1:17" x14ac:dyDescent="0.25">
      <c r="A17" s="37" t="str">
        <f>IF(ISNONTEXT(deployment_raw[[#This Row],[Column1]]), "", deployment_raw[[#This Row],[Column1]])</f>
        <v>strimzi-cluster-operator</v>
      </c>
      <c r="B17" s="38" t="str">
        <f>IF(ISNONTEXT(deployment_raw[[#This Row],[Column2]]), "", deployment_raw[[#This Row],[Column2]])</f>
        <v>deployment</v>
      </c>
      <c r="C17" s="38" t="str">
        <f>IF(ISNONTEXT(deployment_raw[[#This Row],[Column3]]), "", deployment_raw[[#This Row],[Column3]])</f>
        <v>myproject</v>
      </c>
      <c r="D17" s="38" t="str">
        <f>IF(ISNONTEXT(deployment_raw[[#This Row],[Column4]]), "", deployment_raw[[#This Row],[Column4]])</f>
        <v>&lt;none&gt;</v>
      </c>
      <c r="E17" s="39">
        <f>IF(ISNUMBER(deployment_raw[[#This Row],[Column5]]), deployment_raw[[#This Row],[Column5]],"")</f>
        <v>1</v>
      </c>
      <c r="F17" s="174">
        <f>IF(ISNUMBER(deployment_raw[[#This Row],[Column6]]), (deployment_raw[[#This Row],[Column6]] * deployment_raw[[#This Row],[Column5]]),"")</f>
        <v>200</v>
      </c>
      <c r="G17" s="175">
        <f>IF(ISNUMBER(deployment_raw[[#This Row],[Column7]]), (deployment_raw[[#This Row],[Column7]] * deployment_raw[[#This Row],[Column5]])/1048576,"")</f>
        <v>256</v>
      </c>
      <c r="H17" s="175">
        <f>IF(ISNUMBER(deployment_raw[[#This Row],[Column8]]), (deployment_raw[[#This Row],[Column8]]  * deployment_raw[[#This Row],[Column5]]),"")</f>
        <v>1000</v>
      </c>
      <c r="I17" s="176">
        <f>IF(ISNUMBER(deployment_raw[[#This Row],[Column9]]), (deployment_raw[[#This Row],[Column9]] * deployment_raw[[#This Row],[Column5]])/1048576,"")</f>
        <v>256</v>
      </c>
      <c r="J17" s="57">
        <f>IF(ISNUMBER(deployment_raw[[#This Row],[Column10]]), (deployment_raw[[#This Row],[Column10]] * deployment_raw[[#This Row],[Column5]]),"")</f>
        <v>200</v>
      </c>
      <c r="K17" s="58">
        <f>IF(ISNUMBER(deployment_raw[[#This Row],[Column11]]), (deployment_raw[[#This Row],[Column11]] * deployment_raw[[#This Row],[Column5]])/1048576,"")</f>
        <v>256</v>
      </c>
      <c r="L17" s="180">
        <f>IF(ISNUMBER(deployment_raw[[#This Row],[Column8]]),IF(deployment_raw[[#This Row],[Column5]] &lt;&gt; 0, MAX((deployment_raw[[#This Row],[Column12]] * deployment_raw[[#This Row],[Column5]]), ((deployment_raw[[#This Row],[Column8]] * deployment_raw[[#This Row],[Column5]]) * $L$2), ($H$2 * deployment_raw[[#This Row],[Column5]])), 0),"")</f>
        <v>1000</v>
      </c>
      <c r="M17" s="181">
        <f>IF(ISNUMBER(deployment_raw[[#This Row],[Column9]]),IF(deployment_raw[[#This Row],[Column5]] &lt;&gt; 0, MAX((deployment_raw[[#This Row],[Column13]] * deployment_raw[[#This Row],[Column5]])/1048576, ((deployment_raw[[#This Row],[Column9]] * deployment_raw[[#This Row],[Column5]]) * $M$2)/1048576, ($I$2 * deployment_raw[[#This Row],[Column5]])), 0),"")</f>
        <v>256</v>
      </c>
      <c r="N17" s="188">
        <f>IF(ISNUMBER(deployment_raw[[#This Row],[Column14]]), deployment_raw[[#This Row],[Column14]],"")</f>
        <v>0</v>
      </c>
      <c r="O17" s="189">
        <f>IF(ISNUMBER(deployment_raw[[#This Row],[Column15]]), deployment_raw[[#This Row],[Column15]]/1048576,"")</f>
        <v>0</v>
      </c>
      <c r="P17" s="190">
        <f>IF(ISNUMBER(deployment_raw[[#This Row],[Column12]]), (deployment_raw[[#This Row],[Column12]] * deployment_raw[[#This Row],[Column5]]),"")</f>
        <v>1000</v>
      </c>
      <c r="Q17" s="189">
        <f>IF(ISNUMBER(deployment_raw[[#This Row],[Column13]]), (deployment_raw[[#This Row],[Column13]] * deployment_raw[[#This Row],[Column5]])/1048576,"")</f>
        <v>256</v>
      </c>
    </row>
    <row r="18" spans="1:17" x14ac:dyDescent="0.25">
      <c r="A18" s="37" t="str">
        <f>IF(ISNONTEXT(deployment_raw[[#This Row],[Column1]]), "", deployment_raw[[#This Row],[Column1]])</f>
        <v>jaeger-operator</v>
      </c>
      <c r="B18" s="38" t="str">
        <f>IF(ISNONTEXT(deployment_raw[[#This Row],[Column2]]), "", deployment_raw[[#This Row],[Column2]])</f>
        <v>deployment</v>
      </c>
      <c r="C18" s="38" t="str">
        <f>IF(ISNONTEXT(deployment_raw[[#This Row],[Column3]]), "", deployment_raw[[#This Row],[Column3]])</f>
        <v>observability</v>
      </c>
      <c r="D18" s="38" t="str">
        <f>IF(ISNONTEXT(deployment_raw[[#This Row],[Column4]]), "", deployment_raw[[#This Row],[Column4]])</f>
        <v>&lt;none&gt;</v>
      </c>
      <c r="E18" s="39">
        <f>IF(ISNUMBER(deployment_raw[[#This Row],[Column5]]), deployment_raw[[#This Row],[Column5]],"")</f>
        <v>1</v>
      </c>
      <c r="F18" s="174">
        <f>IF(ISNUMBER(deployment_raw[[#This Row],[Column6]]), (deployment_raw[[#This Row],[Column6]] * deployment_raw[[#This Row],[Column5]]),"")</f>
        <v>100</v>
      </c>
      <c r="G18" s="175">
        <f>IF(ISNUMBER(deployment_raw[[#This Row],[Column7]]), (deployment_raw[[#This Row],[Column7]] * deployment_raw[[#This Row],[Column5]])/1048576,"")</f>
        <v>128</v>
      </c>
      <c r="H18" s="175">
        <f>IF(ISNUMBER(deployment_raw[[#This Row],[Column8]]), (deployment_raw[[#This Row],[Column8]]  * deployment_raw[[#This Row],[Column5]]),"")</f>
        <v>500</v>
      </c>
      <c r="I18" s="176">
        <f>IF(ISNUMBER(deployment_raw[[#This Row],[Column9]]), (deployment_raw[[#This Row],[Column9]] * deployment_raw[[#This Row],[Column5]])/1048576,"")</f>
        <v>512</v>
      </c>
      <c r="J18" s="57">
        <f>IF(ISNUMBER(deployment_raw[[#This Row],[Column10]]), (deployment_raw[[#This Row],[Column10]] * deployment_raw[[#This Row],[Column5]]),"")</f>
        <v>100</v>
      </c>
      <c r="K18" s="58">
        <f>IF(ISNUMBER(deployment_raw[[#This Row],[Column11]]), (deployment_raw[[#This Row],[Column11]] * deployment_raw[[#This Row],[Column5]])/1048576,"")</f>
        <v>128</v>
      </c>
      <c r="L18" s="180">
        <f>IF(ISNUMBER(deployment_raw[[#This Row],[Column8]]),IF(deployment_raw[[#This Row],[Column5]] &lt;&gt; 0, MAX((deployment_raw[[#This Row],[Column12]] * deployment_raw[[#This Row],[Column5]]), ((deployment_raw[[#This Row],[Column8]] * deployment_raw[[#This Row],[Column5]]) * $L$2), ($H$2 * deployment_raw[[#This Row],[Column5]])), 0),"")</f>
        <v>500</v>
      </c>
      <c r="M18" s="181">
        <f>IF(ISNUMBER(deployment_raw[[#This Row],[Column9]]),IF(deployment_raw[[#This Row],[Column5]] &lt;&gt; 0, MAX((deployment_raw[[#This Row],[Column13]] * deployment_raw[[#This Row],[Column5]])/1048576, ((deployment_raw[[#This Row],[Column9]] * deployment_raw[[#This Row],[Column5]]) * $M$2)/1048576, ($I$2 * deployment_raw[[#This Row],[Column5]])), 0),"")</f>
        <v>512</v>
      </c>
      <c r="N18" s="188">
        <f>IF(ISNUMBER(deployment_raw[[#This Row],[Column14]]), deployment_raw[[#This Row],[Column14]],"")</f>
        <v>0</v>
      </c>
      <c r="O18" s="189">
        <f>IF(ISNUMBER(deployment_raw[[#This Row],[Column15]]), deployment_raw[[#This Row],[Column15]]/1048576,"")</f>
        <v>0</v>
      </c>
      <c r="P18" s="190">
        <f>IF(ISNUMBER(deployment_raw[[#This Row],[Column12]]), (deployment_raw[[#This Row],[Column12]] * deployment_raw[[#This Row],[Column5]]),"")</f>
        <v>500</v>
      </c>
      <c r="Q18" s="189">
        <f>IF(ISNUMBER(deployment_raw[[#This Row],[Column13]]), (deployment_raw[[#This Row],[Column13]] * deployment_raw[[#This Row],[Column5]])/1048576,"")</f>
        <v>512</v>
      </c>
    </row>
    <row r="19" spans="1:17" x14ac:dyDescent="0.25">
      <c r="A19" s="37" t="str">
        <f>IF(ISNONTEXT(deployment_raw[[#This Row],[Column1]]), "", deployment_raw[[#This Row],[Column1]])</f>
        <v>cart</v>
      </c>
      <c r="B19" s="38" t="str">
        <f>IF(ISNONTEXT(deployment_raw[[#This Row],[Column2]]), "", deployment_raw[[#This Row],[Column2]])</f>
        <v>deployment</v>
      </c>
      <c r="C19" s="38" t="str">
        <f>IF(ISNONTEXT(deployment_raw[[#This Row],[Column3]]), "", deployment_raw[[#This Row],[Column3]])</f>
        <v>robot-shop</v>
      </c>
      <c r="D19" s="38" t="str">
        <f>IF(ISNONTEXT(deployment_raw[[#This Row],[Column4]]), "", deployment_raw[[#This Row],[Column4]])</f>
        <v>&lt;none&gt;</v>
      </c>
      <c r="E19" s="39">
        <f>IF(ISNUMBER(deployment_raw[[#This Row],[Column5]]), deployment_raw[[#This Row],[Column5]],"")</f>
        <v>1</v>
      </c>
      <c r="F19" s="174">
        <f>IF(ISNUMBER(deployment_raw[[#This Row],[Column6]]), (deployment_raw[[#This Row],[Column6]] * deployment_raw[[#This Row],[Column5]]),"")</f>
        <v>200</v>
      </c>
      <c r="G19" s="175">
        <f>IF(ISNUMBER(deployment_raw[[#This Row],[Column7]]), (deployment_raw[[#This Row],[Column7]] * deployment_raw[[#This Row],[Column5]])/1048576,"")</f>
        <v>100</v>
      </c>
      <c r="H19" s="175">
        <f>IF(ISNUMBER(deployment_raw[[#This Row],[Column8]]), (deployment_raw[[#This Row],[Column8]]  * deployment_raw[[#This Row],[Column5]]),"")</f>
        <v>2000</v>
      </c>
      <c r="I19" s="176">
        <f>IF(ISNUMBER(deployment_raw[[#This Row],[Column9]]), (deployment_raw[[#This Row],[Column9]] * deployment_raw[[#This Row],[Column5]])/1048576,"")</f>
        <v>256</v>
      </c>
      <c r="J19" s="57">
        <f>IF(ISNUMBER(deployment_raw[[#This Row],[Column10]]), (deployment_raw[[#This Row],[Column10]] * deployment_raw[[#This Row],[Column5]]),"")</f>
        <v>1100</v>
      </c>
      <c r="K19" s="58">
        <f>IF(ISNUMBER(deployment_raw[[#This Row],[Column11]]), (deployment_raw[[#This Row],[Column11]] * deployment_raw[[#This Row],[Column5]])/1048576,"")</f>
        <v>96</v>
      </c>
      <c r="L19" s="180">
        <f>IF(ISNUMBER(deployment_raw[[#This Row],[Column8]]),IF(deployment_raw[[#This Row],[Column5]] &lt;&gt; 0, MAX((deployment_raw[[#This Row],[Column12]] * deployment_raw[[#This Row],[Column5]]), ((deployment_raw[[#This Row],[Column8]] * deployment_raw[[#This Row],[Column5]]) * $L$2), ($H$2 * deployment_raw[[#This Row],[Column5]])), 0),"")</f>
        <v>1700</v>
      </c>
      <c r="M19" s="181">
        <f>IF(ISNUMBER(deployment_raw[[#This Row],[Column9]]),IF(deployment_raw[[#This Row],[Column5]] &lt;&gt; 0, MAX((deployment_raw[[#This Row],[Column13]] * deployment_raw[[#This Row],[Column5]])/1048576, ((deployment_raw[[#This Row],[Column9]] * deployment_raw[[#This Row],[Column5]]) * $M$2)/1048576, ($I$2 * deployment_raw[[#This Row],[Column5]])), 0),"")</f>
        <v>128</v>
      </c>
      <c r="N19" s="188">
        <f>IF(ISNUMBER(deployment_raw[[#This Row],[Column14]]), deployment_raw[[#This Row],[Column14]],"")</f>
        <v>916</v>
      </c>
      <c r="O19" s="189">
        <f>IF(ISNUMBER(deployment_raw[[#This Row],[Column15]]), deployment_raw[[#This Row],[Column15]]/1048576,"")</f>
        <v>93.794921875</v>
      </c>
      <c r="P19" s="190">
        <f>IF(ISNUMBER(deployment_raw[[#This Row],[Column12]]), (deployment_raw[[#This Row],[Column12]] * deployment_raw[[#This Row],[Column5]]),"")</f>
        <v>1700</v>
      </c>
      <c r="Q19" s="189">
        <f>IF(ISNUMBER(deployment_raw[[#This Row],[Column13]]), (deployment_raw[[#This Row],[Column13]] * deployment_raw[[#This Row],[Column5]])/1048576,"")</f>
        <v>112</v>
      </c>
    </row>
    <row r="20" spans="1:17" ht="15.75" customHeight="1" x14ac:dyDescent="0.25">
      <c r="A20" s="37" t="str">
        <f>IF(ISNONTEXT(deployment_raw[[#This Row],[Column1]]), "", deployment_raw[[#This Row],[Column1]])</f>
        <v>catalogue</v>
      </c>
      <c r="B20" s="38" t="str">
        <f>IF(ISNONTEXT(deployment_raw[[#This Row],[Column2]]), "", deployment_raw[[#This Row],[Column2]])</f>
        <v>deployment</v>
      </c>
      <c r="C20" s="38" t="str">
        <f>IF(ISNONTEXT(deployment_raw[[#This Row],[Column3]]), "", deployment_raw[[#This Row],[Column3]])</f>
        <v>robot-shop</v>
      </c>
      <c r="D20" s="38" t="str">
        <f>IF(ISNONTEXT(deployment_raw[[#This Row],[Column4]]), "", deployment_raw[[#This Row],[Column4]])</f>
        <v>&lt;none&gt;</v>
      </c>
      <c r="E20" s="39">
        <f>IF(ISNUMBER(deployment_raw[[#This Row],[Column5]]), deployment_raw[[#This Row],[Column5]],"")</f>
        <v>1</v>
      </c>
      <c r="F20" s="174">
        <f>IF(ISNUMBER(deployment_raw[[#This Row],[Column6]]), (deployment_raw[[#This Row],[Column6]] * deployment_raw[[#This Row],[Column5]]),"")</f>
        <v>200</v>
      </c>
      <c r="G20" s="175">
        <f>IF(ISNUMBER(deployment_raw[[#This Row],[Column7]]), (deployment_raw[[#This Row],[Column7]] * deployment_raw[[#This Row],[Column5]])/1048576,"")</f>
        <v>100</v>
      </c>
      <c r="H20" s="175">
        <f>IF(ISNUMBER(deployment_raw[[#This Row],[Column8]]), (deployment_raw[[#This Row],[Column8]]  * deployment_raw[[#This Row],[Column5]]),"")</f>
        <v>2200</v>
      </c>
      <c r="I20" s="176">
        <f>IF(ISNUMBER(deployment_raw[[#This Row],[Column9]]), (deployment_raw[[#This Row],[Column9]] * deployment_raw[[#This Row],[Column5]])/1048576,"")</f>
        <v>256</v>
      </c>
      <c r="J20" s="57">
        <f>IF(ISNUMBER(deployment_raw[[#This Row],[Column10]]), (deployment_raw[[#This Row],[Column10]] * deployment_raw[[#This Row],[Column5]]),"")</f>
        <v>1100</v>
      </c>
      <c r="K20" s="58">
        <f>IF(ISNUMBER(deployment_raw[[#This Row],[Column11]]), (deployment_raw[[#This Row],[Column11]] * deployment_raw[[#This Row],[Column5]])/1048576,"")</f>
        <v>112</v>
      </c>
      <c r="L20" s="180">
        <f>IF(ISNUMBER(deployment_raw[[#This Row],[Column8]]),IF(deployment_raw[[#This Row],[Column5]] &lt;&gt; 0, MAX((deployment_raw[[#This Row],[Column12]] * deployment_raw[[#This Row],[Column5]]), ((deployment_raw[[#This Row],[Column8]] * deployment_raw[[#This Row],[Column5]]) * $L$2), ($H$2 * deployment_raw[[#This Row],[Column5]])), 0),"")</f>
        <v>1700</v>
      </c>
      <c r="M20" s="181">
        <f>IF(ISNUMBER(deployment_raw[[#This Row],[Column9]]),IF(deployment_raw[[#This Row],[Column5]] &lt;&gt; 0, MAX((deployment_raw[[#This Row],[Column13]] * deployment_raw[[#This Row],[Column5]])/1048576, ((deployment_raw[[#This Row],[Column9]] * deployment_raw[[#This Row],[Column5]]) * $M$2)/1048576, ($I$2 * deployment_raw[[#This Row],[Column5]])), 0),"")</f>
        <v>128</v>
      </c>
      <c r="N20" s="188">
        <f>IF(ISNUMBER(deployment_raw[[#This Row],[Column14]]), deployment_raw[[#This Row],[Column14]],"")</f>
        <v>908</v>
      </c>
      <c r="O20" s="189">
        <f>IF(ISNUMBER(deployment_raw[[#This Row],[Column15]]), deployment_raw[[#This Row],[Column15]]/1048576,"")</f>
        <v>102.8125</v>
      </c>
      <c r="P20" s="190">
        <f>IF(ISNUMBER(deployment_raw[[#This Row],[Column12]]), (deployment_raw[[#This Row],[Column12]] * deployment_raw[[#This Row],[Column5]]),"")</f>
        <v>1700</v>
      </c>
      <c r="Q20" s="189">
        <f>IF(ISNUMBER(deployment_raw[[#This Row],[Column13]]), (deployment_raw[[#This Row],[Column13]] * deployment_raw[[#This Row],[Column5]])/1048576,"")</f>
        <v>112</v>
      </c>
    </row>
    <row r="21" spans="1:17" ht="15.75" customHeight="1" x14ac:dyDescent="0.25">
      <c r="A21" s="37" t="str">
        <f>IF(ISNONTEXT(deployment_raw[[#This Row],[Column1]]), "", deployment_raw[[#This Row],[Column1]])</f>
        <v>dispatch</v>
      </c>
      <c r="B21" s="38" t="str">
        <f>IF(ISNONTEXT(deployment_raw[[#This Row],[Column2]]), "", deployment_raw[[#This Row],[Column2]])</f>
        <v>deployment</v>
      </c>
      <c r="C21" s="38" t="str">
        <f>IF(ISNONTEXT(deployment_raw[[#This Row],[Column3]]), "", deployment_raw[[#This Row],[Column3]])</f>
        <v>robot-shop</v>
      </c>
      <c r="D21" s="38" t="str">
        <f>IF(ISNONTEXT(deployment_raw[[#This Row],[Column4]]), "", deployment_raw[[#This Row],[Column4]])</f>
        <v>&lt;none&gt;</v>
      </c>
      <c r="E21" s="39">
        <f>IF(ISNUMBER(deployment_raw[[#This Row],[Column5]]), deployment_raw[[#This Row],[Column5]],"")</f>
        <v>1</v>
      </c>
      <c r="F21" s="174">
        <f>IF(ISNUMBER(deployment_raw[[#This Row],[Column6]]), (deployment_raw[[#This Row],[Column6]] * deployment_raw[[#This Row],[Column5]]),"")</f>
        <v>50</v>
      </c>
      <c r="G21" s="175">
        <f>IF(ISNUMBER(deployment_raw[[#This Row],[Column7]]), (deployment_raw[[#This Row],[Column7]] * deployment_raw[[#This Row],[Column5]])/1048576,"")</f>
        <v>100</v>
      </c>
      <c r="H21" s="175">
        <f>IF(ISNUMBER(deployment_raw[[#This Row],[Column8]]), (deployment_raw[[#This Row],[Column8]]  * deployment_raw[[#This Row],[Column5]]),"")</f>
        <v>200</v>
      </c>
      <c r="I21" s="176">
        <f>IF(ISNUMBER(deployment_raw[[#This Row],[Column9]]), (deployment_raw[[#This Row],[Column9]] * deployment_raw[[#This Row],[Column5]])/1048576,"")</f>
        <v>100</v>
      </c>
      <c r="J21" s="57">
        <f>IF(ISNUMBER(deployment_raw[[#This Row],[Column10]]), (deployment_raw[[#This Row],[Column10]] * deployment_raw[[#This Row],[Column5]]),"")</f>
        <v>10</v>
      </c>
      <c r="K21" s="58">
        <f>IF(ISNUMBER(deployment_raw[[#This Row],[Column11]]), (deployment_raw[[#This Row],[Column11]] * deployment_raw[[#This Row],[Column5]])/1048576,"")</f>
        <v>32</v>
      </c>
      <c r="L21" s="180">
        <f>IF(ISNUMBER(deployment_raw[[#This Row],[Column8]]),IF(deployment_raw[[#This Row],[Column5]] &lt;&gt; 0, MAX((deployment_raw[[#This Row],[Column12]] * deployment_raw[[#This Row],[Column5]]), ((deployment_raw[[#This Row],[Column8]] * deployment_raw[[#This Row],[Column5]]) * $L$2), ($H$2 * deployment_raw[[#This Row],[Column5]])), 0),"")</f>
        <v>100</v>
      </c>
      <c r="M21" s="181">
        <f>IF(ISNUMBER(deployment_raw[[#This Row],[Column9]]),IF(deployment_raw[[#This Row],[Column5]] &lt;&gt; 0, MAX((deployment_raw[[#This Row],[Column13]] * deployment_raw[[#This Row],[Column5]])/1048576, ((deployment_raw[[#This Row],[Column9]] * deployment_raw[[#This Row],[Column5]]) * $M$2)/1048576, ($I$2 * deployment_raw[[#This Row],[Column5]])), 0),"")</f>
        <v>50</v>
      </c>
      <c r="N21" s="188">
        <f>IF(ISNUMBER(deployment_raw[[#This Row],[Column14]]), deployment_raw[[#This Row],[Column14]],"")</f>
        <v>5</v>
      </c>
      <c r="O21" s="189">
        <f>IF(ISNUMBER(deployment_raw[[#This Row],[Column15]]), deployment_raw[[#This Row],[Column15]]/1048576,"")</f>
        <v>28.2265625</v>
      </c>
      <c r="P21" s="190">
        <f>IF(ISNUMBER(deployment_raw[[#This Row],[Column12]]), (deployment_raw[[#This Row],[Column12]] * deployment_raw[[#This Row],[Column5]]),"")</f>
        <v>10</v>
      </c>
      <c r="Q21" s="189">
        <f>IF(ISNUMBER(deployment_raw[[#This Row],[Column13]]), (deployment_raw[[#This Row],[Column13]] * deployment_raw[[#This Row],[Column5]])/1048576,"")</f>
        <v>32</v>
      </c>
    </row>
    <row r="22" spans="1:17" ht="15.75" customHeight="1" x14ac:dyDescent="0.25">
      <c r="A22" s="37" t="str">
        <f>IF(ISNONTEXT(deployment_raw[[#This Row],[Column1]]), "", deployment_raw[[#This Row],[Column1]])</f>
        <v>ingress-nginx-controller</v>
      </c>
      <c r="B22" s="38" t="str">
        <f>IF(ISNONTEXT(deployment_raw[[#This Row],[Column2]]), "", deployment_raw[[#This Row],[Column2]])</f>
        <v>deployment</v>
      </c>
      <c r="C22" s="38" t="str">
        <f>IF(ISNONTEXT(deployment_raw[[#This Row],[Column3]]), "", deployment_raw[[#This Row],[Column3]])</f>
        <v>robot-shop</v>
      </c>
      <c r="D22" s="38" t="str">
        <f>IF(ISNONTEXT(deployment_raw[[#This Row],[Column4]]), "", deployment_raw[[#This Row],[Column4]])</f>
        <v>&lt;none&gt;</v>
      </c>
      <c r="E22" s="39">
        <f>IF(ISNUMBER(deployment_raw[[#This Row],[Column5]]), deployment_raw[[#This Row],[Column5]],"")</f>
        <v>1</v>
      </c>
      <c r="F22" s="174">
        <f>IF(ISNUMBER(deployment_raw[[#This Row],[Column6]]), (deployment_raw[[#This Row],[Column6]] * deployment_raw[[#This Row],[Column5]]),"")</f>
        <v>100</v>
      </c>
      <c r="G22" s="175">
        <f>IF(ISNUMBER(deployment_raw[[#This Row],[Column7]]), (deployment_raw[[#This Row],[Column7]] * deployment_raw[[#This Row],[Column5]])/1048576,"")</f>
        <v>90</v>
      </c>
      <c r="H22" s="175">
        <f>IF(ISNUMBER(deployment_raw[[#This Row],[Column8]]), (deployment_raw[[#This Row],[Column8]]  * deployment_raw[[#This Row],[Column5]]),"")</f>
        <v>0</v>
      </c>
      <c r="I22" s="176">
        <f>IF(ISNUMBER(deployment_raw[[#This Row],[Column9]]), (deployment_raw[[#This Row],[Column9]] * deployment_raw[[#This Row],[Column5]])/1048576,"")</f>
        <v>0</v>
      </c>
      <c r="J22" s="57">
        <f>IF(ISNUMBER(deployment_raw[[#This Row],[Column10]]), (deployment_raw[[#This Row],[Column10]] * deployment_raw[[#This Row],[Column5]]),"")</f>
        <v>1300</v>
      </c>
      <c r="K22" s="58">
        <f>IF(ISNUMBER(deployment_raw[[#This Row],[Column11]]), (deployment_raw[[#This Row],[Column11]] * deployment_raw[[#This Row],[Column5]])/1048576,"")</f>
        <v>192</v>
      </c>
      <c r="L22" s="180">
        <f>IF(ISNUMBER(deployment_raw[[#This Row],[Column8]]),IF(deployment_raw[[#This Row],[Column5]] &lt;&gt; 0, MAX((deployment_raw[[#This Row],[Column12]] * deployment_raw[[#This Row],[Column5]]), ((deployment_raw[[#This Row],[Column8]] * deployment_raw[[#This Row],[Column5]]) * $L$2), ($H$2 * deployment_raw[[#This Row],[Column5]])), 0),"")</f>
        <v>1800</v>
      </c>
      <c r="M22" s="181">
        <f>IF(ISNUMBER(deployment_raw[[#This Row],[Column9]]),IF(deployment_raw[[#This Row],[Column5]] &lt;&gt; 0, MAX((deployment_raw[[#This Row],[Column13]] * deployment_raw[[#This Row],[Column5]])/1048576, ((deployment_raw[[#This Row],[Column9]] * deployment_raw[[#This Row],[Column5]]) * $M$2)/1048576, ($I$2 * deployment_raw[[#This Row],[Column5]])), 0),"")</f>
        <v>256</v>
      </c>
      <c r="N22" s="188">
        <f>IF(ISNUMBER(deployment_raw[[#This Row],[Column14]]), deployment_raw[[#This Row],[Column14]],"")</f>
        <v>1157</v>
      </c>
      <c r="O22" s="189">
        <f>IF(ISNUMBER(deployment_raw[[#This Row],[Column15]]), deployment_raw[[#This Row],[Column15]]/1048576,"")</f>
        <v>180.89453125</v>
      </c>
      <c r="P22" s="190">
        <f>IF(ISNUMBER(deployment_raw[[#This Row],[Column12]]), (deployment_raw[[#This Row],[Column12]] * deployment_raw[[#This Row],[Column5]]),"")</f>
        <v>1800</v>
      </c>
      <c r="Q22" s="189">
        <f>IF(ISNUMBER(deployment_raw[[#This Row],[Column13]]), (deployment_raw[[#This Row],[Column13]] * deployment_raw[[#This Row],[Column5]])/1048576,"")</f>
        <v>256</v>
      </c>
    </row>
    <row r="23" spans="1:17" ht="15.75" customHeight="1" x14ac:dyDescent="0.25">
      <c r="A23" s="37" t="str">
        <f>IF(ISNONTEXT(deployment_raw[[#This Row],[Column1]]), "", deployment_raw[[#This Row],[Column1]])</f>
        <v>mongo-ex-prometheus-mongodb-exporter</v>
      </c>
      <c r="B23" s="38" t="str">
        <f>IF(ISNONTEXT(deployment_raw[[#This Row],[Column2]]), "", deployment_raw[[#This Row],[Column2]])</f>
        <v>deployment</v>
      </c>
      <c r="C23" s="38" t="str">
        <f>IF(ISNONTEXT(deployment_raw[[#This Row],[Column3]]), "", deployment_raw[[#This Row],[Column3]])</f>
        <v>robot-shop</v>
      </c>
      <c r="D23" s="38" t="str">
        <f>IF(ISNONTEXT(deployment_raw[[#This Row],[Column4]]), "", deployment_raw[[#This Row],[Column4]])</f>
        <v>&lt;none&gt;</v>
      </c>
      <c r="E23" s="39">
        <f>IF(ISNUMBER(deployment_raw[[#This Row],[Column5]]), deployment_raw[[#This Row],[Column5]],"")</f>
        <v>1</v>
      </c>
      <c r="F23" s="174">
        <f>IF(ISNUMBER(deployment_raw[[#This Row],[Column6]]), (deployment_raw[[#This Row],[Column6]] * deployment_raw[[#This Row],[Column5]]),"")</f>
        <v>0</v>
      </c>
      <c r="G23" s="175">
        <f>IF(ISNUMBER(deployment_raw[[#This Row],[Column7]]), (deployment_raw[[#This Row],[Column7]] * deployment_raw[[#This Row],[Column5]])/1048576,"")</f>
        <v>0</v>
      </c>
      <c r="H23" s="175">
        <f>IF(ISNUMBER(deployment_raw[[#This Row],[Column8]]), (deployment_raw[[#This Row],[Column8]]  * deployment_raw[[#This Row],[Column5]]),"")</f>
        <v>0</v>
      </c>
      <c r="I23" s="176">
        <f>IF(ISNUMBER(deployment_raw[[#This Row],[Column9]]), (deployment_raw[[#This Row],[Column9]] * deployment_raw[[#This Row],[Column5]])/1048576,"")</f>
        <v>0</v>
      </c>
      <c r="J23" s="57">
        <f>IF(ISNUMBER(deployment_raw[[#This Row],[Column10]]), (deployment_raw[[#This Row],[Column10]] * deployment_raw[[#This Row],[Column5]]),"")</f>
        <v>10</v>
      </c>
      <c r="K23" s="58">
        <f>IF(ISNUMBER(deployment_raw[[#This Row],[Column11]]), (deployment_raw[[#This Row],[Column11]] * deployment_raw[[#This Row],[Column5]])/1048576,"")</f>
        <v>32</v>
      </c>
      <c r="L23" s="180">
        <f>IF(ISNUMBER(deployment_raw[[#This Row],[Column8]]),IF(deployment_raw[[#This Row],[Column5]] &lt;&gt; 0, MAX((deployment_raw[[#This Row],[Column12]] * deployment_raw[[#This Row],[Column5]]), ((deployment_raw[[#This Row],[Column8]] * deployment_raw[[#This Row],[Column5]]) * $L$2), ($H$2 * deployment_raw[[#This Row],[Column5]])), 0),"")</f>
        <v>50</v>
      </c>
      <c r="M23" s="181">
        <f>IF(ISNUMBER(deployment_raw[[#This Row],[Column9]]),IF(deployment_raw[[#This Row],[Column5]] &lt;&gt; 0, MAX((deployment_raw[[#This Row],[Column13]] * deployment_raw[[#This Row],[Column5]])/1048576, ((deployment_raw[[#This Row],[Column9]] * deployment_raw[[#This Row],[Column5]]) * $M$2)/1048576, ($I$2 * deployment_raw[[#This Row],[Column5]])), 0),"")</f>
        <v>32</v>
      </c>
      <c r="N23" s="188">
        <f>IF(ISNUMBER(deployment_raw[[#This Row],[Column14]]), deployment_raw[[#This Row],[Column14]],"")</f>
        <v>1</v>
      </c>
      <c r="O23" s="189">
        <f>IF(ISNUMBER(deployment_raw[[#This Row],[Column15]]), deployment_raw[[#This Row],[Column15]]/1048576,"")</f>
        <v>21.16796875</v>
      </c>
      <c r="P23" s="190">
        <f>IF(ISNUMBER(deployment_raw[[#This Row],[Column12]]), (deployment_raw[[#This Row],[Column12]] * deployment_raw[[#This Row],[Column5]]),"")</f>
        <v>10</v>
      </c>
      <c r="Q23" s="189">
        <f>IF(ISNUMBER(deployment_raw[[#This Row],[Column13]]), (deployment_raw[[#This Row],[Column13]] * deployment_raw[[#This Row],[Column5]])/1048576,"")</f>
        <v>32</v>
      </c>
    </row>
    <row r="24" spans="1:17" ht="15.75" customHeight="1" x14ac:dyDescent="0.25">
      <c r="A24" s="37" t="str">
        <f>IF(ISNONTEXT(deployment_raw[[#This Row],[Column1]]), "", deployment_raw[[#This Row],[Column1]])</f>
        <v>mongodb</v>
      </c>
      <c r="B24" s="38" t="str">
        <f>IF(ISNONTEXT(deployment_raw[[#This Row],[Column2]]), "", deployment_raw[[#This Row],[Column2]])</f>
        <v>deployment</v>
      </c>
      <c r="C24" s="38" t="str">
        <f>IF(ISNONTEXT(deployment_raw[[#This Row],[Column3]]), "", deployment_raw[[#This Row],[Column3]])</f>
        <v>robot-shop</v>
      </c>
      <c r="D24" s="38" t="str">
        <f>IF(ISNONTEXT(deployment_raw[[#This Row],[Column4]]), "", deployment_raw[[#This Row],[Column4]])</f>
        <v>&lt;none&gt;</v>
      </c>
      <c r="E24" s="39">
        <f>IF(ISNUMBER(deployment_raw[[#This Row],[Column5]]), deployment_raw[[#This Row],[Column5]],"")</f>
        <v>1</v>
      </c>
      <c r="F24" s="174">
        <f>IF(ISNUMBER(deployment_raw[[#This Row],[Column6]]), (deployment_raw[[#This Row],[Column6]] * deployment_raw[[#This Row],[Column5]]),"")</f>
        <v>200</v>
      </c>
      <c r="G24" s="175">
        <f>IF(ISNUMBER(deployment_raw[[#This Row],[Column7]]), (deployment_raw[[#This Row],[Column7]] * deployment_raw[[#This Row],[Column5]])/1048576,"")</f>
        <v>200</v>
      </c>
      <c r="H24" s="175">
        <f>IF(ISNUMBER(deployment_raw[[#This Row],[Column8]]), (deployment_raw[[#This Row],[Column8]]  * deployment_raw[[#This Row],[Column5]]),"")</f>
        <v>1400</v>
      </c>
      <c r="I24" s="176">
        <f>IF(ISNUMBER(deployment_raw[[#This Row],[Column9]]), (deployment_raw[[#This Row],[Column9]] * deployment_raw[[#This Row],[Column5]])/1048576,"")</f>
        <v>512</v>
      </c>
      <c r="J24" s="57">
        <f>IF(ISNUMBER(deployment_raw[[#This Row],[Column10]]), (deployment_raw[[#This Row],[Column10]] * deployment_raw[[#This Row],[Column5]]),"")</f>
        <v>400</v>
      </c>
      <c r="K24" s="58">
        <f>IF(ISNUMBER(deployment_raw[[#This Row],[Column11]]), (deployment_raw[[#This Row],[Column11]] * deployment_raw[[#This Row],[Column5]])/1048576,"")</f>
        <v>192</v>
      </c>
      <c r="L24" s="180">
        <f>IF(ISNUMBER(deployment_raw[[#This Row],[Column8]]),IF(deployment_raw[[#This Row],[Column5]] &lt;&gt; 0, MAX((deployment_raw[[#This Row],[Column12]] * deployment_raw[[#This Row],[Column5]]), ((deployment_raw[[#This Row],[Column8]] * deployment_raw[[#This Row],[Column5]]) * $L$2), ($H$2 * deployment_raw[[#This Row],[Column5]])), 0),"")</f>
        <v>700</v>
      </c>
      <c r="M24" s="181">
        <f>IF(ISNUMBER(deployment_raw[[#This Row],[Column9]]),IF(deployment_raw[[#This Row],[Column5]] &lt;&gt; 0, MAX((deployment_raw[[#This Row],[Column13]] * deployment_raw[[#This Row],[Column5]])/1048576, ((deployment_raw[[#This Row],[Column9]] * deployment_raw[[#This Row],[Column5]]) * $M$2)/1048576, ($I$2 * deployment_raw[[#This Row],[Column5]])), 0),"")</f>
        <v>256</v>
      </c>
      <c r="N24" s="188">
        <f>IF(ISNUMBER(deployment_raw[[#This Row],[Column14]]), deployment_raw[[#This Row],[Column14]],"")</f>
        <v>348</v>
      </c>
      <c r="O24" s="189">
        <f>IF(ISNUMBER(deployment_raw[[#This Row],[Column15]]), deployment_raw[[#This Row],[Column15]]/1048576,"")</f>
        <v>188.23828125</v>
      </c>
      <c r="P24" s="190">
        <f>IF(ISNUMBER(deployment_raw[[#This Row],[Column12]]), (deployment_raw[[#This Row],[Column12]] * deployment_raw[[#This Row],[Column5]]),"")</f>
        <v>600</v>
      </c>
      <c r="Q24" s="189">
        <f>IF(ISNUMBER(deployment_raw[[#This Row],[Column13]]), (deployment_raw[[#This Row],[Column13]] * deployment_raw[[#This Row],[Column5]])/1048576,"")</f>
        <v>256</v>
      </c>
    </row>
    <row r="25" spans="1:17" ht="15.75" customHeight="1" x14ac:dyDescent="0.25">
      <c r="A25" s="37" t="str">
        <f>IF(ISNONTEXT(deployment_raw[[#This Row],[Column1]]), "", deployment_raw[[#This Row],[Column1]])</f>
        <v>mysql</v>
      </c>
      <c r="B25" s="38" t="str">
        <f>IF(ISNONTEXT(deployment_raw[[#This Row],[Column2]]), "", deployment_raw[[#This Row],[Column2]])</f>
        <v>deployment</v>
      </c>
      <c r="C25" s="38" t="str">
        <f>IF(ISNONTEXT(deployment_raw[[#This Row],[Column3]]), "", deployment_raw[[#This Row],[Column3]])</f>
        <v>robot-shop</v>
      </c>
      <c r="D25" s="38" t="str">
        <f>IF(ISNONTEXT(deployment_raw[[#This Row],[Column4]]), "", deployment_raw[[#This Row],[Column4]])</f>
        <v>&lt;none&gt;</v>
      </c>
      <c r="E25" s="39">
        <f>IF(ISNUMBER(deployment_raw[[#This Row],[Column5]]), deployment_raw[[#This Row],[Column5]],"")</f>
        <v>1</v>
      </c>
      <c r="F25" s="174">
        <f>IF(ISNUMBER(deployment_raw[[#This Row],[Column6]]), (deployment_raw[[#This Row],[Column6]] * deployment_raw[[#This Row],[Column5]]),"")</f>
        <v>200</v>
      </c>
      <c r="G25" s="175">
        <f>IF(ISNUMBER(deployment_raw[[#This Row],[Column7]]), (deployment_raw[[#This Row],[Column7]] * deployment_raw[[#This Row],[Column5]])/1048576,"")</f>
        <v>1024</v>
      </c>
      <c r="H25" s="175">
        <f>IF(ISNUMBER(deployment_raw[[#This Row],[Column8]]), (deployment_raw[[#This Row],[Column8]]  * deployment_raw[[#This Row],[Column5]]),"")</f>
        <v>400</v>
      </c>
      <c r="I25" s="176">
        <f>IF(ISNUMBER(deployment_raw[[#This Row],[Column9]]), (deployment_raw[[#This Row],[Column9]] * deployment_raw[[#This Row],[Column5]])/1048576,"")</f>
        <v>1024</v>
      </c>
      <c r="J25" s="57">
        <f>IF(ISNUMBER(deployment_raw[[#This Row],[Column10]]), (deployment_raw[[#This Row],[Column10]] * deployment_raw[[#This Row],[Column5]]),"")</f>
        <v>10</v>
      </c>
      <c r="K25" s="58">
        <f>IF(ISNUMBER(deployment_raw[[#This Row],[Column11]]), (deployment_raw[[#This Row],[Column11]] * deployment_raw[[#This Row],[Column5]])/1048576,"")</f>
        <v>384</v>
      </c>
      <c r="L25" s="180">
        <f>IF(ISNUMBER(deployment_raw[[#This Row],[Column8]]),IF(deployment_raw[[#This Row],[Column5]] &lt;&gt; 0, MAX((deployment_raw[[#This Row],[Column12]] * deployment_raw[[#This Row],[Column5]]), ((deployment_raw[[#This Row],[Column8]] * deployment_raw[[#This Row],[Column5]]) * $L$2), ($H$2 * deployment_raw[[#This Row],[Column5]])), 0),"")</f>
        <v>200</v>
      </c>
      <c r="M25" s="181">
        <f>IF(ISNUMBER(deployment_raw[[#This Row],[Column9]]),IF(deployment_raw[[#This Row],[Column5]] &lt;&gt; 0, MAX((deployment_raw[[#This Row],[Column13]] * deployment_raw[[#This Row],[Column5]])/1048576, ((deployment_raw[[#This Row],[Column9]] * deployment_raw[[#This Row],[Column5]]) * $M$2)/1048576, ($I$2 * deployment_raw[[#This Row],[Column5]])), 0),"")</f>
        <v>512</v>
      </c>
      <c r="N25" s="188">
        <f>IF(ISNUMBER(deployment_raw[[#This Row],[Column14]]), deployment_raw[[#This Row],[Column14]],"")</f>
        <v>4</v>
      </c>
      <c r="O25" s="189">
        <f>IF(ISNUMBER(deployment_raw[[#This Row],[Column15]]), deployment_raw[[#This Row],[Column15]]/1048576,"")</f>
        <v>352.1171875</v>
      </c>
      <c r="P25" s="190">
        <f>IF(ISNUMBER(deployment_raw[[#This Row],[Column12]]), (deployment_raw[[#This Row],[Column12]] * deployment_raw[[#This Row],[Column5]]),"")</f>
        <v>10</v>
      </c>
      <c r="Q25" s="189">
        <f>IF(ISNUMBER(deployment_raw[[#This Row],[Column13]]), (deployment_raw[[#This Row],[Column13]] * deployment_raw[[#This Row],[Column5]])/1048576,"")</f>
        <v>448</v>
      </c>
    </row>
    <row r="26" spans="1:17" ht="15.75" customHeight="1" x14ac:dyDescent="0.25">
      <c r="A26" s="37" t="str">
        <f>IF(ISNONTEXT(deployment_raw[[#This Row],[Column1]]), "", deployment_raw[[#This Row],[Column1]])</f>
        <v>mysql-ex-prometheus-mysql-exporter</v>
      </c>
      <c r="B26" s="38" t="str">
        <f>IF(ISNONTEXT(deployment_raw[[#This Row],[Column2]]), "", deployment_raw[[#This Row],[Column2]])</f>
        <v>deployment</v>
      </c>
      <c r="C26" s="38" t="str">
        <f>IF(ISNONTEXT(deployment_raw[[#This Row],[Column3]]), "", deployment_raw[[#This Row],[Column3]])</f>
        <v>robot-shop</v>
      </c>
      <c r="D26" s="38" t="str">
        <f>IF(ISNONTEXT(deployment_raw[[#This Row],[Column4]]), "", deployment_raw[[#This Row],[Column4]])</f>
        <v>&lt;none&gt;</v>
      </c>
      <c r="E26" s="39">
        <f>IF(ISNUMBER(deployment_raw[[#This Row],[Column5]]), deployment_raw[[#This Row],[Column5]],"")</f>
        <v>1</v>
      </c>
      <c r="F26" s="174">
        <f>IF(ISNUMBER(deployment_raw[[#This Row],[Column6]]), (deployment_raw[[#This Row],[Column6]] * deployment_raw[[#This Row],[Column5]]),"")</f>
        <v>0</v>
      </c>
      <c r="G26" s="175">
        <f>IF(ISNUMBER(deployment_raw[[#This Row],[Column7]]), (deployment_raw[[#This Row],[Column7]] * deployment_raw[[#This Row],[Column5]])/1048576,"")</f>
        <v>0</v>
      </c>
      <c r="H26" s="175">
        <f>IF(ISNUMBER(deployment_raw[[#This Row],[Column8]]), (deployment_raw[[#This Row],[Column8]]  * deployment_raw[[#This Row],[Column5]]),"")</f>
        <v>0</v>
      </c>
      <c r="I26" s="176">
        <f>IF(ISNUMBER(deployment_raw[[#This Row],[Column9]]), (deployment_raw[[#This Row],[Column9]] * deployment_raw[[#This Row],[Column5]])/1048576,"")</f>
        <v>0</v>
      </c>
      <c r="J26" s="57">
        <f>IF(ISNUMBER(deployment_raw[[#This Row],[Column10]]), (deployment_raw[[#This Row],[Column10]] * deployment_raw[[#This Row],[Column5]]),"")</f>
        <v>10</v>
      </c>
      <c r="K26" s="58">
        <f>IF(ISNUMBER(deployment_raw[[#This Row],[Column11]]), (deployment_raw[[#This Row],[Column11]] * deployment_raw[[#This Row],[Column5]])/1048576,"")</f>
        <v>16</v>
      </c>
      <c r="L26" s="180">
        <f>IF(ISNUMBER(deployment_raw[[#This Row],[Column8]]),IF(deployment_raw[[#This Row],[Column5]] &lt;&gt; 0, MAX((deployment_raw[[#This Row],[Column12]] * deployment_raw[[#This Row],[Column5]]), ((deployment_raw[[#This Row],[Column8]] * deployment_raw[[#This Row],[Column5]]) * $L$2), ($H$2 * deployment_raw[[#This Row],[Column5]])), 0),"")</f>
        <v>50</v>
      </c>
      <c r="M26" s="181">
        <f>IF(ISNUMBER(deployment_raw[[#This Row],[Column9]]),IF(deployment_raw[[#This Row],[Column5]] &lt;&gt; 0, MAX((deployment_raw[[#This Row],[Column13]] * deployment_raw[[#This Row],[Column5]])/1048576, ((deployment_raw[[#This Row],[Column9]] * deployment_raw[[#This Row],[Column5]]) * $M$2)/1048576, ($I$2 * deployment_raw[[#This Row],[Column5]])), 0),"")</f>
        <v>25</v>
      </c>
      <c r="N26" s="188">
        <f>IF(ISNUMBER(deployment_raw[[#This Row],[Column14]]), deployment_raw[[#This Row],[Column14]],"")</f>
        <v>4</v>
      </c>
      <c r="O26" s="189">
        <f>IF(ISNUMBER(deployment_raw[[#This Row],[Column15]]), deployment_raw[[#This Row],[Column15]]/1048576,"")</f>
        <v>14.42578125</v>
      </c>
      <c r="P26" s="190">
        <f>IF(ISNUMBER(deployment_raw[[#This Row],[Column12]]), (deployment_raw[[#This Row],[Column12]] * deployment_raw[[#This Row],[Column5]]),"")</f>
        <v>10</v>
      </c>
      <c r="Q26" s="189">
        <f>IF(ISNUMBER(deployment_raw[[#This Row],[Column13]]), (deployment_raw[[#This Row],[Column13]] * deployment_raw[[#This Row],[Column5]])/1048576,"")</f>
        <v>16</v>
      </c>
    </row>
    <row r="27" spans="1:17" ht="15.75" customHeight="1" x14ac:dyDescent="0.25">
      <c r="A27" s="37" t="str">
        <f>IF(ISNONTEXT(deployment_raw[[#This Row],[Column1]]), "", deployment_raw[[#This Row],[Column1]])</f>
        <v>nginx-ex-deployment</v>
      </c>
      <c r="B27" s="38" t="str">
        <f>IF(ISNONTEXT(deployment_raw[[#This Row],[Column2]]), "", deployment_raw[[#This Row],[Column2]])</f>
        <v>deployment</v>
      </c>
      <c r="C27" s="38" t="str">
        <f>IF(ISNONTEXT(deployment_raw[[#This Row],[Column3]]), "", deployment_raw[[#This Row],[Column3]])</f>
        <v>robot-shop</v>
      </c>
      <c r="D27" s="38" t="str">
        <f>IF(ISNONTEXT(deployment_raw[[#This Row],[Column4]]), "", deployment_raw[[#This Row],[Column4]])</f>
        <v>&lt;none&gt;</v>
      </c>
      <c r="E27" s="39">
        <f>IF(ISNUMBER(deployment_raw[[#This Row],[Column5]]), deployment_raw[[#This Row],[Column5]],"")</f>
        <v>1</v>
      </c>
      <c r="F27" s="174">
        <f>IF(ISNUMBER(deployment_raw[[#This Row],[Column6]]), (deployment_raw[[#This Row],[Column6]] * deployment_raw[[#This Row],[Column5]]),"")</f>
        <v>0</v>
      </c>
      <c r="G27" s="175">
        <f>IF(ISNUMBER(deployment_raw[[#This Row],[Column7]]), (deployment_raw[[#This Row],[Column7]] * deployment_raw[[#This Row],[Column5]])/1048576,"")</f>
        <v>0</v>
      </c>
      <c r="H27" s="175">
        <f>IF(ISNUMBER(deployment_raw[[#This Row],[Column8]]), (deployment_raw[[#This Row],[Column8]]  * deployment_raw[[#This Row],[Column5]]),"")</f>
        <v>0</v>
      </c>
      <c r="I27" s="176">
        <f>IF(ISNUMBER(deployment_raw[[#This Row],[Column9]]), (deployment_raw[[#This Row],[Column9]] * deployment_raw[[#This Row],[Column5]])/1048576,"")</f>
        <v>0</v>
      </c>
      <c r="J27" s="57">
        <f>IF(ISNUMBER(deployment_raw[[#This Row],[Column10]]), (deployment_raw[[#This Row],[Column10]] * deployment_raw[[#This Row],[Column5]]),"")</f>
        <v>10</v>
      </c>
      <c r="K27" s="58">
        <f>IF(ISNUMBER(deployment_raw[[#This Row],[Column11]]), (deployment_raw[[#This Row],[Column11]] * deployment_raw[[#This Row],[Column5]])/1048576,"")</f>
        <v>16</v>
      </c>
      <c r="L27" s="180">
        <f>IF(ISNUMBER(deployment_raw[[#This Row],[Column8]]),IF(deployment_raw[[#This Row],[Column5]] &lt;&gt; 0, MAX((deployment_raw[[#This Row],[Column12]] * deployment_raw[[#This Row],[Column5]]), ((deployment_raw[[#This Row],[Column8]] * deployment_raw[[#This Row],[Column5]]) * $L$2), ($H$2 * deployment_raw[[#This Row],[Column5]])), 0),"")</f>
        <v>50</v>
      </c>
      <c r="M27" s="181">
        <f>IF(ISNUMBER(deployment_raw[[#This Row],[Column9]]),IF(deployment_raw[[#This Row],[Column5]] &lt;&gt; 0, MAX((deployment_raw[[#This Row],[Column13]] * deployment_raw[[#This Row],[Column5]])/1048576, ((deployment_raw[[#This Row],[Column9]] * deployment_raw[[#This Row],[Column5]]) * $M$2)/1048576, ($I$2 * deployment_raw[[#This Row],[Column5]])), 0),"")</f>
        <v>32</v>
      </c>
      <c r="N27" s="188">
        <f>IF(ISNUMBER(deployment_raw[[#This Row],[Column14]]), deployment_raw[[#This Row],[Column14]],"")</f>
        <v>0</v>
      </c>
      <c r="O27" s="189">
        <f>IF(ISNUMBER(deployment_raw[[#This Row],[Column15]]), deployment_raw[[#This Row],[Column15]]/1048576,"")</f>
        <v>15.94921875</v>
      </c>
      <c r="P27" s="190">
        <f>IF(ISNUMBER(deployment_raw[[#This Row],[Column12]]), (deployment_raw[[#This Row],[Column12]] * deployment_raw[[#This Row],[Column5]]),"")</f>
        <v>10</v>
      </c>
      <c r="Q27" s="189">
        <f>IF(ISNUMBER(deployment_raw[[#This Row],[Column13]]), (deployment_raw[[#This Row],[Column13]] * deployment_raw[[#This Row],[Column5]])/1048576,"")</f>
        <v>32</v>
      </c>
    </row>
    <row r="28" spans="1:17" ht="15.75" customHeight="1" x14ac:dyDescent="0.25">
      <c r="A28" s="37" t="str">
        <f>IF(ISNONTEXT(deployment_raw[[#This Row],[Column1]]), "", deployment_raw[[#This Row],[Column1]])</f>
        <v>payment</v>
      </c>
      <c r="B28" s="38" t="str">
        <f>IF(ISNONTEXT(deployment_raw[[#This Row],[Column2]]), "", deployment_raw[[#This Row],[Column2]])</f>
        <v>deployment</v>
      </c>
      <c r="C28" s="38" t="str">
        <f>IF(ISNONTEXT(deployment_raw[[#This Row],[Column3]]), "", deployment_raw[[#This Row],[Column3]])</f>
        <v>robot-shop</v>
      </c>
      <c r="D28" s="38" t="str">
        <f>IF(ISNONTEXT(deployment_raw[[#This Row],[Column4]]), "", deployment_raw[[#This Row],[Column4]])</f>
        <v>&lt;none&gt;</v>
      </c>
      <c r="E28" s="39">
        <f>IF(ISNUMBER(deployment_raw[[#This Row],[Column5]]), deployment_raw[[#This Row],[Column5]],"")</f>
        <v>1</v>
      </c>
      <c r="F28" s="174">
        <f>IF(ISNUMBER(deployment_raw[[#This Row],[Column6]]), (deployment_raw[[#This Row],[Column6]] * deployment_raw[[#This Row],[Column5]]),"")</f>
        <v>200</v>
      </c>
      <c r="G28" s="175">
        <f>IF(ISNUMBER(deployment_raw[[#This Row],[Column7]]), (deployment_raw[[#This Row],[Column7]] * deployment_raw[[#This Row],[Column5]])/1048576,"")</f>
        <v>100</v>
      </c>
      <c r="H28" s="175">
        <f>IF(ISNUMBER(deployment_raw[[#This Row],[Column8]]), (deployment_raw[[#This Row],[Column8]]  * deployment_raw[[#This Row],[Column5]]),"")</f>
        <v>3000</v>
      </c>
      <c r="I28" s="176">
        <f>IF(ISNUMBER(deployment_raw[[#This Row],[Column9]]), (deployment_raw[[#This Row],[Column9]] * deployment_raw[[#This Row],[Column5]])/1048576,"")</f>
        <v>500</v>
      </c>
      <c r="J28" s="57">
        <f>IF(ISNUMBER(deployment_raw[[#This Row],[Column10]]), (deployment_raw[[#This Row],[Column10]] * deployment_raw[[#This Row],[Column5]]),"")</f>
        <v>1200</v>
      </c>
      <c r="K28" s="58">
        <f>IF(ISNUMBER(deployment_raw[[#This Row],[Column11]]), (deployment_raw[[#This Row],[Column11]] * deployment_raw[[#This Row],[Column5]])/1048576,"")</f>
        <v>48</v>
      </c>
      <c r="L28" s="180">
        <f>IF(ISNUMBER(deployment_raw[[#This Row],[Column8]]),IF(deployment_raw[[#This Row],[Column5]] &lt;&gt; 0, MAX((deployment_raw[[#This Row],[Column12]] * deployment_raw[[#This Row],[Column5]]), ((deployment_raw[[#This Row],[Column8]] * deployment_raw[[#This Row],[Column5]]) * $L$2), ($H$2 * deployment_raw[[#This Row],[Column5]])), 0),"")</f>
        <v>1700</v>
      </c>
      <c r="M28" s="181">
        <f>IF(ISNUMBER(deployment_raw[[#This Row],[Column9]]),IF(deployment_raw[[#This Row],[Column5]] &lt;&gt; 0, MAX((deployment_raw[[#This Row],[Column13]] * deployment_raw[[#This Row],[Column5]])/1048576, ((deployment_raw[[#This Row],[Column9]] * deployment_raw[[#This Row],[Column5]]) * $M$2)/1048576, ($I$2 * deployment_raw[[#This Row],[Column5]])), 0),"")</f>
        <v>250</v>
      </c>
      <c r="N28" s="188">
        <f>IF(ISNUMBER(deployment_raw[[#This Row],[Column14]]), deployment_raw[[#This Row],[Column14]],"")</f>
        <v>987</v>
      </c>
      <c r="O28" s="189">
        <f>IF(ISNUMBER(deployment_raw[[#This Row],[Column15]]), deployment_raw[[#This Row],[Column15]]/1048576,"")</f>
        <v>45.4375</v>
      </c>
      <c r="P28" s="190">
        <f>IF(ISNUMBER(deployment_raw[[#This Row],[Column12]]), (deployment_raw[[#This Row],[Column12]] * deployment_raw[[#This Row],[Column5]]),"")</f>
        <v>1700</v>
      </c>
      <c r="Q28" s="189">
        <f>IF(ISNUMBER(deployment_raw[[#This Row],[Column13]]), (deployment_raw[[#This Row],[Column13]] * deployment_raw[[#This Row],[Column5]])/1048576,"")</f>
        <v>64</v>
      </c>
    </row>
    <row r="29" spans="1:17" ht="15.75" customHeight="1" x14ac:dyDescent="0.25">
      <c r="A29" s="37" t="str">
        <f>IF(ISNONTEXT(deployment_raw[[#This Row],[Column1]]), "", deployment_raw[[#This Row],[Column1]])</f>
        <v>rabbitmq</v>
      </c>
      <c r="B29" s="38" t="str">
        <f>IF(ISNONTEXT(deployment_raw[[#This Row],[Column2]]), "", deployment_raw[[#This Row],[Column2]])</f>
        <v>deployment</v>
      </c>
      <c r="C29" s="38" t="str">
        <f>IF(ISNONTEXT(deployment_raw[[#This Row],[Column3]]), "", deployment_raw[[#This Row],[Column3]])</f>
        <v>robot-shop</v>
      </c>
      <c r="D29" s="38" t="str">
        <f>IF(ISNONTEXT(deployment_raw[[#This Row],[Column4]]), "", deployment_raw[[#This Row],[Column4]])</f>
        <v>&lt;none&gt;</v>
      </c>
      <c r="E29" s="39">
        <f>IF(ISNUMBER(deployment_raw[[#This Row],[Column5]]), deployment_raw[[#This Row],[Column5]],"")</f>
        <v>1</v>
      </c>
      <c r="F29" s="174">
        <f>IF(ISNUMBER(deployment_raw[[#This Row],[Column6]]), (deployment_raw[[#This Row],[Column6]] * deployment_raw[[#This Row],[Column5]]),"")</f>
        <v>100</v>
      </c>
      <c r="G29" s="175">
        <f>IF(ISNUMBER(deployment_raw[[#This Row],[Column7]]), (deployment_raw[[#This Row],[Column7]] * deployment_raw[[#This Row],[Column5]])/1048576,"")</f>
        <v>512</v>
      </c>
      <c r="H29" s="175">
        <f>IF(ISNUMBER(deployment_raw[[#This Row],[Column8]]), (deployment_raw[[#This Row],[Column8]]  * deployment_raw[[#This Row],[Column5]]),"")</f>
        <v>150</v>
      </c>
      <c r="I29" s="176">
        <f>IF(ISNUMBER(deployment_raw[[#This Row],[Column9]]), (deployment_raw[[#This Row],[Column9]] * deployment_raw[[#This Row],[Column5]])/1048576,"")</f>
        <v>512</v>
      </c>
      <c r="J29" s="57">
        <f>IF(ISNUMBER(deployment_raw[[#This Row],[Column10]]), (deployment_raw[[#This Row],[Column10]] * deployment_raw[[#This Row],[Column5]]),"")</f>
        <v>30</v>
      </c>
      <c r="K29" s="58">
        <f>IF(ISNUMBER(deployment_raw[[#This Row],[Column11]]), (deployment_raw[[#This Row],[Column11]] * deployment_raw[[#This Row],[Column5]])/1048576,"")</f>
        <v>192</v>
      </c>
      <c r="L29" s="180">
        <f>IF(ISNUMBER(deployment_raw[[#This Row],[Column8]]),IF(deployment_raw[[#This Row],[Column5]] &lt;&gt; 0, MAX((deployment_raw[[#This Row],[Column12]] * deployment_raw[[#This Row],[Column5]]), ((deployment_raw[[#This Row],[Column8]] * deployment_raw[[#This Row],[Column5]]) * $L$2), ($H$2 * deployment_raw[[#This Row],[Column5]])), 0),"")</f>
        <v>75</v>
      </c>
      <c r="M29" s="181">
        <f>IF(ISNUMBER(deployment_raw[[#This Row],[Column9]]),IF(deployment_raw[[#This Row],[Column5]] &lt;&gt; 0, MAX((deployment_raw[[#This Row],[Column13]] * deployment_raw[[#This Row],[Column5]])/1048576, ((deployment_raw[[#This Row],[Column9]] * deployment_raw[[#This Row],[Column5]]) * $M$2)/1048576, ($I$2 * deployment_raw[[#This Row],[Column5]])), 0),"")</f>
        <v>256</v>
      </c>
      <c r="N29" s="188">
        <f>IF(ISNUMBER(deployment_raw[[#This Row],[Column14]]), deployment_raw[[#This Row],[Column14]],"")</f>
        <v>30</v>
      </c>
      <c r="O29" s="189">
        <f>IF(ISNUMBER(deployment_raw[[#This Row],[Column15]]), deployment_raw[[#This Row],[Column15]]/1048576,"")</f>
        <v>142.2890625</v>
      </c>
      <c r="P29" s="190">
        <f>IF(ISNUMBER(deployment_raw[[#This Row],[Column12]]), (deployment_raw[[#This Row],[Column12]] * deployment_raw[[#This Row],[Column5]]),"")</f>
        <v>40</v>
      </c>
      <c r="Q29" s="189">
        <f>IF(ISNUMBER(deployment_raw[[#This Row],[Column13]]), (deployment_raw[[#This Row],[Column13]] * deployment_raw[[#This Row],[Column5]])/1048576,"")</f>
        <v>192</v>
      </c>
    </row>
    <row r="30" spans="1:17" ht="15.75" customHeight="1" x14ac:dyDescent="0.25">
      <c r="A30" s="37" t="str">
        <f>IF(ISNONTEXT(deployment_raw[[#This Row],[Column1]]), "", deployment_raw[[#This Row],[Column1]])</f>
        <v>rabbitmq-ex-prometheus-rabbitmq-exporter</v>
      </c>
      <c r="B30" s="38" t="str">
        <f>IF(ISNONTEXT(deployment_raw[[#This Row],[Column2]]), "", deployment_raw[[#This Row],[Column2]])</f>
        <v>deployment</v>
      </c>
      <c r="C30" s="38" t="str">
        <f>IF(ISNONTEXT(deployment_raw[[#This Row],[Column3]]), "", deployment_raw[[#This Row],[Column3]])</f>
        <v>robot-shop</v>
      </c>
      <c r="D30" s="38" t="str">
        <f>IF(ISNONTEXT(deployment_raw[[#This Row],[Column4]]), "", deployment_raw[[#This Row],[Column4]])</f>
        <v>&lt;none&gt;</v>
      </c>
      <c r="E30" s="39">
        <f>IF(ISNUMBER(deployment_raw[[#This Row],[Column5]]), deployment_raw[[#This Row],[Column5]],"")</f>
        <v>1</v>
      </c>
      <c r="F30" s="174">
        <f>IF(ISNUMBER(deployment_raw[[#This Row],[Column6]]), (deployment_raw[[#This Row],[Column6]] * deployment_raw[[#This Row],[Column5]]),"")</f>
        <v>0</v>
      </c>
      <c r="G30" s="175">
        <f>IF(ISNUMBER(deployment_raw[[#This Row],[Column7]]), (deployment_raw[[#This Row],[Column7]] * deployment_raw[[#This Row],[Column5]])/1048576,"")</f>
        <v>0</v>
      </c>
      <c r="H30" s="175">
        <f>IF(ISNUMBER(deployment_raw[[#This Row],[Column8]]), (deployment_raw[[#This Row],[Column8]]  * deployment_raw[[#This Row],[Column5]]),"")</f>
        <v>0</v>
      </c>
      <c r="I30" s="176">
        <f>IF(ISNUMBER(deployment_raw[[#This Row],[Column9]]), (deployment_raw[[#This Row],[Column9]] * deployment_raw[[#This Row],[Column5]])/1048576,"")</f>
        <v>0</v>
      </c>
      <c r="J30" s="57">
        <f>IF(ISNUMBER(deployment_raw[[#This Row],[Column10]]), (deployment_raw[[#This Row],[Column10]] * deployment_raw[[#This Row],[Column5]]),"")</f>
        <v>10</v>
      </c>
      <c r="K30" s="58">
        <f>IF(ISNUMBER(deployment_raw[[#This Row],[Column11]]), (deployment_raw[[#This Row],[Column11]] * deployment_raw[[#This Row],[Column5]])/1048576,"")</f>
        <v>16</v>
      </c>
      <c r="L30" s="180">
        <f>IF(ISNUMBER(deployment_raw[[#This Row],[Column8]]),IF(deployment_raw[[#This Row],[Column5]] &lt;&gt; 0, MAX((deployment_raw[[#This Row],[Column12]] * deployment_raw[[#This Row],[Column5]]), ((deployment_raw[[#This Row],[Column8]] * deployment_raw[[#This Row],[Column5]]) * $L$2), ($H$2 * deployment_raw[[#This Row],[Column5]])), 0),"")</f>
        <v>50</v>
      </c>
      <c r="M30" s="181">
        <f>IF(ISNUMBER(deployment_raw[[#This Row],[Column9]]),IF(deployment_raw[[#This Row],[Column5]] &lt;&gt; 0, MAX((deployment_raw[[#This Row],[Column13]] * deployment_raw[[#This Row],[Column5]])/1048576, ((deployment_raw[[#This Row],[Column9]] * deployment_raw[[#This Row],[Column5]]) * $M$2)/1048576, ($I$2 * deployment_raw[[#This Row],[Column5]])), 0),"")</f>
        <v>25</v>
      </c>
      <c r="N30" s="188">
        <f>IF(ISNUMBER(deployment_raw[[#This Row],[Column14]]), deployment_raw[[#This Row],[Column14]],"")</f>
        <v>1</v>
      </c>
      <c r="O30" s="189">
        <f>IF(ISNUMBER(deployment_raw[[#This Row],[Column15]]), deployment_raw[[#This Row],[Column15]]/1048576,"")</f>
        <v>11.390625</v>
      </c>
      <c r="P30" s="190">
        <f>IF(ISNUMBER(deployment_raw[[#This Row],[Column12]]), (deployment_raw[[#This Row],[Column12]] * deployment_raw[[#This Row],[Column5]]),"")</f>
        <v>10</v>
      </c>
      <c r="Q30" s="189">
        <f>IF(ISNUMBER(deployment_raw[[#This Row],[Column13]]), (deployment_raw[[#This Row],[Column13]] * deployment_raw[[#This Row],[Column5]])/1048576,"")</f>
        <v>16</v>
      </c>
    </row>
    <row r="31" spans="1:17" ht="15.75" customHeight="1" x14ac:dyDescent="0.25">
      <c r="A31" s="37" t="str">
        <f>IF(ISNONTEXT(deployment_raw[[#This Row],[Column1]]), "", deployment_raw[[#This Row],[Column1]])</f>
        <v>ratings</v>
      </c>
      <c r="B31" s="38" t="str">
        <f>IF(ISNONTEXT(deployment_raw[[#This Row],[Column2]]), "", deployment_raw[[#This Row],[Column2]])</f>
        <v>deployment</v>
      </c>
      <c r="C31" s="38" t="str">
        <f>IF(ISNONTEXT(deployment_raw[[#This Row],[Column3]]), "", deployment_raw[[#This Row],[Column3]])</f>
        <v>robot-shop</v>
      </c>
      <c r="D31" s="38" t="str">
        <f>IF(ISNONTEXT(deployment_raw[[#This Row],[Column4]]), "", deployment_raw[[#This Row],[Column4]])</f>
        <v>&lt;none&gt;</v>
      </c>
      <c r="E31" s="39">
        <f>IF(ISNUMBER(deployment_raw[[#This Row],[Column5]]), deployment_raw[[#This Row],[Column5]],"")</f>
        <v>1</v>
      </c>
      <c r="F31" s="174">
        <f>IF(ISNUMBER(deployment_raw[[#This Row],[Column6]]), (deployment_raw[[#This Row],[Column6]] * deployment_raw[[#This Row],[Column5]]),"")</f>
        <v>50</v>
      </c>
      <c r="G31" s="175">
        <f>IF(ISNUMBER(deployment_raw[[#This Row],[Column7]]), (deployment_raw[[#This Row],[Column7]] * deployment_raw[[#This Row],[Column5]])/1048576,"")</f>
        <v>100</v>
      </c>
      <c r="H31" s="175">
        <f>IF(ISNUMBER(deployment_raw[[#This Row],[Column8]]), (deployment_raw[[#This Row],[Column8]]  * deployment_raw[[#This Row],[Column5]]),"")</f>
        <v>100</v>
      </c>
      <c r="I31" s="176">
        <f>IF(ISNUMBER(deployment_raw[[#This Row],[Column9]]), (deployment_raw[[#This Row],[Column9]] * deployment_raw[[#This Row],[Column5]])/1048576,"")</f>
        <v>100</v>
      </c>
      <c r="J31" s="57">
        <f>IF(ISNUMBER(deployment_raw[[#This Row],[Column10]]), (deployment_raw[[#This Row],[Column10]] * deployment_raw[[#This Row],[Column5]]),"")</f>
        <v>10</v>
      </c>
      <c r="K31" s="58">
        <f>IF(ISNUMBER(deployment_raw[[#This Row],[Column11]]), (deployment_raw[[#This Row],[Column11]] * deployment_raw[[#This Row],[Column5]])/1048576,"")</f>
        <v>48</v>
      </c>
      <c r="L31" s="180">
        <f>IF(ISNUMBER(deployment_raw[[#This Row],[Column8]]),IF(deployment_raw[[#This Row],[Column5]] &lt;&gt; 0, MAX((deployment_raw[[#This Row],[Column12]] * deployment_raw[[#This Row],[Column5]]), ((deployment_raw[[#This Row],[Column8]] * deployment_raw[[#This Row],[Column5]]) * $L$2), ($H$2 * deployment_raw[[#This Row],[Column5]])), 0),"")</f>
        <v>50</v>
      </c>
      <c r="M31" s="181">
        <f>IF(ISNUMBER(deployment_raw[[#This Row],[Column9]]),IF(deployment_raw[[#This Row],[Column5]] &lt;&gt; 0, MAX((deployment_raw[[#This Row],[Column13]] * deployment_raw[[#This Row],[Column5]])/1048576, ((deployment_raw[[#This Row],[Column9]] * deployment_raw[[#This Row],[Column5]]) * $M$2)/1048576, ($I$2 * deployment_raw[[#This Row],[Column5]])), 0),"")</f>
        <v>50</v>
      </c>
      <c r="N31" s="188">
        <f>IF(ISNUMBER(deployment_raw[[#This Row],[Column14]]), deployment_raw[[#This Row],[Column14]],"")</f>
        <v>2</v>
      </c>
      <c r="O31" s="189">
        <f>IF(ISNUMBER(deployment_raw[[#This Row],[Column15]]), deployment_raw[[#This Row],[Column15]]/1048576,"")</f>
        <v>41.6171875</v>
      </c>
      <c r="P31" s="190">
        <f>IF(ISNUMBER(deployment_raw[[#This Row],[Column12]]), (deployment_raw[[#This Row],[Column12]] * deployment_raw[[#This Row],[Column5]]),"")</f>
        <v>10</v>
      </c>
      <c r="Q31" s="189">
        <f>IF(ISNUMBER(deployment_raw[[#This Row],[Column13]]), (deployment_raw[[#This Row],[Column13]] * deployment_raw[[#This Row],[Column5]])/1048576,"")</f>
        <v>48</v>
      </c>
    </row>
    <row r="32" spans="1:17" ht="15.75" customHeight="1" x14ac:dyDescent="0.25">
      <c r="A32" s="37" t="str">
        <f>IF(ISNONTEXT(deployment_raw[[#This Row],[Column1]]), "", deployment_raw[[#This Row],[Column1]])</f>
        <v>redis-ex-prometheus-redis-exporter</v>
      </c>
      <c r="B32" s="38" t="str">
        <f>IF(ISNONTEXT(deployment_raw[[#This Row],[Column2]]), "", deployment_raw[[#This Row],[Column2]])</f>
        <v>deployment</v>
      </c>
      <c r="C32" s="38" t="str">
        <f>IF(ISNONTEXT(deployment_raw[[#This Row],[Column3]]), "", deployment_raw[[#This Row],[Column3]])</f>
        <v>robot-shop</v>
      </c>
      <c r="D32" s="38" t="str">
        <f>IF(ISNONTEXT(deployment_raw[[#This Row],[Column4]]), "", deployment_raw[[#This Row],[Column4]])</f>
        <v>&lt;none&gt;</v>
      </c>
      <c r="E32" s="39">
        <f>IF(ISNUMBER(deployment_raw[[#This Row],[Column5]]), deployment_raw[[#This Row],[Column5]],"")</f>
        <v>1</v>
      </c>
      <c r="F32" s="174">
        <f>IF(ISNUMBER(deployment_raw[[#This Row],[Column6]]), (deployment_raw[[#This Row],[Column6]] * deployment_raw[[#This Row],[Column5]]),"")</f>
        <v>0</v>
      </c>
      <c r="G32" s="175">
        <f>IF(ISNUMBER(deployment_raw[[#This Row],[Column7]]), (deployment_raw[[#This Row],[Column7]] * deployment_raw[[#This Row],[Column5]])/1048576,"")</f>
        <v>0</v>
      </c>
      <c r="H32" s="175">
        <f>IF(ISNUMBER(deployment_raw[[#This Row],[Column8]]), (deployment_raw[[#This Row],[Column8]]  * deployment_raw[[#This Row],[Column5]]),"")</f>
        <v>0</v>
      </c>
      <c r="I32" s="176">
        <f>IF(ISNUMBER(deployment_raw[[#This Row],[Column9]]), (deployment_raw[[#This Row],[Column9]] * deployment_raw[[#This Row],[Column5]])/1048576,"")</f>
        <v>0</v>
      </c>
      <c r="J32" s="57">
        <f>IF(ISNUMBER(deployment_raw[[#This Row],[Column10]]), (deployment_raw[[#This Row],[Column10]] * deployment_raw[[#This Row],[Column5]]),"")</f>
        <v>10</v>
      </c>
      <c r="K32" s="58">
        <f>IF(ISNUMBER(deployment_raw[[#This Row],[Column11]]), (deployment_raw[[#This Row],[Column11]] * deployment_raw[[#This Row],[Column5]])/1048576,"")</f>
        <v>32</v>
      </c>
      <c r="L32" s="180">
        <f>IF(ISNUMBER(deployment_raw[[#This Row],[Column8]]),IF(deployment_raw[[#This Row],[Column5]] &lt;&gt; 0, MAX((deployment_raw[[#This Row],[Column12]] * deployment_raw[[#This Row],[Column5]]), ((deployment_raw[[#This Row],[Column8]] * deployment_raw[[#This Row],[Column5]]) * $L$2), ($H$2 * deployment_raw[[#This Row],[Column5]])), 0),"")</f>
        <v>50</v>
      </c>
      <c r="M32" s="181">
        <f>IF(ISNUMBER(deployment_raw[[#This Row],[Column9]]),IF(deployment_raw[[#This Row],[Column5]] &lt;&gt; 0, MAX((deployment_raw[[#This Row],[Column13]] * deployment_raw[[#This Row],[Column5]])/1048576, ((deployment_raw[[#This Row],[Column9]] * deployment_raw[[#This Row],[Column5]]) * $M$2)/1048576, ($I$2 * deployment_raw[[#This Row],[Column5]])), 0),"")</f>
        <v>32</v>
      </c>
      <c r="N32" s="188">
        <f>IF(ISNUMBER(deployment_raw[[#This Row],[Column14]]), deployment_raw[[#This Row],[Column14]],"")</f>
        <v>0</v>
      </c>
      <c r="O32" s="189">
        <f>IF(ISNUMBER(deployment_raw[[#This Row],[Column15]]), deployment_raw[[#This Row],[Column15]]/1048576,"")</f>
        <v>20.05078125</v>
      </c>
      <c r="P32" s="190">
        <f>IF(ISNUMBER(deployment_raw[[#This Row],[Column12]]), (deployment_raw[[#This Row],[Column12]] * deployment_raw[[#This Row],[Column5]]),"")</f>
        <v>10</v>
      </c>
      <c r="Q32" s="189">
        <f>IF(ISNUMBER(deployment_raw[[#This Row],[Column13]]), (deployment_raw[[#This Row],[Column13]] * deployment_raw[[#This Row],[Column5]])/1048576,"")</f>
        <v>32</v>
      </c>
    </row>
    <row r="33" spans="1:17" ht="15.75" customHeight="1" x14ac:dyDescent="0.25">
      <c r="A33" s="37" t="str">
        <f>IF(ISNONTEXT(deployment_raw[[#This Row],[Column1]]), "", deployment_raw[[#This Row],[Column1]])</f>
        <v>shipping</v>
      </c>
      <c r="B33" s="38" t="str">
        <f>IF(ISNONTEXT(deployment_raw[[#This Row],[Column2]]), "", deployment_raw[[#This Row],[Column2]])</f>
        <v>deployment</v>
      </c>
      <c r="C33" s="38" t="str">
        <f>IF(ISNONTEXT(deployment_raw[[#This Row],[Column3]]), "", deployment_raw[[#This Row],[Column3]])</f>
        <v>robot-shop</v>
      </c>
      <c r="D33" s="38" t="str">
        <f>IF(ISNONTEXT(deployment_raw[[#This Row],[Column4]]), "", deployment_raw[[#This Row],[Column4]])</f>
        <v>&lt;none&gt;</v>
      </c>
      <c r="E33" s="39">
        <f>IF(ISNUMBER(deployment_raw[[#This Row],[Column5]]), deployment_raw[[#This Row],[Column5]],"")</f>
        <v>1</v>
      </c>
      <c r="F33" s="174">
        <f>IF(ISNUMBER(deployment_raw[[#This Row],[Column6]]), (deployment_raw[[#This Row],[Column6]] * deployment_raw[[#This Row],[Column5]]),"")</f>
        <v>200</v>
      </c>
      <c r="G33" s="175">
        <f>IF(ISNUMBER(deployment_raw[[#This Row],[Column7]]), (deployment_raw[[#This Row],[Column7]] * deployment_raw[[#This Row],[Column5]])/1048576,"")</f>
        <v>1000</v>
      </c>
      <c r="H33" s="175">
        <f>IF(ISNUMBER(deployment_raw[[#This Row],[Column8]]), (deployment_raw[[#This Row],[Column8]]  * deployment_raw[[#This Row],[Column5]]),"")</f>
        <v>1000</v>
      </c>
      <c r="I33" s="176">
        <f>IF(ISNUMBER(deployment_raw[[#This Row],[Column9]]), (deployment_raw[[#This Row],[Column9]] * deployment_raw[[#This Row],[Column5]])/1048576,"")</f>
        <v>1000</v>
      </c>
      <c r="J33" s="57">
        <f>IF(ISNUMBER(deployment_raw[[#This Row],[Column10]]), (deployment_raw[[#This Row],[Column10]] * deployment_raw[[#This Row],[Column5]]),"")</f>
        <v>1100</v>
      </c>
      <c r="K33" s="58">
        <f>IF(ISNUMBER(deployment_raw[[#This Row],[Column11]]), (deployment_raw[[#This Row],[Column11]] * deployment_raw[[#This Row],[Column5]])/1048576,"")</f>
        <v>896</v>
      </c>
      <c r="L33" s="180">
        <f>IF(ISNUMBER(deployment_raw[[#This Row],[Column8]]),IF(deployment_raw[[#This Row],[Column5]] &lt;&gt; 0, MAX((deployment_raw[[#This Row],[Column12]] * deployment_raw[[#This Row],[Column5]]), ((deployment_raw[[#This Row],[Column8]] * deployment_raw[[#This Row],[Column5]]) * $L$2), ($H$2 * deployment_raw[[#This Row],[Column5]])), 0),"")</f>
        <v>1900</v>
      </c>
      <c r="M33" s="181">
        <f>IF(ISNUMBER(deployment_raw[[#This Row],[Column9]]),IF(deployment_raw[[#This Row],[Column5]] &lt;&gt; 0, MAX((deployment_raw[[#This Row],[Column13]] * deployment_raw[[#This Row],[Column5]])/1048576, ((deployment_raw[[#This Row],[Column9]] * deployment_raw[[#This Row],[Column5]]) * $M$2)/1048576, ($I$2 * deployment_raw[[#This Row],[Column5]])), 0),"")</f>
        <v>960</v>
      </c>
      <c r="N33" s="188">
        <f>IF(ISNUMBER(deployment_raw[[#This Row],[Column14]]), deployment_raw[[#This Row],[Column14]],"")</f>
        <v>974</v>
      </c>
      <c r="O33" s="189">
        <f>IF(ISNUMBER(deployment_raw[[#This Row],[Column15]]), deployment_raw[[#This Row],[Column15]]/1048576,"")</f>
        <v>867.845703125</v>
      </c>
      <c r="P33" s="190">
        <f>IF(ISNUMBER(deployment_raw[[#This Row],[Column12]]), (deployment_raw[[#This Row],[Column12]] * deployment_raw[[#This Row],[Column5]]),"")</f>
        <v>1900</v>
      </c>
      <c r="Q33" s="189">
        <f>IF(ISNUMBER(deployment_raw[[#This Row],[Column13]]), (deployment_raw[[#This Row],[Column13]] * deployment_raw[[#This Row],[Column5]])/1048576,"")</f>
        <v>960</v>
      </c>
    </row>
    <row r="34" spans="1:17" ht="15.75" customHeight="1" x14ac:dyDescent="0.25">
      <c r="A34" s="37" t="str">
        <f>IF(ISNONTEXT(deployment_raw[[#This Row],[Column1]]), "", deployment_raw[[#This Row],[Column1]])</f>
        <v>user</v>
      </c>
      <c r="B34" s="38" t="str">
        <f>IF(ISNONTEXT(deployment_raw[[#This Row],[Column2]]), "", deployment_raw[[#This Row],[Column2]])</f>
        <v>deployment</v>
      </c>
      <c r="C34" s="38" t="str">
        <f>IF(ISNONTEXT(deployment_raw[[#This Row],[Column3]]), "", deployment_raw[[#This Row],[Column3]])</f>
        <v>robot-shop</v>
      </c>
      <c r="D34" s="38" t="str">
        <f>IF(ISNONTEXT(deployment_raw[[#This Row],[Column4]]), "", deployment_raw[[#This Row],[Column4]])</f>
        <v>&lt;none&gt;</v>
      </c>
      <c r="E34" s="39">
        <f>IF(ISNUMBER(deployment_raw[[#This Row],[Column5]]), deployment_raw[[#This Row],[Column5]],"")</f>
        <v>1</v>
      </c>
      <c r="F34" s="174">
        <f>IF(ISNUMBER(deployment_raw[[#This Row],[Column6]]), (deployment_raw[[#This Row],[Column6]] * deployment_raw[[#This Row],[Column5]]),"")</f>
        <v>200</v>
      </c>
      <c r="G34" s="175">
        <f>IF(ISNUMBER(deployment_raw[[#This Row],[Column7]]), (deployment_raw[[#This Row],[Column7]] * deployment_raw[[#This Row],[Column5]])/1048576,"")</f>
        <v>100</v>
      </c>
      <c r="H34" s="175">
        <f>IF(ISNUMBER(deployment_raw[[#This Row],[Column8]]), (deployment_raw[[#This Row],[Column8]]  * deployment_raw[[#This Row],[Column5]]),"")</f>
        <v>2000</v>
      </c>
      <c r="I34" s="176">
        <f>IF(ISNUMBER(deployment_raw[[#This Row],[Column9]]), (deployment_raw[[#This Row],[Column9]] * deployment_raw[[#This Row],[Column5]])/1048576,"")</f>
        <v>1024</v>
      </c>
      <c r="J34" s="57">
        <f>IF(ISNUMBER(deployment_raw[[#This Row],[Column10]]), (deployment_raw[[#This Row],[Column10]] * deployment_raw[[#This Row],[Column5]]),"")</f>
        <v>950</v>
      </c>
      <c r="K34" s="58">
        <f>IF(ISNUMBER(deployment_raw[[#This Row],[Column11]]), (deployment_raw[[#This Row],[Column11]] * deployment_raw[[#This Row],[Column5]])/1048576,"")</f>
        <v>112</v>
      </c>
      <c r="L34" s="180">
        <f>IF(ISNUMBER(deployment_raw[[#This Row],[Column8]]),IF(deployment_raw[[#This Row],[Column5]] &lt;&gt; 0, MAX((deployment_raw[[#This Row],[Column12]] * deployment_raw[[#This Row],[Column5]]), ((deployment_raw[[#This Row],[Column8]] * deployment_raw[[#This Row],[Column5]]) * $L$2), ($H$2 * deployment_raw[[#This Row],[Column5]])), 0),"")</f>
        <v>1600</v>
      </c>
      <c r="M34" s="181">
        <f>IF(ISNUMBER(deployment_raw[[#This Row],[Column9]]),IF(deployment_raw[[#This Row],[Column5]] &lt;&gt; 0, MAX((deployment_raw[[#This Row],[Column13]] * deployment_raw[[#This Row],[Column5]])/1048576, ((deployment_raw[[#This Row],[Column9]] * deployment_raw[[#This Row],[Column5]]) * $M$2)/1048576, ($I$2 * deployment_raw[[#This Row],[Column5]])), 0),"")</f>
        <v>512</v>
      </c>
      <c r="N34" s="188">
        <f>IF(ISNUMBER(deployment_raw[[#This Row],[Column14]]), deployment_raw[[#This Row],[Column14]],"")</f>
        <v>895</v>
      </c>
      <c r="O34" s="189">
        <f>IF(ISNUMBER(deployment_raw[[#This Row],[Column15]]), deployment_raw[[#This Row],[Column15]]/1048576,"")</f>
        <v>103.2578125</v>
      </c>
      <c r="P34" s="190">
        <f>IF(ISNUMBER(deployment_raw[[#This Row],[Column12]]), (deployment_raw[[#This Row],[Column12]] * deployment_raw[[#This Row],[Column5]]),"")</f>
        <v>1600</v>
      </c>
      <c r="Q34" s="189">
        <f>IF(ISNUMBER(deployment_raw[[#This Row],[Column13]]), (deployment_raw[[#This Row],[Column13]] * deployment_raw[[#This Row],[Column5]])/1048576,"")</f>
        <v>112</v>
      </c>
    </row>
    <row r="35" spans="1:17" ht="15.75" customHeight="1" x14ac:dyDescent="0.25">
      <c r="A35" s="37" t="str">
        <f>IF(ISNONTEXT(deployment_raw[[#This Row],[Column1]]), "", deployment_raw[[#This Row],[Column1]])</f>
        <v>web</v>
      </c>
      <c r="B35" s="38" t="str">
        <f>IF(ISNONTEXT(deployment_raw[[#This Row],[Column2]]), "", deployment_raw[[#This Row],[Column2]])</f>
        <v>deployment</v>
      </c>
      <c r="C35" s="38" t="str">
        <f>IF(ISNONTEXT(deployment_raw[[#This Row],[Column3]]), "", deployment_raw[[#This Row],[Column3]])</f>
        <v>robot-shop</v>
      </c>
      <c r="D35" s="38" t="str">
        <f>IF(ISNONTEXT(deployment_raw[[#This Row],[Column4]]), "", deployment_raw[[#This Row],[Column4]])</f>
        <v>&lt;none&gt;</v>
      </c>
      <c r="E35" s="39">
        <f>IF(ISNUMBER(deployment_raw[[#This Row],[Column5]]), deployment_raw[[#This Row],[Column5]],"")</f>
        <v>1</v>
      </c>
      <c r="F35" s="174">
        <f>IF(ISNUMBER(deployment_raw[[#This Row],[Column6]]), (deployment_raw[[#This Row],[Column6]] * deployment_raw[[#This Row],[Column5]]),"")</f>
        <v>200</v>
      </c>
      <c r="G35" s="175">
        <f>IF(ISNUMBER(deployment_raw[[#This Row],[Column7]]), (deployment_raw[[#This Row],[Column7]] * deployment_raw[[#This Row],[Column5]])/1048576,"")</f>
        <v>100</v>
      </c>
      <c r="H35" s="175">
        <f>IF(ISNUMBER(deployment_raw[[#This Row],[Column8]]), (deployment_raw[[#This Row],[Column8]]  * deployment_raw[[#This Row],[Column5]]),"")</f>
        <v>2000</v>
      </c>
      <c r="I35" s="176">
        <f>IF(ISNUMBER(deployment_raw[[#This Row],[Column9]]), (deployment_raw[[#This Row],[Column9]] * deployment_raw[[#This Row],[Column5]])/1048576,"")</f>
        <v>1024</v>
      </c>
      <c r="J35" s="57">
        <f>IF(ISNUMBER(deployment_raw[[#This Row],[Column10]]), (deployment_raw[[#This Row],[Column10]] * deployment_raw[[#This Row],[Column5]]),"")</f>
        <v>1100</v>
      </c>
      <c r="K35" s="58">
        <f>IF(ISNUMBER(deployment_raw[[#This Row],[Column11]]), (deployment_raw[[#This Row],[Column11]] * deployment_raw[[#This Row],[Column5]])/1048576,"")</f>
        <v>80</v>
      </c>
      <c r="L35" s="180">
        <f>IF(ISNUMBER(deployment_raw[[#This Row],[Column8]]),IF(deployment_raw[[#This Row],[Column5]] &lt;&gt; 0, MAX((deployment_raw[[#This Row],[Column12]] * deployment_raw[[#This Row],[Column5]]), ((deployment_raw[[#This Row],[Column8]] * deployment_raw[[#This Row],[Column5]]) * $L$2), ($H$2 * deployment_raw[[#This Row],[Column5]])), 0),"")</f>
        <v>1600</v>
      </c>
      <c r="M35" s="181">
        <f>IF(ISNUMBER(deployment_raw[[#This Row],[Column9]]),IF(deployment_raw[[#This Row],[Column5]] &lt;&gt; 0, MAX((deployment_raw[[#This Row],[Column13]] * deployment_raw[[#This Row],[Column5]])/1048576, ((deployment_raw[[#This Row],[Column9]] * deployment_raw[[#This Row],[Column5]]) * $M$2)/1048576, ($I$2 * deployment_raw[[#This Row],[Column5]])), 0),"")</f>
        <v>512</v>
      </c>
      <c r="N35" s="188">
        <f>IF(ISNUMBER(deployment_raw[[#This Row],[Column14]]), deployment_raw[[#This Row],[Column14]],"")</f>
        <v>891</v>
      </c>
      <c r="O35" s="189">
        <f>IF(ISNUMBER(deployment_raw[[#This Row],[Column15]]), deployment_raw[[#This Row],[Column15]]/1048576,"")</f>
        <v>73.59375</v>
      </c>
      <c r="P35" s="190">
        <f>IF(ISNUMBER(deployment_raw[[#This Row],[Column12]]), (deployment_raw[[#This Row],[Column12]] * deployment_raw[[#This Row],[Column5]]),"")</f>
        <v>1600</v>
      </c>
      <c r="Q35" s="189">
        <f>IF(ISNUMBER(deployment_raw[[#This Row],[Column13]]), (deployment_raw[[#This Row],[Column13]] * deployment_raw[[#This Row],[Column5]])/1048576,"")</f>
        <v>96</v>
      </c>
    </row>
    <row r="36" spans="1:17" ht="15.75" customHeight="1" x14ac:dyDescent="0.25">
      <c r="A36" s="37" t="str">
        <f>IF(ISNONTEXT(deployment_raw[[#This Row],[Column1]]), "", deployment_raw[[#This Row],[Column1]])</f>
        <v>stable-ingress-nginx-ingress-controller</v>
      </c>
      <c r="B36" s="38" t="str">
        <f>IF(ISNONTEXT(deployment_raw[[#This Row],[Column2]]), "", deployment_raw[[#This Row],[Column2]])</f>
        <v>deployment</v>
      </c>
      <c r="C36" s="38" t="str">
        <f>IF(ISNONTEXT(deployment_raw[[#This Row],[Column3]]), "", deployment_raw[[#This Row],[Column3]])</f>
        <v>stable-ingress</v>
      </c>
      <c r="D36" s="38" t="str">
        <f>IF(ISNONTEXT(deployment_raw[[#This Row],[Column4]]), "", deployment_raw[[#This Row],[Column4]])</f>
        <v>&lt;none&gt;</v>
      </c>
      <c r="E36" s="39">
        <f>IF(ISNUMBER(deployment_raw[[#This Row],[Column5]]), deployment_raw[[#This Row],[Column5]],"")</f>
        <v>1</v>
      </c>
      <c r="F36" s="174">
        <f>IF(ISNUMBER(deployment_raw[[#This Row],[Column6]]), (deployment_raw[[#This Row],[Column6]] * deployment_raw[[#This Row],[Column5]]),"")</f>
        <v>0</v>
      </c>
      <c r="G36" s="175">
        <f>IF(ISNUMBER(deployment_raw[[#This Row],[Column7]]), (deployment_raw[[#This Row],[Column7]] * deployment_raw[[#This Row],[Column5]])/1048576,"")</f>
        <v>0</v>
      </c>
      <c r="H36" s="175">
        <f>IF(ISNUMBER(deployment_raw[[#This Row],[Column8]]), (deployment_raw[[#This Row],[Column8]]  * deployment_raw[[#This Row],[Column5]]),"")</f>
        <v>0</v>
      </c>
      <c r="I36" s="176">
        <f>IF(ISNUMBER(deployment_raw[[#This Row],[Column9]]), (deployment_raw[[#This Row],[Column9]] * deployment_raw[[#This Row],[Column5]])/1048576,"")</f>
        <v>0</v>
      </c>
      <c r="J36" s="57">
        <f>IF(ISNUMBER(deployment_raw[[#This Row],[Column10]]), (deployment_raw[[#This Row],[Column10]] * deployment_raw[[#This Row],[Column5]]),"")</f>
        <v>0</v>
      </c>
      <c r="K36" s="58">
        <f>IF(ISNUMBER(deployment_raw[[#This Row],[Column11]]), (deployment_raw[[#This Row],[Column11]] * deployment_raw[[#This Row],[Column5]])/1048576,"")</f>
        <v>0</v>
      </c>
      <c r="L36" s="180">
        <f>IF(ISNUMBER(deployment_raw[[#This Row],[Column8]]),IF(deployment_raw[[#This Row],[Column5]] &lt;&gt; 0, MAX((deployment_raw[[#This Row],[Column12]] * deployment_raw[[#This Row],[Column5]]), ((deployment_raw[[#This Row],[Column8]] * deployment_raw[[#This Row],[Column5]]) * $L$2), ($H$2 * deployment_raw[[#This Row],[Column5]])), 0),"")</f>
        <v>50</v>
      </c>
      <c r="M36" s="181">
        <f>IF(ISNUMBER(deployment_raw[[#This Row],[Column9]]),IF(deployment_raw[[#This Row],[Column5]] &lt;&gt; 0, MAX((deployment_raw[[#This Row],[Column13]] * deployment_raw[[#This Row],[Column5]])/1048576, ((deployment_raw[[#This Row],[Column9]] * deployment_raw[[#This Row],[Column5]]) * $M$2)/1048576, ($I$2 * deployment_raw[[#This Row],[Column5]])), 0),"")</f>
        <v>25</v>
      </c>
      <c r="N36" s="188">
        <f>IF(ISNUMBER(deployment_raw[[#This Row],[Column14]]), deployment_raw[[#This Row],[Column14]],"")</f>
        <v>0</v>
      </c>
      <c r="O36" s="189">
        <f>IF(ISNUMBER(deployment_raw[[#This Row],[Column15]]), deployment_raw[[#This Row],[Column15]]/1048576,"")</f>
        <v>0</v>
      </c>
      <c r="P36" s="190">
        <f>IF(ISNUMBER(deployment_raw[[#This Row],[Column12]]), (deployment_raw[[#This Row],[Column12]] * deployment_raw[[#This Row],[Column5]]),"")</f>
        <v>0</v>
      </c>
      <c r="Q36" s="189">
        <f>IF(ISNUMBER(deployment_raw[[#This Row],[Column13]]), (deployment_raw[[#This Row],[Column13]] * deployment_raw[[#This Row],[Column5]])/1048576,"")</f>
        <v>0</v>
      </c>
    </row>
    <row r="37" spans="1:17" ht="15.75" customHeight="1" x14ac:dyDescent="0.25">
      <c r="A37" s="37" t="str">
        <f>IF(ISNONTEXT(deployment_raw[[#This Row],[Column1]]), "", deployment_raw[[#This Row],[Column1]])</f>
        <v>stable-ingress-nginx-ingress-default-backend</v>
      </c>
      <c r="B37" s="38" t="str">
        <f>IF(ISNONTEXT(deployment_raw[[#This Row],[Column2]]), "", deployment_raw[[#This Row],[Column2]])</f>
        <v>deployment</v>
      </c>
      <c r="C37" s="38" t="str">
        <f>IF(ISNONTEXT(deployment_raw[[#This Row],[Column3]]), "", deployment_raw[[#This Row],[Column3]])</f>
        <v>stable-ingress</v>
      </c>
      <c r="D37" s="38" t="str">
        <f>IF(ISNONTEXT(deployment_raw[[#This Row],[Column4]]), "", deployment_raw[[#This Row],[Column4]])</f>
        <v>&lt;none&gt;</v>
      </c>
      <c r="E37" s="39">
        <f>IF(ISNUMBER(deployment_raw[[#This Row],[Column5]]), deployment_raw[[#This Row],[Column5]],"")</f>
        <v>1</v>
      </c>
      <c r="F37" s="174">
        <f>IF(ISNUMBER(deployment_raw[[#This Row],[Column6]]), (deployment_raw[[#This Row],[Column6]] * deployment_raw[[#This Row],[Column5]]),"")</f>
        <v>0</v>
      </c>
      <c r="G37" s="175">
        <f>IF(ISNUMBER(deployment_raw[[#This Row],[Column7]]), (deployment_raw[[#This Row],[Column7]] * deployment_raw[[#This Row],[Column5]])/1048576,"")</f>
        <v>0</v>
      </c>
      <c r="H37" s="175">
        <f>IF(ISNUMBER(deployment_raw[[#This Row],[Column8]]), (deployment_raw[[#This Row],[Column8]]  * deployment_raw[[#This Row],[Column5]]),"")</f>
        <v>0</v>
      </c>
      <c r="I37" s="176">
        <f>IF(ISNUMBER(deployment_raw[[#This Row],[Column9]]), (deployment_raw[[#This Row],[Column9]] * deployment_raw[[#This Row],[Column5]])/1048576,"")</f>
        <v>0</v>
      </c>
      <c r="J37" s="57">
        <f>IF(ISNUMBER(deployment_raw[[#This Row],[Column10]]), (deployment_raw[[#This Row],[Column10]] * deployment_raw[[#This Row],[Column5]]),"")</f>
        <v>0</v>
      </c>
      <c r="K37" s="58">
        <f>IF(ISNUMBER(deployment_raw[[#This Row],[Column11]]), (deployment_raw[[#This Row],[Column11]] * deployment_raw[[#This Row],[Column5]])/1048576,"")</f>
        <v>0</v>
      </c>
      <c r="L37" s="180">
        <f>IF(ISNUMBER(deployment_raw[[#This Row],[Column8]]),IF(deployment_raw[[#This Row],[Column5]] &lt;&gt; 0, MAX((deployment_raw[[#This Row],[Column12]] * deployment_raw[[#This Row],[Column5]]), ((deployment_raw[[#This Row],[Column8]] * deployment_raw[[#This Row],[Column5]]) * $L$2), ($H$2 * deployment_raw[[#This Row],[Column5]])), 0),"")</f>
        <v>50</v>
      </c>
      <c r="M37" s="181">
        <f>IF(ISNUMBER(deployment_raw[[#This Row],[Column9]]),IF(deployment_raw[[#This Row],[Column5]] &lt;&gt; 0, MAX((deployment_raw[[#This Row],[Column13]] * deployment_raw[[#This Row],[Column5]])/1048576, ((deployment_raw[[#This Row],[Column9]] * deployment_raw[[#This Row],[Column5]]) * $M$2)/1048576, ($I$2 * deployment_raw[[#This Row],[Column5]])), 0),"")</f>
        <v>25</v>
      </c>
      <c r="N37" s="188">
        <f>IF(ISNUMBER(deployment_raw[[#This Row],[Column14]]), deployment_raw[[#This Row],[Column14]],"")</f>
        <v>0</v>
      </c>
      <c r="O37" s="189">
        <f>IF(ISNUMBER(deployment_raw[[#This Row],[Column15]]), deployment_raw[[#This Row],[Column15]]/1048576,"")</f>
        <v>0</v>
      </c>
      <c r="P37" s="190">
        <f>IF(ISNUMBER(deployment_raw[[#This Row],[Column12]]), (deployment_raw[[#This Row],[Column12]] * deployment_raw[[#This Row],[Column5]]),"")</f>
        <v>0</v>
      </c>
      <c r="Q37" s="189">
        <f>IF(ISNUMBER(deployment_raw[[#This Row],[Column13]]), (deployment_raw[[#This Row],[Column13]] * deployment_raw[[#This Row],[Column5]])/1048576,"")</f>
        <v>0</v>
      </c>
    </row>
    <row r="38" spans="1:17" ht="15.75" customHeight="1" x14ac:dyDescent="0.25">
      <c r="A38" s="37" t="str">
        <f>IF(ISNONTEXT(deployment_raw[[#This Row],[Column1]]), "", deployment_raw[[#This Row],[Column1]])</f>
        <v>example-deployment</v>
      </c>
      <c r="B38" s="38" t="str">
        <f>IF(ISNONTEXT(deployment_raw[[#This Row],[Column2]]), "", deployment_raw[[#This Row],[Column2]])</f>
        <v>deployment</v>
      </c>
      <c r="C38" s="38" t="str">
        <f>IF(ISNONTEXT(deployment_raw[[#This Row],[Column3]]), "", deployment_raw[[#This Row],[Column3]])</f>
        <v>test-ns</v>
      </c>
      <c r="D38" s="38" t="str">
        <f>IF(ISNONTEXT(deployment_raw[[#This Row],[Column4]]), "", deployment_raw[[#This Row],[Column4]])</f>
        <v>&lt;none&gt;</v>
      </c>
      <c r="E38" s="39">
        <f>IF(ISNUMBER(deployment_raw[[#This Row],[Column5]]), deployment_raw[[#This Row],[Column5]],"")</f>
        <v>1</v>
      </c>
      <c r="F38" s="174">
        <f>IF(ISNUMBER(deployment_raw[[#This Row],[Column6]]), (deployment_raw[[#This Row],[Column6]] * deployment_raw[[#This Row],[Column5]]),"")</f>
        <v>0</v>
      </c>
      <c r="G38" s="175">
        <f>IF(ISNUMBER(deployment_raw[[#This Row],[Column7]]), (deployment_raw[[#This Row],[Column7]] * deployment_raw[[#This Row],[Column5]])/1048576,"")</f>
        <v>0</v>
      </c>
      <c r="H38" s="175">
        <f>IF(ISNUMBER(deployment_raw[[#This Row],[Column8]]), (deployment_raw[[#This Row],[Column8]]  * deployment_raw[[#This Row],[Column5]]),"")</f>
        <v>0</v>
      </c>
      <c r="I38" s="176">
        <f>IF(ISNUMBER(deployment_raw[[#This Row],[Column9]]), (deployment_raw[[#This Row],[Column9]] * deployment_raw[[#This Row],[Column5]])/1048576,"")</f>
        <v>0</v>
      </c>
      <c r="J38" s="57">
        <f>IF(ISNUMBER(deployment_raw[[#This Row],[Column10]]), (deployment_raw[[#This Row],[Column10]] * deployment_raw[[#This Row],[Column5]]),"")</f>
        <v>0</v>
      </c>
      <c r="K38" s="58">
        <f>IF(ISNUMBER(deployment_raw[[#This Row],[Column11]]), (deployment_raw[[#This Row],[Column11]] * deployment_raw[[#This Row],[Column5]])/1048576,"")</f>
        <v>0</v>
      </c>
      <c r="L38" s="180">
        <f>IF(ISNUMBER(deployment_raw[[#This Row],[Column8]]),IF(deployment_raw[[#This Row],[Column5]] &lt;&gt; 0, MAX((deployment_raw[[#This Row],[Column12]] * deployment_raw[[#This Row],[Column5]]), ((deployment_raw[[#This Row],[Column8]] * deployment_raw[[#This Row],[Column5]]) * $L$2), ($H$2 * deployment_raw[[#This Row],[Column5]])), 0),"")</f>
        <v>50</v>
      </c>
      <c r="M38" s="181">
        <f>IF(ISNUMBER(deployment_raw[[#This Row],[Column9]]),IF(deployment_raw[[#This Row],[Column5]] &lt;&gt; 0, MAX((deployment_raw[[#This Row],[Column13]] * deployment_raw[[#This Row],[Column5]])/1048576, ((deployment_raw[[#This Row],[Column9]] * deployment_raw[[#This Row],[Column5]]) * $M$2)/1048576, ($I$2 * deployment_raw[[#This Row],[Column5]])), 0),"")</f>
        <v>25</v>
      </c>
      <c r="N38" s="188">
        <f>IF(ISNUMBER(deployment_raw[[#This Row],[Column14]]), deployment_raw[[#This Row],[Column14]],"")</f>
        <v>0</v>
      </c>
      <c r="O38" s="189">
        <f>IF(ISNUMBER(deployment_raw[[#This Row],[Column15]]), deployment_raw[[#This Row],[Column15]]/1048576,"")</f>
        <v>0</v>
      </c>
      <c r="P38" s="190">
        <f>IF(ISNUMBER(deployment_raw[[#This Row],[Column12]]), (deployment_raw[[#This Row],[Column12]] * deployment_raw[[#This Row],[Column5]]),"")</f>
        <v>0</v>
      </c>
      <c r="Q38" s="189">
        <f>IF(ISNUMBER(deployment_raw[[#This Row],[Column13]]), (deployment_raw[[#This Row],[Column13]] * deployment_raw[[#This Row],[Column5]])/1048576,"")</f>
        <v>0</v>
      </c>
    </row>
    <row r="39" spans="1:17" ht="15.75" customHeight="1" x14ac:dyDescent="0.25">
      <c r="A39" s="37" t="str">
        <f>IF(ISNONTEXT(deployment_raw[[#This Row],[Column1]]), "", deployment_raw[[#This Row],[Column1]])</f>
        <v>tomcathost</v>
      </c>
      <c r="B39" s="38" t="str">
        <f>IF(ISNONTEXT(deployment_raw[[#This Row],[Column2]]), "", deployment_raw[[#This Row],[Column2]])</f>
        <v>deployment</v>
      </c>
      <c r="C39" s="38" t="str">
        <f>IF(ISNONTEXT(deployment_raw[[#This Row],[Column3]]), "", deployment_raw[[#This Row],[Column3]])</f>
        <v>tomcat</v>
      </c>
      <c r="D39" s="38" t="str">
        <f>IF(ISNONTEXT(deployment_raw[[#This Row],[Column4]]), "", deployment_raw[[#This Row],[Column4]])</f>
        <v>&lt;none&gt;</v>
      </c>
      <c r="E39" s="39">
        <f>IF(ISNUMBER(deployment_raw[[#This Row],[Column5]]), deployment_raw[[#This Row],[Column5]],"")</f>
        <v>4</v>
      </c>
      <c r="F39" s="174">
        <f>IF(ISNUMBER(deployment_raw[[#This Row],[Column6]]), (deployment_raw[[#This Row],[Column6]] * deployment_raw[[#This Row],[Column5]]),"")</f>
        <v>400</v>
      </c>
      <c r="G39" s="175">
        <f>IF(ISNUMBER(deployment_raw[[#This Row],[Column7]]), (deployment_raw[[#This Row],[Column7]] * deployment_raw[[#This Row],[Column5]])/1048576,"")</f>
        <v>400</v>
      </c>
      <c r="H39" s="175">
        <f>IF(ISNUMBER(deployment_raw[[#This Row],[Column8]]), (deployment_raw[[#This Row],[Column8]]  * deployment_raw[[#This Row],[Column5]]),"")</f>
        <v>400</v>
      </c>
      <c r="I39" s="176">
        <f>IF(ISNUMBER(deployment_raw[[#This Row],[Column9]]), (deployment_raw[[#This Row],[Column9]] * deployment_raw[[#This Row],[Column5]])/1048576,"")</f>
        <v>400</v>
      </c>
      <c r="J39" s="57">
        <f>IF(ISNUMBER(deployment_raw[[#This Row],[Column10]]), (deployment_raw[[#This Row],[Column10]] * deployment_raw[[#This Row],[Column5]]),"")</f>
        <v>400</v>
      </c>
      <c r="K39" s="58">
        <f>IF(ISNUMBER(deployment_raw[[#This Row],[Column11]]), (deployment_raw[[#This Row],[Column11]] * deployment_raw[[#This Row],[Column5]])/1048576,"")</f>
        <v>400</v>
      </c>
      <c r="L39" s="180">
        <f>IF(ISNUMBER(deployment_raw[[#This Row],[Column8]]),IF(deployment_raw[[#This Row],[Column5]] &lt;&gt; 0, MAX((deployment_raw[[#This Row],[Column12]] * deployment_raw[[#This Row],[Column5]]), ((deployment_raw[[#This Row],[Column8]] * deployment_raw[[#This Row],[Column5]]) * $L$2), ($H$2 * deployment_raw[[#This Row],[Column5]])), 0),"")</f>
        <v>400</v>
      </c>
      <c r="M39" s="181">
        <f>IF(ISNUMBER(deployment_raw[[#This Row],[Column9]]),IF(deployment_raw[[#This Row],[Column5]] &lt;&gt; 0, MAX((deployment_raw[[#This Row],[Column13]] * deployment_raw[[#This Row],[Column5]])/1048576, ((deployment_raw[[#This Row],[Column9]] * deployment_raw[[#This Row],[Column5]]) * $M$2)/1048576, ($I$2 * deployment_raw[[#This Row],[Column5]])), 0),"")</f>
        <v>400</v>
      </c>
      <c r="N39" s="188">
        <f>IF(ISNUMBER(deployment_raw[[#This Row],[Column14]]), deployment_raw[[#This Row],[Column14]],"")</f>
        <v>0</v>
      </c>
      <c r="O39" s="189">
        <f>IF(ISNUMBER(deployment_raw[[#This Row],[Column15]]), deployment_raw[[#This Row],[Column15]]/1048576,"")</f>
        <v>0</v>
      </c>
      <c r="P39" s="190">
        <f>IF(ISNUMBER(deployment_raw[[#This Row],[Column12]]), (deployment_raw[[#This Row],[Column12]] * deployment_raw[[#This Row],[Column5]]),"")</f>
        <v>400</v>
      </c>
      <c r="Q39" s="189">
        <f>IF(ISNUMBER(deployment_raw[[#This Row],[Column13]]), (deployment_raw[[#This Row],[Column13]] * deployment_raw[[#This Row],[Column5]])/1048576,"")</f>
        <v>400</v>
      </c>
    </row>
    <row r="40" spans="1:17" ht="15.75" customHeight="1" x14ac:dyDescent="0.25">
      <c r="A40" s="37" t="str">
        <f>IF(ISNONTEXT(deployment_raw[[#This Row],[Column1]]), "", deployment_raw[[#This Row],[Column1]])</f>
        <v>tomcathost2</v>
      </c>
      <c r="B40" s="38" t="str">
        <f>IF(ISNONTEXT(deployment_raw[[#This Row],[Column2]]), "", deployment_raw[[#This Row],[Column2]])</f>
        <v>deployment</v>
      </c>
      <c r="C40" s="38" t="str">
        <f>IF(ISNONTEXT(deployment_raw[[#This Row],[Column3]]), "", deployment_raw[[#This Row],[Column3]])</f>
        <v>tomcat2</v>
      </c>
      <c r="D40" s="38" t="str">
        <f>IF(ISNONTEXT(deployment_raw[[#This Row],[Column4]]), "", deployment_raw[[#This Row],[Column4]])</f>
        <v>&lt;none&gt;</v>
      </c>
      <c r="E40" s="39">
        <f>IF(ISNUMBER(deployment_raw[[#This Row],[Column5]]), deployment_raw[[#This Row],[Column5]],"")</f>
        <v>5</v>
      </c>
      <c r="F40" s="174">
        <f>IF(ISNUMBER(deployment_raw[[#This Row],[Column6]]), (deployment_raw[[#This Row],[Column6]] * deployment_raw[[#This Row],[Column5]]),"")</f>
        <v>250</v>
      </c>
      <c r="G40" s="175">
        <f>IF(ISNUMBER(deployment_raw[[#This Row],[Column7]]), (deployment_raw[[#This Row],[Column7]] * deployment_raw[[#This Row],[Column5]])/1048576,"")</f>
        <v>256.00000381469727</v>
      </c>
      <c r="H40" s="175">
        <f>IF(ISNUMBER(deployment_raw[[#This Row],[Column8]]), (deployment_raw[[#This Row],[Column8]]  * deployment_raw[[#This Row],[Column5]]),"")</f>
        <v>250</v>
      </c>
      <c r="I40" s="176">
        <f>IF(ISNUMBER(deployment_raw[[#This Row],[Column9]]), (deployment_raw[[#This Row],[Column9]] * deployment_raw[[#This Row],[Column5]])/1048576,"")</f>
        <v>256.00000381469727</v>
      </c>
      <c r="J40" s="57">
        <f>IF(ISNUMBER(deployment_raw[[#This Row],[Column10]]), (deployment_raw[[#This Row],[Column10]] * deployment_raw[[#This Row],[Column5]]),"")</f>
        <v>250</v>
      </c>
      <c r="K40" s="58">
        <f>IF(ISNUMBER(deployment_raw[[#This Row],[Column11]]), (deployment_raw[[#This Row],[Column11]] * deployment_raw[[#This Row],[Column5]])/1048576,"")</f>
        <v>256.00000381469727</v>
      </c>
      <c r="L40" s="180">
        <f>IF(ISNUMBER(deployment_raw[[#This Row],[Column8]]),IF(deployment_raw[[#This Row],[Column5]] &lt;&gt; 0, MAX((deployment_raw[[#This Row],[Column12]] * deployment_raw[[#This Row],[Column5]]), ((deployment_raw[[#This Row],[Column8]] * deployment_raw[[#This Row],[Column5]]) * $L$2), ($H$2 * deployment_raw[[#This Row],[Column5]])), 0),"")</f>
        <v>250</v>
      </c>
      <c r="M40" s="181">
        <f>IF(ISNUMBER(deployment_raw[[#This Row],[Column9]]),IF(deployment_raw[[#This Row],[Column5]] &lt;&gt; 0, MAX((deployment_raw[[#This Row],[Column13]] * deployment_raw[[#This Row],[Column5]])/1048576, ((deployment_raw[[#This Row],[Column9]] * deployment_raw[[#This Row],[Column5]]) * $M$2)/1048576, ($I$2 * deployment_raw[[#This Row],[Column5]])), 0),"")</f>
        <v>256.00000381469727</v>
      </c>
      <c r="N40" s="188">
        <f>IF(ISNUMBER(deployment_raw[[#This Row],[Column14]]), deployment_raw[[#This Row],[Column14]],"")</f>
        <v>0</v>
      </c>
      <c r="O40" s="189">
        <f>IF(ISNUMBER(deployment_raw[[#This Row],[Column15]]), deployment_raw[[#This Row],[Column15]]/1048576,"")</f>
        <v>0</v>
      </c>
      <c r="P40" s="190">
        <f>IF(ISNUMBER(deployment_raw[[#This Row],[Column12]]), (deployment_raw[[#This Row],[Column12]] * deployment_raw[[#This Row],[Column5]]),"")</f>
        <v>250</v>
      </c>
      <c r="Q40" s="189">
        <f>IF(ISNUMBER(deployment_raw[[#This Row],[Column13]]), (deployment_raw[[#This Row],[Column13]] * deployment_raw[[#This Row],[Column5]])/1048576,"")</f>
        <v>256.00000381469727</v>
      </c>
    </row>
    <row r="41" spans="1:17" ht="15.75" customHeight="1" x14ac:dyDescent="0.25">
      <c r="A41" s="37" t="str">
        <f>IF(ISNONTEXT(deployment_raw[[#This Row],[Column1]]), "", deployment_raw[[#This Row],[Column1]])</f>
        <v>tomcathost3</v>
      </c>
      <c r="B41" s="38" t="str">
        <f>IF(ISNONTEXT(deployment_raw[[#This Row],[Column2]]), "", deployment_raw[[#This Row],[Column2]])</f>
        <v>deployment</v>
      </c>
      <c r="C41" s="38" t="str">
        <f>IF(ISNONTEXT(deployment_raw[[#This Row],[Column3]]), "", deployment_raw[[#This Row],[Column3]])</f>
        <v>tomcat3</v>
      </c>
      <c r="D41" s="38" t="str">
        <f>IF(ISNONTEXT(deployment_raw[[#This Row],[Column4]]), "", deployment_raw[[#This Row],[Column4]])</f>
        <v>&lt;none&gt;</v>
      </c>
      <c r="E41" s="39">
        <f>IF(ISNUMBER(deployment_raw[[#This Row],[Column5]]), deployment_raw[[#This Row],[Column5]],"")</f>
        <v>1</v>
      </c>
      <c r="F41" s="174">
        <f>IF(ISNUMBER(deployment_raw[[#This Row],[Column6]]), (deployment_raw[[#This Row],[Column6]] * deployment_raw[[#This Row],[Column5]]),"")</f>
        <v>100</v>
      </c>
      <c r="G41" s="175">
        <f>IF(ISNUMBER(deployment_raw[[#This Row],[Column7]]), (deployment_raw[[#This Row],[Column7]] * deployment_raw[[#This Row],[Column5]])/1048576,"")</f>
        <v>128</v>
      </c>
      <c r="H41" s="175">
        <f>IF(ISNUMBER(deployment_raw[[#This Row],[Column8]]), (deployment_raw[[#This Row],[Column8]]  * deployment_raw[[#This Row],[Column5]]),"")</f>
        <v>250</v>
      </c>
      <c r="I41" s="176">
        <f>IF(ISNUMBER(deployment_raw[[#This Row],[Column9]]), (deployment_raw[[#This Row],[Column9]] * deployment_raw[[#This Row],[Column5]])/1048576,"")</f>
        <v>256</v>
      </c>
      <c r="J41" s="57">
        <f>IF(ISNUMBER(deployment_raw[[#This Row],[Column10]]), (deployment_raw[[#This Row],[Column10]] * deployment_raw[[#This Row],[Column5]]),"")</f>
        <v>100</v>
      </c>
      <c r="K41" s="58">
        <f>IF(ISNUMBER(deployment_raw[[#This Row],[Column11]]), (deployment_raw[[#This Row],[Column11]] * deployment_raw[[#This Row],[Column5]])/1048576,"")</f>
        <v>128</v>
      </c>
      <c r="L41" s="180">
        <f>IF(ISNUMBER(deployment_raw[[#This Row],[Column8]]),IF(deployment_raw[[#This Row],[Column5]] &lt;&gt; 0, MAX((deployment_raw[[#This Row],[Column12]] * deployment_raw[[#This Row],[Column5]]), ((deployment_raw[[#This Row],[Column8]] * deployment_raw[[#This Row],[Column5]]) * $L$2), ($H$2 * deployment_raw[[#This Row],[Column5]])), 0),"")</f>
        <v>250</v>
      </c>
      <c r="M41" s="181">
        <f>IF(ISNUMBER(deployment_raw[[#This Row],[Column9]]),IF(deployment_raw[[#This Row],[Column5]] &lt;&gt; 0, MAX((deployment_raw[[#This Row],[Column13]] * deployment_raw[[#This Row],[Column5]])/1048576, ((deployment_raw[[#This Row],[Column9]] * deployment_raw[[#This Row],[Column5]]) * $M$2)/1048576, ($I$2 * deployment_raw[[#This Row],[Column5]])), 0),"")</f>
        <v>256</v>
      </c>
      <c r="N41" s="188">
        <f>IF(ISNUMBER(deployment_raw[[#This Row],[Column14]]), deployment_raw[[#This Row],[Column14]],"")</f>
        <v>0</v>
      </c>
      <c r="O41" s="189">
        <f>IF(ISNUMBER(deployment_raw[[#This Row],[Column15]]), deployment_raw[[#This Row],[Column15]]/1048576,"")</f>
        <v>0</v>
      </c>
      <c r="P41" s="190">
        <f>IF(ISNUMBER(deployment_raw[[#This Row],[Column12]]), (deployment_raw[[#This Row],[Column12]] * deployment_raw[[#This Row],[Column5]]),"")</f>
        <v>250</v>
      </c>
      <c r="Q41" s="189">
        <f>IF(ISNUMBER(deployment_raw[[#This Row],[Column13]]), (deployment_raw[[#This Row],[Column13]] * deployment_raw[[#This Row],[Column5]])/1048576,"")</f>
        <v>256</v>
      </c>
    </row>
    <row r="42" spans="1:17" ht="15.75" customHeight="1" x14ac:dyDescent="0.25">
      <c r="A42" s="37" t="str">
        <f>IF(ISNONTEXT(deployment_raw[[#This Row],[Column1]]), "", deployment_raw[[#This Row],[Column1]])</f>
        <v>tomcathost4</v>
      </c>
      <c r="B42" s="38" t="str">
        <f>IF(ISNONTEXT(deployment_raw[[#This Row],[Column2]]), "", deployment_raw[[#This Row],[Column2]])</f>
        <v>deployment</v>
      </c>
      <c r="C42" s="38" t="str">
        <f>IF(ISNONTEXT(deployment_raw[[#This Row],[Column3]]), "", deployment_raw[[#This Row],[Column3]])</f>
        <v>tomcat4</v>
      </c>
      <c r="D42" s="38" t="str">
        <f>IF(ISNONTEXT(deployment_raw[[#This Row],[Column4]]), "", deployment_raw[[#This Row],[Column4]])</f>
        <v>&lt;none&gt;</v>
      </c>
      <c r="E42" s="39">
        <f>IF(ISNUMBER(deployment_raw[[#This Row],[Column5]]), deployment_raw[[#This Row],[Column5]],"")</f>
        <v>1</v>
      </c>
      <c r="F42" s="174">
        <f>IF(ISNUMBER(deployment_raw[[#This Row],[Column6]]), (deployment_raw[[#This Row],[Column6]] * deployment_raw[[#This Row],[Column5]]),"")</f>
        <v>0</v>
      </c>
      <c r="G42" s="175">
        <f>IF(ISNUMBER(deployment_raw[[#This Row],[Column7]]), (deployment_raw[[#This Row],[Column7]] * deployment_raw[[#This Row],[Column5]])/1048576,"")</f>
        <v>0</v>
      </c>
      <c r="H42" s="175">
        <f>IF(ISNUMBER(deployment_raw[[#This Row],[Column8]]), (deployment_raw[[#This Row],[Column8]]  * deployment_raw[[#This Row],[Column5]]),"")</f>
        <v>0</v>
      </c>
      <c r="I42" s="176">
        <f>IF(ISNUMBER(deployment_raw[[#This Row],[Column9]]), (deployment_raw[[#This Row],[Column9]] * deployment_raw[[#This Row],[Column5]])/1048576,"")</f>
        <v>0</v>
      </c>
      <c r="J42" s="57">
        <f>IF(ISNUMBER(deployment_raw[[#This Row],[Column10]]), (deployment_raw[[#This Row],[Column10]] * deployment_raw[[#This Row],[Column5]]),"")</f>
        <v>0</v>
      </c>
      <c r="K42" s="58">
        <f>IF(ISNUMBER(deployment_raw[[#This Row],[Column11]]), (deployment_raw[[#This Row],[Column11]] * deployment_raw[[#This Row],[Column5]])/1048576,"")</f>
        <v>0</v>
      </c>
      <c r="L42" s="180">
        <f>IF(ISNUMBER(deployment_raw[[#This Row],[Column8]]),IF(deployment_raw[[#This Row],[Column5]] &lt;&gt; 0, MAX((deployment_raw[[#This Row],[Column12]] * deployment_raw[[#This Row],[Column5]]), ((deployment_raw[[#This Row],[Column8]] * deployment_raw[[#This Row],[Column5]]) * $L$2), ($H$2 * deployment_raw[[#This Row],[Column5]])), 0),"")</f>
        <v>50</v>
      </c>
      <c r="M42" s="181">
        <f>IF(ISNUMBER(deployment_raw[[#This Row],[Column9]]),IF(deployment_raw[[#This Row],[Column5]] &lt;&gt; 0, MAX((deployment_raw[[#This Row],[Column13]] * deployment_raw[[#This Row],[Column5]])/1048576, ((deployment_raw[[#This Row],[Column9]] * deployment_raw[[#This Row],[Column5]]) * $M$2)/1048576, ($I$2 * deployment_raw[[#This Row],[Column5]])), 0),"")</f>
        <v>25</v>
      </c>
      <c r="N42" s="188">
        <f>IF(ISNUMBER(deployment_raw[[#This Row],[Column14]]), deployment_raw[[#This Row],[Column14]],"")</f>
        <v>0</v>
      </c>
      <c r="O42" s="189">
        <f>IF(ISNUMBER(deployment_raw[[#This Row],[Column15]]), deployment_raw[[#This Row],[Column15]]/1048576,"")</f>
        <v>0</v>
      </c>
      <c r="P42" s="190">
        <f>IF(ISNUMBER(deployment_raw[[#This Row],[Column12]]), (deployment_raw[[#This Row],[Column12]] * deployment_raw[[#This Row],[Column5]]),"")</f>
        <v>0</v>
      </c>
      <c r="Q42" s="189">
        <f>IF(ISNUMBER(deployment_raw[[#This Row],[Column13]]), (deployment_raw[[#This Row],[Column13]] * deployment_raw[[#This Row],[Column5]])/1048576,"")</f>
        <v>0</v>
      </c>
    </row>
    <row r="43" spans="1:17" ht="15.75" customHeight="1" x14ac:dyDescent="0.25">
      <c r="A43" s="37" t="str">
        <f>IF(ISNONTEXT(deployment_raw[[#This Row],[Column1]]), "", deployment_raw[[#This Row],[Column1]])</f>
        <v>tomcathost5</v>
      </c>
      <c r="B43" s="38" t="str">
        <f>IF(ISNONTEXT(deployment_raw[[#This Row],[Column2]]), "", deployment_raw[[#This Row],[Column2]])</f>
        <v>deployment</v>
      </c>
      <c r="C43" s="38" t="str">
        <f>IF(ISNONTEXT(deployment_raw[[#This Row],[Column3]]), "", deployment_raw[[#This Row],[Column3]])</f>
        <v>tomcat5</v>
      </c>
      <c r="D43" s="38" t="str">
        <f>IF(ISNONTEXT(deployment_raw[[#This Row],[Column4]]), "", deployment_raw[[#This Row],[Column4]])</f>
        <v>&lt;none&gt;</v>
      </c>
      <c r="E43" s="39">
        <f>IF(ISNUMBER(deployment_raw[[#This Row],[Column5]]), deployment_raw[[#This Row],[Column5]],"")</f>
        <v>1</v>
      </c>
      <c r="F43" s="174">
        <f>IF(ISNUMBER(deployment_raw[[#This Row],[Column6]]), (deployment_raw[[#This Row],[Column6]] * deployment_raw[[#This Row],[Column5]]),"")</f>
        <v>0</v>
      </c>
      <c r="G43" s="175">
        <f>IF(ISNUMBER(deployment_raw[[#This Row],[Column7]]), (deployment_raw[[#This Row],[Column7]] * deployment_raw[[#This Row],[Column5]])/1048576,"")</f>
        <v>0</v>
      </c>
      <c r="H43" s="175">
        <f>IF(ISNUMBER(deployment_raw[[#This Row],[Column8]]), (deployment_raw[[#This Row],[Column8]]  * deployment_raw[[#This Row],[Column5]]),"")</f>
        <v>0</v>
      </c>
      <c r="I43" s="176">
        <f>IF(ISNUMBER(deployment_raw[[#This Row],[Column9]]), (deployment_raw[[#This Row],[Column9]] * deployment_raw[[#This Row],[Column5]])/1048576,"")</f>
        <v>0</v>
      </c>
      <c r="J43" s="57">
        <f>IF(ISNUMBER(deployment_raw[[#This Row],[Column10]]), (deployment_raw[[#This Row],[Column10]] * deployment_raw[[#This Row],[Column5]]),"")</f>
        <v>0</v>
      </c>
      <c r="K43" s="58">
        <f>IF(ISNUMBER(deployment_raw[[#This Row],[Column11]]), (deployment_raw[[#This Row],[Column11]] * deployment_raw[[#This Row],[Column5]])/1048576,"")</f>
        <v>0</v>
      </c>
      <c r="L43" s="180">
        <f>IF(ISNUMBER(deployment_raw[[#This Row],[Column8]]),IF(deployment_raw[[#This Row],[Column5]] &lt;&gt; 0, MAX((deployment_raw[[#This Row],[Column12]] * deployment_raw[[#This Row],[Column5]]), ((deployment_raw[[#This Row],[Column8]] * deployment_raw[[#This Row],[Column5]]) * $L$2), ($H$2 * deployment_raw[[#This Row],[Column5]])), 0),"")</f>
        <v>50</v>
      </c>
      <c r="M43" s="181">
        <f>IF(ISNUMBER(deployment_raw[[#This Row],[Column9]]),IF(deployment_raw[[#This Row],[Column5]] &lt;&gt; 0, MAX((deployment_raw[[#This Row],[Column13]] * deployment_raw[[#This Row],[Column5]])/1048576, ((deployment_raw[[#This Row],[Column9]] * deployment_raw[[#This Row],[Column5]]) * $M$2)/1048576, ($I$2 * deployment_raw[[#This Row],[Column5]])), 0),"")</f>
        <v>25</v>
      </c>
      <c r="N43" s="188">
        <f>IF(ISNUMBER(deployment_raw[[#This Row],[Column14]]), deployment_raw[[#This Row],[Column14]],"")</f>
        <v>0</v>
      </c>
      <c r="O43" s="189">
        <f>IF(ISNUMBER(deployment_raw[[#This Row],[Column15]]), deployment_raw[[#This Row],[Column15]]/1048576,"")</f>
        <v>0</v>
      </c>
      <c r="P43" s="190">
        <f>IF(ISNUMBER(deployment_raw[[#This Row],[Column12]]), (deployment_raw[[#This Row],[Column12]] * deployment_raw[[#This Row],[Column5]]),"")</f>
        <v>0</v>
      </c>
      <c r="Q43" s="189">
        <f>IF(ISNUMBER(deployment_raw[[#This Row],[Column13]]), (deployment_raw[[#This Row],[Column13]] * deployment_raw[[#This Row],[Column5]])/1048576,"")</f>
        <v>0</v>
      </c>
    </row>
    <row r="44" spans="1:17" ht="15.75" customHeight="1" x14ac:dyDescent="0.25">
      <c r="A44" s="37" t="str">
        <f>IF(ISNONTEXT(deployment_raw[[#This Row],[Column1]]), "", deployment_raw[[#This Row],[Column1]])</f>
        <v>alertmanager-my-prometheus-operator-kub-alertmanager</v>
      </c>
      <c r="B44" s="38" t="str">
        <f>IF(ISNONTEXT(deployment_raw[[#This Row],[Column2]]), "", deployment_raw[[#This Row],[Column2]])</f>
        <v>statefulset</v>
      </c>
      <c r="C44" s="38" t="str">
        <f>IF(ISNONTEXT(deployment_raw[[#This Row],[Column3]]), "", deployment_raw[[#This Row],[Column3]])</f>
        <v>monitoring</v>
      </c>
      <c r="D44" s="38" t="str">
        <f>IF(ISNONTEXT(deployment_raw[[#This Row],[Column4]]), "", deployment_raw[[#This Row],[Column4]])</f>
        <v>&lt;none&gt;</v>
      </c>
      <c r="E44" s="39">
        <f>IF(ISNUMBER(deployment_raw[[#This Row],[Column5]]), deployment_raw[[#This Row],[Column5]],"")</f>
        <v>1</v>
      </c>
      <c r="F44" s="174">
        <f>IF(ISNUMBER(deployment_raw[[#This Row],[Column6]]), (deployment_raw[[#This Row],[Column6]] * deployment_raw[[#This Row],[Column5]]),"")</f>
        <v>100</v>
      </c>
      <c r="G44" s="175">
        <f>IF(ISNUMBER(deployment_raw[[#This Row],[Column7]]), (deployment_raw[[#This Row],[Column7]] * deployment_raw[[#This Row],[Column5]])/1048576,"")</f>
        <v>250</v>
      </c>
      <c r="H44" s="175">
        <f>IF(ISNUMBER(deployment_raw[[#This Row],[Column8]]), (deployment_raw[[#This Row],[Column8]]  * deployment_raw[[#This Row],[Column5]]),"")</f>
        <v>100</v>
      </c>
      <c r="I44" s="176">
        <f>IF(ISNUMBER(deployment_raw[[#This Row],[Column9]]), (deployment_raw[[#This Row],[Column9]] * deployment_raw[[#This Row],[Column5]])/1048576,"")</f>
        <v>50</v>
      </c>
      <c r="J44" s="57">
        <f>IF(ISNUMBER(deployment_raw[[#This Row],[Column10]]), (deployment_raw[[#This Row],[Column10]] * deployment_raw[[#This Row],[Column5]]),"")</f>
        <v>100</v>
      </c>
      <c r="K44" s="58">
        <f>IF(ISNUMBER(deployment_raw[[#This Row],[Column11]]), (deployment_raw[[#This Row],[Column11]] * deployment_raw[[#This Row],[Column5]])/1048576,"")</f>
        <v>250</v>
      </c>
      <c r="L44" s="180">
        <f>IF(ISNUMBER(deployment_raw[[#This Row],[Column8]]),IF(deployment_raw[[#This Row],[Column5]] &lt;&gt; 0, MAX((deployment_raw[[#This Row],[Column12]] * deployment_raw[[#This Row],[Column5]]), ((deployment_raw[[#This Row],[Column8]] * deployment_raw[[#This Row],[Column5]]) * $L$2), ($H$2 * deployment_raw[[#This Row],[Column5]])), 0),"")</f>
        <v>100</v>
      </c>
      <c r="M44" s="181">
        <f>IF(ISNUMBER(deployment_raw[[#This Row],[Column9]]),IF(deployment_raw[[#This Row],[Column5]] &lt;&gt; 0, MAX((deployment_raw[[#This Row],[Column13]] * deployment_raw[[#This Row],[Column5]])/1048576, ((deployment_raw[[#This Row],[Column9]] * deployment_raw[[#This Row],[Column5]]) * $M$2)/1048576, ($I$2 * deployment_raw[[#This Row],[Column5]])), 0),"")</f>
        <v>50</v>
      </c>
      <c r="N44" s="188">
        <f>IF(ISNUMBER(deployment_raw[[#This Row],[Column14]]), deployment_raw[[#This Row],[Column14]],"")</f>
        <v>0</v>
      </c>
      <c r="O44" s="189">
        <f>IF(ISNUMBER(deployment_raw[[#This Row],[Column15]]), deployment_raw[[#This Row],[Column15]]/1048576,"")</f>
        <v>0</v>
      </c>
      <c r="P44" s="190">
        <f>IF(ISNUMBER(deployment_raw[[#This Row],[Column12]]), (deployment_raw[[#This Row],[Column12]] * deployment_raw[[#This Row],[Column5]]),"")</f>
        <v>100</v>
      </c>
      <c r="Q44" s="189">
        <f>IF(ISNUMBER(deployment_raw[[#This Row],[Column13]]), (deployment_raw[[#This Row],[Column13]] * deployment_raw[[#This Row],[Column5]])/1048576,"")</f>
        <v>50</v>
      </c>
    </row>
    <row r="45" spans="1:17" ht="15.75" customHeight="1" x14ac:dyDescent="0.25">
      <c r="A45" s="37" t="str">
        <f>IF(ISNONTEXT(deployment_raw[[#This Row],[Column1]]), "", deployment_raw[[#This Row],[Column1]])</f>
        <v>prometheus-my-prometheus-operator-kub-prometheus</v>
      </c>
      <c r="B45" s="38" t="str">
        <f>IF(ISNONTEXT(deployment_raw[[#This Row],[Column2]]), "", deployment_raw[[#This Row],[Column2]])</f>
        <v>statefulset</v>
      </c>
      <c r="C45" s="38" t="str">
        <f>IF(ISNONTEXT(deployment_raw[[#This Row],[Column3]]), "", deployment_raw[[#This Row],[Column3]])</f>
        <v>monitoring</v>
      </c>
      <c r="D45" s="38" t="str">
        <f>IF(ISNONTEXT(deployment_raw[[#This Row],[Column4]]), "", deployment_raw[[#This Row],[Column4]])</f>
        <v>&lt;none&gt;</v>
      </c>
      <c r="E45" s="39">
        <f>IF(ISNUMBER(deployment_raw[[#This Row],[Column5]]), deployment_raw[[#This Row],[Column5]],"")</f>
        <v>1</v>
      </c>
      <c r="F45" s="174">
        <f>IF(ISNUMBER(deployment_raw[[#This Row],[Column6]]), (deployment_raw[[#This Row],[Column6]] * deployment_raw[[#This Row],[Column5]]),"")</f>
        <v>100</v>
      </c>
      <c r="G45" s="175">
        <f>IF(ISNUMBER(deployment_raw[[#This Row],[Column7]]), (deployment_raw[[#This Row],[Column7]] * deployment_raw[[#This Row],[Column5]])/1048576,"")</f>
        <v>50</v>
      </c>
      <c r="H45" s="175">
        <f>IF(ISNUMBER(deployment_raw[[#This Row],[Column8]]), (deployment_raw[[#This Row],[Column8]]  * deployment_raw[[#This Row],[Column5]]),"")</f>
        <v>100</v>
      </c>
      <c r="I45" s="176">
        <f>IF(ISNUMBER(deployment_raw[[#This Row],[Column9]]), (deployment_raw[[#This Row],[Column9]] * deployment_raw[[#This Row],[Column5]])/1048576,"")</f>
        <v>50</v>
      </c>
      <c r="J45" s="57">
        <f>IF(ISNUMBER(deployment_raw[[#This Row],[Column10]]), (deployment_raw[[#This Row],[Column10]] * deployment_raw[[#This Row],[Column5]]),"")</f>
        <v>100</v>
      </c>
      <c r="K45" s="58">
        <f>IF(ISNUMBER(deployment_raw[[#This Row],[Column11]]), (deployment_raw[[#This Row],[Column11]] * deployment_raw[[#This Row],[Column5]])/1048576,"")</f>
        <v>50</v>
      </c>
      <c r="L45" s="180">
        <f>IF(ISNUMBER(deployment_raw[[#This Row],[Column8]]),IF(deployment_raw[[#This Row],[Column5]] &lt;&gt; 0, MAX((deployment_raw[[#This Row],[Column12]] * deployment_raw[[#This Row],[Column5]]), ((deployment_raw[[#This Row],[Column8]] * deployment_raw[[#This Row],[Column5]]) * $L$2), ($H$2 * deployment_raw[[#This Row],[Column5]])), 0),"")</f>
        <v>100</v>
      </c>
      <c r="M45" s="181">
        <f>IF(ISNUMBER(deployment_raw[[#This Row],[Column9]]),IF(deployment_raw[[#This Row],[Column5]] &lt;&gt; 0, MAX((deployment_raw[[#This Row],[Column13]] * deployment_raw[[#This Row],[Column5]])/1048576, ((deployment_raw[[#This Row],[Column9]] * deployment_raw[[#This Row],[Column5]]) * $M$2)/1048576, ($I$2 * deployment_raw[[#This Row],[Column5]])), 0),"")</f>
        <v>50</v>
      </c>
      <c r="N45" s="188">
        <f>IF(ISNUMBER(deployment_raw[[#This Row],[Column14]]), deployment_raw[[#This Row],[Column14]],"")</f>
        <v>0</v>
      </c>
      <c r="O45" s="189">
        <f>IF(ISNUMBER(deployment_raw[[#This Row],[Column15]]), deployment_raw[[#This Row],[Column15]]/1048576,"")</f>
        <v>0</v>
      </c>
      <c r="P45" s="190">
        <f>IF(ISNUMBER(deployment_raw[[#This Row],[Column12]]), (deployment_raw[[#This Row],[Column12]] * deployment_raw[[#This Row],[Column5]]),"")</f>
        <v>100</v>
      </c>
      <c r="Q45" s="189">
        <f>IF(ISNUMBER(deployment_raw[[#This Row],[Column13]]), (deployment_raw[[#This Row],[Column13]] * deployment_raw[[#This Row],[Column5]])/1048576,"")</f>
        <v>50</v>
      </c>
    </row>
    <row r="46" spans="1:17" ht="15.75" customHeight="1" x14ac:dyDescent="0.25">
      <c r="A46" s="37" t="str">
        <f>IF(ISNONTEXT(deployment_raw[[#This Row],[Column1]]), "", deployment_raw[[#This Row],[Column1]])</f>
        <v>my-cluster-kafka</v>
      </c>
      <c r="B46" s="38" t="str">
        <f>IF(ISNONTEXT(deployment_raw[[#This Row],[Column2]]), "", deployment_raw[[#This Row],[Column2]])</f>
        <v>statefulset</v>
      </c>
      <c r="C46" s="38" t="str">
        <f>IF(ISNONTEXT(deployment_raw[[#This Row],[Column3]]), "", deployment_raw[[#This Row],[Column3]])</f>
        <v>myproject</v>
      </c>
      <c r="D46" s="38" t="str">
        <f>IF(ISNONTEXT(deployment_raw[[#This Row],[Column4]]), "", deployment_raw[[#This Row],[Column4]])</f>
        <v>&lt;none&gt;</v>
      </c>
      <c r="E46" s="39">
        <f>IF(ISNUMBER(deployment_raw[[#This Row],[Column5]]), deployment_raw[[#This Row],[Column5]],"")</f>
        <v>3</v>
      </c>
      <c r="F46" s="174">
        <f>IF(ISNUMBER(deployment_raw[[#This Row],[Column6]]), (deployment_raw[[#This Row],[Column6]] * deployment_raw[[#This Row],[Column5]]),"")</f>
        <v>0</v>
      </c>
      <c r="G46" s="175">
        <f>IF(ISNUMBER(deployment_raw[[#This Row],[Column7]]), (deployment_raw[[#This Row],[Column7]] * deployment_raw[[#This Row],[Column5]])/1048576,"")</f>
        <v>0</v>
      </c>
      <c r="H46" s="175">
        <f>IF(ISNUMBER(deployment_raw[[#This Row],[Column8]]), (deployment_raw[[#This Row],[Column8]]  * deployment_raw[[#This Row],[Column5]]),"")</f>
        <v>0</v>
      </c>
      <c r="I46" s="176">
        <f>IF(ISNUMBER(deployment_raw[[#This Row],[Column9]]), (deployment_raw[[#This Row],[Column9]] * deployment_raw[[#This Row],[Column5]])/1048576,"")</f>
        <v>0</v>
      </c>
      <c r="J46" s="57">
        <f>IF(ISNUMBER(deployment_raw[[#This Row],[Column10]]), (deployment_raw[[#This Row],[Column10]] * deployment_raw[[#This Row],[Column5]]),"")</f>
        <v>0</v>
      </c>
      <c r="K46" s="58">
        <f>IF(ISNUMBER(deployment_raw[[#This Row],[Column11]]), (deployment_raw[[#This Row],[Column11]] * deployment_raw[[#This Row],[Column5]])/1048576,"")</f>
        <v>0</v>
      </c>
      <c r="L46" s="180">
        <f>IF(ISNUMBER(deployment_raw[[#This Row],[Column8]]),IF(deployment_raw[[#This Row],[Column5]] &lt;&gt; 0, MAX((deployment_raw[[#This Row],[Column12]] * deployment_raw[[#This Row],[Column5]]), ((deployment_raw[[#This Row],[Column8]] * deployment_raw[[#This Row],[Column5]]) * $L$2), ($H$2 * deployment_raw[[#This Row],[Column5]])), 0),"")</f>
        <v>150</v>
      </c>
      <c r="M46" s="181">
        <f>IF(ISNUMBER(deployment_raw[[#This Row],[Column9]]),IF(deployment_raw[[#This Row],[Column5]] &lt;&gt; 0, MAX((deployment_raw[[#This Row],[Column13]] * deployment_raw[[#This Row],[Column5]])/1048576, ((deployment_raw[[#This Row],[Column9]] * deployment_raw[[#This Row],[Column5]]) * $M$2)/1048576, ($I$2 * deployment_raw[[#This Row],[Column5]])), 0),"")</f>
        <v>75</v>
      </c>
      <c r="N46" s="188">
        <f>IF(ISNUMBER(deployment_raw[[#This Row],[Column14]]), deployment_raw[[#This Row],[Column14]],"")</f>
        <v>0</v>
      </c>
      <c r="O46" s="189">
        <f>IF(ISNUMBER(deployment_raw[[#This Row],[Column15]]), deployment_raw[[#This Row],[Column15]]/1048576,"")</f>
        <v>0</v>
      </c>
      <c r="P46" s="190">
        <f>IF(ISNUMBER(deployment_raw[[#This Row],[Column12]]), (deployment_raw[[#This Row],[Column12]] * deployment_raw[[#This Row],[Column5]]),"")</f>
        <v>0</v>
      </c>
      <c r="Q46" s="189">
        <f>IF(ISNUMBER(deployment_raw[[#This Row],[Column13]]), (deployment_raw[[#This Row],[Column13]] * deployment_raw[[#This Row],[Column5]])/1048576,"")</f>
        <v>0</v>
      </c>
    </row>
    <row r="47" spans="1:17" ht="15.75" customHeight="1" x14ac:dyDescent="0.25">
      <c r="A47" s="37" t="str">
        <f>IF(ISNONTEXT(deployment_raw[[#This Row],[Column1]]), "", deployment_raw[[#This Row],[Column1]])</f>
        <v>my-cluster-zookeeper</v>
      </c>
      <c r="B47" s="38" t="str">
        <f>IF(ISNONTEXT(deployment_raw[[#This Row],[Column2]]), "", deployment_raw[[#This Row],[Column2]])</f>
        <v>statefulset</v>
      </c>
      <c r="C47" s="38" t="str">
        <f>IF(ISNONTEXT(deployment_raw[[#This Row],[Column3]]), "", deployment_raw[[#This Row],[Column3]])</f>
        <v>myproject</v>
      </c>
      <c r="D47" s="38" t="str">
        <f>IF(ISNONTEXT(deployment_raw[[#This Row],[Column4]]), "", deployment_raw[[#This Row],[Column4]])</f>
        <v>&lt;none&gt;</v>
      </c>
      <c r="E47" s="39">
        <f>IF(ISNUMBER(deployment_raw[[#This Row],[Column5]]), deployment_raw[[#This Row],[Column5]],"")</f>
        <v>3</v>
      </c>
      <c r="F47" s="174">
        <f>IF(ISNUMBER(deployment_raw[[#This Row],[Column6]]), (deployment_raw[[#This Row],[Column6]] * deployment_raw[[#This Row],[Column5]]),"")</f>
        <v>0</v>
      </c>
      <c r="G47" s="175">
        <f>IF(ISNUMBER(deployment_raw[[#This Row],[Column7]]), (deployment_raw[[#This Row],[Column7]] * deployment_raw[[#This Row],[Column5]])/1048576,"")</f>
        <v>0</v>
      </c>
      <c r="H47" s="175">
        <f>IF(ISNUMBER(deployment_raw[[#This Row],[Column8]]), (deployment_raw[[#This Row],[Column8]]  * deployment_raw[[#This Row],[Column5]]),"")</f>
        <v>0</v>
      </c>
      <c r="I47" s="176">
        <f>IF(ISNUMBER(deployment_raw[[#This Row],[Column9]]), (deployment_raw[[#This Row],[Column9]] * deployment_raw[[#This Row],[Column5]])/1048576,"")</f>
        <v>0</v>
      </c>
      <c r="J47" s="57">
        <f>IF(ISNUMBER(deployment_raw[[#This Row],[Column10]]), (deployment_raw[[#This Row],[Column10]] * deployment_raw[[#This Row],[Column5]]),"")</f>
        <v>0</v>
      </c>
      <c r="K47" s="58">
        <f>IF(ISNUMBER(deployment_raw[[#This Row],[Column11]]), (deployment_raw[[#This Row],[Column11]] * deployment_raw[[#This Row],[Column5]])/1048576,"")</f>
        <v>0</v>
      </c>
      <c r="L47" s="180">
        <f>IF(ISNUMBER(deployment_raw[[#This Row],[Column8]]),IF(deployment_raw[[#This Row],[Column5]] &lt;&gt; 0, MAX((deployment_raw[[#This Row],[Column12]] * deployment_raw[[#This Row],[Column5]]), ((deployment_raw[[#This Row],[Column8]] * deployment_raw[[#This Row],[Column5]]) * $L$2), ($H$2 * deployment_raw[[#This Row],[Column5]])), 0),"")</f>
        <v>150</v>
      </c>
      <c r="M47" s="181">
        <f>IF(ISNUMBER(deployment_raw[[#This Row],[Column9]]),IF(deployment_raw[[#This Row],[Column5]] &lt;&gt; 0, MAX((deployment_raw[[#This Row],[Column13]] * deployment_raw[[#This Row],[Column5]])/1048576, ((deployment_raw[[#This Row],[Column9]] * deployment_raw[[#This Row],[Column5]]) * $M$2)/1048576, ($I$2 * deployment_raw[[#This Row],[Column5]])), 0),"")</f>
        <v>75</v>
      </c>
      <c r="N47" s="188">
        <f>IF(ISNUMBER(deployment_raw[[#This Row],[Column14]]), deployment_raw[[#This Row],[Column14]],"")</f>
        <v>0</v>
      </c>
      <c r="O47" s="189">
        <f>IF(ISNUMBER(deployment_raw[[#This Row],[Column15]]), deployment_raw[[#This Row],[Column15]]/1048576,"")</f>
        <v>0</v>
      </c>
      <c r="P47" s="190">
        <f>IF(ISNUMBER(deployment_raw[[#This Row],[Column12]]), (deployment_raw[[#This Row],[Column12]] * deployment_raw[[#This Row],[Column5]]),"")</f>
        <v>0</v>
      </c>
      <c r="Q47" s="189">
        <f>IF(ISNUMBER(deployment_raw[[#This Row],[Column13]]), (deployment_raw[[#This Row],[Column13]] * deployment_raw[[#This Row],[Column5]])/1048576,"")</f>
        <v>0</v>
      </c>
    </row>
    <row r="48" spans="1:17" ht="15.75" customHeight="1" x14ac:dyDescent="0.25">
      <c r="A48" s="37" t="str">
        <f>IF(ISNONTEXT(deployment_raw[[#This Row],[Column1]]), "", deployment_raw[[#This Row],[Column1]])</f>
        <v>web</v>
      </c>
      <c r="B48" s="38" t="str">
        <f>IF(ISNONTEXT(deployment_raw[[#This Row],[Column2]]), "", deployment_raw[[#This Row],[Column2]])</f>
        <v>statefulset</v>
      </c>
      <c r="C48" s="38" t="str">
        <f>IF(ISNONTEXT(deployment_raw[[#This Row],[Column3]]), "", deployment_raw[[#This Row],[Column3]])</f>
        <v>nginx-web-sts</v>
      </c>
      <c r="D48" s="38" t="str">
        <f>IF(ISNONTEXT(deployment_raw[[#This Row],[Column4]]), "", deployment_raw[[#This Row],[Column4]])</f>
        <v>&lt;none&gt;</v>
      </c>
      <c r="E48" s="39">
        <f>IF(ISNUMBER(deployment_raw[[#This Row],[Column5]]), deployment_raw[[#This Row],[Column5]],"")</f>
        <v>1</v>
      </c>
      <c r="F48" s="174">
        <f>IF(ISNUMBER(deployment_raw[[#This Row],[Column6]]), (deployment_raw[[#This Row],[Column6]] * deployment_raw[[#This Row],[Column5]]),"")</f>
        <v>100</v>
      </c>
      <c r="G48" s="175">
        <f>IF(ISNUMBER(deployment_raw[[#This Row],[Column7]]), (deployment_raw[[#This Row],[Column7]] * deployment_raw[[#This Row],[Column5]])/1048576,"")</f>
        <v>128</v>
      </c>
      <c r="H48" s="175">
        <f>IF(ISNUMBER(deployment_raw[[#This Row],[Column8]]), (deployment_raw[[#This Row],[Column8]]  * deployment_raw[[#This Row],[Column5]]),"")</f>
        <v>250</v>
      </c>
      <c r="I48" s="176">
        <f>IF(ISNUMBER(deployment_raw[[#This Row],[Column9]]), (deployment_raw[[#This Row],[Column9]] * deployment_raw[[#This Row],[Column5]])/1048576,"")</f>
        <v>256</v>
      </c>
      <c r="J48" s="57">
        <f>IF(ISNUMBER(deployment_raw[[#This Row],[Column10]]), (deployment_raw[[#This Row],[Column10]] * deployment_raw[[#This Row],[Column5]]),"")</f>
        <v>100</v>
      </c>
      <c r="K48" s="58">
        <f>IF(ISNUMBER(deployment_raw[[#This Row],[Column11]]), (deployment_raw[[#This Row],[Column11]] * deployment_raw[[#This Row],[Column5]])/1048576,"")</f>
        <v>128</v>
      </c>
      <c r="L48" s="180">
        <f>IF(ISNUMBER(deployment_raw[[#This Row],[Column8]]),IF(deployment_raw[[#This Row],[Column5]] &lt;&gt; 0, MAX((deployment_raw[[#This Row],[Column12]] * deployment_raw[[#This Row],[Column5]]), ((deployment_raw[[#This Row],[Column8]] * deployment_raw[[#This Row],[Column5]]) * $L$2), ($H$2 * deployment_raw[[#This Row],[Column5]])), 0),"")</f>
        <v>250</v>
      </c>
      <c r="M48" s="181">
        <f>IF(ISNUMBER(deployment_raw[[#This Row],[Column9]]),IF(deployment_raw[[#This Row],[Column5]] &lt;&gt; 0, MAX((deployment_raw[[#This Row],[Column13]] * deployment_raw[[#This Row],[Column5]])/1048576, ((deployment_raw[[#This Row],[Column9]] * deployment_raw[[#This Row],[Column5]]) * $M$2)/1048576, ($I$2 * deployment_raw[[#This Row],[Column5]])), 0),"")</f>
        <v>256</v>
      </c>
      <c r="N48" s="188">
        <f>IF(ISNUMBER(deployment_raw[[#This Row],[Column14]]), deployment_raw[[#This Row],[Column14]],"")</f>
        <v>0</v>
      </c>
      <c r="O48" s="189">
        <f>IF(ISNUMBER(deployment_raw[[#This Row],[Column15]]), deployment_raw[[#This Row],[Column15]]/1048576,"")</f>
        <v>0</v>
      </c>
      <c r="P48" s="190">
        <f>IF(ISNUMBER(deployment_raw[[#This Row],[Column12]]), (deployment_raw[[#This Row],[Column12]] * deployment_raw[[#This Row],[Column5]]),"")</f>
        <v>250</v>
      </c>
      <c r="Q48" s="189">
        <f>IF(ISNUMBER(deployment_raw[[#This Row],[Column13]]), (deployment_raw[[#This Row],[Column13]] * deployment_raw[[#This Row],[Column5]])/1048576,"")</f>
        <v>256</v>
      </c>
    </row>
    <row r="49" spans="1:17" ht="15.75" customHeight="1" x14ac:dyDescent="0.25">
      <c r="A49" s="37" t="str">
        <f>IF(ISNONTEXT(deployment_raw[[#This Row],[Column1]]), "", deployment_raw[[#This Row],[Column1]])</f>
        <v>web2</v>
      </c>
      <c r="B49" s="38" t="str">
        <f>IF(ISNONTEXT(deployment_raw[[#This Row],[Column2]]), "", deployment_raw[[#This Row],[Column2]])</f>
        <v>statefulset</v>
      </c>
      <c r="C49" s="38" t="str">
        <f>IF(ISNONTEXT(deployment_raw[[#This Row],[Column3]]), "", deployment_raw[[#This Row],[Column3]])</f>
        <v>nginx-web2-sts</v>
      </c>
      <c r="D49" s="38" t="str">
        <f>IF(ISNONTEXT(deployment_raw[[#This Row],[Column4]]), "", deployment_raw[[#This Row],[Column4]])</f>
        <v>&lt;none&gt;</v>
      </c>
      <c r="E49" s="39">
        <f>IF(ISNUMBER(deployment_raw[[#This Row],[Column5]]), deployment_raw[[#This Row],[Column5]],"")</f>
        <v>1</v>
      </c>
      <c r="F49" s="174">
        <f>IF(ISNUMBER(deployment_raw[[#This Row],[Column6]]), (deployment_raw[[#This Row],[Column6]] * deployment_raw[[#This Row],[Column5]]),"")</f>
        <v>50</v>
      </c>
      <c r="G49" s="175">
        <f>IF(ISNUMBER(deployment_raw[[#This Row],[Column7]]), (deployment_raw[[#This Row],[Column7]] * deployment_raw[[#This Row],[Column5]])/1048576,"")</f>
        <v>64</v>
      </c>
      <c r="H49" s="175">
        <f>IF(ISNUMBER(deployment_raw[[#This Row],[Column8]]), (deployment_raw[[#This Row],[Column8]]  * deployment_raw[[#This Row],[Column5]]),"")</f>
        <v>50</v>
      </c>
      <c r="I49" s="176">
        <f>IF(ISNUMBER(deployment_raw[[#This Row],[Column9]]), (deployment_raw[[#This Row],[Column9]] * deployment_raw[[#This Row],[Column5]])/1048576,"")</f>
        <v>64</v>
      </c>
      <c r="J49" s="57">
        <f>IF(ISNUMBER(deployment_raw[[#This Row],[Column10]]), (deployment_raw[[#This Row],[Column10]] * deployment_raw[[#This Row],[Column5]]),"")</f>
        <v>50</v>
      </c>
      <c r="K49" s="58">
        <f>IF(ISNUMBER(deployment_raw[[#This Row],[Column11]]), (deployment_raw[[#This Row],[Column11]] * deployment_raw[[#This Row],[Column5]])/1048576,"")</f>
        <v>64</v>
      </c>
      <c r="L49" s="180">
        <f>IF(ISNUMBER(deployment_raw[[#This Row],[Column8]]),IF(deployment_raw[[#This Row],[Column5]] &lt;&gt; 0, MAX((deployment_raw[[#This Row],[Column12]] * deployment_raw[[#This Row],[Column5]]), ((deployment_raw[[#This Row],[Column8]] * deployment_raw[[#This Row],[Column5]]) * $L$2), ($H$2 * deployment_raw[[#This Row],[Column5]])), 0),"")</f>
        <v>50</v>
      </c>
      <c r="M49" s="181">
        <f>IF(ISNUMBER(deployment_raw[[#This Row],[Column9]]),IF(deployment_raw[[#This Row],[Column5]] &lt;&gt; 0, MAX((deployment_raw[[#This Row],[Column13]] * deployment_raw[[#This Row],[Column5]])/1048576, ((deployment_raw[[#This Row],[Column9]] * deployment_raw[[#This Row],[Column5]]) * $M$2)/1048576, ($I$2 * deployment_raw[[#This Row],[Column5]])), 0),"")</f>
        <v>64</v>
      </c>
      <c r="N49" s="188">
        <f>IF(ISNUMBER(deployment_raw[[#This Row],[Column14]]), deployment_raw[[#This Row],[Column14]],"")</f>
        <v>0</v>
      </c>
      <c r="O49" s="189">
        <f>IF(ISNUMBER(deployment_raw[[#This Row],[Column15]]), deployment_raw[[#This Row],[Column15]]/1048576,"")</f>
        <v>0</v>
      </c>
      <c r="P49" s="190">
        <f>IF(ISNUMBER(deployment_raw[[#This Row],[Column12]]), (deployment_raw[[#This Row],[Column12]] * deployment_raw[[#This Row],[Column5]]),"")</f>
        <v>50</v>
      </c>
      <c r="Q49" s="189">
        <f>IF(ISNUMBER(deployment_raw[[#This Row],[Column13]]), (deployment_raw[[#This Row],[Column13]] * deployment_raw[[#This Row],[Column5]])/1048576,"")</f>
        <v>64</v>
      </c>
    </row>
    <row r="50" spans="1:17" ht="15.75" customHeight="1" x14ac:dyDescent="0.25">
      <c r="A50" s="37" t="str">
        <f>IF(ISNONTEXT(deployment_raw[[#This Row],[Column1]]), "", deployment_raw[[#This Row],[Column1]])</f>
        <v>web3</v>
      </c>
      <c r="B50" s="38" t="str">
        <f>IF(ISNONTEXT(deployment_raw[[#This Row],[Column2]]), "", deployment_raw[[#This Row],[Column2]])</f>
        <v>statefulset</v>
      </c>
      <c r="C50" s="38" t="str">
        <f>IF(ISNONTEXT(deployment_raw[[#This Row],[Column3]]), "", deployment_raw[[#This Row],[Column3]])</f>
        <v>nginx-web3-sts</v>
      </c>
      <c r="D50" s="38" t="str">
        <f>IF(ISNONTEXT(deployment_raw[[#This Row],[Column4]]), "", deployment_raw[[#This Row],[Column4]])</f>
        <v>&lt;none&gt;</v>
      </c>
      <c r="E50" s="39">
        <f>IF(ISNUMBER(deployment_raw[[#This Row],[Column5]]), deployment_raw[[#This Row],[Column5]],"")</f>
        <v>1</v>
      </c>
      <c r="F50" s="174">
        <f>IF(ISNUMBER(deployment_raw[[#This Row],[Column6]]), (deployment_raw[[#This Row],[Column6]] * deployment_raw[[#This Row],[Column5]]),"")</f>
        <v>100</v>
      </c>
      <c r="G50" s="175">
        <f>IF(ISNUMBER(deployment_raw[[#This Row],[Column7]]), (deployment_raw[[#This Row],[Column7]] * deployment_raw[[#This Row],[Column5]])/1048576,"")</f>
        <v>128</v>
      </c>
      <c r="H50" s="175">
        <f>IF(ISNUMBER(deployment_raw[[#This Row],[Column8]]), (deployment_raw[[#This Row],[Column8]]  * deployment_raw[[#This Row],[Column5]]),"")</f>
        <v>250</v>
      </c>
      <c r="I50" s="176">
        <f>IF(ISNUMBER(deployment_raw[[#This Row],[Column9]]), (deployment_raw[[#This Row],[Column9]] * deployment_raw[[#This Row],[Column5]])/1048576,"")</f>
        <v>256</v>
      </c>
      <c r="J50" s="57">
        <f>IF(ISNUMBER(deployment_raw[[#This Row],[Column10]]), (deployment_raw[[#This Row],[Column10]] * deployment_raw[[#This Row],[Column5]]),"")</f>
        <v>100</v>
      </c>
      <c r="K50" s="58">
        <f>IF(ISNUMBER(deployment_raw[[#This Row],[Column11]]), (deployment_raw[[#This Row],[Column11]] * deployment_raw[[#This Row],[Column5]])/1048576,"")</f>
        <v>128</v>
      </c>
      <c r="L50" s="180">
        <f>IF(ISNUMBER(deployment_raw[[#This Row],[Column8]]),IF(deployment_raw[[#This Row],[Column5]] &lt;&gt; 0, MAX((deployment_raw[[#This Row],[Column12]] * deployment_raw[[#This Row],[Column5]]), ((deployment_raw[[#This Row],[Column8]] * deployment_raw[[#This Row],[Column5]]) * $L$2), ($H$2 * deployment_raw[[#This Row],[Column5]])), 0),"")</f>
        <v>250</v>
      </c>
      <c r="M50" s="181">
        <f>IF(ISNUMBER(deployment_raw[[#This Row],[Column9]]),IF(deployment_raw[[#This Row],[Column5]] &lt;&gt; 0, MAX((deployment_raw[[#This Row],[Column13]] * deployment_raw[[#This Row],[Column5]])/1048576, ((deployment_raw[[#This Row],[Column9]] * deployment_raw[[#This Row],[Column5]]) * $M$2)/1048576, ($I$2 * deployment_raw[[#This Row],[Column5]])), 0),"")</f>
        <v>256</v>
      </c>
      <c r="N50" s="188">
        <f>IF(ISNUMBER(deployment_raw[[#This Row],[Column14]]), deployment_raw[[#This Row],[Column14]],"")</f>
        <v>0</v>
      </c>
      <c r="O50" s="189">
        <f>IF(ISNUMBER(deployment_raw[[#This Row],[Column15]]), deployment_raw[[#This Row],[Column15]]/1048576,"")</f>
        <v>0</v>
      </c>
      <c r="P50" s="190">
        <f>IF(ISNUMBER(deployment_raw[[#This Row],[Column12]]), (deployment_raw[[#This Row],[Column12]] * deployment_raw[[#This Row],[Column5]]),"")</f>
        <v>250</v>
      </c>
      <c r="Q50" s="189">
        <f>IF(ISNUMBER(deployment_raw[[#This Row],[Column13]]), (deployment_raw[[#This Row],[Column13]] * deployment_raw[[#This Row],[Column5]])/1048576,"")</f>
        <v>256</v>
      </c>
    </row>
    <row r="51" spans="1:17" ht="15.75" customHeight="1" x14ac:dyDescent="0.25">
      <c r="A51" s="37" t="str">
        <f>IF(ISNONTEXT(deployment_raw[[#This Row],[Column1]]), "", deployment_raw[[#This Row],[Column1]])</f>
        <v>redis</v>
      </c>
      <c r="B51" s="38" t="str">
        <f>IF(ISNONTEXT(deployment_raw[[#This Row],[Column2]]), "", deployment_raw[[#This Row],[Column2]])</f>
        <v>statefulset</v>
      </c>
      <c r="C51" s="38" t="str">
        <f>IF(ISNONTEXT(deployment_raw[[#This Row],[Column3]]), "", deployment_raw[[#This Row],[Column3]])</f>
        <v>robot-shop</v>
      </c>
      <c r="D51" s="38" t="str">
        <f>IF(ISNONTEXT(deployment_raw[[#This Row],[Column4]]), "", deployment_raw[[#This Row],[Column4]])</f>
        <v>&lt;none&gt;</v>
      </c>
      <c r="E51" s="39">
        <f>IF(ISNUMBER(deployment_raw[[#This Row],[Column5]]), deployment_raw[[#This Row],[Column5]],"")</f>
        <v>1</v>
      </c>
      <c r="F51" s="174">
        <f>IF(ISNUMBER(deployment_raw[[#This Row],[Column6]]), (deployment_raw[[#This Row],[Column6]] * deployment_raw[[#This Row],[Column5]]),"")</f>
        <v>200</v>
      </c>
      <c r="G51" s="175">
        <f>IF(ISNUMBER(deployment_raw[[#This Row],[Column7]]), (deployment_raw[[#This Row],[Column7]] * deployment_raw[[#This Row],[Column5]])/1048576,"")</f>
        <v>100</v>
      </c>
      <c r="H51" s="175">
        <f>IF(ISNUMBER(deployment_raw[[#This Row],[Column8]]), (deployment_raw[[#This Row],[Column8]]  * deployment_raw[[#This Row],[Column5]]),"")</f>
        <v>1000</v>
      </c>
      <c r="I51" s="176">
        <f>IF(ISNUMBER(deployment_raw[[#This Row],[Column9]]), (deployment_raw[[#This Row],[Column9]] * deployment_raw[[#This Row],[Column5]])/1048576,"")</f>
        <v>2048</v>
      </c>
      <c r="J51" s="57">
        <f>IF(ISNUMBER(deployment_raw[[#This Row],[Column10]]), (deployment_raw[[#This Row],[Column10]] * deployment_raw[[#This Row],[Column5]]),"")</f>
        <v>80</v>
      </c>
      <c r="K51" s="58">
        <f>IF(ISNUMBER(deployment_raw[[#This Row],[Column11]]), (deployment_raw[[#This Row],[Column11]] * deployment_raw[[#This Row],[Column5]])/1048576,"")</f>
        <v>16</v>
      </c>
      <c r="L51" s="180">
        <f>IF(ISNUMBER(deployment_raw[[#This Row],[Column8]]),IF(deployment_raw[[#This Row],[Column5]] &lt;&gt; 0, MAX((deployment_raw[[#This Row],[Column12]] * deployment_raw[[#This Row],[Column5]]), ((deployment_raw[[#This Row],[Column8]] * deployment_raw[[#This Row],[Column5]]) * $L$2), ($H$2 * deployment_raw[[#This Row],[Column5]])), 0),"")</f>
        <v>500</v>
      </c>
      <c r="M51" s="181">
        <f>IF(ISNUMBER(deployment_raw[[#This Row],[Column9]]),IF(deployment_raw[[#This Row],[Column5]] &lt;&gt; 0, MAX((deployment_raw[[#This Row],[Column13]] * deployment_raw[[#This Row],[Column5]])/1048576, ((deployment_raw[[#This Row],[Column9]] * deployment_raw[[#This Row],[Column5]]) * $M$2)/1048576, ($I$2 * deployment_raw[[#This Row],[Column5]])), 0),"")</f>
        <v>1024</v>
      </c>
      <c r="N51" s="188">
        <f>IF(ISNUMBER(deployment_raw[[#This Row],[Column14]]), deployment_raw[[#This Row],[Column14]],"")</f>
        <v>71</v>
      </c>
      <c r="O51" s="189">
        <f>IF(ISNUMBER(deployment_raw[[#This Row],[Column15]]), deployment_raw[[#This Row],[Column15]]/1048576,"")</f>
        <v>8.3671875</v>
      </c>
      <c r="P51" s="190">
        <f>IF(ISNUMBER(deployment_raw[[#This Row],[Column12]]), (deployment_raw[[#This Row],[Column12]] * deployment_raw[[#This Row],[Column5]]),"")</f>
        <v>110</v>
      </c>
      <c r="Q51" s="189">
        <f>IF(ISNUMBER(deployment_raw[[#This Row],[Column13]]), (deployment_raw[[#This Row],[Column13]] * deployment_raw[[#This Row],[Column5]])/1048576,"")</f>
        <v>16</v>
      </c>
    </row>
    <row r="52" spans="1:17" ht="15.75" customHeight="1" x14ac:dyDescent="0.25">
      <c r="A52" s="37" t="str">
        <f>IF(ISNONTEXT(deployment_raw[[#This Row],[Column1]]), "", deployment_raw[[#This Row],[Column1]])</f>
        <v/>
      </c>
      <c r="B52" s="38" t="str">
        <f>IF(ISNONTEXT(deployment_raw[[#This Row],[Column2]]), "", deployment_raw[[#This Row],[Column2]])</f>
        <v/>
      </c>
      <c r="C52" s="38" t="str">
        <f>IF(ISNONTEXT(deployment_raw[[#This Row],[Column3]]), "", deployment_raw[[#This Row],[Column3]])</f>
        <v/>
      </c>
      <c r="D52" s="38" t="str">
        <f>IF(ISNONTEXT(deployment_raw[[#This Row],[Column4]]), "", deployment_raw[[#This Row],[Column4]])</f>
        <v/>
      </c>
      <c r="E52" s="39" t="str">
        <f>IF(ISNUMBER(deployment_raw[[#This Row],[Column5]]), deployment_raw[[#This Row],[Column5]],"")</f>
        <v/>
      </c>
      <c r="F52" s="174" t="str">
        <f>IF(ISNUMBER(deployment_raw[[#This Row],[Column6]]), (deployment_raw[[#This Row],[Column6]] * deployment_raw[[#This Row],[Column5]]),"")</f>
        <v/>
      </c>
      <c r="G52" s="175" t="str">
        <f>IF(ISNUMBER(deployment_raw[[#This Row],[Column7]]), (deployment_raw[[#This Row],[Column7]] * deployment_raw[[#This Row],[Column5]])/1048576,"")</f>
        <v/>
      </c>
      <c r="H52" s="175" t="str">
        <f>IF(ISNUMBER(deployment_raw[[#This Row],[Column8]]), (deployment_raw[[#This Row],[Column8]]  * deployment_raw[[#This Row],[Column5]]),"")</f>
        <v/>
      </c>
      <c r="I52" s="176" t="str">
        <f>IF(ISNUMBER(deployment_raw[[#This Row],[Column9]]), (deployment_raw[[#This Row],[Column9]] * deployment_raw[[#This Row],[Column5]])/1048576,"")</f>
        <v/>
      </c>
      <c r="J52" s="57" t="str">
        <f>IF(ISNUMBER(deployment_raw[[#This Row],[Column10]]), (deployment_raw[[#This Row],[Column10]] * deployment_raw[[#This Row],[Column5]]),"")</f>
        <v/>
      </c>
      <c r="K52" s="58" t="str">
        <f>IF(ISNUMBER(deployment_raw[[#This Row],[Column11]]), (deployment_raw[[#This Row],[Column11]] * deployment_raw[[#This Row],[Column5]])/1048576,"")</f>
        <v/>
      </c>
      <c r="L52" s="180" t="str">
        <f>IF(ISNUMBER(deployment_raw[[#This Row],[Column8]]),IF(deployment_raw[[#This Row],[Column5]] &lt;&gt; 0, MAX((deployment_raw[[#This Row],[Column12]] * deployment_raw[[#This Row],[Column5]]), ((deployment_raw[[#This Row],[Column8]] * deployment_raw[[#This Row],[Column5]]) * $L$2), ($H$2 * deployment_raw[[#This Row],[Column5]])), 0),"")</f>
        <v/>
      </c>
      <c r="M5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2" s="188" t="str">
        <f>IF(ISNUMBER(deployment_raw[[#This Row],[Column14]]), deployment_raw[[#This Row],[Column14]],"")</f>
        <v/>
      </c>
      <c r="O52" s="189" t="str">
        <f>IF(ISNUMBER(deployment_raw[[#This Row],[Column15]]), deployment_raw[[#This Row],[Column15]]/1048576,"")</f>
        <v/>
      </c>
      <c r="P52" s="190" t="str">
        <f>IF(ISNUMBER(deployment_raw[[#This Row],[Column12]]), (deployment_raw[[#This Row],[Column12]] * deployment_raw[[#This Row],[Column5]]),"")</f>
        <v/>
      </c>
      <c r="Q52" s="189" t="str">
        <f>IF(ISNUMBER(deployment_raw[[#This Row],[Column13]]), (deployment_raw[[#This Row],[Column13]] * deployment_raw[[#This Row],[Column5]])/1048576,"")</f>
        <v/>
      </c>
    </row>
    <row r="53" spans="1:17" ht="15.75" customHeight="1" x14ac:dyDescent="0.25">
      <c r="A53" s="37" t="str">
        <f>IF(ISNONTEXT(deployment_raw[[#This Row],[Column1]]), "", deployment_raw[[#This Row],[Column1]])</f>
        <v/>
      </c>
      <c r="B53" s="38" t="str">
        <f>IF(ISNONTEXT(deployment_raw[[#This Row],[Column2]]), "", deployment_raw[[#This Row],[Column2]])</f>
        <v/>
      </c>
      <c r="C53" s="38" t="str">
        <f>IF(ISNONTEXT(deployment_raw[[#This Row],[Column3]]), "", deployment_raw[[#This Row],[Column3]])</f>
        <v/>
      </c>
      <c r="D53" s="38" t="str">
        <f>IF(ISNONTEXT(deployment_raw[[#This Row],[Column4]]), "", deployment_raw[[#This Row],[Column4]])</f>
        <v/>
      </c>
      <c r="E53" s="39" t="str">
        <f>IF(ISNUMBER(deployment_raw[[#This Row],[Column5]]), deployment_raw[[#This Row],[Column5]],"")</f>
        <v/>
      </c>
      <c r="F53" s="174" t="str">
        <f>IF(ISNUMBER(deployment_raw[[#This Row],[Column6]]), (deployment_raw[[#This Row],[Column6]] * deployment_raw[[#This Row],[Column5]]),"")</f>
        <v/>
      </c>
      <c r="G53" s="175" t="str">
        <f>IF(ISNUMBER(deployment_raw[[#This Row],[Column7]]), (deployment_raw[[#This Row],[Column7]] * deployment_raw[[#This Row],[Column5]])/1048576,"")</f>
        <v/>
      </c>
      <c r="H53" s="175" t="str">
        <f>IF(ISNUMBER(deployment_raw[[#This Row],[Column8]]), (deployment_raw[[#This Row],[Column8]]  * deployment_raw[[#This Row],[Column5]]),"")</f>
        <v/>
      </c>
      <c r="I53" s="176" t="str">
        <f>IF(ISNUMBER(deployment_raw[[#This Row],[Column9]]), (deployment_raw[[#This Row],[Column9]] * deployment_raw[[#This Row],[Column5]])/1048576,"")</f>
        <v/>
      </c>
      <c r="J53" s="57" t="str">
        <f>IF(ISNUMBER(deployment_raw[[#This Row],[Column10]]), (deployment_raw[[#This Row],[Column10]] * deployment_raw[[#This Row],[Column5]]),"")</f>
        <v/>
      </c>
      <c r="K53" s="58" t="str">
        <f>IF(ISNUMBER(deployment_raw[[#This Row],[Column11]]), (deployment_raw[[#This Row],[Column11]] * deployment_raw[[#This Row],[Column5]])/1048576,"")</f>
        <v/>
      </c>
      <c r="L53" s="180" t="str">
        <f>IF(ISNUMBER(deployment_raw[[#This Row],[Column8]]),IF(deployment_raw[[#This Row],[Column5]] &lt;&gt; 0, MAX((deployment_raw[[#This Row],[Column12]] * deployment_raw[[#This Row],[Column5]]), ((deployment_raw[[#This Row],[Column8]] * deployment_raw[[#This Row],[Column5]]) * $L$2), ($H$2 * deployment_raw[[#This Row],[Column5]])), 0),"")</f>
        <v/>
      </c>
      <c r="M5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3" s="188" t="str">
        <f>IF(ISNUMBER(deployment_raw[[#This Row],[Column14]]), deployment_raw[[#This Row],[Column14]],"")</f>
        <v/>
      </c>
      <c r="O53" s="189" t="str">
        <f>IF(ISNUMBER(deployment_raw[[#This Row],[Column15]]), deployment_raw[[#This Row],[Column15]]/1048576,"")</f>
        <v/>
      </c>
      <c r="P53" s="190" t="str">
        <f>IF(ISNUMBER(deployment_raw[[#This Row],[Column12]]), (deployment_raw[[#This Row],[Column12]] * deployment_raw[[#This Row],[Column5]]),"")</f>
        <v/>
      </c>
      <c r="Q53" s="189" t="str">
        <f>IF(ISNUMBER(deployment_raw[[#This Row],[Column13]]), (deployment_raw[[#This Row],[Column13]] * deployment_raw[[#This Row],[Column5]])/1048576,"")</f>
        <v/>
      </c>
    </row>
    <row r="54" spans="1:17" ht="15.75" customHeight="1" x14ac:dyDescent="0.25">
      <c r="A54" s="37" t="str">
        <f>IF(ISNONTEXT(deployment_raw[[#This Row],[Column1]]), "", deployment_raw[[#This Row],[Column1]])</f>
        <v/>
      </c>
      <c r="B54" s="38" t="str">
        <f>IF(ISNONTEXT(deployment_raw[[#This Row],[Column2]]), "", deployment_raw[[#This Row],[Column2]])</f>
        <v/>
      </c>
      <c r="C54" s="38" t="str">
        <f>IF(ISNONTEXT(deployment_raw[[#This Row],[Column3]]), "", deployment_raw[[#This Row],[Column3]])</f>
        <v/>
      </c>
      <c r="D54" s="38" t="str">
        <f>IF(ISNONTEXT(deployment_raw[[#This Row],[Column4]]), "", deployment_raw[[#This Row],[Column4]])</f>
        <v/>
      </c>
      <c r="E54" s="39" t="str">
        <f>IF(ISNUMBER(deployment_raw[[#This Row],[Column5]]), deployment_raw[[#This Row],[Column5]],"")</f>
        <v/>
      </c>
      <c r="F54" s="174" t="str">
        <f>IF(ISNUMBER(deployment_raw[[#This Row],[Column6]]), (deployment_raw[[#This Row],[Column6]] * deployment_raw[[#This Row],[Column5]]),"")</f>
        <v/>
      </c>
      <c r="G54" s="175" t="str">
        <f>IF(ISNUMBER(deployment_raw[[#This Row],[Column7]]), (deployment_raw[[#This Row],[Column7]] * deployment_raw[[#This Row],[Column5]])/1048576,"")</f>
        <v/>
      </c>
      <c r="H54" s="175" t="str">
        <f>IF(ISNUMBER(deployment_raw[[#This Row],[Column8]]), (deployment_raw[[#This Row],[Column8]]  * deployment_raw[[#This Row],[Column5]]),"")</f>
        <v/>
      </c>
      <c r="I54" s="176" t="str">
        <f>IF(ISNUMBER(deployment_raw[[#This Row],[Column9]]), (deployment_raw[[#This Row],[Column9]] * deployment_raw[[#This Row],[Column5]])/1048576,"")</f>
        <v/>
      </c>
      <c r="J54" s="57" t="str">
        <f>IF(ISNUMBER(deployment_raw[[#This Row],[Column10]]), (deployment_raw[[#This Row],[Column10]] * deployment_raw[[#This Row],[Column5]]),"")</f>
        <v/>
      </c>
      <c r="K54" s="58" t="str">
        <f>IF(ISNUMBER(deployment_raw[[#This Row],[Column11]]), (deployment_raw[[#This Row],[Column11]] * deployment_raw[[#This Row],[Column5]])/1048576,"")</f>
        <v/>
      </c>
      <c r="L54" s="180" t="str">
        <f>IF(ISNUMBER(deployment_raw[[#This Row],[Column8]]),IF(deployment_raw[[#This Row],[Column5]] &lt;&gt; 0, MAX((deployment_raw[[#This Row],[Column12]] * deployment_raw[[#This Row],[Column5]]), ((deployment_raw[[#This Row],[Column8]] * deployment_raw[[#This Row],[Column5]]) * $L$2), ($H$2 * deployment_raw[[#This Row],[Column5]])), 0),"")</f>
        <v/>
      </c>
      <c r="M5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4" s="188" t="str">
        <f>IF(ISNUMBER(deployment_raw[[#This Row],[Column14]]), deployment_raw[[#This Row],[Column14]],"")</f>
        <v/>
      </c>
      <c r="O54" s="189" t="str">
        <f>IF(ISNUMBER(deployment_raw[[#This Row],[Column15]]), deployment_raw[[#This Row],[Column15]]/1048576,"")</f>
        <v/>
      </c>
      <c r="P54" s="190" t="str">
        <f>IF(ISNUMBER(deployment_raw[[#This Row],[Column12]]), (deployment_raw[[#This Row],[Column12]] * deployment_raw[[#This Row],[Column5]]),"")</f>
        <v/>
      </c>
      <c r="Q54" s="189" t="str">
        <f>IF(ISNUMBER(deployment_raw[[#This Row],[Column13]]), (deployment_raw[[#This Row],[Column13]] * deployment_raw[[#This Row],[Column5]])/1048576,"")</f>
        <v/>
      </c>
    </row>
    <row r="55" spans="1:17" ht="15.75" customHeight="1" x14ac:dyDescent="0.25">
      <c r="A55" s="37" t="str">
        <f>IF(ISNONTEXT(deployment_raw[[#This Row],[Column1]]), "", deployment_raw[[#This Row],[Column1]])</f>
        <v/>
      </c>
      <c r="B55" s="38" t="str">
        <f>IF(ISNONTEXT(deployment_raw[[#This Row],[Column2]]), "", deployment_raw[[#This Row],[Column2]])</f>
        <v/>
      </c>
      <c r="C55" s="38" t="str">
        <f>IF(ISNONTEXT(deployment_raw[[#This Row],[Column3]]), "", deployment_raw[[#This Row],[Column3]])</f>
        <v/>
      </c>
      <c r="D55" s="38" t="str">
        <f>IF(ISNONTEXT(deployment_raw[[#This Row],[Column4]]), "", deployment_raw[[#This Row],[Column4]])</f>
        <v/>
      </c>
      <c r="E55" s="39" t="str">
        <f>IF(ISNUMBER(deployment_raw[[#This Row],[Column5]]), deployment_raw[[#This Row],[Column5]],"")</f>
        <v/>
      </c>
      <c r="F55" s="174" t="str">
        <f>IF(ISNUMBER(deployment_raw[[#This Row],[Column6]]), (deployment_raw[[#This Row],[Column6]] * deployment_raw[[#This Row],[Column5]]),"")</f>
        <v/>
      </c>
      <c r="G55" s="175" t="str">
        <f>IF(ISNUMBER(deployment_raw[[#This Row],[Column7]]), (deployment_raw[[#This Row],[Column7]] * deployment_raw[[#This Row],[Column5]])/1048576,"")</f>
        <v/>
      </c>
      <c r="H55" s="175" t="str">
        <f>IF(ISNUMBER(deployment_raw[[#This Row],[Column8]]), (deployment_raw[[#This Row],[Column8]]  * deployment_raw[[#This Row],[Column5]]),"")</f>
        <v/>
      </c>
      <c r="I55" s="176" t="str">
        <f>IF(ISNUMBER(deployment_raw[[#This Row],[Column9]]), (deployment_raw[[#This Row],[Column9]] * deployment_raw[[#This Row],[Column5]])/1048576,"")</f>
        <v/>
      </c>
      <c r="J55" s="57" t="str">
        <f>IF(ISNUMBER(deployment_raw[[#This Row],[Column10]]), (deployment_raw[[#This Row],[Column10]] * deployment_raw[[#This Row],[Column5]]),"")</f>
        <v/>
      </c>
      <c r="K55" s="58" t="str">
        <f>IF(ISNUMBER(deployment_raw[[#This Row],[Column11]]), (deployment_raw[[#This Row],[Column11]] * deployment_raw[[#This Row],[Column5]])/1048576,"")</f>
        <v/>
      </c>
      <c r="L55" s="180" t="str">
        <f>IF(ISNUMBER(deployment_raw[[#This Row],[Column8]]),IF(deployment_raw[[#This Row],[Column5]] &lt;&gt; 0, MAX((deployment_raw[[#This Row],[Column12]] * deployment_raw[[#This Row],[Column5]]), ((deployment_raw[[#This Row],[Column8]] * deployment_raw[[#This Row],[Column5]]) * $L$2), ($H$2 * deployment_raw[[#This Row],[Column5]])), 0),"")</f>
        <v/>
      </c>
      <c r="M5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5" s="188" t="str">
        <f>IF(ISNUMBER(deployment_raw[[#This Row],[Column14]]), deployment_raw[[#This Row],[Column14]],"")</f>
        <v/>
      </c>
      <c r="O55" s="189" t="str">
        <f>IF(ISNUMBER(deployment_raw[[#This Row],[Column15]]), deployment_raw[[#This Row],[Column15]]/1048576,"")</f>
        <v/>
      </c>
      <c r="P55" s="190" t="str">
        <f>IF(ISNUMBER(deployment_raw[[#This Row],[Column12]]), (deployment_raw[[#This Row],[Column12]] * deployment_raw[[#This Row],[Column5]]),"")</f>
        <v/>
      </c>
      <c r="Q55" s="189" t="str">
        <f>IF(ISNUMBER(deployment_raw[[#This Row],[Column13]]), (deployment_raw[[#This Row],[Column13]] * deployment_raw[[#This Row],[Column5]])/1048576,"")</f>
        <v/>
      </c>
    </row>
    <row r="56" spans="1:17" ht="15.75" customHeight="1" x14ac:dyDescent="0.25">
      <c r="A56" s="37" t="str">
        <f>IF(ISNONTEXT(deployment_raw[[#This Row],[Column1]]), "", deployment_raw[[#This Row],[Column1]])</f>
        <v/>
      </c>
      <c r="B56" s="38" t="str">
        <f>IF(ISNONTEXT(deployment_raw[[#This Row],[Column2]]), "", deployment_raw[[#This Row],[Column2]])</f>
        <v/>
      </c>
      <c r="C56" s="38" t="str">
        <f>IF(ISNONTEXT(deployment_raw[[#This Row],[Column3]]), "", deployment_raw[[#This Row],[Column3]])</f>
        <v/>
      </c>
      <c r="D56" s="38" t="str">
        <f>IF(ISNONTEXT(deployment_raw[[#This Row],[Column4]]), "", deployment_raw[[#This Row],[Column4]])</f>
        <v/>
      </c>
      <c r="E56" s="39" t="str">
        <f>IF(ISNUMBER(deployment_raw[[#This Row],[Column5]]), deployment_raw[[#This Row],[Column5]],"")</f>
        <v/>
      </c>
      <c r="F56" s="174" t="str">
        <f>IF(ISNUMBER(deployment_raw[[#This Row],[Column6]]), (deployment_raw[[#This Row],[Column6]] * deployment_raw[[#This Row],[Column5]]),"")</f>
        <v/>
      </c>
      <c r="G56" s="175" t="str">
        <f>IF(ISNUMBER(deployment_raw[[#This Row],[Column7]]), (deployment_raw[[#This Row],[Column7]] * deployment_raw[[#This Row],[Column5]])/1048576,"")</f>
        <v/>
      </c>
      <c r="H56" s="175" t="str">
        <f>IF(ISNUMBER(deployment_raw[[#This Row],[Column8]]), (deployment_raw[[#This Row],[Column8]]  * deployment_raw[[#This Row],[Column5]]),"")</f>
        <v/>
      </c>
      <c r="I56" s="176" t="str">
        <f>IF(ISNUMBER(deployment_raw[[#This Row],[Column9]]), (deployment_raw[[#This Row],[Column9]] * deployment_raw[[#This Row],[Column5]])/1048576,"")</f>
        <v/>
      </c>
      <c r="J56" s="57" t="str">
        <f>IF(ISNUMBER(deployment_raw[[#This Row],[Column10]]), (deployment_raw[[#This Row],[Column10]] * deployment_raw[[#This Row],[Column5]]),"")</f>
        <v/>
      </c>
      <c r="K56" s="58" t="str">
        <f>IF(ISNUMBER(deployment_raw[[#This Row],[Column11]]), (deployment_raw[[#This Row],[Column11]] * deployment_raw[[#This Row],[Column5]])/1048576,"")</f>
        <v/>
      </c>
      <c r="L56" s="180" t="str">
        <f>IF(ISNUMBER(deployment_raw[[#This Row],[Column8]]),IF(deployment_raw[[#This Row],[Column5]] &lt;&gt; 0, MAX((deployment_raw[[#This Row],[Column12]] * deployment_raw[[#This Row],[Column5]]), ((deployment_raw[[#This Row],[Column8]] * deployment_raw[[#This Row],[Column5]]) * $L$2), ($H$2 * deployment_raw[[#This Row],[Column5]])), 0),"")</f>
        <v/>
      </c>
      <c r="M5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6" s="188" t="str">
        <f>IF(ISNUMBER(deployment_raw[[#This Row],[Column14]]), deployment_raw[[#This Row],[Column14]],"")</f>
        <v/>
      </c>
      <c r="O56" s="189" t="str">
        <f>IF(ISNUMBER(deployment_raw[[#This Row],[Column15]]), deployment_raw[[#This Row],[Column15]]/1048576,"")</f>
        <v/>
      </c>
      <c r="P56" s="190" t="str">
        <f>IF(ISNUMBER(deployment_raw[[#This Row],[Column12]]), (deployment_raw[[#This Row],[Column12]] * deployment_raw[[#This Row],[Column5]]),"")</f>
        <v/>
      </c>
      <c r="Q56" s="189" t="str">
        <f>IF(ISNUMBER(deployment_raw[[#This Row],[Column13]]), (deployment_raw[[#This Row],[Column13]] * deployment_raw[[#This Row],[Column5]])/1048576,"")</f>
        <v/>
      </c>
    </row>
    <row r="57" spans="1:17" ht="15.75" customHeight="1" x14ac:dyDescent="0.25">
      <c r="A57" s="37" t="str">
        <f>IF(ISNONTEXT(deployment_raw[[#This Row],[Column1]]), "", deployment_raw[[#This Row],[Column1]])</f>
        <v/>
      </c>
      <c r="B57" s="38" t="str">
        <f>IF(ISNONTEXT(deployment_raw[[#This Row],[Column2]]), "", deployment_raw[[#This Row],[Column2]])</f>
        <v/>
      </c>
      <c r="C57" s="38" t="str">
        <f>IF(ISNONTEXT(deployment_raw[[#This Row],[Column3]]), "", deployment_raw[[#This Row],[Column3]])</f>
        <v/>
      </c>
      <c r="D57" s="38" t="str">
        <f>IF(ISNONTEXT(deployment_raw[[#This Row],[Column4]]), "", deployment_raw[[#This Row],[Column4]])</f>
        <v/>
      </c>
      <c r="E57" s="39" t="str">
        <f>IF(ISNUMBER(deployment_raw[[#This Row],[Column5]]), deployment_raw[[#This Row],[Column5]],"")</f>
        <v/>
      </c>
      <c r="F57" s="174" t="str">
        <f>IF(ISNUMBER(deployment_raw[[#This Row],[Column6]]), (deployment_raw[[#This Row],[Column6]] * deployment_raw[[#This Row],[Column5]]),"")</f>
        <v/>
      </c>
      <c r="G57" s="175" t="str">
        <f>IF(ISNUMBER(deployment_raw[[#This Row],[Column7]]), (deployment_raw[[#This Row],[Column7]] * deployment_raw[[#This Row],[Column5]])/1048576,"")</f>
        <v/>
      </c>
      <c r="H57" s="175" t="str">
        <f>IF(ISNUMBER(deployment_raw[[#This Row],[Column8]]), (deployment_raw[[#This Row],[Column8]]  * deployment_raw[[#This Row],[Column5]]),"")</f>
        <v/>
      </c>
      <c r="I57" s="176" t="str">
        <f>IF(ISNUMBER(deployment_raw[[#This Row],[Column9]]), (deployment_raw[[#This Row],[Column9]] * deployment_raw[[#This Row],[Column5]])/1048576,"")</f>
        <v/>
      </c>
      <c r="J57" s="57" t="str">
        <f>IF(ISNUMBER(deployment_raw[[#This Row],[Column10]]), (deployment_raw[[#This Row],[Column10]] * deployment_raw[[#This Row],[Column5]]),"")</f>
        <v/>
      </c>
      <c r="K57" s="58" t="str">
        <f>IF(ISNUMBER(deployment_raw[[#This Row],[Column11]]), (deployment_raw[[#This Row],[Column11]] * deployment_raw[[#This Row],[Column5]])/1048576,"")</f>
        <v/>
      </c>
      <c r="L57" s="180" t="str">
        <f>IF(ISNUMBER(deployment_raw[[#This Row],[Column8]]),IF(deployment_raw[[#This Row],[Column5]] &lt;&gt; 0, MAX((deployment_raw[[#This Row],[Column12]] * deployment_raw[[#This Row],[Column5]]), ((deployment_raw[[#This Row],[Column8]] * deployment_raw[[#This Row],[Column5]]) * $L$2), ($H$2 * deployment_raw[[#This Row],[Column5]])), 0),"")</f>
        <v/>
      </c>
      <c r="M5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7" s="188" t="str">
        <f>IF(ISNUMBER(deployment_raw[[#This Row],[Column14]]), deployment_raw[[#This Row],[Column14]],"")</f>
        <v/>
      </c>
      <c r="O57" s="189" t="str">
        <f>IF(ISNUMBER(deployment_raw[[#This Row],[Column15]]), deployment_raw[[#This Row],[Column15]]/1048576,"")</f>
        <v/>
      </c>
      <c r="P57" s="190" t="str">
        <f>IF(ISNUMBER(deployment_raw[[#This Row],[Column12]]), (deployment_raw[[#This Row],[Column12]] * deployment_raw[[#This Row],[Column5]]),"")</f>
        <v/>
      </c>
      <c r="Q57" s="189" t="str">
        <f>IF(ISNUMBER(deployment_raw[[#This Row],[Column13]]), (deployment_raw[[#This Row],[Column13]] * deployment_raw[[#This Row],[Column5]])/1048576,"")</f>
        <v/>
      </c>
    </row>
    <row r="58" spans="1:17" ht="15.75" customHeight="1" x14ac:dyDescent="0.25">
      <c r="A58" s="37" t="str">
        <f>IF(ISNONTEXT(deployment_raw[[#This Row],[Column1]]), "", deployment_raw[[#This Row],[Column1]])</f>
        <v/>
      </c>
      <c r="B58" s="38" t="str">
        <f>IF(ISNONTEXT(deployment_raw[[#This Row],[Column2]]), "", deployment_raw[[#This Row],[Column2]])</f>
        <v/>
      </c>
      <c r="C58" s="38" t="str">
        <f>IF(ISNONTEXT(deployment_raw[[#This Row],[Column3]]), "", deployment_raw[[#This Row],[Column3]])</f>
        <v/>
      </c>
      <c r="D58" s="38" t="str">
        <f>IF(ISNONTEXT(deployment_raw[[#This Row],[Column4]]), "", deployment_raw[[#This Row],[Column4]])</f>
        <v/>
      </c>
      <c r="E58" s="39" t="str">
        <f>IF(ISNUMBER(deployment_raw[[#This Row],[Column5]]), deployment_raw[[#This Row],[Column5]],"")</f>
        <v/>
      </c>
      <c r="F58" s="174" t="str">
        <f>IF(ISNUMBER(deployment_raw[[#This Row],[Column6]]), (deployment_raw[[#This Row],[Column6]] * deployment_raw[[#This Row],[Column5]]),"")</f>
        <v/>
      </c>
      <c r="G58" s="175" t="str">
        <f>IF(ISNUMBER(deployment_raw[[#This Row],[Column7]]), (deployment_raw[[#This Row],[Column7]] * deployment_raw[[#This Row],[Column5]])/1048576,"")</f>
        <v/>
      </c>
      <c r="H58" s="175" t="str">
        <f>IF(ISNUMBER(deployment_raw[[#This Row],[Column8]]), (deployment_raw[[#This Row],[Column8]]  * deployment_raw[[#This Row],[Column5]]),"")</f>
        <v/>
      </c>
      <c r="I58" s="176" t="str">
        <f>IF(ISNUMBER(deployment_raw[[#This Row],[Column9]]), (deployment_raw[[#This Row],[Column9]] * deployment_raw[[#This Row],[Column5]])/1048576,"")</f>
        <v/>
      </c>
      <c r="J58" s="57" t="str">
        <f>IF(ISNUMBER(deployment_raw[[#This Row],[Column10]]), (deployment_raw[[#This Row],[Column10]] * deployment_raw[[#This Row],[Column5]]),"")</f>
        <v/>
      </c>
      <c r="K58" s="58" t="str">
        <f>IF(ISNUMBER(deployment_raw[[#This Row],[Column11]]), (deployment_raw[[#This Row],[Column11]] * deployment_raw[[#This Row],[Column5]])/1048576,"")</f>
        <v/>
      </c>
      <c r="L58" s="180" t="str">
        <f>IF(ISNUMBER(deployment_raw[[#This Row],[Column8]]),IF(deployment_raw[[#This Row],[Column5]] &lt;&gt; 0, MAX((deployment_raw[[#This Row],[Column12]] * deployment_raw[[#This Row],[Column5]]), ((deployment_raw[[#This Row],[Column8]] * deployment_raw[[#This Row],[Column5]]) * $L$2), ($H$2 * deployment_raw[[#This Row],[Column5]])), 0),"")</f>
        <v/>
      </c>
      <c r="M5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8" s="188" t="str">
        <f>IF(ISNUMBER(deployment_raw[[#This Row],[Column14]]), deployment_raw[[#This Row],[Column14]],"")</f>
        <v/>
      </c>
      <c r="O58" s="189" t="str">
        <f>IF(ISNUMBER(deployment_raw[[#This Row],[Column15]]), deployment_raw[[#This Row],[Column15]]/1048576,"")</f>
        <v/>
      </c>
      <c r="P58" s="190" t="str">
        <f>IF(ISNUMBER(deployment_raw[[#This Row],[Column12]]), (deployment_raw[[#This Row],[Column12]] * deployment_raw[[#This Row],[Column5]]),"")</f>
        <v/>
      </c>
      <c r="Q58" s="189" t="str">
        <f>IF(ISNUMBER(deployment_raw[[#This Row],[Column13]]), (deployment_raw[[#This Row],[Column13]] * deployment_raw[[#This Row],[Column5]])/1048576,"")</f>
        <v/>
      </c>
    </row>
    <row r="59" spans="1:17" ht="15.75" customHeight="1" x14ac:dyDescent="0.25">
      <c r="A59" s="37" t="str">
        <f>IF(ISNONTEXT(deployment_raw[[#This Row],[Column1]]), "", deployment_raw[[#This Row],[Column1]])</f>
        <v/>
      </c>
      <c r="B59" s="38" t="str">
        <f>IF(ISNONTEXT(deployment_raw[[#This Row],[Column2]]), "", deployment_raw[[#This Row],[Column2]])</f>
        <v/>
      </c>
      <c r="C59" s="38" t="str">
        <f>IF(ISNONTEXT(deployment_raw[[#This Row],[Column3]]), "", deployment_raw[[#This Row],[Column3]])</f>
        <v/>
      </c>
      <c r="D59" s="38" t="str">
        <f>IF(ISNONTEXT(deployment_raw[[#This Row],[Column4]]), "", deployment_raw[[#This Row],[Column4]])</f>
        <v/>
      </c>
      <c r="E59" s="39" t="str">
        <f>IF(ISNUMBER(deployment_raw[[#This Row],[Column5]]), deployment_raw[[#This Row],[Column5]],"")</f>
        <v/>
      </c>
      <c r="F59" s="174" t="str">
        <f>IF(ISNUMBER(deployment_raw[[#This Row],[Column6]]), (deployment_raw[[#This Row],[Column6]] * deployment_raw[[#This Row],[Column5]]),"")</f>
        <v/>
      </c>
      <c r="G59" s="175" t="str">
        <f>IF(ISNUMBER(deployment_raw[[#This Row],[Column7]]), (deployment_raw[[#This Row],[Column7]] * deployment_raw[[#This Row],[Column5]])/1048576,"")</f>
        <v/>
      </c>
      <c r="H59" s="175" t="str">
        <f>IF(ISNUMBER(deployment_raw[[#This Row],[Column8]]), (deployment_raw[[#This Row],[Column8]]  * deployment_raw[[#This Row],[Column5]]),"")</f>
        <v/>
      </c>
      <c r="I59" s="176" t="str">
        <f>IF(ISNUMBER(deployment_raw[[#This Row],[Column9]]), (deployment_raw[[#This Row],[Column9]] * deployment_raw[[#This Row],[Column5]])/1048576,"")</f>
        <v/>
      </c>
      <c r="J59" s="57" t="str">
        <f>IF(ISNUMBER(deployment_raw[[#This Row],[Column10]]), (deployment_raw[[#This Row],[Column10]] * deployment_raw[[#This Row],[Column5]]),"")</f>
        <v/>
      </c>
      <c r="K59" s="58" t="str">
        <f>IF(ISNUMBER(deployment_raw[[#This Row],[Column11]]), (deployment_raw[[#This Row],[Column11]] * deployment_raw[[#This Row],[Column5]])/1048576,"")</f>
        <v/>
      </c>
      <c r="L59" s="180" t="str">
        <f>IF(ISNUMBER(deployment_raw[[#This Row],[Column8]]),IF(deployment_raw[[#This Row],[Column5]] &lt;&gt; 0, MAX((deployment_raw[[#This Row],[Column12]] * deployment_raw[[#This Row],[Column5]]), ((deployment_raw[[#This Row],[Column8]] * deployment_raw[[#This Row],[Column5]]) * $L$2), ($H$2 * deployment_raw[[#This Row],[Column5]])), 0),"")</f>
        <v/>
      </c>
      <c r="M5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9" s="188" t="str">
        <f>IF(ISNUMBER(deployment_raw[[#This Row],[Column14]]), deployment_raw[[#This Row],[Column14]],"")</f>
        <v/>
      </c>
      <c r="O59" s="189" t="str">
        <f>IF(ISNUMBER(deployment_raw[[#This Row],[Column15]]), deployment_raw[[#This Row],[Column15]]/1048576,"")</f>
        <v/>
      </c>
      <c r="P59" s="190" t="str">
        <f>IF(ISNUMBER(deployment_raw[[#This Row],[Column12]]), (deployment_raw[[#This Row],[Column12]] * deployment_raw[[#This Row],[Column5]]),"")</f>
        <v/>
      </c>
      <c r="Q59" s="189" t="str">
        <f>IF(ISNUMBER(deployment_raw[[#This Row],[Column13]]), (deployment_raw[[#This Row],[Column13]] * deployment_raw[[#This Row],[Column5]])/1048576,"")</f>
        <v/>
      </c>
    </row>
    <row r="60" spans="1:17" ht="15.75" customHeight="1" x14ac:dyDescent="0.25">
      <c r="A60" s="37" t="str">
        <f>IF(ISNONTEXT(deployment_raw[[#This Row],[Column1]]), "", deployment_raw[[#This Row],[Column1]])</f>
        <v/>
      </c>
      <c r="B60" s="38" t="str">
        <f>IF(ISNONTEXT(deployment_raw[[#This Row],[Column2]]), "", deployment_raw[[#This Row],[Column2]])</f>
        <v/>
      </c>
      <c r="C60" s="38" t="str">
        <f>IF(ISNONTEXT(deployment_raw[[#This Row],[Column3]]), "", deployment_raw[[#This Row],[Column3]])</f>
        <v/>
      </c>
      <c r="D60" s="38" t="str">
        <f>IF(ISNONTEXT(deployment_raw[[#This Row],[Column4]]), "", deployment_raw[[#This Row],[Column4]])</f>
        <v/>
      </c>
      <c r="E60" s="39" t="str">
        <f>IF(ISNUMBER(deployment_raw[[#This Row],[Column5]]), deployment_raw[[#This Row],[Column5]],"")</f>
        <v/>
      </c>
      <c r="F60" s="174" t="str">
        <f>IF(ISNUMBER(deployment_raw[[#This Row],[Column6]]), (deployment_raw[[#This Row],[Column6]] * deployment_raw[[#This Row],[Column5]]),"")</f>
        <v/>
      </c>
      <c r="G60" s="175" t="str">
        <f>IF(ISNUMBER(deployment_raw[[#This Row],[Column7]]), (deployment_raw[[#This Row],[Column7]] * deployment_raw[[#This Row],[Column5]])/1048576,"")</f>
        <v/>
      </c>
      <c r="H60" s="175" t="str">
        <f>IF(ISNUMBER(deployment_raw[[#This Row],[Column8]]), (deployment_raw[[#This Row],[Column8]]  * deployment_raw[[#This Row],[Column5]]),"")</f>
        <v/>
      </c>
      <c r="I60" s="176" t="str">
        <f>IF(ISNUMBER(deployment_raw[[#This Row],[Column9]]), (deployment_raw[[#This Row],[Column9]] * deployment_raw[[#This Row],[Column5]])/1048576,"")</f>
        <v/>
      </c>
      <c r="J60" s="57" t="str">
        <f>IF(ISNUMBER(deployment_raw[[#This Row],[Column10]]), (deployment_raw[[#This Row],[Column10]] * deployment_raw[[#This Row],[Column5]]),"")</f>
        <v/>
      </c>
      <c r="K60" s="58" t="str">
        <f>IF(ISNUMBER(deployment_raw[[#This Row],[Column11]]), (deployment_raw[[#This Row],[Column11]] * deployment_raw[[#This Row],[Column5]])/1048576,"")</f>
        <v/>
      </c>
      <c r="L60" s="180" t="str">
        <f>IF(ISNUMBER(deployment_raw[[#This Row],[Column8]]),IF(deployment_raw[[#This Row],[Column5]] &lt;&gt; 0, MAX((deployment_raw[[#This Row],[Column12]] * deployment_raw[[#This Row],[Column5]]), ((deployment_raw[[#This Row],[Column8]] * deployment_raw[[#This Row],[Column5]]) * $L$2), ($H$2 * deployment_raw[[#This Row],[Column5]])), 0),"")</f>
        <v/>
      </c>
      <c r="M6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0" s="188" t="str">
        <f>IF(ISNUMBER(deployment_raw[[#This Row],[Column14]]), deployment_raw[[#This Row],[Column14]],"")</f>
        <v/>
      </c>
      <c r="O60" s="189" t="str">
        <f>IF(ISNUMBER(deployment_raw[[#This Row],[Column15]]), deployment_raw[[#This Row],[Column15]]/1048576,"")</f>
        <v/>
      </c>
      <c r="P60" s="190" t="str">
        <f>IF(ISNUMBER(deployment_raw[[#This Row],[Column12]]), (deployment_raw[[#This Row],[Column12]] * deployment_raw[[#This Row],[Column5]]),"")</f>
        <v/>
      </c>
      <c r="Q60" s="189" t="str">
        <f>IF(ISNUMBER(deployment_raw[[#This Row],[Column13]]), (deployment_raw[[#This Row],[Column13]] * deployment_raw[[#This Row],[Column5]])/1048576,"")</f>
        <v/>
      </c>
    </row>
    <row r="61" spans="1:17" ht="15.75" customHeight="1" x14ac:dyDescent="0.25">
      <c r="A61" s="37" t="str">
        <f>IF(ISNONTEXT(deployment_raw[[#This Row],[Column1]]), "", deployment_raw[[#This Row],[Column1]])</f>
        <v/>
      </c>
      <c r="B61" s="38" t="str">
        <f>IF(ISNONTEXT(deployment_raw[[#This Row],[Column2]]), "", deployment_raw[[#This Row],[Column2]])</f>
        <v/>
      </c>
      <c r="C61" s="38" t="str">
        <f>IF(ISNONTEXT(deployment_raw[[#This Row],[Column3]]), "", deployment_raw[[#This Row],[Column3]])</f>
        <v/>
      </c>
      <c r="D61" s="38" t="str">
        <f>IF(ISNONTEXT(deployment_raw[[#This Row],[Column4]]), "", deployment_raw[[#This Row],[Column4]])</f>
        <v/>
      </c>
      <c r="E61" s="39" t="str">
        <f>IF(ISNUMBER(deployment_raw[[#This Row],[Column5]]), deployment_raw[[#This Row],[Column5]],"")</f>
        <v/>
      </c>
      <c r="F61" s="174" t="str">
        <f>IF(ISNUMBER(deployment_raw[[#This Row],[Column6]]), (deployment_raw[[#This Row],[Column6]] * deployment_raw[[#This Row],[Column5]]),"")</f>
        <v/>
      </c>
      <c r="G61" s="175" t="str">
        <f>IF(ISNUMBER(deployment_raw[[#This Row],[Column7]]), (deployment_raw[[#This Row],[Column7]] * deployment_raw[[#This Row],[Column5]])/1048576,"")</f>
        <v/>
      </c>
      <c r="H61" s="175" t="str">
        <f>IF(ISNUMBER(deployment_raw[[#This Row],[Column8]]), (deployment_raw[[#This Row],[Column8]]  * deployment_raw[[#This Row],[Column5]]),"")</f>
        <v/>
      </c>
      <c r="I61" s="176" t="str">
        <f>IF(ISNUMBER(deployment_raw[[#This Row],[Column9]]), (deployment_raw[[#This Row],[Column9]] * deployment_raw[[#This Row],[Column5]])/1048576,"")</f>
        <v/>
      </c>
      <c r="J61" s="57" t="str">
        <f>IF(ISNUMBER(deployment_raw[[#This Row],[Column10]]), (deployment_raw[[#This Row],[Column10]] * deployment_raw[[#This Row],[Column5]]),"")</f>
        <v/>
      </c>
      <c r="K61" s="58" t="str">
        <f>IF(ISNUMBER(deployment_raw[[#This Row],[Column11]]), (deployment_raw[[#This Row],[Column11]] * deployment_raw[[#This Row],[Column5]])/1048576,"")</f>
        <v/>
      </c>
      <c r="L61" s="180" t="str">
        <f>IF(ISNUMBER(deployment_raw[[#This Row],[Column8]]),IF(deployment_raw[[#This Row],[Column5]] &lt;&gt; 0, MAX((deployment_raw[[#This Row],[Column12]] * deployment_raw[[#This Row],[Column5]]), ((deployment_raw[[#This Row],[Column8]] * deployment_raw[[#This Row],[Column5]]) * $L$2), ($H$2 * deployment_raw[[#This Row],[Column5]])), 0),"")</f>
        <v/>
      </c>
      <c r="M6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1" s="188" t="str">
        <f>IF(ISNUMBER(deployment_raw[[#This Row],[Column14]]), deployment_raw[[#This Row],[Column14]],"")</f>
        <v/>
      </c>
      <c r="O61" s="189" t="str">
        <f>IF(ISNUMBER(deployment_raw[[#This Row],[Column15]]), deployment_raw[[#This Row],[Column15]]/1048576,"")</f>
        <v/>
      </c>
      <c r="P61" s="190" t="str">
        <f>IF(ISNUMBER(deployment_raw[[#This Row],[Column12]]), (deployment_raw[[#This Row],[Column12]] * deployment_raw[[#This Row],[Column5]]),"")</f>
        <v/>
      </c>
      <c r="Q61" s="189" t="str">
        <f>IF(ISNUMBER(deployment_raw[[#This Row],[Column13]]), (deployment_raw[[#This Row],[Column13]] * deployment_raw[[#This Row],[Column5]])/1048576,"")</f>
        <v/>
      </c>
    </row>
    <row r="62" spans="1:17" ht="15.75" customHeight="1" x14ac:dyDescent="0.25">
      <c r="A62" s="37" t="str">
        <f>IF(ISNONTEXT(deployment_raw[[#This Row],[Column1]]), "", deployment_raw[[#This Row],[Column1]])</f>
        <v/>
      </c>
      <c r="B62" s="38" t="str">
        <f>IF(ISNONTEXT(deployment_raw[[#This Row],[Column2]]), "", deployment_raw[[#This Row],[Column2]])</f>
        <v/>
      </c>
      <c r="C62" s="38" t="str">
        <f>IF(ISNONTEXT(deployment_raw[[#This Row],[Column3]]), "", deployment_raw[[#This Row],[Column3]])</f>
        <v/>
      </c>
      <c r="D62" s="38" t="str">
        <f>IF(ISNONTEXT(deployment_raw[[#This Row],[Column4]]), "", deployment_raw[[#This Row],[Column4]])</f>
        <v/>
      </c>
      <c r="E62" s="39" t="str">
        <f>IF(ISNUMBER(deployment_raw[[#This Row],[Column5]]), deployment_raw[[#This Row],[Column5]],"")</f>
        <v/>
      </c>
      <c r="F62" s="174" t="str">
        <f>IF(ISNUMBER(deployment_raw[[#This Row],[Column6]]), (deployment_raw[[#This Row],[Column6]] * deployment_raw[[#This Row],[Column5]]),"")</f>
        <v/>
      </c>
      <c r="G62" s="175" t="str">
        <f>IF(ISNUMBER(deployment_raw[[#This Row],[Column7]]), (deployment_raw[[#This Row],[Column7]] * deployment_raw[[#This Row],[Column5]])/1048576,"")</f>
        <v/>
      </c>
      <c r="H62" s="175" t="str">
        <f>IF(ISNUMBER(deployment_raw[[#This Row],[Column8]]), (deployment_raw[[#This Row],[Column8]]  * deployment_raw[[#This Row],[Column5]]),"")</f>
        <v/>
      </c>
      <c r="I62" s="176" t="str">
        <f>IF(ISNUMBER(deployment_raw[[#This Row],[Column9]]), (deployment_raw[[#This Row],[Column9]] * deployment_raw[[#This Row],[Column5]])/1048576,"")</f>
        <v/>
      </c>
      <c r="J62" s="57" t="str">
        <f>IF(ISNUMBER(deployment_raw[[#This Row],[Column10]]), (deployment_raw[[#This Row],[Column10]] * deployment_raw[[#This Row],[Column5]]),"")</f>
        <v/>
      </c>
      <c r="K62" s="58" t="str">
        <f>IF(ISNUMBER(deployment_raw[[#This Row],[Column11]]), (deployment_raw[[#This Row],[Column11]] * deployment_raw[[#This Row],[Column5]])/1048576,"")</f>
        <v/>
      </c>
      <c r="L62" s="180" t="str">
        <f>IF(ISNUMBER(deployment_raw[[#This Row],[Column8]]),IF(deployment_raw[[#This Row],[Column5]] &lt;&gt; 0, MAX((deployment_raw[[#This Row],[Column12]] * deployment_raw[[#This Row],[Column5]]), ((deployment_raw[[#This Row],[Column8]] * deployment_raw[[#This Row],[Column5]]) * $L$2), ($H$2 * deployment_raw[[#This Row],[Column5]])), 0),"")</f>
        <v/>
      </c>
      <c r="M6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2" s="188" t="str">
        <f>IF(ISNUMBER(deployment_raw[[#This Row],[Column14]]), deployment_raw[[#This Row],[Column14]],"")</f>
        <v/>
      </c>
      <c r="O62" s="189" t="str">
        <f>IF(ISNUMBER(deployment_raw[[#This Row],[Column15]]), deployment_raw[[#This Row],[Column15]]/1048576,"")</f>
        <v/>
      </c>
      <c r="P62" s="190" t="str">
        <f>IF(ISNUMBER(deployment_raw[[#This Row],[Column12]]), (deployment_raw[[#This Row],[Column12]] * deployment_raw[[#This Row],[Column5]]),"")</f>
        <v/>
      </c>
      <c r="Q62" s="189" t="str">
        <f>IF(ISNUMBER(deployment_raw[[#This Row],[Column13]]), (deployment_raw[[#This Row],[Column13]] * deployment_raw[[#This Row],[Column5]])/1048576,"")</f>
        <v/>
      </c>
    </row>
    <row r="63" spans="1:17" ht="15.75" customHeight="1" x14ac:dyDescent="0.25">
      <c r="A63" s="37" t="str">
        <f>IF(ISNONTEXT(deployment_raw[[#This Row],[Column1]]), "", deployment_raw[[#This Row],[Column1]])</f>
        <v/>
      </c>
      <c r="B63" s="38" t="str">
        <f>IF(ISNONTEXT(deployment_raw[[#This Row],[Column2]]), "", deployment_raw[[#This Row],[Column2]])</f>
        <v/>
      </c>
      <c r="C63" s="38" t="str">
        <f>IF(ISNONTEXT(deployment_raw[[#This Row],[Column3]]), "", deployment_raw[[#This Row],[Column3]])</f>
        <v/>
      </c>
      <c r="D63" s="38" t="str">
        <f>IF(ISNONTEXT(deployment_raw[[#This Row],[Column4]]), "", deployment_raw[[#This Row],[Column4]])</f>
        <v/>
      </c>
      <c r="E63" s="39" t="str">
        <f>IF(ISNUMBER(deployment_raw[[#This Row],[Column5]]), deployment_raw[[#This Row],[Column5]],"")</f>
        <v/>
      </c>
      <c r="F63" s="174" t="str">
        <f>IF(ISNUMBER(deployment_raw[[#This Row],[Column6]]), (deployment_raw[[#This Row],[Column6]] * deployment_raw[[#This Row],[Column5]]),"")</f>
        <v/>
      </c>
      <c r="G63" s="175" t="str">
        <f>IF(ISNUMBER(deployment_raw[[#This Row],[Column7]]), (deployment_raw[[#This Row],[Column7]] * deployment_raw[[#This Row],[Column5]])/1048576,"")</f>
        <v/>
      </c>
      <c r="H63" s="175" t="str">
        <f>IF(ISNUMBER(deployment_raw[[#This Row],[Column8]]), (deployment_raw[[#This Row],[Column8]]  * deployment_raw[[#This Row],[Column5]]),"")</f>
        <v/>
      </c>
      <c r="I63" s="176" t="str">
        <f>IF(ISNUMBER(deployment_raw[[#This Row],[Column9]]), (deployment_raw[[#This Row],[Column9]] * deployment_raw[[#This Row],[Column5]])/1048576,"")</f>
        <v/>
      </c>
      <c r="J63" s="57" t="str">
        <f>IF(ISNUMBER(deployment_raw[[#This Row],[Column10]]), (deployment_raw[[#This Row],[Column10]] * deployment_raw[[#This Row],[Column5]]),"")</f>
        <v/>
      </c>
      <c r="K63" s="58" t="str">
        <f>IF(ISNUMBER(deployment_raw[[#This Row],[Column11]]), (deployment_raw[[#This Row],[Column11]] * deployment_raw[[#This Row],[Column5]])/1048576,"")</f>
        <v/>
      </c>
      <c r="L63" s="180" t="str">
        <f>IF(ISNUMBER(deployment_raw[[#This Row],[Column8]]),IF(deployment_raw[[#This Row],[Column5]] &lt;&gt; 0, MAX((deployment_raw[[#This Row],[Column12]] * deployment_raw[[#This Row],[Column5]]), ((deployment_raw[[#This Row],[Column8]] * deployment_raw[[#This Row],[Column5]]) * $L$2), ($H$2 * deployment_raw[[#This Row],[Column5]])), 0),"")</f>
        <v/>
      </c>
      <c r="M6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3" s="188" t="str">
        <f>IF(ISNUMBER(deployment_raw[[#This Row],[Column14]]), deployment_raw[[#This Row],[Column14]],"")</f>
        <v/>
      </c>
      <c r="O63" s="189" t="str">
        <f>IF(ISNUMBER(deployment_raw[[#This Row],[Column15]]), deployment_raw[[#This Row],[Column15]]/1048576,"")</f>
        <v/>
      </c>
      <c r="P63" s="190" t="str">
        <f>IF(ISNUMBER(deployment_raw[[#This Row],[Column12]]), (deployment_raw[[#This Row],[Column12]] * deployment_raw[[#This Row],[Column5]]),"")</f>
        <v/>
      </c>
      <c r="Q63" s="189" t="str">
        <f>IF(ISNUMBER(deployment_raw[[#This Row],[Column13]]), (deployment_raw[[#This Row],[Column13]] * deployment_raw[[#This Row],[Column5]])/1048576,"")</f>
        <v/>
      </c>
    </row>
    <row r="64" spans="1:17" ht="15.75" customHeight="1" x14ac:dyDescent="0.25">
      <c r="A64" s="37" t="str">
        <f>IF(ISNONTEXT(deployment_raw[[#This Row],[Column1]]), "", deployment_raw[[#This Row],[Column1]])</f>
        <v/>
      </c>
      <c r="B64" s="38" t="str">
        <f>IF(ISNONTEXT(deployment_raw[[#This Row],[Column2]]), "", deployment_raw[[#This Row],[Column2]])</f>
        <v/>
      </c>
      <c r="C64" s="38" t="str">
        <f>IF(ISNONTEXT(deployment_raw[[#This Row],[Column3]]), "", deployment_raw[[#This Row],[Column3]])</f>
        <v/>
      </c>
      <c r="D64" s="38" t="str">
        <f>IF(ISNONTEXT(deployment_raw[[#This Row],[Column4]]), "", deployment_raw[[#This Row],[Column4]])</f>
        <v/>
      </c>
      <c r="E64" s="39" t="str">
        <f>IF(ISNUMBER(deployment_raw[[#This Row],[Column5]]), deployment_raw[[#This Row],[Column5]],"")</f>
        <v/>
      </c>
      <c r="F64" s="174" t="str">
        <f>IF(ISNUMBER(deployment_raw[[#This Row],[Column6]]), (deployment_raw[[#This Row],[Column6]] * deployment_raw[[#This Row],[Column5]]),"")</f>
        <v/>
      </c>
      <c r="G64" s="175" t="str">
        <f>IF(ISNUMBER(deployment_raw[[#This Row],[Column7]]), (deployment_raw[[#This Row],[Column7]] * deployment_raw[[#This Row],[Column5]])/1048576,"")</f>
        <v/>
      </c>
      <c r="H64" s="175" t="str">
        <f>IF(ISNUMBER(deployment_raw[[#This Row],[Column8]]), (deployment_raw[[#This Row],[Column8]]  * deployment_raw[[#This Row],[Column5]]),"")</f>
        <v/>
      </c>
      <c r="I64" s="176" t="str">
        <f>IF(ISNUMBER(deployment_raw[[#This Row],[Column9]]), (deployment_raw[[#This Row],[Column9]] * deployment_raw[[#This Row],[Column5]])/1048576,"")</f>
        <v/>
      </c>
      <c r="J64" s="57" t="str">
        <f>IF(ISNUMBER(deployment_raw[[#This Row],[Column10]]), (deployment_raw[[#This Row],[Column10]] * deployment_raw[[#This Row],[Column5]]),"")</f>
        <v/>
      </c>
      <c r="K64" s="58" t="str">
        <f>IF(ISNUMBER(deployment_raw[[#This Row],[Column11]]), (deployment_raw[[#This Row],[Column11]] * deployment_raw[[#This Row],[Column5]])/1048576,"")</f>
        <v/>
      </c>
      <c r="L64" s="180" t="str">
        <f>IF(ISNUMBER(deployment_raw[[#This Row],[Column8]]),IF(deployment_raw[[#This Row],[Column5]] &lt;&gt; 0, MAX((deployment_raw[[#This Row],[Column12]] * deployment_raw[[#This Row],[Column5]]), ((deployment_raw[[#This Row],[Column8]] * deployment_raw[[#This Row],[Column5]]) * $L$2), ($H$2 * deployment_raw[[#This Row],[Column5]])), 0),"")</f>
        <v/>
      </c>
      <c r="M6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4" s="188" t="str">
        <f>IF(ISNUMBER(deployment_raw[[#This Row],[Column14]]), deployment_raw[[#This Row],[Column14]],"")</f>
        <v/>
      </c>
      <c r="O64" s="189" t="str">
        <f>IF(ISNUMBER(deployment_raw[[#This Row],[Column15]]), deployment_raw[[#This Row],[Column15]]/1048576,"")</f>
        <v/>
      </c>
      <c r="P64" s="190" t="str">
        <f>IF(ISNUMBER(deployment_raw[[#This Row],[Column12]]), (deployment_raw[[#This Row],[Column12]] * deployment_raw[[#This Row],[Column5]]),"")</f>
        <v/>
      </c>
      <c r="Q64" s="189" t="str">
        <f>IF(ISNUMBER(deployment_raw[[#This Row],[Column13]]), (deployment_raw[[#This Row],[Column13]] * deployment_raw[[#This Row],[Column5]])/1048576,"")</f>
        <v/>
      </c>
    </row>
    <row r="65" spans="1:17" ht="15.75" customHeight="1" x14ac:dyDescent="0.25">
      <c r="A65" s="37" t="str">
        <f>IF(ISNONTEXT(deployment_raw[[#This Row],[Column1]]), "", deployment_raw[[#This Row],[Column1]])</f>
        <v/>
      </c>
      <c r="B65" s="38" t="str">
        <f>IF(ISNONTEXT(deployment_raw[[#This Row],[Column2]]), "", deployment_raw[[#This Row],[Column2]])</f>
        <v/>
      </c>
      <c r="C65" s="38" t="str">
        <f>IF(ISNONTEXT(deployment_raw[[#This Row],[Column3]]), "", deployment_raw[[#This Row],[Column3]])</f>
        <v/>
      </c>
      <c r="D65" s="38" t="str">
        <f>IF(ISNONTEXT(deployment_raw[[#This Row],[Column4]]), "", deployment_raw[[#This Row],[Column4]])</f>
        <v/>
      </c>
      <c r="E65" s="39" t="str">
        <f>IF(ISNUMBER(deployment_raw[[#This Row],[Column5]]), deployment_raw[[#This Row],[Column5]],"")</f>
        <v/>
      </c>
      <c r="F65" s="174" t="str">
        <f>IF(ISNUMBER(deployment_raw[[#This Row],[Column6]]), (deployment_raw[[#This Row],[Column6]] * deployment_raw[[#This Row],[Column5]]),"")</f>
        <v/>
      </c>
      <c r="G65" s="175" t="str">
        <f>IF(ISNUMBER(deployment_raw[[#This Row],[Column7]]), (deployment_raw[[#This Row],[Column7]] * deployment_raw[[#This Row],[Column5]])/1048576,"")</f>
        <v/>
      </c>
      <c r="H65" s="175" t="str">
        <f>IF(ISNUMBER(deployment_raw[[#This Row],[Column8]]), (deployment_raw[[#This Row],[Column8]]  * deployment_raw[[#This Row],[Column5]]),"")</f>
        <v/>
      </c>
      <c r="I65" s="176" t="str">
        <f>IF(ISNUMBER(deployment_raw[[#This Row],[Column9]]), (deployment_raw[[#This Row],[Column9]] * deployment_raw[[#This Row],[Column5]])/1048576,"")</f>
        <v/>
      </c>
      <c r="J65" s="57" t="str">
        <f>IF(ISNUMBER(deployment_raw[[#This Row],[Column10]]), (deployment_raw[[#This Row],[Column10]] * deployment_raw[[#This Row],[Column5]]),"")</f>
        <v/>
      </c>
      <c r="K65" s="58" t="str">
        <f>IF(ISNUMBER(deployment_raw[[#This Row],[Column11]]), (deployment_raw[[#This Row],[Column11]] * deployment_raw[[#This Row],[Column5]])/1048576,"")</f>
        <v/>
      </c>
      <c r="L65" s="180" t="str">
        <f>IF(ISNUMBER(deployment_raw[[#This Row],[Column8]]),IF(deployment_raw[[#This Row],[Column5]] &lt;&gt; 0, MAX((deployment_raw[[#This Row],[Column12]] * deployment_raw[[#This Row],[Column5]]), ((deployment_raw[[#This Row],[Column8]] * deployment_raw[[#This Row],[Column5]]) * $L$2), ($H$2 * deployment_raw[[#This Row],[Column5]])), 0),"")</f>
        <v/>
      </c>
      <c r="M6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5" s="188" t="str">
        <f>IF(ISNUMBER(deployment_raw[[#This Row],[Column14]]), deployment_raw[[#This Row],[Column14]],"")</f>
        <v/>
      </c>
      <c r="O65" s="189" t="str">
        <f>IF(ISNUMBER(deployment_raw[[#This Row],[Column15]]), deployment_raw[[#This Row],[Column15]]/1048576,"")</f>
        <v/>
      </c>
      <c r="P65" s="190" t="str">
        <f>IF(ISNUMBER(deployment_raw[[#This Row],[Column12]]), (deployment_raw[[#This Row],[Column12]] * deployment_raw[[#This Row],[Column5]]),"")</f>
        <v/>
      </c>
      <c r="Q65" s="189" t="str">
        <f>IF(ISNUMBER(deployment_raw[[#This Row],[Column13]]), (deployment_raw[[#This Row],[Column13]] * deployment_raw[[#This Row],[Column5]])/1048576,"")</f>
        <v/>
      </c>
    </row>
    <row r="66" spans="1:17" ht="15.75" customHeight="1" x14ac:dyDescent="0.25">
      <c r="A66" s="37" t="str">
        <f>IF(ISNONTEXT(deployment_raw[[#This Row],[Column1]]), "", deployment_raw[[#This Row],[Column1]])</f>
        <v/>
      </c>
      <c r="B66" s="38" t="str">
        <f>IF(ISNONTEXT(deployment_raw[[#This Row],[Column2]]), "", deployment_raw[[#This Row],[Column2]])</f>
        <v/>
      </c>
      <c r="C66" s="38" t="str">
        <f>IF(ISNONTEXT(deployment_raw[[#This Row],[Column3]]), "", deployment_raw[[#This Row],[Column3]])</f>
        <v/>
      </c>
      <c r="D66" s="38" t="str">
        <f>IF(ISNONTEXT(deployment_raw[[#This Row],[Column4]]), "", deployment_raw[[#This Row],[Column4]])</f>
        <v/>
      </c>
      <c r="E66" s="39" t="str">
        <f>IF(ISNUMBER(deployment_raw[[#This Row],[Column5]]), deployment_raw[[#This Row],[Column5]],"")</f>
        <v/>
      </c>
      <c r="F66" s="174" t="str">
        <f>IF(ISNUMBER(deployment_raw[[#This Row],[Column6]]), (deployment_raw[[#This Row],[Column6]] * deployment_raw[[#This Row],[Column5]]),"")</f>
        <v/>
      </c>
      <c r="G66" s="175" t="str">
        <f>IF(ISNUMBER(deployment_raw[[#This Row],[Column7]]), (deployment_raw[[#This Row],[Column7]] * deployment_raw[[#This Row],[Column5]])/1048576,"")</f>
        <v/>
      </c>
      <c r="H66" s="175" t="str">
        <f>IF(ISNUMBER(deployment_raw[[#This Row],[Column8]]), (deployment_raw[[#This Row],[Column8]]  * deployment_raw[[#This Row],[Column5]]),"")</f>
        <v/>
      </c>
      <c r="I66" s="176" t="str">
        <f>IF(ISNUMBER(deployment_raw[[#This Row],[Column9]]), (deployment_raw[[#This Row],[Column9]] * deployment_raw[[#This Row],[Column5]])/1048576,"")</f>
        <v/>
      </c>
      <c r="J66" s="57" t="str">
        <f>IF(ISNUMBER(deployment_raw[[#This Row],[Column10]]), (deployment_raw[[#This Row],[Column10]] * deployment_raw[[#This Row],[Column5]]),"")</f>
        <v/>
      </c>
      <c r="K66" s="58" t="str">
        <f>IF(ISNUMBER(deployment_raw[[#This Row],[Column11]]), (deployment_raw[[#This Row],[Column11]] * deployment_raw[[#This Row],[Column5]])/1048576,"")</f>
        <v/>
      </c>
      <c r="L66" s="180" t="str">
        <f>IF(ISNUMBER(deployment_raw[[#This Row],[Column8]]),IF(deployment_raw[[#This Row],[Column5]] &lt;&gt; 0, MAX((deployment_raw[[#This Row],[Column12]] * deployment_raw[[#This Row],[Column5]]), ((deployment_raw[[#This Row],[Column8]] * deployment_raw[[#This Row],[Column5]]) * $L$2), ($H$2 * deployment_raw[[#This Row],[Column5]])), 0),"")</f>
        <v/>
      </c>
      <c r="M6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6" s="188" t="str">
        <f>IF(ISNUMBER(deployment_raw[[#This Row],[Column14]]), deployment_raw[[#This Row],[Column14]],"")</f>
        <v/>
      </c>
      <c r="O66" s="189" t="str">
        <f>IF(ISNUMBER(deployment_raw[[#This Row],[Column15]]), deployment_raw[[#This Row],[Column15]]/1048576,"")</f>
        <v/>
      </c>
      <c r="P66" s="190" t="str">
        <f>IF(ISNUMBER(deployment_raw[[#This Row],[Column12]]), (deployment_raw[[#This Row],[Column12]] * deployment_raw[[#This Row],[Column5]]),"")</f>
        <v/>
      </c>
      <c r="Q66" s="189" t="str">
        <f>IF(ISNUMBER(deployment_raw[[#This Row],[Column13]]), (deployment_raw[[#This Row],[Column13]] * deployment_raw[[#This Row],[Column5]])/1048576,"")</f>
        <v/>
      </c>
    </row>
    <row r="67" spans="1:17" ht="15.75" customHeight="1" x14ac:dyDescent="0.25">
      <c r="A67" s="37" t="str">
        <f>IF(ISNONTEXT(deployment_raw[[#This Row],[Column1]]), "", deployment_raw[[#This Row],[Column1]])</f>
        <v/>
      </c>
      <c r="B67" s="38" t="str">
        <f>IF(ISNONTEXT(deployment_raw[[#This Row],[Column2]]), "", deployment_raw[[#This Row],[Column2]])</f>
        <v/>
      </c>
      <c r="C67" s="38" t="str">
        <f>IF(ISNONTEXT(deployment_raw[[#This Row],[Column3]]), "", deployment_raw[[#This Row],[Column3]])</f>
        <v/>
      </c>
      <c r="D67" s="38" t="str">
        <f>IF(ISNONTEXT(deployment_raw[[#This Row],[Column4]]), "", deployment_raw[[#This Row],[Column4]])</f>
        <v/>
      </c>
      <c r="E67" s="39" t="str">
        <f>IF(ISNUMBER(deployment_raw[[#This Row],[Column5]]), deployment_raw[[#This Row],[Column5]],"")</f>
        <v/>
      </c>
      <c r="F67" s="174" t="str">
        <f>IF(ISNUMBER(deployment_raw[[#This Row],[Column6]]), (deployment_raw[[#This Row],[Column6]] * deployment_raw[[#This Row],[Column5]]),"")</f>
        <v/>
      </c>
      <c r="G67" s="175" t="str">
        <f>IF(ISNUMBER(deployment_raw[[#This Row],[Column7]]), (deployment_raw[[#This Row],[Column7]] * deployment_raw[[#This Row],[Column5]])/1048576,"")</f>
        <v/>
      </c>
      <c r="H67" s="175" t="str">
        <f>IF(ISNUMBER(deployment_raw[[#This Row],[Column8]]), (deployment_raw[[#This Row],[Column8]]  * deployment_raw[[#This Row],[Column5]]),"")</f>
        <v/>
      </c>
      <c r="I67" s="176" t="str">
        <f>IF(ISNUMBER(deployment_raw[[#This Row],[Column9]]), (deployment_raw[[#This Row],[Column9]] * deployment_raw[[#This Row],[Column5]])/1048576,"")</f>
        <v/>
      </c>
      <c r="J67" s="57" t="str">
        <f>IF(ISNUMBER(deployment_raw[[#This Row],[Column10]]), (deployment_raw[[#This Row],[Column10]] * deployment_raw[[#This Row],[Column5]]),"")</f>
        <v/>
      </c>
      <c r="K67" s="58" t="str">
        <f>IF(ISNUMBER(deployment_raw[[#This Row],[Column11]]), (deployment_raw[[#This Row],[Column11]] * deployment_raw[[#This Row],[Column5]])/1048576,"")</f>
        <v/>
      </c>
      <c r="L67" s="180" t="str">
        <f>IF(ISNUMBER(deployment_raw[[#This Row],[Column8]]),IF(deployment_raw[[#This Row],[Column5]] &lt;&gt; 0, MAX((deployment_raw[[#This Row],[Column12]] * deployment_raw[[#This Row],[Column5]]), ((deployment_raw[[#This Row],[Column8]] * deployment_raw[[#This Row],[Column5]]) * $L$2), ($H$2 * deployment_raw[[#This Row],[Column5]])), 0),"")</f>
        <v/>
      </c>
      <c r="M6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7" s="188" t="str">
        <f>IF(ISNUMBER(deployment_raw[[#This Row],[Column14]]), deployment_raw[[#This Row],[Column14]],"")</f>
        <v/>
      </c>
      <c r="O67" s="189" t="str">
        <f>IF(ISNUMBER(deployment_raw[[#This Row],[Column15]]), deployment_raw[[#This Row],[Column15]]/1048576,"")</f>
        <v/>
      </c>
      <c r="P67" s="190" t="str">
        <f>IF(ISNUMBER(deployment_raw[[#This Row],[Column12]]), (deployment_raw[[#This Row],[Column12]] * deployment_raw[[#This Row],[Column5]]),"")</f>
        <v/>
      </c>
      <c r="Q67" s="189" t="str">
        <f>IF(ISNUMBER(deployment_raw[[#This Row],[Column13]]), (deployment_raw[[#This Row],[Column13]] * deployment_raw[[#This Row],[Column5]])/1048576,"")</f>
        <v/>
      </c>
    </row>
    <row r="68" spans="1:17" ht="15.75" customHeight="1" x14ac:dyDescent="0.25">
      <c r="A68" s="37" t="str">
        <f>IF(ISNONTEXT(deployment_raw[[#This Row],[Column1]]), "", deployment_raw[[#This Row],[Column1]])</f>
        <v/>
      </c>
      <c r="B68" s="38" t="str">
        <f>IF(ISNONTEXT(deployment_raw[[#This Row],[Column2]]), "", deployment_raw[[#This Row],[Column2]])</f>
        <v/>
      </c>
      <c r="C68" s="38" t="str">
        <f>IF(ISNONTEXT(deployment_raw[[#This Row],[Column3]]), "", deployment_raw[[#This Row],[Column3]])</f>
        <v/>
      </c>
      <c r="D68" s="38" t="str">
        <f>IF(ISNONTEXT(deployment_raw[[#This Row],[Column4]]), "", deployment_raw[[#This Row],[Column4]])</f>
        <v/>
      </c>
      <c r="E68" s="39" t="str">
        <f>IF(ISNUMBER(deployment_raw[[#This Row],[Column5]]), deployment_raw[[#This Row],[Column5]],"")</f>
        <v/>
      </c>
      <c r="F68" s="174" t="str">
        <f>IF(ISNUMBER(deployment_raw[[#This Row],[Column6]]), (deployment_raw[[#This Row],[Column6]] * deployment_raw[[#This Row],[Column5]]),"")</f>
        <v/>
      </c>
      <c r="G68" s="175" t="str">
        <f>IF(ISNUMBER(deployment_raw[[#This Row],[Column7]]), (deployment_raw[[#This Row],[Column7]] * deployment_raw[[#This Row],[Column5]])/1048576,"")</f>
        <v/>
      </c>
      <c r="H68" s="175" t="str">
        <f>IF(ISNUMBER(deployment_raw[[#This Row],[Column8]]), (deployment_raw[[#This Row],[Column8]]  * deployment_raw[[#This Row],[Column5]]),"")</f>
        <v/>
      </c>
      <c r="I68" s="176" t="str">
        <f>IF(ISNUMBER(deployment_raw[[#This Row],[Column9]]), (deployment_raw[[#This Row],[Column9]] * deployment_raw[[#This Row],[Column5]])/1048576,"")</f>
        <v/>
      </c>
      <c r="J68" s="57" t="str">
        <f>IF(ISNUMBER(deployment_raw[[#This Row],[Column10]]), (deployment_raw[[#This Row],[Column10]] * deployment_raw[[#This Row],[Column5]]),"")</f>
        <v/>
      </c>
      <c r="K68" s="58" t="str">
        <f>IF(ISNUMBER(deployment_raw[[#This Row],[Column11]]), (deployment_raw[[#This Row],[Column11]] * deployment_raw[[#This Row],[Column5]])/1048576,"")</f>
        <v/>
      </c>
      <c r="L68" s="180" t="str">
        <f>IF(ISNUMBER(deployment_raw[[#This Row],[Column8]]),IF(deployment_raw[[#This Row],[Column5]] &lt;&gt; 0, MAX((deployment_raw[[#This Row],[Column12]] * deployment_raw[[#This Row],[Column5]]), ((deployment_raw[[#This Row],[Column8]] * deployment_raw[[#This Row],[Column5]]) * $L$2), ($H$2 * deployment_raw[[#This Row],[Column5]])), 0),"")</f>
        <v/>
      </c>
      <c r="M6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8" s="188" t="str">
        <f>IF(ISNUMBER(deployment_raw[[#This Row],[Column14]]), deployment_raw[[#This Row],[Column14]],"")</f>
        <v/>
      </c>
      <c r="O68" s="189" t="str">
        <f>IF(ISNUMBER(deployment_raw[[#This Row],[Column15]]), deployment_raw[[#This Row],[Column15]]/1048576,"")</f>
        <v/>
      </c>
      <c r="P68" s="190" t="str">
        <f>IF(ISNUMBER(deployment_raw[[#This Row],[Column12]]), (deployment_raw[[#This Row],[Column12]] * deployment_raw[[#This Row],[Column5]]),"")</f>
        <v/>
      </c>
      <c r="Q68" s="189" t="str">
        <f>IF(ISNUMBER(deployment_raw[[#This Row],[Column13]]), (deployment_raw[[#This Row],[Column13]] * deployment_raw[[#This Row],[Column5]])/1048576,"")</f>
        <v/>
      </c>
    </row>
    <row r="69" spans="1:17" ht="15.75" customHeight="1" x14ac:dyDescent="0.25">
      <c r="A69" s="37" t="str">
        <f>IF(ISNONTEXT(deployment_raw[[#This Row],[Column1]]), "", deployment_raw[[#This Row],[Column1]])</f>
        <v/>
      </c>
      <c r="B69" s="38" t="str">
        <f>IF(ISNONTEXT(deployment_raw[[#This Row],[Column2]]), "", deployment_raw[[#This Row],[Column2]])</f>
        <v/>
      </c>
      <c r="C69" s="38" t="str">
        <f>IF(ISNONTEXT(deployment_raw[[#This Row],[Column3]]), "", deployment_raw[[#This Row],[Column3]])</f>
        <v/>
      </c>
      <c r="D69" s="38" t="str">
        <f>IF(ISNONTEXT(deployment_raw[[#This Row],[Column4]]), "", deployment_raw[[#This Row],[Column4]])</f>
        <v/>
      </c>
      <c r="E69" s="39" t="str">
        <f>IF(ISNUMBER(deployment_raw[[#This Row],[Column5]]), deployment_raw[[#This Row],[Column5]],"")</f>
        <v/>
      </c>
      <c r="F69" s="174" t="str">
        <f>IF(ISNUMBER(deployment_raw[[#This Row],[Column6]]), (deployment_raw[[#This Row],[Column6]] * deployment_raw[[#This Row],[Column5]]),"")</f>
        <v/>
      </c>
      <c r="G69" s="175" t="str">
        <f>IF(ISNUMBER(deployment_raw[[#This Row],[Column7]]), (deployment_raw[[#This Row],[Column7]] * deployment_raw[[#This Row],[Column5]])/1048576,"")</f>
        <v/>
      </c>
      <c r="H69" s="175" t="str">
        <f>IF(ISNUMBER(deployment_raw[[#This Row],[Column8]]), (deployment_raw[[#This Row],[Column8]]  * deployment_raw[[#This Row],[Column5]]),"")</f>
        <v/>
      </c>
      <c r="I69" s="176" t="str">
        <f>IF(ISNUMBER(deployment_raw[[#This Row],[Column9]]), (deployment_raw[[#This Row],[Column9]] * deployment_raw[[#This Row],[Column5]])/1048576,"")</f>
        <v/>
      </c>
      <c r="J69" s="57" t="str">
        <f>IF(ISNUMBER(deployment_raw[[#This Row],[Column10]]), (deployment_raw[[#This Row],[Column10]] * deployment_raw[[#This Row],[Column5]]),"")</f>
        <v/>
      </c>
      <c r="K69" s="58" t="str">
        <f>IF(ISNUMBER(deployment_raw[[#This Row],[Column11]]), (deployment_raw[[#This Row],[Column11]] * deployment_raw[[#This Row],[Column5]])/1048576,"")</f>
        <v/>
      </c>
      <c r="L69" s="180" t="str">
        <f>IF(ISNUMBER(deployment_raw[[#This Row],[Column8]]),IF(deployment_raw[[#This Row],[Column5]] &lt;&gt; 0, MAX((deployment_raw[[#This Row],[Column12]] * deployment_raw[[#This Row],[Column5]]), ((deployment_raw[[#This Row],[Column8]] * deployment_raw[[#This Row],[Column5]]) * $L$2), ($H$2 * deployment_raw[[#This Row],[Column5]])), 0),"")</f>
        <v/>
      </c>
      <c r="M6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9" s="188" t="str">
        <f>IF(ISNUMBER(deployment_raw[[#This Row],[Column14]]), deployment_raw[[#This Row],[Column14]],"")</f>
        <v/>
      </c>
      <c r="O69" s="189" t="str">
        <f>IF(ISNUMBER(deployment_raw[[#This Row],[Column15]]), deployment_raw[[#This Row],[Column15]]/1048576,"")</f>
        <v/>
      </c>
      <c r="P69" s="190" t="str">
        <f>IF(ISNUMBER(deployment_raw[[#This Row],[Column12]]), (deployment_raw[[#This Row],[Column12]] * deployment_raw[[#This Row],[Column5]]),"")</f>
        <v/>
      </c>
      <c r="Q69" s="189" t="str">
        <f>IF(ISNUMBER(deployment_raw[[#This Row],[Column13]]), (deployment_raw[[#This Row],[Column13]] * deployment_raw[[#This Row],[Column5]])/1048576,"")</f>
        <v/>
      </c>
    </row>
    <row r="70" spans="1:17" ht="15.75" customHeight="1" x14ac:dyDescent="0.25">
      <c r="A70" s="37" t="str">
        <f>IF(ISNONTEXT(deployment_raw[[#This Row],[Column1]]), "", deployment_raw[[#This Row],[Column1]])</f>
        <v/>
      </c>
      <c r="B70" s="38" t="str">
        <f>IF(ISNONTEXT(deployment_raw[[#This Row],[Column2]]), "", deployment_raw[[#This Row],[Column2]])</f>
        <v/>
      </c>
      <c r="C70" s="38" t="str">
        <f>IF(ISNONTEXT(deployment_raw[[#This Row],[Column3]]), "", deployment_raw[[#This Row],[Column3]])</f>
        <v/>
      </c>
      <c r="D70" s="38" t="str">
        <f>IF(ISNONTEXT(deployment_raw[[#This Row],[Column4]]), "", deployment_raw[[#This Row],[Column4]])</f>
        <v/>
      </c>
      <c r="E70" s="39" t="str">
        <f>IF(ISNUMBER(deployment_raw[[#This Row],[Column5]]), deployment_raw[[#This Row],[Column5]],"")</f>
        <v/>
      </c>
      <c r="F70" s="174" t="str">
        <f>IF(ISNUMBER(deployment_raw[[#This Row],[Column6]]), (deployment_raw[[#This Row],[Column6]] * deployment_raw[[#This Row],[Column5]]),"")</f>
        <v/>
      </c>
      <c r="G70" s="175" t="str">
        <f>IF(ISNUMBER(deployment_raw[[#This Row],[Column7]]), (deployment_raw[[#This Row],[Column7]] * deployment_raw[[#This Row],[Column5]])/1048576,"")</f>
        <v/>
      </c>
      <c r="H70" s="175" t="str">
        <f>IF(ISNUMBER(deployment_raw[[#This Row],[Column8]]), (deployment_raw[[#This Row],[Column8]]  * deployment_raw[[#This Row],[Column5]]),"")</f>
        <v/>
      </c>
      <c r="I70" s="176" t="str">
        <f>IF(ISNUMBER(deployment_raw[[#This Row],[Column9]]), (deployment_raw[[#This Row],[Column9]] * deployment_raw[[#This Row],[Column5]])/1048576,"")</f>
        <v/>
      </c>
      <c r="J70" s="57" t="str">
        <f>IF(ISNUMBER(deployment_raw[[#This Row],[Column10]]), (deployment_raw[[#This Row],[Column10]] * deployment_raw[[#This Row],[Column5]]),"")</f>
        <v/>
      </c>
      <c r="K70" s="58" t="str">
        <f>IF(ISNUMBER(deployment_raw[[#This Row],[Column11]]), (deployment_raw[[#This Row],[Column11]] * deployment_raw[[#This Row],[Column5]])/1048576,"")</f>
        <v/>
      </c>
      <c r="L70" s="180" t="str">
        <f>IF(ISNUMBER(deployment_raw[[#This Row],[Column8]]),IF(deployment_raw[[#This Row],[Column5]] &lt;&gt; 0, MAX((deployment_raw[[#This Row],[Column12]] * deployment_raw[[#This Row],[Column5]]), ((deployment_raw[[#This Row],[Column8]] * deployment_raw[[#This Row],[Column5]]) * $L$2), ($H$2 * deployment_raw[[#This Row],[Column5]])), 0),"")</f>
        <v/>
      </c>
      <c r="M7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0" s="188" t="str">
        <f>IF(ISNUMBER(deployment_raw[[#This Row],[Column14]]), deployment_raw[[#This Row],[Column14]],"")</f>
        <v/>
      </c>
      <c r="O70" s="189" t="str">
        <f>IF(ISNUMBER(deployment_raw[[#This Row],[Column15]]), deployment_raw[[#This Row],[Column15]]/1048576,"")</f>
        <v/>
      </c>
      <c r="P70" s="190" t="str">
        <f>IF(ISNUMBER(deployment_raw[[#This Row],[Column12]]), (deployment_raw[[#This Row],[Column12]] * deployment_raw[[#This Row],[Column5]]),"")</f>
        <v/>
      </c>
      <c r="Q70" s="189" t="str">
        <f>IF(ISNUMBER(deployment_raw[[#This Row],[Column13]]), (deployment_raw[[#This Row],[Column13]] * deployment_raw[[#This Row],[Column5]])/1048576,"")</f>
        <v/>
      </c>
    </row>
    <row r="71" spans="1:17" ht="15.75" customHeight="1" x14ac:dyDescent="0.25">
      <c r="A71" s="37" t="str">
        <f>IF(ISNONTEXT(deployment_raw[[#This Row],[Column1]]), "", deployment_raw[[#This Row],[Column1]])</f>
        <v/>
      </c>
      <c r="B71" s="38" t="str">
        <f>IF(ISNONTEXT(deployment_raw[[#This Row],[Column2]]), "", deployment_raw[[#This Row],[Column2]])</f>
        <v/>
      </c>
      <c r="C71" s="38" t="str">
        <f>IF(ISNONTEXT(deployment_raw[[#This Row],[Column3]]), "", deployment_raw[[#This Row],[Column3]])</f>
        <v/>
      </c>
      <c r="D71" s="38" t="str">
        <f>IF(ISNONTEXT(deployment_raw[[#This Row],[Column4]]), "", deployment_raw[[#This Row],[Column4]])</f>
        <v/>
      </c>
      <c r="E71" s="39" t="str">
        <f>IF(ISNUMBER(deployment_raw[[#This Row],[Column5]]), deployment_raw[[#This Row],[Column5]],"")</f>
        <v/>
      </c>
      <c r="F71" s="174" t="str">
        <f>IF(ISNUMBER(deployment_raw[[#This Row],[Column6]]), (deployment_raw[[#This Row],[Column6]] * deployment_raw[[#This Row],[Column5]]),"")</f>
        <v/>
      </c>
      <c r="G71" s="175" t="str">
        <f>IF(ISNUMBER(deployment_raw[[#This Row],[Column7]]), (deployment_raw[[#This Row],[Column7]] * deployment_raw[[#This Row],[Column5]])/1048576,"")</f>
        <v/>
      </c>
      <c r="H71" s="175" t="str">
        <f>IF(ISNUMBER(deployment_raw[[#This Row],[Column8]]), (deployment_raw[[#This Row],[Column8]]  * deployment_raw[[#This Row],[Column5]]),"")</f>
        <v/>
      </c>
      <c r="I71" s="176" t="str">
        <f>IF(ISNUMBER(deployment_raw[[#This Row],[Column9]]), (deployment_raw[[#This Row],[Column9]] * deployment_raw[[#This Row],[Column5]])/1048576,"")</f>
        <v/>
      </c>
      <c r="J71" s="57" t="str">
        <f>IF(ISNUMBER(deployment_raw[[#This Row],[Column10]]), (deployment_raw[[#This Row],[Column10]] * deployment_raw[[#This Row],[Column5]]),"")</f>
        <v/>
      </c>
      <c r="K71" s="58" t="str">
        <f>IF(ISNUMBER(deployment_raw[[#This Row],[Column11]]), (deployment_raw[[#This Row],[Column11]] * deployment_raw[[#This Row],[Column5]])/1048576,"")</f>
        <v/>
      </c>
      <c r="L71" s="180" t="str">
        <f>IF(ISNUMBER(deployment_raw[[#This Row],[Column8]]),IF(deployment_raw[[#This Row],[Column5]] &lt;&gt; 0, MAX((deployment_raw[[#This Row],[Column12]] * deployment_raw[[#This Row],[Column5]]), ((deployment_raw[[#This Row],[Column8]] * deployment_raw[[#This Row],[Column5]]) * $L$2), ($H$2 * deployment_raw[[#This Row],[Column5]])), 0),"")</f>
        <v/>
      </c>
      <c r="M7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1" s="188" t="str">
        <f>IF(ISNUMBER(deployment_raw[[#This Row],[Column14]]), deployment_raw[[#This Row],[Column14]],"")</f>
        <v/>
      </c>
      <c r="O71" s="189" t="str">
        <f>IF(ISNUMBER(deployment_raw[[#This Row],[Column15]]), deployment_raw[[#This Row],[Column15]]/1048576,"")</f>
        <v/>
      </c>
      <c r="P71" s="190" t="str">
        <f>IF(ISNUMBER(deployment_raw[[#This Row],[Column12]]), (deployment_raw[[#This Row],[Column12]] * deployment_raw[[#This Row],[Column5]]),"")</f>
        <v/>
      </c>
      <c r="Q71" s="189" t="str">
        <f>IF(ISNUMBER(deployment_raw[[#This Row],[Column13]]), (deployment_raw[[#This Row],[Column13]] * deployment_raw[[#This Row],[Column5]])/1048576,"")</f>
        <v/>
      </c>
    </row>
    <row r="72" spans="1:17" ht="15.75" customHeight="1" x14ac:dyDescent="0.25">
      <c r="A72" s="37" t="str">
        <f>IF(ISNONTEXT(deployment_raw[[#This Row],[Column1]]), "", deployment_raw[[#This Row],[Column1]])</f>
        <v/>
      </c>
      <c r="B72" s="38" t="str">
        <f>IF(ISNONTEXT(deployment_raw[[#This Row],[Column2]]), "", deployment_raw[[#This Row],[Column2]])</f>
        <v/>
      </c>
      <c r="C72" s="38" t="str">
        <f>IF(ISNONTEXT(deployment_raw[[#This Row],[Column3]]), "", deployment_raw[[#This Row],[Column3]])</f>
        <v/>
      </c>
      <c r="D72" s="38" t="str">
        <f>IF(ISNONTEXT(deployment_raw[[#This Row],[Column4]]), "", deployment_raw[[#This Row],[Column4]])</f>
        <v/>
      </c>
      <c r="E72" s="39" t="str">
        <f>IF(ISNUMBER(deployment_raw[[#This Row],[Column5]]), deployment_raw[[#This Row],[Column5]],"")</f>
        <v/>
      </c>
      <c r="F72" s="174" t="str">
        <f>IF(ISNUMBER(deployment_raw[[#This Row],[Column6]]), (deployment_raw[[#This Row],[Column6]] * deployment_raw[[#This Row],[Column5]]),"")</f>
        <v/>
      </c>
      <c r="G72" s="175" t="str">
        <f>IF(ISNUMBER(deployment_raw[[#This Row],[Column7]]), (deployment_raw[[#This Row],[Column7]] * deployment_raw[[#This Row],[Column5]])/1048576,"")</f>
        <v/>
      </c>
      <c r="H72" s="175" t="str">
        <f>IF(ISNUMBER(deployment_raw[[#This Row],[Column8]]), (deployment_raw[[#This Row],[Column8]]  * deployment_raw[[#This Row],[Column5]]),"")</f>
        <v/>
      </c>
      <c r="I72" s="176" t="str">
        <f>IF(ISNUMBER(deployment_raw[[#This Row],[Column9]]), (deployment_raw[[#This Row],[Column9]] * deployment_raw[[#This Row],[Column5]])/1048576,"")</f>
        <v/>
      </c>
      <c r="J72" s="57" t="str">
        <f>IF(ISNUMBER(deployment_raw[[#This Row],[Column10]]), (deployment_raw[[#This Row],[Column10]] * deployment_raw[[#This Row],[Column5]]),"")</f>
        <v/>
      </c>
      <c r="K72" s="58" t="str">
        <f>IF(ISNUMBER(deployment_raw[[#This Row],[Column11]]), (deployment_raw[[#This Row],[Column11]] * deployment_raw[[#This Row],[Column5]])/1048576,"")</f>
        <v/>
      </c>
      <c r="L72" s="180" t="str">
        <f>IF(ISNUMBER(deployment_raw[[#This Row],[Column8]]),IF(deployment_raw[[#This Row],[Column5]] &lt;&gt; 0, MAX((deployment_raw[[#This Row],[Column12]] * deployment_raw[[#This Row],[Column5]]), ((deployment_raw[[#This Row],[Column8]] * deployment_raw[[#This Row],[Column5]]) * $L$2), ($H$2 * deployment_raw[[#This Row],[Column5]])), 0),"")</f>
        <v/>
      </c>
      <c r="M7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2" s="188" t="str">
        <f>IF(ISNUMBER(deployment_raw[[#This Row],[Column14]]), deployment_raw[[#This Row],[Column14]],"")</f>
        <v/>
      </c>
      <c r="O72" s="189" t="str">
        <f>IF(ISNUMBER(deployment_raw[[#This Row],[Column15]]), deployment_raw[[#This Row],[Column15]]/1048576,"")</f>
        <v/>
      </c>
      <c r="P72" s="190" t="str">
        <f>IF(ISNUMBER(deployment_raw[[#This Row],[Column12]]), (deployment_raw[[#This Row],[Column12]] * deployment_raw[[#This Row],[Column5]]),"")</f>
        <v/>
      </c>
      <c r="Q72" s="189" t="str">
        <f>IF(ISNUMBER(deployment_raw[[#This Row],[Column13]]), (deployment_raw[[#This Row],[Column13]] * deployment_raw[[#This Row],[Column5]])/1048576,"")</f>
        <v/>
      </c>
    </row>
    <row r="73" spans="1:17" ht="15.75" customHeight="1" x14ac:dyDescent="0.25">
      <c r="A73" s="37" t="str">
        <f>IF(ISNONTEXT(deployment_raw[[#This Row],[Column1]]), "", deployment_raw[[#This Row],[Column1]])</f>
        <v/>
      </c>
      <c r="B73" s="38" t="str">
        <f>IF(ISNONTEXT(deployment_raw[[#This Row],[Column2]]), "", deployment_raw[[#This Row],[Column2]])</f>
        <v/>
      </c>
      <c r="C73" s="38" t="str">
        <f>IF(ISNONTEXT(deployment_raw[[#This Row],[Column3]]), "", deployment_raw[[#This Row],[Column3]])</f>
        <v/>
      </c>
      <c r="D73" s="38" t="str">
        <f>IF(ISNONTEXT(deployment_raw[[#This Row],[Column4]]), "", deployment_raw[[#This Row],[Column4]])</f>
        <v/>
      </c>
      <c r="E73" s="39" t="str">
        <f>IF(ISNUMBER(deployment_raw[[#This Row],[Column5]]), deployment_raw[[#This Row],[Column5]],"")</f>
        <v/>
      </c>
      <c r="F73" s="174" t="str">
        <f>IF(ISNUMBER(deployment_raw[[#This Row],[Column6]]), (deployment_raw[[#This Row],[Column6]] * deployment_raw[[#This Row],[Column5]]),"")</f>
        <v/>
      </c>
      <c r="G73" s="175" t="str">
        <f>IF(ISNUMBER(deployment_raw[[#This Row],[Column7]]), (deployment_raw[[#This Row],[Column7]] * deployment_raw[[#This Row],[Column5]])/1048576,"")</f>
        <v/>
      </c>
      <c r="H73" s="175" t="str">
        <f>IF(ISNUMBER(deployment_raw[[#This Row],[Column8]]), (deployment_raw[[#This Row],[Column8]]  * deployment_raw[[#This Row],[Column5]]),"")</f>
        <v/>
      </c>
      <c r="I73" s="176" t="str">
        <f>IF(ISNUMBER(deployment_raw[[#This Row],[Column9]]), (deployment_raw[[#This Row],[Column9]] * deployment_raw[[#This Row],[Column5]])/1048576,"")</f>
        <v/>
      </c>
      <c r="J73" s="57" t="str">
        <f>IF(ISNUMBER(deployment_raw[[#This Row],[Column10]]), (deployment_raw[[#This Row],[Column10]] * deployment_raw[[#This Row],[Column5]]),"")</f>
        <v/>
      </c>
      <c r="K73" s="58" t="str">
        <f>IF(ISNUMBER(deployment_raw[[#This Row],[Column11]]), (deployment_raw[[#This Row],[Column11]] * deployment_raw[[#This Row],[Column5]])/1048576,"")</f>
        <v/>
      </c>
      <c r="L73" s="180" t="str">
        <f>IF(ISNUMBER(deployment_raw[[#This Row],[Column8]]),IF(deployment_raw[[#This Row],[Column5]] &lt;&gt; 0, MAX((deployment_raw[[#This Row],[Column12]] * deployment_raw[[#This Row],[Column5]]), ((deployment_raw[[#This Row],[Column8]] * deployment_raw[[#This Row],[Column5]]) * $L$2), ($H$2 * deployment_raw[[#This Row],[Column5]])), 0),"")</f>
        <v/>
      </c>
      <c r="M7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3" s="188" t="str">
        <f>IF(ISNUMBER(deployment_raw[[#This Row],[Column14]]), deployment_raw[[#This Row],[Column14]],"")</f>
        <v/>
      </c>
      <c r="O73" s="189" t="str">
        <f>IF(ISNUMBER(deployment_raw[[#This Row],[Column15]]), deployment_raw[[#This Row],[Column15]]/1048576,"")</f>
        <v/>
      </c>
      <c r="P73" s="190" t="str">
        <f>IF(ISNUMBER(deployment_raw[[#This Row],[Column12]]), (deployment_raw[[#This Row],[Column12]] * deployment_raw[[#This Row],[Column5]]),"")</f>
        <v/>
      </c>
      <c r="Q73" s="189" t="str">
        <f>IF(ISNUMBER(deployment_raw[[#This Row],[Column13]]), (deployment_raw[[#This Row],[Column13]] * deployment_raw[[#This Row],[Column5]])/1048576,"")</f>
        <v/>
      </c>
    </row>
    <row r="74" spans="1:17" ht="15.75" customHeight="1" x14ac:dyDescent="0.25">
      <c r="A74" s="37" t="str">
        <f>IF(ISNONTEXT(deployment_raw[[#This Row],[Column1]]), "", deployment_raw[[#This Row],[Column1]])</f>
        <v/>
      </c>
      <c r="B74" s="38" t="str">
        <f>IF(ISNONTEXT(deployment_raw[[#This Row],[Column2]]), "", deployment_raw[[#This Row],[Column2]])</f>
        <v/>
      </c>
      <c r="C74" s="38" t="str">
        <f>IF(ISNONTEXT(deployment_raw[[#This Row],[Column3]]), "", deployment_raw[[#This Row],[Column3]])</f>
        <v/>
      </c>
      <c r="D74" s="38" t="str">
        <f>IF(ISNONTEXT(deployment_raw[[#This Row],[Column4]]), "", deployment_raw[[#This Row],[Column4]])</f>
        <v/>
      </c>
      <c r="E74" s="39" t="str">
        <f>IF(ISNUMBER(deployment_raw[[#This Row],[Column5]]), deployment_raw[[#This Row],[Column5]],"")</f>
        <v/>
      </c>
      <c r="F74" s="174" t="str">
        <f>IF(ISNUMBER(deployment_raw[[#This Row],[Column6]]), (deployment_raw[[#This Row],[Column6]] * deployment_raw[[#This Row],[Column5]]),"")</f>
        <v/>
      </c>
      <c r="G74" s="175" t="str">
        <f>IF(ISNUMBER(deployment_raw[[#This Row],[Column7]]), (deployment_raw[[#This Row],[Column7]] * deployment_raw[[#This Row],[Column5]])/1048576,"")</f>
        <v/>
      </c>
      <c r="H74" s="175" t="str">
        <f>IF(ISNUMBER(deployment_raw[[#This Row],[Column8]]), (deployment_raw[[#This Row],[Column8]]  * deployment_raw[[#This Row],[Column5]]),"")</f>
        <v/>
      </c>
      <c r="I74" s="176" t="str">
        <f>IF(ISNUMBER(deployment_raw[[#This Row],[Column9]]), (deployment_raw[[#This Row],[Column9]] * deployment_raw[[#This Row],[Column5]])/1048576,"")</f>
        <v/>
      </c>
      <c r="J74" s="57" t="str">
        <f>IF(ISNUMBER(deployment_raw[[#This Row],[Column10]]), (deployment_raw[[#This Row],[Column10]] * deployment_raw[[#This Row],[Column5]]),"")</f>
        <v/>
      </c>
      <c r="K74" s="58" t="str">
        <f>IF(ISNUMBER(deployment_raw[[#This Row],[Column11]]), (deployment_raw[[#This Row],[Column11]] * deployment_raw[[#This Row],[Column5]])/1048576,"")</f>
        <v/>
      </c>
      <c r="L74" s="180" t="str">
        <f>IF(ISNUMBER(deployment_raw[[#This Row],[Column8]]),IF(deployment_raw[[#This Row],[Column5]] &lt;&gt; 0, MAX((deployment_raw[[#This Row],[Column12]] * deployment_raw[[#This Row],[Column5]]), ((deployment_raw[[#This Row],[Column8]] * deployment_raw[[#This Row],[Column5]]) * $L$2), ($H$2 * deployment_raw[[#This Row],[Column5]])), 0),"")</f>
        <v/>
      </c>
      <c r="M7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4" s="188" t="str">
        <f>IF(ISNUMBER(deployment_raw[[#This Row],[Column14]]), deployment_raw[[#This Row],[Column14]],"")</f>
        <v/>
      </c>
      <c r="O74" s="189" t="str">
        <f>IF(ISNUMBER(deployment_raw[[#This Row],[Column15]]), deployment_raw[[#This Row],[Column15]]/1048576,"")</f>
        <v/>
      </c>
      <c r="P74" s="190" t="str">
        <f>IF(ISNUMBER(deployment_raw[[#This Row],[Column12]]), (deployment_raw[[#This Row],[Column12]] * deployment_raw[[#This Row],[Column5]]),"")</f>
        <v/>
      </c>
      <c r="Q74" s="189" t="str">
        <f>IF(ISNUMBER(deployment_raw[[#This Row],[Column13]]), (deployment_raw[[#This Row],[Column13]] * deployment_raw[[#This Row],[Column5]])/1048576,"")</f>
        <v/>
      </c>
    </row>
    <row r="75" spans="1:17" ht="15.75" customHeight="1" x14ac:dyDescent="0.25">
      <c r="A75" s="37" t="str">
        <f>IF(ISNONTEXT(deployment_raw[[#This Row],[Column1]]), "", deployment_raw[[#This Row],[Column1]])</f>
        <v/>
      </c>
      <c r="B75" s="38" t="str">
        <f>IF(ISNONTEXT(deployment_raw[[#This Row],[Column2]]), "", deployment_raw[[#This Row],[Column2]])</f>
        <v/>
      </c>
      <c r="C75" s="38" t="str">
        <f>IF(ISNONTEXT(deployment_raw[[#This Row],[Column3]]), "", deployment_raw[[#This Row],[Column3]])</f>
        <v/>
      </c>
      <c r="D75" s="38" t="str">
        <f>IF(ISNONTEXT(deployment_raw[[#This Row],[Column4]]), "", deployment_raw[[#This Row],[Column4]])</f>
        <v/>
      </c>
      <c r="E75" s="39" t="str">
        <f>IF(ISNUMBER(deployment_raw[[#This Row],[Column5]]), deployment_raw[[#This Row],[Column5]],"")</f>
        <v/>
      </c>
      <c r="F75" s="174" t="str">
        <f>IF(ISNUMBER(deployment_raw[[#This Row],[Column6]]), (deployment_raw[[#This Row],[Column6]] * deployment_raw[[#This Row],[Column5]]),"")</f>
        <v/>
      </c>
      <c r="G75" s="175" t="str">
        <f>IF(ISNUMBER(deployment_raw[[#This Row],[Column7]]), (deployment_raw[[#This Row],[Column7]] * deployment_raw[[#This Row],[Column5]])/1048576,"")</f>
        <v/>
      </c>
      <c r="H75" s="175" t="str">
        <f>IF(ISNUMBER(deployment_raw[[#This Row],[Column8]]), (deployment_raw[[#This Row],[Column8]]  * deployment_raw[[#This Row],[Column5]]),"")</f>
        <v/>
      </c>
      <c r="I75" s="176" t="str">
        <f>IF(ISNUMBER(deployment_raw[[#This Row],[Column9]]), (deployment_raw[[#This Row],[Column9]] * deployment_raw[[#This Row],[Column5]])/1048576,"")</f>
        <v/>
      </c>
      <c r="J75" s="57" t="str">
        <f>IF(ISNUMBER(deployment_raw[[#This Row],[Column10]]), (deployment_raw[[#This Row],[Column10]] * deployment_raw[[#This Row],[Column5]]),"")</f>
        <v/>
      </c>
      <c r="K75" s="58" t="str">
        <f>IF(ISNUMBER(deployment_raw[[#This Row],[Column11]]), (deployment_raw[[#This Row],[Column11]] * deployment_raw[[#This Row],[Column5]])/1048576,"")</f>
        <v/>
      </c>
      <c r="L75" s="180" t="str">
        <f>IF(ISNUMBER(deployment_raw[[#This Row],[Column8]]),IF(deployment_raw[[#This Row],[Column5]] &lt;&gt; 0, MAX((deployment_raw[[#This Row],[Column12]] * deployment_raw[[#This Row],[Column5]]), ((deployment_raw[[#This Row],[Column8]] * deployment_raw[[#This Row],[Column5]]) * $L$2), ($H$2 * deployment_raw[[#This Row],[Column5]])), 0),"")</f>
        <v/>
      </c>
      <c r="M7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5" s="188" t="str">
        <f>IF(ISNUMBER(deployment_raw[[#This Row],[Column14]]), deployment_raw[[#This Row],[Column14]],"")</f>
        <v/>
      </c>
      <c r="O75" s="189" t="str">
        <f>IF(ISNUMBER(deployment_raw[[#This Row],[Column15]]), deployment_raw[[#This Row],[Column15]]/1048576,"")</f>
        <v/>
      </c>
      <c r="P75" s="190" t="str">
        <f>IF(ISNUMBER(deployment_raw[[#This Row],[Column12]]), (deployment_raw[[#This Row],[Column12]] * deployment_raw[[#This Row],[Column5]]),"")</f>
        <v/>
      </c>
      <c r="Q75" s="189" t="str">
        <f>IF(ISNUMBER(deployment_raw[[#This Row],[Column13]]), (deployment_raw[[#This Row],[Column13]] * deployment_raw[[#This Row],[Column5]])/1048576,"")</f>
        <v/>
      </c>
    </row>
    <row r="76" spans="1:17" ht="15.75" customHeight="1" x14ac:dyDescent="0.25">
      <c r="A76" s="37" t="str">
        <f>IF(ISNONTEXT(deployment_raw[[#This Row],[Column1]]), "", deployment_raw[[#This Row],[Column1]])</f>
        <v/>
      </c>
      <c r="B76" s="38" t="str">
        <f>IF(ISNONTEXT(deployment_raw[[#This Row],[Column2]]), "", deployment_raw[[#This Row],[Column2]])</f>
        <v/>
      </c>
      <c r="C76" s="38" t="str">
        <f>IF(ISNONTEXT(deployment_raw[[#This Row],[Column3]]), "", deployment_raw[[#This Row],[Column3]])</f>
        <v/>
      </c>
      <c r="D76" s="38" t="str">
        <f>IF(ISNONTEXT(deployment_raw[[#This Row],[Column4]]), "", deployment_raw[[#This Row],[Column4]])</f>
        <v/>
      </c>
      <c r="E76" s="39" t="str">
        <f>IF(ISNUMBER(deployment_raw[[#This Row],[Column5]]), deployment_raw[[#This Row],[Column5]],"")</f>
        <v/>
      </c>
      <c r="F76" s="174" t="str">
        <f>IF(ISNUMBER(deployment_raw[[#This Row],[Column6]]), (deployment_raw[[#This Row],[Column6]] * deployment_raw[[#This Row],[Column5]]),"")</f>
        <v/>
      </c>
      <c r="G76" s="175" t="str">
        <f>IF(ISNUMBER(deployment_raw[[#This Row],[Column7]]), (deployment_raw[[#This Row],[Column7]] * deployment_raw[[#This Row],[Column5]])/1048576,"")</f>
        <v/>
      </c>
      <c r="H76" s="175" t="str">
        <f>IF(ISNUMBER(deployment_raw[[#This Row],[Column8]]), (deployment_raw[[#This Row],[Column8]]  * deployment_raw[[#This Row],[Column5]]),"")</f>
        <v/>
      </c>
      <c r="I76" s="176" t="str">
        <f>IF(ISNUMBER(deployment_raw[[#This Row],[Column9]]), (deployment_raw[[#This Row],[Column9]] * deployment_raw[[#This Row],[Column5]])/1048576,"")</f>
        <v/>
      </c>
      <c r="J76" s="57" t="str">
        <f>IF(ISNUMBER(deployment_raw[[#This Row],[Column10]]), (deployment_raw[[#This Row],[Column10]] * deployment_raw[[#This Row],[Column5]]),"")</f>
        <v/>
      </c>
      <c r="K76" s="58" t="str">
        <f>IF(ISNUMBER(deployment_raw[[#This Row],[Column11]]), (deployment_raw[[#This Row],[Column11]] * deployment_raw[[#This Row],[Column5]])/1048576,"")</f>
        <v/>
      </c>
      <c r="L76" s="180" t="str">
        <f>IF(ISNUMBER(deployment_raw[[#This Row],[Column8]]),IF(deployment_raw[[#This Row],[Column5]] &lt;&gt; 0, MAX((deployment_raw[[#This Row],[Column12]] * deployment_raw[[#This Row],[Column5]]), ((deployment_raw[[#This Row],[Column8]] * deployment_raw[[#This Row],[Column5]]) * $L$2), ($H$2 * deployment_raw[[#This Row],[Column5]])), 0),"")</f>
        <v/>
      </c>
      <c r="M7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6" s="188" t="str">
        <f>IF(ISNUMBER(deployment_raw[[#This Row],[Column14]]), deployment_raw[[#This Row],[Column14]],"")</f>
        <v/>
      </c>
      <c r="O76" s="189" t="str">
        <f>IF(ISNUMBER(deployment_raw[[#This Row],[Column15]]), deployment_raw[[#This Row],[Column15]]/1048576,"")</f>
        <v/>
      </c>
      <c r="P76" s="190" t="str">
        <f>IF(ISNUMBER(deployment_raw[[#This Row],[Column12]]), (deployment_raw[[#This Row],[Column12]] * deployment_raw[[#This Row],[Column5]]),"")</f>
        <v/>
      </c>
      <c r="Q76" s="189" t="str">
        <f>IF(ISNUMBER(deployment_raw[[#This Row],[Column13]]), (deployment_raw[[#This Row],[Column13]] * deployment_raw[[#This Row],[Column5]])/1048576,"")</f>
        <v/>
      </c>
    </row>
    <row r="77" spans="1:17" ht="15.75" customHeight="1" x14ac:dyDescent="0.25">
      <c r="A77" s="37" t="str">
        <f>IF(ISNONTEXT(deployment_raw[[#This Row],[Column1]]), "", deployment_raw[[#This Row],[Column1]])</f>
        <v/>
      </c>
      <c r="B77" s="38" t="str">
        <f>IF(ISNONTEXT(deployment_raw[[#This Row],[Column2]]), "", deployment_raw[[#This Row],[Column2]])</f>
        <v/>
      </c>
      <c r="C77" s="38" t="str">
        <f>IF(ISNONTEXT(deployment_raw[[#This Row],[Column3]]), "", deployment_raw[[#This Row],[Column3]])</f>
        <v/>
      </c>
      <c r="D77" s="38" t="str">
        <f>IF(ISNONTEXT(deployment_raw[[#This Row],[Column4]]), "", deployment_raw[[#This Row],[Column4]])</f>
        <v/>
      </c>
      <c r="E77" s="39" t="str">
        <f>IF(ISNUMBER(deployment_raw[[#This Row],[Column5]]), deployment_raw[[#This Row],[Column5]],"")</f>
        <v/>
      </c>
      <c r="F77" s="174" t="str">
        <f>IF(ISNUMBER(deployment_raw[[#This Row],[Column6]]), (deployment_raw[[#This Row],[Column6]] * deployment_raw[[#This Row],[Column5]]),"")</f>
        <v/>
      </c>
      <c r="G77" s="175" t="str">
        <f>IF(ISNUMBER(deployment_raw[[#This Row],[Column7]]), (deployment_raw[[#This Row],[Column7]] * deployment_raw[[#This Row],[Column5]])/1048576,"")</f>
        <v/>
      </c>
      <c r="H77" s="175" t="str">
        <f>IF(ISNUMBER(deployment_raw[[#This Row],[Column8]]), (deployment_raw[[#This Row],[Column8]]  * deployment_raw[[#This Row],[Column5]]),"")</f>
        <v/>
      </c>
      <c r="I77" s="176" t="str">
        <f>IF(ISNUMBER(deployment_raw[[#This Row],[Column9]]), (deployment_raw[[#This Row],[Column9]] * deployment_raw[[#This Row],[Column5]])/1048576,"")</f>
        <v/>
      </c>
      <c r="J77" s="57" t="str">
        <f>IF(ISNUMBER(deployment_raw[[#This Row],[Column10]]), (deployment_raw[[#This Row],[Column10]] * deployment_raw[[#This Row],[Column5]]),"")</f>
        <v/>
      </c>
      <c r="K77" s="58" t="str">
        <f>IF(ISNUMBER(deployment_raw[[#This Row],[Column11]]), (deployment_raw[[#This Row],[Column11]] * deployment_raw[[#This Row],[Column5]])/1048576,"")</f>
        <v/>
      </c>
      <c r="L77" s="180" t="str">
        <f>IF(ISNUMBER(deployment_raw[[#This Row],[Column8]]),IF(deployment_raw[[#This Row],[Column5]] &lt;&gt; 0, MAX((deployment_raw[[#This Row],[Column12]] * deployment_raw[[#This Row],[Column5]]), ((deployment_raw[[#This Row],[Column8]] * deployment_raw[[#This Row],[Column5]]) * $L$2), ($H$2 * deployment_raw[[#This Row],[Column5]])), 0),"")</f>
        <v/>
      </c>
      <c r="M7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7" s="188" t="str">
        <f>IF(ISNUMBER(deployment_raw[[#This Row],[Column14]]), deployment_raw[[#This Row],[Column14]],"")</f>
        <v/>
      </c>
      <c r="O77" s="189" t="str">
        <f>IF(ISNUMBER(deployment_raw[[#This Row],[Column15]]), deployment_raw[[#This Row],[Column15]]/1048576,"")</f>
        <v/>
      </c>
      <c r="P77" s="190" t="str">
        <f>IF(ISNUMBER(deployment_raw[[#This Row],[Column12]]), (deployment_raw[[#This Row],[Column12]] * deployment_raw[[#This Row],[Column5]]),"")</f>
        <v/>
      </c>
      <c r="Q77" s="189" t="str">
        <f>IF(ISNUMBER(deployment_raw[[#This Row],[Column13]]), (deployment_raw[[#This Row],[Column13]] * deployment_raw[[#This Row],[Column5]])/1048576,"")</f>
        <v/>
      </c>
    </row>
    <row r="78" spans="1:17" ht="15.75" customHeight="1" x14ac:dyDescent="0.25">
      <c r="A78" s="37" t="str">
        <f>IF(ISNONTEXT(deployment_raw[[#This Row],[Column1]]), "", deployment_raw[[#This Row],[Column1]])</f>
        <v/>
      </c>
      <c r="B78" s="38" t="str">
        <f>IF(ISNONTEXT(deployment_raw[[#This Row],[Column2]]), "", deployment_raw[[#This Row],[Column2]])</f>
        <v/>
      </c>
      <c r="C78" s="38" t="str">
        <f>IF(ISNONTEXT(deployment_raw[[#This Row],[Column3]]), "", deployment_raw[[#This Row],[Column3]])</f>
        <v/>
      </c>
      <c r="D78" s="38" t="str">
        <f>IF(ISNONTEXT(deployment_raw[[#This Row],[Column4]]), "", deployment_raw[[#This Row],[Column4]])</f>
        <v/>
      </c>
      <c r="E78" s="39" t="str">
        <f>IF(ISNUMBER(deployment_raw[[#This Row],[Column5]]), deployment_raw[[#This Row],[Column5]],"")</f>
        <v/>
      </c>
      <c r="F78" s="174" t="str">
        <f>IF(ISNUMBER(deployment_raw[[#This Row],[Column6]]), (deployment_raw[[#This Row],[Column6]] * deployment_raw[[#This Row],[Column5]]),"")</f>
        <v/>
      </c>
      <c r="G78" s="175" t="str">
        <f>IF(ISNUMBER(deployment_raw[[#This Row],[Column7]]), (deployment_raw[[#This Row],[Column7]] * deployment_raw[[#This Row],[Column5]])/1048576,"")</f>
        <v/>
      </c>
      <c r="H78" s="175" t="str">
        <f>IF(ISNUMBER(deployment_raw[[#This Row],[Column8]]), (deployment_raw[[#This Row],[Column8]]  * deployment_raw[[#This Row],[Column5]]),"")</f>
        <v/>
      </c>
      <c r="I78" s="176" t="str">
        <f>IF(ISNUMBER(deployment_raw[[#This Row],[Column9]]), (deployment_raw[[#This Row],[Column9]] * deployment_raw[[#This Row],[Column5]])/1048576,"")</f>
        <v/>
      </c>
      <c r="J78" s="57" t="str">
        <f>IF(ISNUMBER(deployment_raw[[#This Row],[Column10]]), (deployment_raw[[#This Row],[Column10]] * deployment_raw[[#This Row],[Column5]]),"")</f>
        <v/>
      </c>
      <c r="K78" s="58" t="str">
        <f>IF(ISNUMBER(deployment_raw[[#This Row],[Column11]]), (deployment_raw[[#This Row],[Column11]] * deployment_raw[[#This Row],[Column5]])/1048576,"")</f>
        <v/>
      </c>
      <c r="L78" s="180" t="str">
        <f>IF(ISNUMBER(deployment_raw[[#This Row],[Column8]]),IF(deployment_raw[[#This Row],[Column5]] &lt;&gt; 0, MAX((deployment_raw[[#This Row],[Column12]] * deployment_raw[[#This Row],[Column5]]), ((deployment_raw[[#This Row],[Column8]] * deployment_raw[[#This Row],[Column5]]) * $L$2), ($H$2 * deployment_raw[[#This Row],[Column5]])), 0),"")</f>
        <v/>
      </c>
      <c r="M7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8" s="188" t="str">
        <f>IF(ISNUMBER(deployment_raw[[#This Row],[Column14]]), deployment_raw[[#This Row],[Column14]],"")</f>
        <v/>
      </c>
      <c r="O78" s="189" t="str">
        <f>IF(ISNUMBER(deployment_raw[[#This Row],[Column15]]), deployment_raw[[#This Row],[Column15]]/1048576,"")</f>
        <v/>
      </c>
      <c r="P78" s="190" t="str">
        <f>IF(ISNUMBER(deployment_raw[[#This Row],[Column12]]), (deployment_raw[[#This Row],[Column12]] * deployment_raw[[#This Row],[Column5]]),"")</f>
        <v/>
      </c>
      <c r="Q78" s="189" t="str">
        <f>IF(ISNUMBER(deployment_raw[[#This Row],[Column13]]), (deployment_raw[[#This Row],[Column13]] * deployment_raw[[#This Row],[Column5]])/1048576,"")</f>
        <v/>
      </c>
    </row>
    <row r="79" spans="1:17" ht="15.75" customHeight="1" x14ac:dyDescent="0.25">
      <c r="A79" s="37" t="str">
        <f>IF(ISNONTEXT(deployment_raw[[#This Row],[Column1]]), "", deployment_raw[[#This Row],[Column1]])</f>
        <v/>
      </c>
      <c r="B79" s="38" t="str">
        <f>IF(ISNONTEXT(deployment_raw[[#This Row],[Column2]]), "", deployment_raw[[#This Row],[Column2]])</f>
        <v/>
      </c>
      <c r="C79" s="38" t="str">
        <f>IF(ISNONTEXT(deployment_raw[[#This Row],[Column3]]), "", deployment_raw[[#This Row],[Column3]])</f>
        <v/>
      </c>
      <c r="D79" s="38" t="str">
        <f>IF(ISNONTEXT(deployment_raw[[#This Row],[Column4]]), "", deployment_raw[[#This Row],[Column4]])</f>
        <v/>
      </c>
      <c r="E79" s="39" t="str">
        <f>IF(ISNUMBER(deployment_raw[[#This Row],[Column5]]), deployment_raw[[#This Row],[Column5]],"")</f>
        <v/>
      </c>
      <c r="F79" s="174" t="str">
        <f>IF(ISNUMBER(deployment_raw[[#This Row],[Column6]]), (deployment_raw[[#This Row],[Column6]] * deployment_raw[[#This Row],[Column5]]),"")</f>
        <v/>
      </c>
      <c r="G79" s="175" t="str">
        <f>IF(ISNUMBER(deployment_raw[[#This Row],[Column7]]), (deployment_raw[[#This Row],[Column7]] * deployment_raw[[#This Row],[Column5]])/1048576,"")</f>
        <v/>
      </c>
      <c r="H79" s="175" t="str">
        <f>IF(ISNUMBER(deployment_raw[[#This Row],[Column8]]), (deployment_raw[[#This Row],[Column8]]  * deployment_raw[[#This Row],[Column5]]),"")</f>
        <v/>
      </c>
      <c r="I79" s="176" t="str">
        <f>IF(ISNUMBER(deployment_raw[[#This Row],[Column9]]), (deployment_raw[[#This Row],[Column9]] * deployment_raw[[#This Row],[Column5]])/1048576,"")</f>
        <v/>
      </c>
      <c r="J79" s="57" t="str">
        <f>IF(ISNUMBER(deployment_raw[[#This Row],[Column10]]), (deployment_raw[[#This Row],[Column10]] * deployment_raw[[#This Row],[Column5]]),"")</f>
        <v/>
      </c>
      <c r="K79" s="58" t="str">
        <f>IF(ISNUMBER(deployment_raw[[#This Row],[Column11]]), (deployment_raw[[#This Row],[Column11]] * deployment_raw[[#This Row],[Column5]])/1048576,"")</f>
        <v/>
      </c>
      <c r="L79" s="180" t="str">
        <f>IF(ISNUMBER(deployment_raw[[#This Row],[Column8]]),IF(deployment_raw[[#This Row],[Column5]] &lt;&gt; 0, MAX((deployment_raw[[#This Row],[Column12]] * deployment_raw[[#This Row],[Column5]]), ((deployment_raw[[#This Row],[Column8]] * deployment_raw[[#This Row],[Column5]]) * $L$2), ($H$2 * deployment_raw[[#This Row],[Column5]])), 0),"")</f>
        <v/>
      </c>
      <c r="M7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9" s="188" t="str">
        <f>IF(ISNUMBER(deployment_raw[[#This Row],[Column14]]), deployment_raw[[#This Row],[Column14]],"")</f>
        <v/>
      </c>
      <c r="O79" s="189" t="str">
        <f>IF(ISNUMBER(deployment_raw[[#This Row],[Column15]]), deployment_raw[[#This Row],[Column15]]/1048576,"")</f>
        <v/>
      </c>
      <c r="P79" s="190" t="str">
        <f>IF(ISNUMBER(deployment_raw[[#This Row],[Column12]]), (deployment_raw[[#This Row],[Column12]] * deployment_raw[[#This Row],[Column5]]),"")</f>
        <v/>
      </c>
      <c r="Q79" s="189" t="str">
        <f>IF(ISNUMBER(deployment_raw[[#This Row],[Column13]]), (deployment_raw[[#This Row],[Column13]] * deployment_raw[[#This Row],[Column5]])/1048576,"")</f>
        <v/>
      </c>
    </row>
    <row r="80" spans="1:17" ht="15.75" customHeight="1" x14ac:dyDescent="0.25">
      <c r="A80" s="37" t="str">
        <f>IF(ISNONTEXT(deployment_raw[[#This Row],[Column1]]), "", deployment_raw[[#This Row],[Column1]])</f>
        <v/>
      </c>
      <c r="B80" s="38" t="str">
        <f>IF(ISNONTEXT(deployment_raw[[#This Row],[Column2]]), "", deployment_raw[[#This Row],[Column2]])</f>
        <v/>
      </c>
      <c r="C80" s="38" t="str">
        <f>IF(ISNONTEXT(deployment_raw[[#This Row],[Column3]]), "", deployment_raw[[#This Row],[Column3]])</f>
        <v/>
      </c>
      <c r="D80" s="38" t="str">
        <f>IF(ISNONTEXT(deployment_raw[[#This Row],[Column4]]), "", deployment_raw[[#This Row],[Column4]])</f>
        <v/>
      </c>
      <c r="E80" s="39" t="str">
        <f>IF(ISNUMBER(deployment_raw[[#This Row],[Column5]]), deployment_raw[[#This Row],[Column5]],"")</f>
        <v/>
      </c>
      <c r="F80" s="174" t="str">
        <f>IF(ISNUMBER(deployment_raw[[#This Row],[Column6]]), (deployment_raw[[#This Row],[Column6]] * deployment_raw[[#This Row],[Column5]]),"")</f>
        <v/>
      </c>
      <c r="G80" s="175" t="str">
        <f>IF(ISNUMBER(deployment_raw[[#This Row],[Column7]]), (deployment_raw[[#This Row],[Column7]] * deployment_raw[[#This Row],[Column5]])/1048576,"")</f>
        <v/>
      </c>
      <c r="H80" s="175" t="str">
        <f>IF(ISNUMBER(deployment_raw[[#This Row],[Column8]]), (deployment_raw[[#This Row],[Column8]]  * deployment_raw[[#This Row],[Column5]]),"")</f>
        <v/>
      </c>
      <c r="I80" s="176" t="str">
        <f>IF(ISNUMBER(deployment_raw[[#This Row],[Column9]]), (deployment_raw[[#This Row],[Column9]] * deployment_raw[[#This Row],[Column5]])/1048576,"")</f>
        <v/>
      </c>
      <c r="J80" s="57" t="str">
        <f>IF(ISNUMBER(deployment_raw[[#This Row],[Column10]]), (deployment_raw[[#This Row],[Column10]] * deployment_raw[[#This Row],[Column5]]),"")</f>
        <v/>
      </c>
      <c r="K80" s="58" t="str">
        <f>IF(ISNUMBER(deployment_raw[[#This Row],[Column11]]), (deployment_raw[[#This Row],[Column11]] * deployment_raw[[#This Row],[Column5]])/1048576,"")</f>
        <v/>
      </c>
      <c r="L80" s="180" t="str">
        <f>IF(ISNUMBER(deployment_raw[[#This Row],[Column8]]),IF(deployment_raw[[#This Row],[Column5]] &lt;&gt; 0, MAX((deployment_raw[[#This Row],[Column12]] * deployment_raw[[#This Row],[Column5]]), ((deployment_raw[[#This Row],[Column8]] * deployment_raw[[#This Row],[Column5]]) * $L$2), ($H$2 * deployment_raw[[#This Row],[Column5]])), 0),"")</f>
        <v/>
      </c>
      <c r="M8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0" s="188" t="str">
        <f>IF(ISNUMBER(deployment_raw[[#This Row],[Column14]]), deployment_raw[[#This Row],[Column14]],"")</f>
        <v/>
      </c>
      <c r="O80" s="189" t="str">
        <f>IF(ISNUMBER(deployment_raw[[#This Row],[Column15]]), deployment_raw[[#This Row],[Column15]]/1048576,"")</f>
        <v/>
      </c>
      <c r="P80" s="190" t="str">
        <f>IF(ISNUMBER(deployment_raw[[#This Row],[Column12]]), (deployment_raw[[#This Row],[Column12]] * deployment_raw[[#This Row],[Column5]]),"")</f>
        <v/>
      </c>
      <c r="Q80" s="189" t="str">
        <f>IF(ISNUMBER(deployment_raw[[#This Row],[Column13]]), (deployment_raw[[#This Row],[Column13]] * deployment_raw[[#This Row],[Column5]])/1048576,"")</f>
        <v/>
      </c>
    </row>
    <row r="81" spans="1:17" ht="15.75" customHeight="1" x14ac:dyDescent="0.25">
      <c r="A81" s="37" t="str">
        <f>IF(ISNONTEXT(deployment_raw[[#This Row],[Column1]]), "", deployment_raw[[#This Row],[Column1]])</f>
        <v/>
      </c>
      <c r="B81" s="38" t="str">
        <f>IF(ISNONTEXT(deployment_raw[[#This Row],[Column2]]), "", deployment_raw[[#This Row],[Column2]])</f>
        <v/>
      </c>
      <c r="C81" s="38" t="str">
        <f>IF(ISNONTEXT(deployment_raw[[#This Row],[Column3]]), "", deployment_raw[[#This Row],[Column3]])</f>
        <v/>
      </c>
      <c r="D81" s="38" t="str">
        <f>IF(ISNONTEXT(deployment_raw[[#This Row],[Column4]]), "", deployment_raw[[#This Row],[Column4]])</f>
        <v/>
      </c>
      <c r="E81" s="39" t="str">
        <f>IF(ISNUMBER(deployment_raw[[#This Row],[Column5]]), deployment_raw[[#This Row],[Column5]],"")</f>
        <v/>
      </c>
      <c r="F81" s="174" t="str">
        <f>IF(ISNUMBER(deployment_raw[[#This Row],[Column6]]), (deployment_raw[[#This Row],[Column6]] * deployment_raw[[#This Row],[Column5]]),"")</f>
        <v/>
      </c>
      <c r="G81" s="175" t="str">
        <f>IF(ISNUMBER(deployment_raw[[#This Row],[Column7]]), (deployment_raw[[#This Row],[Column7]] * deployment_raw[[#This Row],[Column5]])/1048576,"")</f>
        <v/>
      </c>
      <c r="H81" s="175" t="str">
        <f>IF(ISNUMBER(deployment_raw[[#This Row],[Column8]]), (deployment_raw[[#This Row],[Column8]]  * deployment_raw[[#This Row],[Column5]]),"")</f>
        <v/>
      </c>
      <c r="I81" s="176" t="str">
        <f>IF(ISNUMBER(deployment_raw[[#This Row],[Column9]]), (deployment_raw[[#This Row],[Column9]] * deployment_raw[[#This Row],[Column5]])/1048576,"")</f>
        <v/>
      </c>
      <c r="J81" s="57" t="str">
        <f>IF(ISNUMBER(deployment_raw[[#This Row],[Column10]]), (deployment_raw[[#This Row],[Column10]] * deployment_raw[[#This Row],[Column5]]),"")</f>
        <v/>
      </c>
      <c r="K81" s="58" t="str">
        <f>IF(ISNUMBER(deployment_raw[[#This Row],[Column11]]), (deployment_raw[[#This Row],[Column11]] * deployment_raw[[#This Row],[Column5]])/1048576,"")</f>
        <v/>
      </c>
      <c r="L81" s="180" t="str">
        <f>IF(ISNUMBER(deployment_raw[[#This Row],[Column8]]),IF(deployment_raw[[#This Row],[Column5]] &lt;&gt; 0, MAX((deployment_raw[[#This Row],[Column12]] * deployment_raw[[#This Row],[Column5]]), ((deployment_raw[[#This Row],[Column8]] * deployment_raw[[#This Row],[Column5]]) * $L$2), ($H$2 * deployment_raw[[#This Row],[Column5]])), 0),"")</f>
        <v/>
      </c>
      <c r="M8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1" s="188" t="str">
        <f>IF(ISNUMBER(deployment_raw[[#This Row],[Column14]]), deployment_raw[[#This Row],[Column14]],"")</f>
        <v/>
      </c>
      <c r="O81" s="189" t="str">
        <f>IF(ISNUMBER(deployment_raw[[#This Row],[Column15]]), deployment_raw[[#This Row],[Column15]]/1048576,"")</f>
        <v/>
      </c>
      <c r="P81" s="190" t="str">
        <f>IF(ISNUMBER(deployment_raw[[#This Row],[Column12]]), (deployment_raw[[#This Row],[Column12]] * deployment_raw[[#This Row],[Column5]]),"")</f>
        <v/>
      </c>
      <c r="Q81" s="189" t="str">
        <f>IF(ISNUMBER(deployment_raw[[#This Row],[Column13]]), (deployment_raw[[#This Row],[Column13]] * deployment_raw[[#This Row],[Column5]])/1048576,"")</f>
        <v/>
      </c>
    </row>
    <row r="82" spans="1:17" ht="15.75" customHeight="1" x14ac:dyDescent="0.25">
      <c r="A82" s="37" t="str">
        <f>IF(ISNONTEXT(deployment_raw[[#This Row],[Column1]]), "", deployment_raw[[#This Row],[Column1]])</f>
        <v/>
      </c>
      <c r="B82" s="38" t="str">
        <f>IF(ISNONTEXT(deployment_raw[[#This Row],[Column2]]), "", deployment_raw[[#This Row],[Column2]])</f>
        <v/>
      </c>
      <c r="C82" s="38" t="str">
        <f>IF(ISNONTEXT(deployment_raw[[#This Row],[Column3]]), "", deployment_raw[[#This Row],[Column3]])</f>
        <v/>
      </c>
      <c r="D82" s="38" t="str">
        <f>IF(ISNONTEXT(deployment_raw[[#This Row],[Column4]]), "", deployment_raw[[#This Row],[Column4]])</f>
        <v/>
      </c>
      <c r="E82" s="39" t="str">
        <f>IF(ISNUMBER(deployment_raw[[#This Row],[Column5]]), deployment_raw[[#This Row],[Column5]],"")</f>
        <v/>
      </c>
      <c r="F82" s="174" t="str">
        <f>IF(ISNUMBER(deployment_raw[[#This Row],[Column6]]), (deployment_raw[[#This Row],[Column6]] * deployment_raw[[#This Row],[Column5]]),"")</f>
        <v/>
      </c>
      <c r="G82" s="175" t="str">
        <f>IF(ISNUMBER(deployment_raw[[#This Row],[Column7]]), (deployment_raw[[#This Row],[Column7]] * deployment_raw[[#This Row],[Column5]])/1048576,"")</f>
        <v/>
      </c>
      <c r="H82" s="175" t="str">
        <f>IF(ISNUMBER(deployment_raw[[#This Row],[Column8]]), (deployment_raw[[#This Row],[Column8]]  * deployment_raw[[#This Row],[Column5]]),"")</f>
        <v/>
      </c>
      <c r="I82" s="176" t="str">
        <f>IF(ISNUMBER(deployment_raw[[#This Row],[Column9]]), (deployment_raw[[#This Row],[Column9]] * deployment_raw[[#This Row],[Column5]])/1048576,"")</f>
        <v/>
      </c>
      <c r="J82" s="57" t="str">
        <f>IF(ISNUMBER(deployment_raw[[#This Row],[Column10]]), (deployment_raw[[#This Row],[Column10]] * deployment_raw[[#This Row],[Column5]]),"")</f>
        <v/>
      </c>
      <c r="K82" s="58" t="str">
        <f>IF(ISNUMBER(deployment_raw[[#This Row],[Column11]]), (deployment_raw[[#This Row],[Column11]] * deployment_raw[[#This Row],[Column5]])/1048576,"")</f>
        <v/>
      </c>
      <c r="L82" s="180" t="str">
        <f>IF(ISNUMBER(deployment_raw[[#This Row],[Column8]]),IF(deployment_raw[[#This Row],[Column5]] &lt;&gt; 0, MAX((deployment_raw[[#This Row],[Column12]] * deployment_raw[[#This Row],[Column5]]), ((deployment_raw[[#This Row],[Column8]] * deployment_raw[[#This Row],[Column5]]) * $L$2), ($H$2 * deployment_raw[[#This Row],[Column5]])), 0),"")</f>
        <v/>
      </c>
      <c r="M8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2" s="188" t="str">
        <f>IF(ISNUMBER(deployment_raw[[#This Row],[Column14]]), deployment_raw[[#This Row],[Column14]],"")</f>
        <v/>
      </c>
      <c r="O82" s="189" t="str">
        <f>IF(ISNUMBER(deployment_raw[[#This Row],[Column15]]), deployment_raw[[#This Row],[Column15]]/1048576,"")</f>
        <v/>
      </c>
      <c r="P82" s="190" t="str">
        <f>IF(ISNUMBER(deployment_raw[[#This Row],[Column12]]), (deployment_raw[[#This Row],[Column12]] * deployment_raw[[#This Row],[Column5]]),"")</f>
        <v/>
      </c>
      <c r="Q82" s="189" t="str">
        <f>IF(ISNUMBER(deployment_raw[[#This Row],[Column13]]), (deployment_raw[[#This Row],[Column13]] * deployment_raw[[#This Row],[Column5]])/1048576,"")</f>
        <v/>
      </c>
    </row>
    <row r="83" spans="1:17" ht="15.75" customHeight="1" x14ac:dyDescent="0.25">
      <c r="A83" s="37" t="str">
        <f>IF(ISNONTEXT(deployment_raw[[#This Row],[Column1]]), "", deployment_raw[[#This Row],[Column1]])</f>
        <v/>
      </c>
      <c r="B83" s="38" t="str">
        <f>IF(ISNONTEXT(deployment_raw[[#This Row],[Column2]]), "", deployment_raw[[#This Row],[Column2]])</f>
        <v/>
      </c>
      <c r="C83" s="38" t="str">
        <f>IF(ISNONTEXT(deployment_raw[[#This Row],[Column3]]), "", deployment_raw[[#This Row],[Column3]])</f>
        <v/>
      </c>
      <c r="D83" s="38" t="str">
        <f>IF(ISNONTEXT(deployment_raw[[#This Row],[Column4]]), "", deployment_raw[[#This Row],[Column4]])</f>
        <v/>
      </c>
      <c r="E83" s="39" t="str">
        <f>IF(ISNUMBER(deployment_raw[[#This Row],[Column5]]), deployment_raw[[#This Row],[Column5]],"")</f>
        <v/>
      </c>
      <c r="F83" s="174" t="str">
        <f>IF(ISNUMBER(deployment_raw[[#This Row],[Column6]]), (deployment_raw[[#This Row],[Column6]] * deployment_raw[[#This Row],[Column5]]),"")</f>
        <v/>
      </c>
      <c r="G83" s="175" t="str">
        <f>IF(ISNUMBER(deployment_raw[[#This Row],[Column7]]), (deployment_raw[[#This Row],[Column7]] * deployment_raw[[#This Row],[Column5]])/1048576,"")</f>
        <v/>
      </c>
      <c r="H83" s="175" t="str">
        <f>IF(ISNUMBER(deployment_raw[[#This Row],[Column8]]), (deployment_raw[[#This Row],[Column8]]  * deployment_raw[[#This Row],[Column5]]),"")</f>
        <v/>
      </c>
      <c r="I83" s="176" t="str">
        <f>IF(ISNUMBER(deployment_raw[[#This Row],[Column9]]), (deployment_raw[[#This Row],[Column9]] * deployment_raw[[#This Row],[Column5]])/1048576,"")</f>
        <v/>
      </c>
      <c r="J83" s="57" t="str">
        <f>IF(ISNUMBER(deployment_raw[[#This Row],[Column10]]), (deployment_raw[[#This Row],[Column10]] * deployment_raw[[#This Row],[Column5]]),"")</f>
        <v/>
      </c>
      <c r="K83" s="58" t="str">
        <f>IF(ISNUMBER(deployment_raw[[#This Row],[Column11]]), (deployment_raw[[#This Row],[Column11]] * deployment_raw[[#This Row],[Column5]])/1048576,"")</f>
        <v/>
      </c>
      <c r="L83" s="180" t="str">
        <f>IF(ISNUMBER(deployment_raw[[#This Row],[Column8]]),IF(deployment_raw[[#This Row],[Column5]] &lt;&gt; 0, MAX((deployment_raw[[#This Row],[Column12]] * deployment_raw[[#This Row],[Column5]]), ((deployment_raw[[#This Row],[Column8]] * deployment_raw[[#This Row],[Column5]]) * $L$2), ($H$2 * deployment_raw[[#This Row],[Column5]])), 0),"")</f>
        <v/>
      </c>
      <c r="M8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3" s="188" t="str">
        <f>IF(ISNUMBER(deployment_raw[[#This Row],[Column14]]), deployment_raw[[#This Row],[Column14]],"")</f>
        <v/>
      </c>
      <c r="O83" s="189" t="str">
        <f>IF(ISNUMBER(deployment_raw[[#This Row],[Column15]]), deployment_raw[[#This Row],[Column15]]/1048576,"")</f>
        <v/>
      </c>
      <c r="P83" s="190" t="str">
        <f>IF(ISNUMBER(deployment_raw[[#This Row],[Column12]]), (deployment_raw[[#This Row],[Column12]] * deployment_raw[[#This Row],[Column5]]),"")</f>
        <v/>
      </c>
      <c r="Q83" s="189" t="str">
        <f>IF(ISNUMBER(deployment_raw[[#This Row],[Column13]]), (deployment_raw[[#This Row],[Column13]] * deployment_raw[[#This Row],[Column5]])/1048576,"")</f>
        <v/>
      </c>
    </row>
    <row r="84" spans="1:17" ht="15.75" customHeight="1" x14ac:dyDescent="0.25">
      <c r="A84" s="37" t="str">
        <f>IF(ISNONTEXT(deployment_raw[[#This Row],[Column1]]), "", deployment_raw[[#This Row],[Column1]])</f>
        <v/>
      </c>
      <c r="B84" s="38" t="str">
        <f>IF(ISNONTEXT(deployment_raw[[#This Row],[Column2]]), "", deployment_raw[[#This Row],[Column2]])</f>
        <v/>
      </c>
      <c r="C84" s="38" t="str">
        <f>IF(ISNONTEXT(deployment_raw[[#This Row],[Column3]]), "", deployment_raw[[#This Row],[Column3]])</f>
        <v/>
      </c>
      <c r="D84" s="38" t="str">
        <f>IF(ISNONTEXT(deployment_raw[[#This Row],[Column4]]), "", deployment_raw[[#This Row],[Column4]])</f>
        <v/>
      </c>
      <c r="E84" s="39" t="str">
        <f>IF(ISNUMBER(deployment_raw[[#This Row],[Column5]]), deployment_raw[[#This Row],[Column5]],"")</f>
        <v/>
      </c>
      <c r="F84" s="174" t="str">
        <f>IF(ISNUMBER(deployment_raw[[#This Row],[Column6]]), (deployment_raw[[#This Row],[Column6]] * deployment_raw[[#This Row],[Column5]]),"")</f>
        <v/>
      </c>
      <c r="G84" s="175" t="str">
        <f>IF(ISNUMBER(deployment_raw[[#This Row],[Column7]]), (deployment_raw[[#This Row],[Column7]] * deployment_raw[[#This Row],[Column5]])/1048576,"")</f>
        <v/>
      </c>
      <c r="H84" s="175" t="str">
        <f>IF(ISNUMBER(deployment_raw[[#This Row],[Column8]]), (deployment_raw[[#This Row],[Column8]]  * deployment_raw[[#This Row],[Column5]]),"")</f>
        <v/>
      </c>
      <c r="I84" s="176" t="str">
        <f>IF(ISNUMBER(deployment_raw[[#This Row],[Column9]]), (deployment_raw[[#This Row],[Column9]] * deployment_raw[[#This Row],[Column5]])/1048576,"")</f>
        <v/>
      </c>
      <c r="J84" s="57" t="str">
        <f>IF(ISNUMBER(deployment_raw[[#This Row],[Column10]]), (deployment_raw[[#This Row],[Column10]] * deployment_raw[[#This Row],[Column5]]),"")</f>
        <v/>
      </c>
      <c r="K84" s="58" t="str">
        <f>IF(ISNUMBER(deployment_raw[[#This Row],[Column11]]), (deployment_raw[[#This Row],[Column11]] * deployment_raw[[#This Row],[Column5]])/1048576,"")</f>
        <v/>
      </c>
      <c r="L84" s="180" t="str">
        <f>IF(ISNUMBER(deployment_raw[[#This Row],[Column8]]),IF(deployment_raw[[#This Row],[Column5]] &lt;&gt; 0, MAX((deployment_raw[[#This Row],[Column12]] * deployment_raw[[#This Row],[Column5]]), ((deployment_raw[[#This Row],[Column8]] * deployment_raw[[#This Row],[Column5]]) * $L$2), ($H$2 * deployment_raw[[#This Row],[Column5]])), 0),"")</f>
        <v/>
      </c>
      <c r="M8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4" s="188" t="str">
        <f>IF(ISNUMBER(deployment_raw[[#This Row],[Column14]]), deployment_raw[[#This Row],[Column14]],"")</f>
        <v/>
      </c>
      <c r="O84" s="189" t="str">
        <f>IF(ISNUMBER(deployment_raw[[#This Row],[Column15]]), deployment_raw[[#This Row],[Column15]]/1048576,"")</f>
        <v/>
      </c>
      <c r="P84" s="190" t="str">
        <f>IF(ISNUMBER(deployment_raw[[#This Row],[Column12]]), (deployment_raw[[#This Row],[Column12]] * deployment_raw[[#This Row],[Column5]]),"")</f>
        <v/>
      </c>
      <c r="Q84" s="189" t="str">
        <f>IF(ISNUMBER(deployment_raw[[#This Row],[Column13]]), (deployment_raw[[#This Row],[Column13]] * deployment_raw[[#This Row],[Column5]])/1048576,"")</f>
        <v/>
      </c>
    </row>
    <row r="85" spans="1:17" ht="15.75" customHeight="1" x14ac:dyDescent="0.25">
      <c r="A85" s="37" t="str">
        <f>IF(ISNONTEXT(deployment_raw[[#This Row],[Column1]]), "", deployment_raw[[#This Row],[Column1]])</f>
        <v/>
      </c>
      <c r="B85" s="38" t="str">
        <f>IF(ISNONTEXT(deployment_raw[[#This Row],[Column2]]), "", deployment_raw[[#This Row],[Column2]])</f>
        <v/>
      </c>
      <c r="C85" s="38" t="str">
        <f>IF(ISNONTEXT(deployment_raw[[#This Row],[Column3]]), "", deployment_raw[[#This Row],[Column3]])</f>
        <v/>
      </c>
      <c r="D85" s="38" t="str">
        <f>IF(ISNONTEXT(deployment_raw[[#This Row],[Column4]]), "", deployment_raw[[#This Row],[Column4]])</f>
        <v/>
      </c>
      <c r="E85" s="39" t="str">
        <f>IF(ISNUMBER(deployment_raw[[#This Row],[Column5]]), deployment_raw[[#This Row],[Column5]],"")</f>
        <v/>
      </c>
      <c r="F85" s="174" t="str">
        <f>IF(ISNUMBER(deployment_raw[[#This Row],[Column6]]), (deployment_raw[[#This Row],[Column6]] * deployment_raw[[#This Row],[Column5]]),"")</f>
        <v/>
      </c>
      <c r="G85" s="175" t="str">
        <f>IF(ISNUMBER(deployment_raw[[#This Row],[Column7]]), (deployment_raw[[#This Row],[Column7]] * deployment_raw[[#This Row],[Column5]])/1048576,"")</f>
        <v/>
      </c>
      <c r="H85" s="175" t="str">
        <f>IF(ISNUMBER(deployment_raw[[#This Row],[Column8]]), (deployment_raw[[#This Row],[Column8]]  * deployment_raw[[#This Row],[Column5]]),"")</f>
        <v/>
      </c>
      <c r="I85" s="176" t="str">
        <f>IF(ISNUMBER(deployment_raw[[#This Row],[Column9]]), (deployment_raw[[#This Row],[Column9]] * deployment_raw[[#This Row],[Column5]])/1048576,"")</f>
        <v/>
      </c>
      <c r="J85" s="57" t="str">
        <f>IF(ISNUMBER(deployment_raw[[#This Row],[Column10]]), (deployment_raw[[#This Row],[Column10]] * deployment_raw[[#This Row],[Column5]]),"")</f>
        <v/>
      </c>
      <c r="K85" s="58" t="str">
        <f>IF(ISNUMBER(deployment_raw[[#This Row],[Column11]]), (deployment_raw[[#This Row],[Column11]] * deployment_raw[[#This Row],[Column5]])/1048576,"")</f>
        <v/>
      </c>
      <c r="L85" s="180" t="str">
        <f>IF(ISNUMBER(deployment_raw[[#This Row],[Column8]]),IF(deployment_raw[[#This Row],[Column5]] &lt;&gt; 0, MAX((deployment_raw[[#This Row],[Column12]] * deployment_raw[[#This Row],[Column5]]), ((deployment_raw[[#This Row],[Column8]] * deployment_raw[[#This Row],[Column5]]) * $L$2), ($H$2 * deployment_raw[[#This Row],[Column5]])), 0),"")</f>
        <v/>
      </c>
      <c r="M8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5" s="188" t="str">
        <f>IF(ISNUMBER(deployment_raw[[#This Row],[Column14]]), deployment_raw[[#This Row],[Column14]],"")</f>
        <v/>
      </c>
      <c r="O85" s="189" t="str">
        <f>IF(ISNUMBER(deployment_raw[[#This Row],[Column15]]), deployment_raw[[#This Row],[Column15]]/1048576,"")</f>
        <v/>
      </c>
      <c r="P85" s="190" t="str">
        <f>IF(ISNUMBER(deployment_raw[[#This Row],[Column12]]), (deployment_raw[[#This Row],[Column12]] * deployment_raw[[#This Row],[Column5]]),"")</f>
        <v/>
      </c>
      <c r="Q85" s="189" t="str">
        <f>IF(ISNUMBER(deployment_raw[[#This Row],[Column13]]), (deployment_raw[[#This Row],[Column13]] * deployment_raw[[#This Row],[Column5]])/1048576,"")</f>
        <v/>
      </c>
    </row>
    <row r="86" spans="1:17" ht="15.75" customHeight="1" x14ac:dyDescent="0.25">
      <c r="A86" s="37" t="str">
        <f>IF(ISNONTEXT(deployment_raw[[#This Row],[Column1]]), "", deployment_raw[[#This Row],[Column1]])</f>
        <v/>
      </c>
      <c r="B86" s="38" t="str">
        <f>IF(ISNONTEXT(deployment_raw[[#This Row],[Column2]]), "", deployment_raw[[#This Row],[Column2]])</f>
        <v/>
      </c>
      <c r="C86" s="38" t="str">
        <f>IF(ISNONTEXT(deployment_raw[[#This Row],[Column3]]), "", deployment_raw[[#This Row],[Column3]])</f>
        <v/>
      </c>
      <c r="D86" s="38" t="str">
        <f>IF(ISNONTEXT(deployment_raw[[#This Row],[Column4]]), "", deployment_raw[[#This Row],[Column4]])</f>
        <v/>
      </c>
      <c r="E86" s="39" t="str">
        <f>IF(ISNUMBER(deployment_raw[[#This Row],[Column5]]), deployment_raw[[#This Row],[Column5]],"")</f>
        <v/>
      </c>
      <c r="F86" s="174" t="str">
        <f>IF(ISNUMBER(deployment_raw[[#This Row],[Column6]]), (deployment_raw[[#This Row],[Column6]] * deployment_raw[[#This Row],[Column5]]),"")</f>
        <v/>
      </c>
      <c r="G86" s="175" t="str">
        <f>IF(ISNUMBER(deployment_raw[[#This Row],[Column7]]), (deployment_raw[[#This Row],[Column7]] * deployment_raw[[#This Row],[Column5]])/1048576,"")</f>
        <v/>
      </c>
      <c r="H86" s="175" t="str">
        <f>IF(ISNUMBER(deployment_raw[[#This Row],[Column8]]), (deployment_raw[[#This Row],[Column8]]  * deployment_raw[[#This Row],[Column5]]),"")</f>
        <v/>
      </c>
      <c r="I86" s="176" t="str">
        <f>IF(ISNUMBER(deployment_raw[[#This Row],[Column9]]), (deployment_raw[[#This Row],[Column9]] * deployment_raw[[#This Row],[Column5]])/1048576,"")</f>
        <v/>
      </c>
      <c r="J86" s="57" t="str">
        <f>IF(ISNUMBER(deployment_raw[[#This Row],[Column10]]), (deployment_raw[[#This Row],[Column10]] * deployment_raw[[#This Row],[Column5]]),"")</f>
        <v/>
      </c>
      <c r="K86" s="58" t="str">
        <f>IF(ISNUMBER(deployment_raw[[#This Row],[Column11]]), (deployment_raw[[#This Row],[Column11]] * deployment_raw[[#This Row],[Column5]])/1048576,"")</f>
        <v/>
      </c>
      <c r="L86" s="180" t="str">
        <f>IF(ISNUMBER(deployment_raw[[#This Row],[Column8]]),IF(deployment_raw[[#This Row],[Column5]] &lt;&gt; 0, MAX((deployment_raw[[#This Row],[Column12]] * deployment_raw[[#This Row],[Column5]]), ((deployment_raw[[#This Row],[Column8]] * deployment_raw[[#This Row],[Column5]]) * $L$2), ($H$2 * deployment_raw[[#This Row],[Column5]])), 0),"")</f>
        <v/>
      </c>
      <c r="M8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6" s="188" t="str">
        <f>IF(ISNUMBER(deployment_raw[[#This Row],[Column14]]), deployment_raw[[#This Row],[Column14]],"")</f>
        <v/>
      </c>
      <c r="O86" s="189" t="str">
        <f>IF(ISNUMBER(deployment_raw[[#This Row],[Column15]]), deployment_raw[[#This Row],[Column15]]/1048576,"")</f>
        <v/>
      </c>
      <c r="P86" s="190" t="str">
        <f>IF(ISNUMBER(deployment_raw[[#This Row],[Column12]]), (deployment_raw[[#This Row],[Column12]] * deployment_raw[[#This Row],[Column5]]),"")</f>
        <v/>
      </c>
      <c r="Q86" s="189" t="str">
        <f>IF(ISNUMBER(deployment_raw[[#This Row],[Column13]]), (deployment_raw[[#This Row],[Column13]] * deployment_raw[[#This Row],[Column5]])/1048576,"")</f>
        <v/>
      </c>
    </row>
    <row r="87" spans="1:17" ht="15.75" customHeight="1" x14ac:dyDescent="0.25">
      <c r="A87" s="37" t="str">
        <f>IF(ISNONTEXT(deployment_raw[[#This Row],[Column1]]), "", deployment_raw[[#This Row],[Column1]])</f>
        <v/>
      </c>
      <c r="B87" s="38" t="str">
        <f>IF(ISNONTEXT(deployment_raw[[#This Row],[Column2]]), "", deployment_raw[[#This Row],[Column2]])</f>
        <v/>
      </c>
      <c r="C87" s="38" t="str">
        <f>IF(ISNONTEXT(deployment_raw[[#This Row],[Column3]]), "", deployment_raw[[#This Row],[Column3]])</f>
        <v/>
      </c>
      <c r="D87" s="38" t="str">
        <f>IF(ISNONTEXT(deployment_raw[[#This Row],[Column4]]), "", deployment_raw[[#This Row],[Column4]])</f>
        <v/>
      </c>
      <c r="E87" s="39" t="str">
        <f>IF(ISNUMBER(deployment_raw[[#This Row],[Column5]]), deployment_raw[[#This Row],[Column5]],"")</f>
        <v/>
      </c>
      <c r="F87" s="174" t="str">
        <f>IF(ISNUMBER(deployment_raw[[#This Row],[Column6]]), (deployment_raw[[#This Row],[Column6]] * deployment_raw[[#This Row],[Column5]]),"")</f>
        <v/>
      </c>
      <c r="G87" s="175" t="str">
        <f>IF(ISNUMBER(deployment_raw[[#This Row],[Column7]]), (deployment_raw[[#This Row],[Column7]] * deployment_raw[[#This Row],[Column5]])/1048576,"")</f>
        <v/>
      </c>
      <c r="H87" s="175" t="str">
        <f>IF(ISNUMBER(deployment_raw[[#This Row],[Column8]]), (deployment_raw[[#This Row],[Column8]]  * deployment_raw[[#This Row],[Column5]]),"")</f>
        <v/>
      </c>
      <c r="I87" s="176" t="str">
        <f>IF(ISNUMBER(deployment_raw[[#This Row],[Column9]]), (deployment_raw[[#This Row],[Column9]] * deployment_raw[[#This Row],[Column5]])/1048576,"")</f>
        <v/>
      </c>
      <c r="J87" s="57" t="str">
        <f>IF(ISNUMBER(deployment_raw[[#This Row],[Column10]]), (deployment_raw[[#This Row],[Column10]] * deployment_raw[[#This Row],[Column5]]),"")</f>
        <v/>
      </c>
      <c r="K87" s="58" t="str">
        <f>IF(ISNUMBER(deployment_raw[[#This Row],[Column11]]), (deployment_raw[[#This Row],[Column11]] * deployment_raw[[#This Row],[Column5]])/1048576,"")</f>
        <v/>
      </c>
      <c r="L87" s="180" t="str">
        <f>IF(ISNUMBER(deployment_raw[[#This Row],[Column8]]),IF(deployment_raw[[#This Row],[Column5]] &lt;&gt; 0, MAX((deployment_raw[[#This Row],[Column12]] * deployment_raw[[#This Row],[Column5]]), ((deployment_raw[[#This Row],[Column8]] * deployment_raw[[#This Row],[Column5]]) * $L$2), ($H$2 * deployment_raw[[#This Row],[Column5]])), 0),"")</f>
        <v/>
      </c>
      <c r="M8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7" s="188" t="str">
        <f>IF(ISNUMBER(deployment_raw[[#This Row],[Column14]]), deployment_raw[[#This Row],[Column14]],"")</f>
        <v/>
      </c>
      <c r="O87" s="189" t="str">
        <f>IF(ISNUMBER(deployment_raw[[#This Row],[Column15]]), deployment_raw[[#This Row],[Column15]]/1048576,"")</f>
        <v/>
      </c>
      <c r="P87" s="190" t="str">
        <f>IF(ISNUMBER(deployment_raw[[#This Row],[Column12]]), (deployment_raw[[#This Row],[Column12]] * deployment_raw[[#This Row],[Column5]]),"")</f>
        <v/>
      </c>
      <c r="Q87" s="189" t="str">
        <f>IF(ISNUMBER(deployment_raw[[#This Row],[Column13]]), (deployment_raw[[#This Row],[Column13]] * deployment_raw[[#This Row],[Column5]])/1048576,"")</f>
        <v/>
      </c>
    </row>
    <row r="88" spans="1:17" ht="15.75" customHeight="1" x14ac:dyDescent="0.25">
      <c r="A88" s="37" t="str">
        <f>IF(ISNONTEXT(deployment_raw[[#This Row],[Column1]]), "", deployment_raw[[#This Row],[Column1]])</f>
        <v/>
      </c>
      <c r="B88" s="38" t="str">
        <f>IF(ISNONTEXT(deployment_raw[[#This Row],[Column2]]), "", deployment_raw[[#This Row],[Column2]])</f>
        <v/>
      </c>
      <c r="C88" s="38" t="str">
        <f>IF(ISNONTEXT(deployment_raw[[#This Row],[Column3]]), "", deployment_raw[[#This Row],[Column3]])</f>
        <v/>
      </c>
      <c r="D88" s="38" t="str">
        <f>IF(ISNONTEXT(deployment_raw[[#This Row],[Column4]]), "", deployment_raw[[#This Row],[Column4]])</f>
        <v/>
      </c>
      <c r="E88" s="39" t="str">
        <f>IF(ISNUMBER(deployment_raw[[#This Row],[Column5]]), deployment_raw[[#This Row],[Column5]],"")</f>
        <v/>
      </c>
      <c r="F88" s="174" t="str">
        <f>IF(ISNUMBER(deployment_raw[[#This Row],[Column6]]), (deployment_raw[[#This Row],[Column6]] * deployment_raw[[#This Row],[Column5]]),"")</f>
        <v/>
      </c>
      <c r="G88" s="175" t="str">
        <f>IF(ISNUMBER(deployment_raw[[#This Row],[Column7]]), (deployment_raw[[#This Row],[Column7]] * deployment_raw[[#This Row],[Column5]])/1048576,"")</f>
        <v/>
      </c>
      <c r="H88" s="175" t="str">
        <f>IF(ISNUMBER(deployment_raw[[#This Row],[Column8]]), (deployment_raw[[#This Row],[Column8]]  * deployment_raw[[#This Row],[Column5]]),"")</f>
        <v/>
      </c>
      <c r="I88" s="176" t="str">
        <f>IF(ISNUMBER(deployment_raw[[#This Row],[Column9]]), (deployment_raw[[#This Row],[Column9]] * deployment_raw[[#This Row],[Column5]])/1048576,"")</f>
        <v/>
      </c>
      <c r="J88" s="57" t="str">
        <f>IF(ISNUMBER(deployment_raw[[#This Row],[Column10]]), (deployment_raw[[#This Row],[Column10]] * deployment_raw[[#This Row],[Column5]]),"")</f>
        <v/>
      </c>
      <c r="K88" s="58" t="str">
        <f>IF(ISNUMBER(deployment_raw[[#This Row],[Column11]]), (deployment_raw[[#This Row],[Column11]] * deployment_raw[[#This Row],[Column5]])/1048576,"")</f>
        <v/>
      </c>
      <c r="L88" s="180" t="str">
        <f>IF(ISNUMBER(deployment_raw[[#This Row],[Column8]]),IF(deployment_raw[[#This Row],[Column5]] &lt;&gt; 0, MAX((deployment_raw[[#This Row],[Column12]] * deployment_raw[[#This Row],[Column5]]), ((deployment_raw[[#This Row],[Column8]] * deployment_raw[[#This Row],[Column5]]) * $L$2), ($H$2 * deployment_raw[[#This Row],[Column5]])), 0),"")</f>
        <v/>
      </c>
      <c r="M8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8" s="188" t="str">
        <f>IF(ISNUMBER(deployment_raw[[#This Row],[Column14]]), deployment_raw[[#This Row],[Column14]],"")</f>
        <v/>
      </c>
      <c r="O88" s="189" t="str">
        <f>IF(ISNUMBER(deployment_raw[[#This Row],[Column15]]), deployment_raw[[#This Row],[Column15]]/1048576,"")</f>
        <v/>
      </c>
      <c r="P88" s="190" t="str">
        <f>IF(ISNUMBER(deployment_raw[[#This Row],[Column12]]), (deployment_raw[[#This Row],[Column12]] * deployment_raw[[#This Row],[Column5]]),"")</f>
        <v/>
      </c>
      <c r="Q88" s="189" t="str">
        <f>IF(ISNUMBER(deployment_raw[[#This Row],[Column13]]), (deployment_raw[[#This Row],[Column13]] * deployment_raw[[#This Row],[Column5]])/1048576,"")</f>
        <v/>
      </c>
    </row>
    <row r="89" spans="1:17" ht="15.75" customHeight="1" x14ac:dyDescent="0.25">
      <c r="A89" s="37" t="str">
        <f>IF(ISNONTEXT(deployment_raw[[#This Row],[Column1]]), "", deployment_raw[[#This Row],[Column1]])</f>
        <v/>
      </c>
      <c r="B89" s="38" t="str">
        <f>IF(ISNONTEXT(deployment_raw[[#This Row],[Column2]]), "", deployment_raw[[#This Row],[Column2]])</f>
        <v/>
      </c>
      <c r="C89" s="38" t="str">
        <f>IF(ISNONTEXT(deployment_raw[[#This Row],[Column3]]), "", deployment_raw[[#This Row],[Column3]])</f>
        <v/>
      </c>
      <c r="D89" s="38" t="str">
        <f>IF(ISNONTEXT(deployment_raw[[#This Row],[Column4]]), "", deployment_raw[[#This Row],[Column4]])</f>
        <v/>
      </c>
      <c r="E89" s="39" t="str">
        <f>IF(ISNUMBER(deployment_raw[[#This Row],[Column5]]), deployment_raw[[#This Row],[Column5]],"")</f>
        <v/>
      </c>
      <c r="F89" s="174" t="str">
        <f>IF(ISNUMBER(deployment_raw[[#This Row],[Column6]]), (deployment_raw[[#This Row],[Column6]] * deployment_raw[[#This Row],[Column5]]),"")</f>
        <v/>
      </c>
      <c r="G89" s="175" t="str">
        <f>IF(ISNUMBER(deployment_raw[[#This Row],[Column7]]), (deployment_raw[[#This Row],[Column7]] * deployment_raw[[#This Row],[Column5]])/1048576,"")</f>
        <v/>
      </c>
      <c r="H89" s="175" t="str">
        <f>IF(ISNUMBER(deployment_raw[[#This Row],[Column8]]), (deployment_raw[[#This Row],[Column8]]  * deployment_raw[[#This Row],[Column5]]),"")</f>
        <v/>
      </c>
      <c r="I89" s="176" t="str">
        <f>IF(ISNUMBER(deployment_raw[[#This Row],[Column9]]), (deployment_raw[[#This Row],[Column9]] * deployment_raw[[#This Row],[Column5]])/1048576,"")</f>
        <v/>
      </c>
      <c r="J89" s="57" t="str">
        <f>IF(ISNUMBER(deployment_raw[[#This Row],[Column10]]), (deployment_raw[[#This Row],[Column10]] * deployment_raw[[#This Row],[Column5]]),"")</f>
        <v/>
      </c>
      <c r="K89" s="58" t="str">
        <f>IF(ISNUMBER(deployment_raw[[#This Row],[Column11]]), (deployment_raw[[#This Row],[Column11]] * deployment_raw[[#This Row],[Column5]])/1048576,"")</f>
        <v/>
      </c>
      <c r="L89" s="180" t="str">
        <f>IF(ISNUMBER(deployment_raw[[#This Row],[Column8]]),IF(deployment_raw[[#This Row],[Column5]] &lt;&gt; 0, MAX((deployment_raw[[#This Row],[Column12]] * deployment_raw[[#This Row],[Column5]]), ((deployment_raw[[#This Row],[Column8]] * deployment_raw[[#This Row],[Column5]]) * $L$2), ($H$2 * deployment_raw[[#This Row],[Column5]])), 0),"")</f>
        <v/>
      </c>
      <c r="M8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9" s="188" t="str">
        <f>IF(ISNUMBER(deployment_raw[[#This Row],[Column14]]), deployment_raw[[#This Row],[Column14]],"")</f>
        <v/>
      </c>
      <c r="O89" s="189" t="str">
        <f>IF(ISNUMBER(deployment_raw[[#This Row],[Column15]]), deployment_raw[[#This Row],[Column15]]/1048576,"")</f>
        <v/>
      </c>
      <c r="P89" s="190" t="str">
        <f>IF(ISNUMBER(deployment_raw[[#This Row],[Column12]]), (deployment_raw[[#This Row],[Column12]] * deployment_raw[[#This Row],[Column5]]),"")</f>
        <v/>
      </c>
      <c r="Q89" s="189" t="str">
        <f>IF(ISNUMBER(deployment_raw[[#This Row],[Column13]]), (deployment_raw[[#This Row],[Column13]] * deployment_raw[[#This Row],[Column5]])/1048576,"")</f>
        <v/>
      </c>
    </row>
    <row r="90" spans="1:17" ht="15.75" customHeight="1" x14ac:dyDescent="0.25">
      <c r="A90" s="37" t="str">
        <f>IF(ISNONTEXT(deployment_raw[[#This Row],[Column1]]), "", deployment_raw[[#This Row],[Column1]])</f>
        <v/>
      </c>
      <c r="B90" s="38" t="str">
        <f>IF(ISNONTEXT(deployment_raw[[#This Row],[Column2]]), "", deployment_raw[[#This Row],[Column2]])</f>
        <v/>
      </c>
      <c r="C90" s="38" t="str">
        <f>IF(ISNONTEXT(deployment_raw[[#This Row],[Column3]]), "", deployment_raw[[#This Row],[Column3]])</f>
        <v/>
      </c>
      <c r="D90" s="38" t="str">
        <f>IF(ISNONTEXT(deployment_raw[[#This Row],[Column4]]), "", deployment_raw[[#This Row],[Column4]])</f>
        <v/>
      </c>
      <c r="E90" s="39" t="str">
        <f>IF(ISNUMBER(deployment_raw[[#This Row],[Column5]]), deployment_raw[[#This Row],[Column5]],"")</f>
        <v/>
      </c>
      <c r="F90" s="174" t="str">
        <f>IF(ISNUMBER(deployment_raw[[#This Row],[Column6]]), (deployment_raw[[#This Row],[Column6]] * deployment_raw[[#This Row],[Column5]]),"")</f>
        <v/>
      </c>
      <c r="G90" s="175" t="str">
        <f>IF(ISNUMBER(deployment_raw[[#This Row],[Column7]]), (deployment_raw[[#This Row],[Column7]] * deployment_raw[[#This Row],[Column5]])/1048576,"")</f>
        <v/>
      </c>
      <c r="H90" s="175" t="str">
        <f>IF(ISNUMBER(deployment_raw[[#This Row],[Column8]]), (deployment_raw[[#This Row],[Column8]]  * deployment_raw[[#This Row],[Column5]]),"")</f>
        <v/>
      </c>
      <c r="I90" s="176" t="str">
        <f>IF(ISNUMBER(deployment_raw[[#This Row],[Column9]]), (deployment_raw[[#This Row],[Column9]] * deployment_raw[[#This Row],[Column5]])/1048576,"")</f>
        <v/>
      </c>
      <c r="J90" s="57" t="str">
        <f>IF(ISNUMBER(deployment_raw[[#This Row],[Column10]]), (deployment_raw[[#This Row],[Column10]] * deployment_raw[[#This Row],[Column5]]),"")</f>
        <v/>
      </c>
      <c r="K90" s="58" t="str">
        <f>IF(ISNUMBER(deployment_raw[[#This Row],[Column11]]), (deployment_raw[[#This Row],[Column11]] * deployment_raw[[#This Row],[Column5]])/1048576,"")</f>
        <v/>
      </c>
      <c r="L90" s="180" t="str">
        <f>IF(ISNUMBER(deployment_raw[[#This Row],[Column8]]),IF(deployment_raw[[#This Row],[Column5]] &lt;&gt; 0, MAX((deployment_raw[[#This Row],[Column12]] * deployment_raw[[#This Row],[Column5]]), ((deployment_raw[[#This Row],[Column8]] * deployment_raw[[#This Row],[Column5]]) * $L$2), ($H$2 * deployment_raw[[#This Row],[Column5]])), 0),"")</f>
        <v/>
      </c>
      <c r="M9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0" s="188" t="str">
        <f>IF(ISNUMBER(deployment_raw[[#This Row],[Column14]]), deployment_raw[[#This Row],[Column14]],"")</f>
        <v/>
      </c>
      <c r="O90" s="189" t="str">
        <f>IF(ISNUMBER(deployment_raw[[#This Row],[Column15]]), deployment_raw[[#This Row],[Column15]]/1048576,"")</f>
        <v/>
      </c>
      <c r="P90" s="190" t="str">
        <f>IF(ISNUMBER(deployment_raw[[#This Row],[Column12]]), (deployment_raw[[#This Row],[Column12]] * deployment_raw[[#This Row],[Column5]]),"")</f>
        <v/>
      </c>
      <c r="Q90" s="189" t="str">
        <f>IF(ISNUMBER(deployment_raw[[#This Row],[Column13]]), (deployment_raw[[#This Row],[Column13]] * deployment_raw[[#This Row],[Column5]])/1048576,"")</f>
        <v/>
      </c>
    </row>
    <row r="91" spans="1:17" ht="15.75" customHeight="1" x14ac:dyDescent="0.25">
      <c r="A91" s="37" t="str">
        <f>IF(ISNONTEXT(deployment_raw[[#This Row],[Column1]]), "", deployment_raw[[#This Row],[Column1]])</f>
        <v/>
      </c>
      <c r="B91" s="38" t="str">
        <f>IF(ISNONTEXT(deployment_raw[[#This Row],[Column2]]), "", deployment_raw[[#This Row],[Column2]])</f>
        <v/>
      </c>
      <c r="C91" s="38" t="str">
        <f>IF(ISNONTEXT(deployment_raw[[#This Row],[Column3]]), "", deployment_raw[[#This Row],[Column3]])</f>
        <v/>
      </c>
      <c r="D91" s="38" t="str">
        <f>IF(ISNONTEXT(deployment_raw[[#This Row],[Column4]]), "", deployment_raw[[#This Row],[Column4]])</f>
        <v/>
      </c>
      <c r="E91" s="39" t="str">
        <f>IF(ISNUMBER(deployment_raw[[#This Row],[Column5]]), deployment_raw[[#This Row],[Column5]],"")</f>
        <v/>
      </c>
      <c r="F91" s="174" t="str">
        <f>IF(ISNUMBER(deployment_raw[[#This Row],[Column6]]), (deployment_raw[[#This Row],[Column6]] * deployment_raw[[#This Row],[Column5]]),"")</f>
        <v/>
      </c>
      <c r="G91" s="175" t="str">
        <f>IF(ISNUMBER(deployment_raw[[#This Row],[Column7]]), (deployment_raw[[#This Row],[Column7]] * deployment_raw[[#This Row],[Column5]])/1048576,"")</f>
        <v/>
      </c>
      <c r="H91" s="175" t="str">
        <f>IF(ISNUMBER(deployment_raw[[#This Row],[Column8]]), (deployment_raw[[#This Row],[Column8]]  * deployment_raw[[#This Row],[Column5]]),"")</f>
        <v/>
      </c>
      <c r="I91" s="176" t="str">
        <f>IF(ISNUMBER(deployment_raw[[#This Row],[Column9]]), (deployment_raw[[#This Row],[Column9]] * deployment_raw[[#This Row],[Column5]])/1048576,"")</f>
        <v/>
      </c>
      <c r="J91" s="57" t="str">
        <f>IF(ISNUMBER(deployment_raw[[#This Row],[Column10]]), (deployment_raw[[#This Row],[Column10]] * deployment_raw[[#This Row],[Column5]]),"")</f>
        <v/>
      </c>
      <c r="K91" s="58" t="str">
        <f>IF(ISNUMBER(deployment_raw[[#This Row],[Column11]]), (deployment_raw[[#This Row],[Column11]] * deployment_raw[[#This Row],[Column5]])/1048576,"")</f>
        <v/>
      </c>
      <c r="L91" s="180" t="str">
        <f>IF(ISNUMBER(deployment_raw[[#This Row],[Column8]]),IF(deployment_raw[[#This Row],[Column5]] &lt;&gt; 0, MAX((deployment_raw[[#This Row],[Column12]] * deployment_raw[[#This Row],[Column5]]), ((deployment_raw[[#This Row],[Column8]] * deployment_raw[[#This Row],[Column5]]) * $L$2), ($H$2 * deployment_raw[[#This Row],[Column5]])), 0),"")</f>
        <v/>
      </c>
      <c r="M9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1" s="188" t="str">
        <f>IF(ISNUMBER(deployment_raw[[#This Row],[Column14]]), deployment_raw[[#This Row],[Column14]],"")</f>
        <v/>
      </c>
      <c r="O91" s="189" t="str">
        <f>IF(ISNUMBER(deployment_raw[[#This Row],[Column15]]), deployment_raw[[#This Row],[Column15]]/1048576,"")</f>
        <v/>
      </c>
      <c r="P91" s="190" t="str">
        <f>IF(ISNUMBER(deployment_raw[[#This Row],[Column12]]), (deployment_raw[[#This Row],[Column12]] * deployment_raw[[#This Row],[Column5]]),"")</f>
        <v/>
      </c>
      <c r="Q91" s="189" t="str">
        <f>IF(ISNUMBER(deployment_raw[[#This Row],[Column13]]), (deployment_raw[[#This Row],[Column13]] * deployment_raw[[#This Row],[Column5]])/1048576,"")</f>
        <v/>
      </c>
    </row>
    <row r="92" spans="1:17" ht="15.75" customHeight="1" x14ac:dyDescent="0.25">
      <c r="A92" s="37" t="str">
        <f>IF(ISNONTEXT(deployment_raw[[#This Row],[Column1]]), "", deployment_raw[[#This Row],[Column1]])</f>
        <v/>
      </c>
      <c r="B92" s="38" t="str">
        <f>IF(ISNONTEXT(deployment_raw[[#This Row],[Column2]]), "", deployment_raw[[#This Row],[Column2]])</f>
        <v/>
      </c>
      <c r="C92" s="38" t="str">
        <f>IF(ISNONTEXT(deployment_raw[[#This Row],[Column3]]), "", deployment_raw[[#This Row],[Column3]])</f>
        <v/>
      </c>
      <c r="D92" s="38" t="str">
        <f>IF(ISNONTEXT(deployment_raw[[#This Row],[Column4]]), "", deployment_raw[[#This Row],[Column4]])</f>
        <v/>
      </c>
      <c r="E92" s="39" t="str">
        <f>IF(ISNUMBER(deployment_raw[[#This Row],[Column5]]), deployment_raw[[#This Row],[Column5]],"")</f>
        <v/>
      </c>
      <c r="F92" s="174" t="str">
        <f>IF(ISNUMBER(deployment_raw[[#This Row],[Column6]]), (deployment_raw[[#This Row],[Column6]] * deployment_raw[[#This Row],[Column5]]),"")</f>
        <v/>
      </c>
      <c r="G92" s="175" t="str">
        <f>IF(ISNUMBER(deployment_raw[[#This Row],[Column7]]), (deployment_raw[[#This Row],[Column7]] * deployment_raw[[#This Row],[Column5]])/1048576,"")</f>
        <v/>
      </c>
      <c r="H92" s="175" t="str">
        <f>IF(ISNUMBER(deployment_raw[[#This Row],[Column8]]), (deployment_raw[[#This Row],[Column8]]  * deployment_raw[[#This Row],[Column5]]),"")</f>
        <v/>
      </c>
      <c r="I92" s="176" t="str">
        <f>IF(ISNUMBER(deployment_raw[[#This Row],[Column9]]), (deployment_raw[[#This Row],[Column9]] * deployment_raw[[#This Row],[Column5]])/1048576,"")</f>
        <v/>
      </c>
      <c r="J92" s="57" t="str">
        <f>IF(ISNUMBER(deployment_raw[[#This Row],[Column10]]), (deployment_raw[[#This Row],[Column10]] * deployment_raw[[#This Row],[Column5]]),"")</f>
        <v/>
      </c>
      <c r="K92" s="58" t="str">
        <f>IF(ISNUMBER(deployment_raw[[#This Row],[Column11]]), (deployment_raw[[#This Row],[Column11]] * deployment_raw[[#This Row],[Column5]])/1048576,"")</f>
        <v/>
      </c>
      <c r="L92" s="180" t="str">
        <f>IF(ISNUMBER(deployment_raw[[#This Row],[Column8]]),IF(deployment_raw[[#This Row],[Column5]] &lt;&gt; 0, MAX((deployment_raw[[#This Row],[Column12]] * deployment_raw[[#This Row],[Column5]]), ((deployment_raw[[#This Row],[Column8]] * deployment_raw[[#This Row],[Column5]]) * $L$2), ($H$2 * deployment_raw[[#This Row],[Column5]])), 0),"")</f>
        <v/>
      </c>
      <c r="M9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2" s="188" t="str">
        <f>IF(ISNUMBER(deployment_raw[[#This Row],[Column14]]), deployment_raw[[#This Row],[Column14]],"")</f>
        <v/>
      </c>
      <c r="O92" s="189" t="str">
        <f>IF(ISNUMBER(deployment_raw[[#This Row],[Column15]]), deployment_raw[[#This Row],[Column15]]/1048576,"")</f>
        <v/>
      </c>
      <c r="P92" s="190" t="str">
        <f>IF(ISNUMBER(deployment_raw[[#This Row],[Column12]]), (deployment_raw[[#This Row],[Column12]] * deployment_raw[[#This Row],[Column5]]),"")</f>
        <v/>
      </c>
      <c r="Q92" s="189" t="str">
        <f>IF(ISNUMBER(deployment_raw[[#This Row],[Column13]]), (deployment_raw[[#This Row],[Column13]] * deployment_raw[[#This Row],[Column5]])/1048576,"")</f>
        <v/>
      </c>
    </row>
    <row r="93" spans="1:17" ht="15.75" customHeight="1" x14ac:dyDescent="0.25">
      <c r="A93" s="37" t="str">
        <f>IF(ISNONTEXT(deployment_raw[[#This Row],[Column1]]), "", deployment_raw[[#This Row],[Column1]])</f>
        <v/>
      </c>
      <c r="B93" s="38" t="str">
        <f>IF(ISNONTEXT(deployment_raw[[#This Row],[Column2]]), "", deployment_raw[[#This Row],[Column2]])</f>
        <v/>
      </c>
      <c r="C93" s="38" t="str">
        <f>IF(ISNONTEXT(deployment_raw[[#This Row],[Column3]]), "", deployment_raw[[#This Row],[Column3]])</f>
        <v/>
      </c>
      <c r="D93" s="38" t="str">
        <f>IF(ISNONTEXT(deployment_raw[[#This Row],[Column4]]), "", deployment_raw[[#This Row],[Column4]])</f>
        <v/>
      </c>
      <c r="E93" s="39" t="str">
        <f>IF(ISNUMBER(deployment_raw[[#This Row],[Column5]]), deployment_raw[[#This Row],[Column5]],"")</f>
        <v/>
      </c>
      <c r="F93" s="174" t="str">
        <f>IF(ISNUMBER(deployment_raw[[#This Row],[Column6]]), (deployment_raw[[#This Row],[Column6]] * deployment_raw[[#This Row],[Column5]]),"")</f>
        <v/>
      </c>
      <c r="G93" s="175" t="str">
        <f>IF(ISNUMBER(deployment_raw[[#This Row],[Column7]]), (deployment_raw[[#This Row],[Column7]] * deployment_raw[[#This Row],[Column5]])/1048576,"")</f>
        <v/>
      </c>
      <c r="H93" s="175" t="str">
        <f>IF(ISNUMBER(deployment_raw[[#This Row],[Column8]]), (deployment_raw[[#This Row],[Column8]]  * deployment_raw[[#This Row],[Column5]]),"")</f>
        <v/>
      </c>
      <c r="I93" s="176" t="str">
        <f>IF(ISNUMBER(deployment_raw[[#This Row],[Column9]]), (deployment_raw[[#This Row],[Column9]] * deployment_raw[[#This Row],[Column5]])/1048576,"")</f>
        <v/>
      </c>
      <c r="J93" s="57" t="str">
        <f>IF(ISNUMBER(deployment_raw[[#This Row],[Column10]]), (deployment_raw[[#This Row],[Column10]] * deployment_raw[[#This Row],[Column5]]),"")</f>
        <v/>
      </c>
      <c r="K93" s="58" t="str">
        <f>IF(ISNUMBER(deployment_raw[[#This Row],[Column11]]), (deployment_raw[[#This Row],[Column11]] * deployment_raw[[#This Row],[Column5]])/1048576,"")</f>
        <v/>
      </c>
      <c r="L93" s="180" t="str">
        <f>IF(ISNUMBER(deployment_raw[[#This Row],[Column8]]),IF(deployment_raw[[#This Row],[Column5]] &lt;&gt; 0, MAX((deployment_raw[[#This Row],[Column12]] * deployment_raw[[#This Row],[Column5]]), ((deployment_raw[[#This Row],[Column8]] * deployment_raw[[#This Row],[Column5]]) * $L$2), ($H$2 * deployment_raw[[#This Row],[Column5]])), 0),"")</f>
        <v/>
      </c>
      <c r="M9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3" s="188" t="str">
        <f>IF(ISNUMBER(deployment_raw[[#This Row],[Column14]]), deployment_raw[[#This Row],[Column14]],"")</f>
        <v/>
      </c>
      <c r="O93" s="189" t="str">
        <f>IF(ISNUMBER(deployment_raw[[#This Row],[Column15]]), deployment_raw[[#This Row],[Column15]]/1048576,"")</f>
        <v/>
      </c>
      <c r="P93" s="190" t="str">
        <f>IF(ISNUMBER(deployment_raw[[#This Row],[Column12]]), (deployment_raw[[#This Row],[Column12]] * deployment_raw[[#This Row],[Column5]]),"")</f>
        <v/>
      </c>
      <c r="Q93" s="189" t="str">
        <f>IF(ISNUMBER(deployment_raw[[#This Row],[Column13]]), (deployment_raw[[#This Row],[Column13]] * deployment_raw[[#This Row],[Column5]])/1048576,"")</f>
        <v/>
      </c>
    </row>
    <row r="94" spans="1:17" ht="15.75" customHeight="1" x14ac:dyDescent="0.25">
      <c r="A94" s="37" t="str">
        <f>IF(ISNONTEXT(deployment_raw[[#This Row],[Column1]]), "", deployment_raw[[#This Row],[Column1]])</f>
        <v/>
      </c>
      <c r="B94" s="38" t="str">
        <f>IF(ISNONTEXT(deployment_raw[[#This Row],[Column2]]), "", deployment_raw[[#This Row],[Column2]])</f>
        <v/>
      </c>
      <c r="C94" s="38" t="str">
        <f>IF(ISNONTEXT(deployment_raw[[#This Row],[Column3]]), "", deployment_raw[[#This Row],[Column3]])</f>
        <v/>
      </c>
      <c r="D94" s="38" t="str">
        <f>IF(ISNONTEXT(deployment_raw[[#This Row],[Column4]]), "", deployment_raw[[#This Row],[Column4]])</f>
        <v/>
      </c>
      <c r="E94" s="39" t="str">
        <f>IF(ISNUMBER(deployment_raw[[#This Row],[Column5]]), deployment_raw[[#This Row],[Column5]],"")</f>
        <v/>
      </c>
      <c r="F94" s="174" t="str">
        <f>IF(ISNUMBER(deployment_raw[[#This Row],[Column6]]), (deployment_raw[[#This Row],[Column6]] * deployment_raw[[#This Row],[Column5]]),"")</f>
        <v/>
      </c>
      <c r="G94" s="175" t="str">
        <f>IF(ISNUMBER(deployment_raw[[#This Row],[Column7]]), (deployment_raw[[#This Row],[Column7]] * deployment_raw[[#This Row],[Column5]])/1048576,"")</f>
        <v/>
      </c>
      <c r="H94" s="175" t="str">
        <f>IF(ISNUMBER(deployment_raw[[#This Row],[Column8]]), (deployment_raw[[#This Row],[Column8]]  * deployment_raw[[#This Row],[Column5]]),"")</f>
        <v/>
      </c>
      <c r="I94" s="176" t="str">
        <f>IF(ISNUMBER(deployment_raw[[#This Row],[Column9]]), (deployment_raw[[#This Row],[Column9]] * deployment_raw[[#This Row],[Column5]])/1048576,"")</f>
        <v/>
      </c>
      <c r="J94" s="57" t="str">
        <f>IF(ISNUMBER(deployment_raw[[#This Row],[Column10]]), (deployment_raw[[#This Row],[Column10]] * deployment_raw[[#This Row],[Column5]]),"")</f>
        <v/>
      </c>
      <c r="K94" s="58" t="str">
        <f>IF(ISNUMBER(deployment_raw[[#This Row],[Column11]]), (deployment_raw[[#This Row],[Column11]] * deployment_raw[[#This Row],[Column5]])/1048576,"")</f>
        <v/>
      </c>
      <c r="L94" s="180" t="str">
        <f>IF(ISNUMBER(deployment_raw[[#This Row],[Column8]]),IF(deployment_raw[[#This Row],[Column5]] &lt;&gt; 0, MAX((deployment_raw[[#This Row],[Column12]] * deployment_raw[[#This Row],[Column5]]), ((deployment_raw[[#This Row],[Column8]] * deployment_raw[[#This Row],[Column5]]) * $L$2), ($H$2 * deployment_raw[[#This Row],[Column5]])), 0),"")</f>
        <v/>
      </c>
      <c r="M9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4" s="188" t="str">
        <f>IF(ISNUMBER(deployment_raw[[#This Row],[Column14]]), deployment_raw[[#This Row],[Column14]],"")</f>
        <v/>
      </c>
      <c r="O94" s="189" t="str">
        <f>IF(ISNUMBER(deployment_raw[[#This Row],[Column15]]), deployment_raw[[#This Row],[Column15]]/1048576,"")</f>
        <v/>
      </c>
      <c r="P94" s="190" t="str">
        <f>IF(ISNUMBER(deployment_raw[[#This Row],[Column12]]), (deployment_raw[[#This Row],[Column12]] * deployment_raw[[#This Row],[Column5]]),"")</f>
        <v/>
      </c>
      <c r="Q94" s="189" t="str">
        <f>IF(ISNUMBER(deployment_raw[[#This Row],[Column13]]), (deployment_raw[[#This Row],[Column13]] * deployment_raw[[#This Row],[Column5]])/1048576,"")</f>
        <v/>
      </c>
    </row>
    <row r="95" spans="1:17" ht="15.75" customHeight="1" x14ac:dyDescent="0.25">
      <c r="A95" s="37" t="str">
        <f>IF(ISNONTEXT(deployment_raw[[#This Row],[Column1]]), "", deployment_raw[[#This Row],[Column1]])</f>
        <v/>
      </c>
      <c r="B95" s="38" t="str">
        <f>IF(ISNONTEXT(deployment_raw[[#This Row],[Column2]]), "", deployment_raw[[#This Row],[Column2]])</f>
        <v/>
      </c>
      <c r="C95" s="38" t="str">
        <f>IF(ISNONTEXT(deployment_raw[[#This Row],[Column3]]), "", deployment_raw[[#This Row],[Column3]])</f>
        <v/>
      </c>
      <c r="D95" s="38" t="str">
        <f>IF(ISNONTEXT(deployment_raw[[#This Row],[Column4]]), "", deployment_raw[[#This Row],[Column4]])</f>
        <v/>
      </c>
      <c r="E95" s="39" t="str">
        <f>IF(ISNUMBER(deployment_raw[[#This Row],[Column5]]), deployment_raw[[#This Row],[Column5]],"")</f>
        <v/>
      </c>
      <c r="F95" s="174" t="str">
        <f>IF(ISNUMBER(deployment_raw[[#This Row],[Column6]]), (deployment_raw[[#This Row],[Column6]] * deployment_raw[[#This Row],[Column5]]),"")</f>
        <v/>
      </c>
      <c r="G95" s="175" t="str">
        <f>IF(ISNUMBER(deployment_raw[[#This Row],[Column7]]), (deployment_raw[[#This Row],[Column7]] * deployment_raw[[#This Row],[Column5]])/1048576,"")</f>
        <v/>
      </c>
      <c r="H95" s="175" t="str">
        <f>IF(ISNUMBER(deployment_raw[[#This Row],[Column8]]), (deployment_raw[[#This Row],[Column8]]  * deployment_raw[[#This Row],[Column5]]),"")</f>
        <v/>
      </c>
      <c r="I95" s="176" t="str">
        <f>IF(ISNUMBER(deployment_raw[[#This Row],[Column9]]), (deployment_raw[[#This Row],[Column9]] * deployment_raw[[#This Row],[Column5]])/1048576,"")</f>
        <v/>
      </c>
      <c r="J95" s="57" t="str">
        <f>IF(ISNUMBER(deployment_raw[[#This Row],[Column10]]), (deployment_raw[[#This Row],[Column10]] * deployment_raw[[#This Row],[Column5]]),"")</f>
        <v/>
      </c>
      <c r="K95" s="58" t="str">
        <f>IF(ISNUMBER(deployment_raw[[#This Row],[Column11]]), (deployment_raw[[#This Row],[Column11]] * deployment_raw[[#This Row],[Column5]])/1048576,"")</f>
        <v/>
      </c>
      <c r="L95" s="180" t="str">
        <f>IF(ISNUMBER(deployment_raw[[#This Row],[Column8]]),IF(deployment_raw[[#This Row],[Column5]] &lt;&gt; 0, MAX((deployment_raw[[#This Row],[Column12]] * deployment_raw[[#This Row],[Column5]]), ((deployment_raw[[#This Row],[Column8]] * deployment_raw[[#This Row],[Column5]]) * $L$2), ($H$2 * deployment_raw[[#This Row],[Column5]])), 0),"")</f>
        <v/>
      </c>
      <c r="M9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5" s="188" t="str">
        <f>IF(ISNUMBER(deployment_raw[[#This Row],[Column14]]), deployment_raw[[#This Row],[Column14]],"")</f>
        <v/>
      </c>
      <c r="O95" s="189" t="str">
        <f>IF(ISNUMBER(deployment_raw[[#This Row],[Column15]]), deployment_raw[[#This Row],[Column15]]/1048576,"")</f>
        <v/>
      </c>
      <c r="P95" s="190" t="str">
        <f>IF(ISNUMBER(deployment_raw[[#This Row],[Column12]]), (deployment_raw[[#This Row],[Column12]] * deployment_raw[[#This Row],[Column5]]),"")</f>
        <v/>
      </c>
      <c r="Q95" s="189" t="str">
        <f>IF(ISNUMBER(deployment_raw[[#This Row],[Column13]]), (deployment_raw[[#This Row],[Column13]] * deployment_raw[[#This Row],[Column5]])/1048576,"")</f>
        <v/>
      </c>
    </row>
    <row r="96" spans="1:17" ht="15.75" customHeight="1" x14ac:dyDescent="0.25">
      <c r="A96" s="37" t="str">
        <f>IF(ISNONTEXT(deployment_raw[[#This Row],[Column1]]), "", deployment_raw[[#This Row],[Column1]])</f>
        <v/>
      </c>
      <c r="B96" s="38" t="str">
        <f>IF(ISNONTEXT(deployment_raw[[#This Row],[Column2]]), "", deployment_raw[[#This Row],[Column2]])</f>
        <v/>
      </c>
      <c r="C96" s="38" t="str">
        <f>IF(ISNONTEXT(deployment_raw[[#This Row],[Column3]]), "", deployment_raw[[#This Row],[Column3]])</f>
        <v/>
      </c>
      <c r="D96" s="38" t="str">
        <f>IF(ISNONTEXT(deployment_raw[[#This Row],[Column4]]), "", deployment_raw[[#This Row],[Column4]])</f>
        <v/>
      </c>
      <c r="E96" s="39" t="str">
        <f>IF(ISNUMBER(deployment_raw[[#This Row],[Column5]]), deployment_raw[[#This Row],[Column5]],"")</f>
        <v/>
      </c>
      <c r="F96" s="174" t="str">
        <f>IF(ISNUMBER(deployment_raw[[#This Row],[Column6]]), (deployment_raw[[#This Row],[Column6]] * deployment_raw[[#This Row],[Column5]]),"")</f>
        <v/>
      </c>
      <c r="G96" s="175" t="str">
        <f>IF(ISNUMBER(deployment_raw[[#This Row],[Column7]]), (deployment_raw[[#This Row],[Column7]] * deployment_raw[[#This Row],[Column5]])/1048576,"")</f>
        <v/>
      </c>
      <c r="H96" s="175" t="str">
        <f>IF(ISNUMBER(deployment_raw[[#This Row],[Column8]]), (deployment_raw[[#This Row],[Column8]]  * deployment_raw[[#This Row],[Column5]]),"")</f>
        <v/>
      </c>
      <c r="I96" s="176" t="str">
        <f>IF(ISNUMBER(deployment_raw[[#This Row],[Column9]]), (deployment_raw[[#This Row],[Column9]] * deployment_raw[[#This Row],[Column5]])/1048576,"")</f>
        <v/>
      </c>
      <c r="J96" s="57" t="str">
        <f>IF(ISNUMBER(deployment_raw[[#This Row],[Column10]]), (deployment_raw[[#This Row],[Column10]] * deployment_raw[[#This Row],[Column5]]),"")</f>
        <v/>
      </c>
      <c r="K96" s="58" t="str">
        <f>IF(ISNUMBER(deployment_raw[[#This Row],[Column11]]), (deployment_raw[[#This Row],[Column11]] * deployment_raw[[#This Row],[Column5]])/1048576,"")</f>
        <v/>
      </c>
      <c r="L96" s="180" t="str">
        <f>IF(ISNUMBER(deployment_raw[[#This Row],[Column8]]),IF(deployment_raw[[#This Row],[Column5]] &lt;&gt; 0, MAX((deployment_raw[[#This Row],[Column12]] * deployment_raw[[#This Row],[Column5]]), ((deployment_raw[[#This Row],[Column8]] * deployment_raw[[#This Row],[Column5]]) * $L$2), ($H$2 * deployment_raw[[#This Row],[Column5]])), 0),"")</f>
        <v/>
      </c>
      <c r="M9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6" s="188" t="str">
        <f>IF(ISNUMBER(deployment_raw[[#This Row],[Column14]]), deployment_raw[[#This Row],[Column14]],"")</f>
        <v/>
      </c>
      <c r="O96" s="189" t="str">
        <f>IF(ISNUMBER(deployment_raw[[#This Row],[Column15]]), deployment_raw[[#This Row],[Column15]]/1048576,"")</f>
        <v/>
      </c>
      <c r="P96" s="190" t="str">
        <f>IF(ISNUMBER(deployment_raw[[#This Row],[Column12]]), (deployment_raw[[#This Row],[Column12]] * deployment_raw[[#This Row],[Column5]]),"")</f>
        <v/>
      </c>
      <c r="Q96" s="189" t="str">
        <f>IF(ISNUMBER(deployment_raw[[#This Row],[Column13]]), (deployment_raw[[#This Row],[Column13]] * deployment_raw[[#This Row],[Column5]])/1048576,"")</f>
        <v/>
      </c>
    </row>
    <row r="97" spans="1:17" ht="15.75" customHeight="1" x14ac:dyDescent="0.25">
      <c r="A97" s="37" t="str">
        <f>IF(ISNONTEXT(deployment_raw[[#This Row],[Column1]]), "", deployment_raw[[#This Row],[Column1]])</f>
        <v/>
      </c>
      <c r="B97" s="38" t="str">
        <f>IF(ISNONTEXT(deployment_raw[[#This Row],[Column2]]), "", deployment_raw[[#This Row],[Column2]])</f>
        <v/>
      </c>
      <c r="C97" s="38" t="str">
        <f>IF(ISNONTEXT(deployment_raw[[#This Row],[Column3]]), "", deployment_raw[[#This Row],[Column3]])</f>
        <v/>
      </c>
      <c r="D97" s="38" t="str">
        <f>IF(ISNONTEXT(deployment_raw[[#This Row],[Column4]]), "", deployment_raw[[#This Row],[Column4]])</f>
        <v/>
      </c>
      <c r="E97" s="39" t="str">
        <f>IF(ISNUMBER(deployment_raw[[#This Row],[Column5]]), deployment_raw[[#This Row],[Column5]],"")</f>
        <v/>
      </c>
      <c r="F97" s="174" t="str">
        <f>IF(ISNUMBER(deployment_raw[[#This Row],[Column6]]), (deployment_raw[[#This Row],[Column6]] * deployment_raw[[#This Row],[Column5]]),"")</f>
        <v/>
      </c>
      <c r="G97" s="175" t="str">
        <f>IF(ISNUMBER(deployment_raw[[#This Row],[Column7]]), (deployment_raw[[#This Row],[Column7]] * deployment_raw[[#This Row],[Column5]])/1048576,"")</f>
        <v/>
      </c>
      <c r="H97" s="175" t="str">
        <f>IF(ISNUMBER(deployment_raw[[#This Row],[Column8]]), (deployment_raw[[#This Row],[Column8]]  * deployment_raw[[#This Row],[Column5]]),"")</f>
        <v/>
      </c>
      <c r="I97" s="176" t="str">
        <f>IF(ISNUMBER(deployment_raw[[#This Row],[Column9]]), (deployment_raw[[#This Row],[Column9]] * deployment_raw[[#This Row],[Column5]])/1048576,"")</f>
        <v/>
      </c>
      <c r="J97" s="57" t="str">
        <f>IF(ISNUMBER(deployment_raw[[#This Row],[Column10]]), (deployment_raw[[#This Row],[Column10]] * deployment_raw[[#This Row],[Column5]]),"")</f>
        <v/>
      </c>
      <c r="K97" s="58" t="str">
        <f>IF(ISNUMBER(deployment_raw[[#This Row],[Column11]]), (deployment_raw[[#This Row],[Column11]] * deployment_raw[[#This Row],[Column5]])/1048576,"")</f>
        <v/>
      </c>
      <c r="L97" s="180" t="str">
        <f>IF(ISNUMBER(deployment_raw[[#This Row],[Column8]]),IF(deployment_raw[[#This Row],[Column5]] &lt;&gt; 0, MAX((deployment_raw[[#This Row],[Column12]] * deployment_raw[[#This Row],[Column5]]), ((deployment_raw[[#This Row],[Column8]] * deployment_raw[[#This Row],[Column5]]) * $L$2), ($H$2 * deployment_raw[[#This Row],[Column5]])), 0),"")</f>
        <v/>
      </c>
      <c r="M9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7" s="188" t="str">
        <f>IF(ISNUMBER(deployment_raw[[#This Row],[Column14]]), deployment_raw[[#This Row],[Column14]],"")</f>
        <v/>
      </c>
      <c r="O97" s="189" t="str">
        <f>IF(ISNUMBER(deployment_raw[[#This Row],[Column15]]), deployment_raw[[#This Row],[Column15]]/1048576,"")</f>
        <v/>
      </c>
      <c r="P97" s="190" t="str">
        <f>IF(ISNUMBER(deployment_raw[[#This Row],[Column12]]), (deployment_raw[[#This Row],[Column12]] * deployment_raw[[#This Row],[Column5]]),"")</f>
        <v/>
      </c>
      <c r="Q97" s="189" t="str">
        <f>IF(ISNUMBER(deployment_raw[[#This Row],[Column13]]), (deployment_raw[[#This Row],[Column13]] * deployment_raw[[#This Row],[Column5]])/1048576,"")</f>
        <v/>
      </c>
    </row>
    <row r="98" spans="1:17" ht="15.75" customHeight="1" x14ac:dyDescent="0.25">
      <c r="A98" s="37" t="str">
        <f>IF(ISNONTEXT(deployment_raw[[#This Row],[Column1]]), "", deployment_raw[[#This Row],[Column1]])</f>
        <v/>
      </c>
      <c r="B98" s="38" t="str">
        <f>IF(ISNONTEXT(deployment_raw[[#This Row],[Column2]]), "", deployment_raw[[#This Row],[Column2]])</f>
        <v/>
      </c>
      <c r="C98" s="38" t="str">
        <f>IF(ISNONTEXT(deployment_raw[[#This Row],[Column3]]), "", deployment_raw[[#This Row],[Column3]])</f>
        <v/>
      </c>
      <c r="D98" s="38" t="str">
        <f>IF(ISNONTEXT(deployment_raw[[#This Row],[Column4]]), "", deployment_raw[[#This Row],[Column4]])</f>
        <v/>
      </c>
      <c r="E98" s="39" t="str">
        <f>IF(ISNUMBER(deployment_raw[[#This Row],[Column5]]), deployment_raw[[#This Row],[Column5]],"")</f>
        <v/>
      </c>
      <c r="F98" s="174" t="str">
        <f>IF(ISNUMBER(deployment_raw[[#This Row],[Column6]]), (deployment_raw[[#This Row],[Column6]] * deployment_raw[[#This Row],[Column5]]),"")</f>
        <v/>
      </c>
      <c r="G98" s="175" t="str">
        <f>IF(ISNUMBER(deployment_raw[[#This Row],[Column7]]), (deployment_raw[[#This Row],[Column7]] * deployment_raw[[#This Row],[Column5]])/1048576,"")</f>
        <v/>
      </c>
      <c r="H98" s="175" t="str">
        <f>IF(ISNUMBER(deployment_raw[[#This Row],[Column8]]), (deployment_raw[[#This Row],[Column8]]  * deployment_raw[[#This Row],[Column5]]),"")</f>
        <v/>
      </c>
      <c r="I98" s="176" t="str">
        <f>IF(ISNUMBER(deployment_raw[[#This Row],[Column9]]), (deployment_raw[[#This Row],[Column9]] * deployment_raw[[#This Row],[Column5]])/1048576,"")</f>
        <v/>
      </c>
      <c r="J98" s="57" t="str">
        <f>IF(ISNUMBER(deployment_raw[[#This Row],[Column10]]), (deployment_raw[[#This Row],[Column10]] * deployment_raw[[#This Row],[Column5]]),"")</f>
        <v/>
      </c>
      <c r="K98" s="58" t="str">
        <f>IF(ISNUMBER(deployment_raw[[#This Row],[Column11]]), (deployment_raw[[#This Row],[Column11]] * deployment_raw[[#This Row],[Column5]])/1048576,"")</f>
        <v/>
      </c>
      <c r="L98" s="180" t="str">
        <f>IF(ISNUMBER(deployment_raw[[#This Row],[Column8]]),IF(deployment_raw[[#This Row],[Column5]] &lt;&gt; 0, MAX((deployment_raw[[#This Row],[Column12]] * deployment_raw[[#This Row],[Column5]]), ((deployment_raw[[#This Row],[Column8]] * deployment_raw[[#This Row],[Column5]]) * $L$2), ($H$2 * deployment_raw[[#This Row],[Column5]])), 0),"")</f>
        <v/>
      </c>
      <c r="M9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8" s="188" t="str">
        <f>IF(ISNUMBER(deployment_raw[[#This Row],[Column14]]), deployment_raw[[#This Row],[Column14]],"")</f>
        <v/>
      </c>
      <c r="O98" s="189" t="str">
        <f>IF(ISNUMBER(deployment_raw[[#This Row],[Column15]]), deployment_raw[[#This Row],[Column15]]/1048576,"")</f>
        <v/>
      </c>
      <c r="P98" s="190" t="str">
        <f>IF(ISNUMBER(deployment_raw[[#This Row],[Column12]]), (deployment_raw[[#This Row],[Column12]] * deployment_raw[[#This Row],[Column5]]),"")</f>
        <v/>
      </c>
      <c r="Q98" s="189" t="str">
        <f>IF(ISNUMBER(deployment_raw[[#This Row],[Column13]]), (deployment_raw[[#This Row],[Column13]] * deployment_raw[[#This Row],[Column5]])/1048576,"")</f>
        <v/>
      </c>
    </row>
    <row r="99" spans="1:17" ht="15.75" customHeight="1" x14ac:dyDescent="0.25">
      <c r="A99" s="37" t="str">
        <f>IF(ISNONTEXT(deployment_raw[[#This Row],[Column1]]), "", deployment_raw[[#This Row],[Column1]])</f>
        <v/>
      </c>
      <c r="B99" s="38" t="str">
        <f>IF(ISNONTEXT(deployment_raw[[#This Row],[Column2]]), "", deployment_raw[[#This Row],[Column2]])</f>
        <v/>
      </c>
      <c r="C99" s="38" t="str">
        <f>IF(ISNONTEXT(deployment_raw[[#This Row],[Column3]]), "", deployment_raw[[#This Row],[Column3]])</f>
        <v/>
      </c>
      <c r="D99" s="38" t="str">
        <f>IF(ISNONTEXT(deployment_raw[[#This Row],[Column4]]), "", deployment_raw[[#This Row],[Column4]])</f>
        <v/>
      </c>
      <c r="E99" s="39" t="str">
        <f>IF(ISNUMBER(deployment_raw[[#This Row],[Column5]]), deployment_raw[[#This Row],[Column5]],"")</f>
        <v/>
      </c>
      <c r="F99" s="174" t="str">
        <f>IF(ISNUMBER(deployment_raw[[#This Row],[Column6]]), (deployment_raw[[#This Row],[Column6]] * deployment_raw[[#This Row],[Column5]]),"")</f>
        <v/>
      </c>
      <c r="G99" s="175" t="str">
        <f>IF(ISNUMBER(deployment_raw[[#This Row],[Column7]]), (deployment_raw[[#This Row],[Column7]] * deployment_raw[[#This Row],[Column5]])/1048576,"")</f>
        <v/>
      </c>
      <c r="H99" s="175" t="str">
        <f>IF(ISNUMBER(deployment_raw[[#This Row],[Column8]]), (deployment_raw[[#This Row],[Column8]]  * deployment_raw[[#This Row],[Column5]]),"")</f>
        <v/>
      </c>
      <c r="I99" s="176" t="str">
        <f>IF(ISNUMBER(deployment_raw[[#This Row],[Column9]]), (deployment_raw[[#This Row],[Column9]] * deployment_raw[[#This Row],[Column5]])/1048576,"")</f>
        <v/>
      </c>
      <c r="J99" s="57" t="str">
        <f>IF(ISNUMBER(deployment_raw[[#This Row],[Column10]]), (deployment_raw[[#This Row],[Column10]] * deployment_raw[[#This Row],[Column5]]),"")</f>
        <v/>
      </c>
      <c r="K99" s="58" t="str">
        <f>IF(ISNUMBER(deployment_raw[[#This Row],[Column11]]), (deployment_raw[[#This Row],[Column11]] * deployment_raw[[#This Row],[Column5]])/1048576,"")</f>
        <v/>
      </c>
      <c r="L99" s="180" t="str">
        <f>IF(ISNUMBER(deployment_raw[[#This Row],[Column8]]),IF(deployment_raw[[#This Row],[Column5]] &lt;&gt; 0, MAX((deployment_raw[[#This Row],[Column12]] * deployment_raw[[#This Row],[Column5]]), ((deployment_raw[[#This Row],[Column8]] * deployment_raw[[#This Row],[Column5]]) * $L$2), ($H$2 * deployment_raw[[#This Row],[Column5]])), 0),"")</f>
        <v/>
      </c>
      <c r="M9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9" s="188" t="str">
        <f>IF(ISNUMBER(deployment_raw[[#This Row],[Column14]]), deployment_raw[[#This Row],[Column14]],"")</f>
        <v/>
      </c>
      <c r="O99" s="189" t="str">
        <f>IF(ISNUMBER(deployment_raw[[#This Row],[Column15]]), deployment_raw[[#This Row],[Column15]]/1048576,"")</f>
        <v/>
      </c>
      <c r="P99" s="190" t="str">
        <f>IF(ISNUMBER(deployment_raw[[#This Row],[Column12]]), (deployment_raw[[#This Row],[Column12]] * deployment_raw[[#This Row],[Column5]]),"")</f>
        <v/>
      </c>
      <c r="Q99" s="189" t="str">
        <f>IF(ISNUMBER(deployment_raw[[#This Row],[Column13]]), (deployment_raw[[#This Row],[Column13]] * deployment_raw[[#This Row],[Column5]])/1048576,"")</f>
        <v/>
      </c>
    </row>
    <row r="100" spans="1:17" ht="15.75" customHeight="1" x14ac:dyDescent="0.25">
      <c r="A100" s="37" t="str">
        <f>IF(ISNONTEXT(deployment_raw[[#This Row],[Column1]]), "", deployment_raw[[#This Row],[Column1]])</f>
        <v/>
      </c>
      <c r="B100" s="38" t="str">
        <f>IF(ISNONTEXT(deployment_raw[[#This Row],[Column2]]), "", deployment_raw[[#This Row],[Column2]])</f>
        <v/>
      </c>
      <c r="C100" s="38" t="str">
        <f>IF(ISNONTEXT(deployment_raw[[#This Row],[Column3]]), "", deployment_raw[[#This Row],[Column3]])</f>
        <v/>
      </c>
      <c r="D100" s="38" t="str">
        <f>IF(ISNONTEXT(deployment_raw[[#This Row],[Column4]]), "", deployment_raw[[#This Row],[Column4]])</f>
        <v/>
      </c>
      <c r="E100" s="39" t="str">
        <f>IF(ISNUMBER(deployment_raw[[#This Row],[Column5]]), deployment_raw[[#This Row],[Column5]],"")</f>
        <v/>
      </c>
      <c r="F100" s="174" t="str">
        <f>IF(ISNUMBER(deployment_raw[[#This Row],[Column6]]), (deployment_raw[[#This Row],[Column6]] * deployment_raw[[#This Row],[Column5]]),"")</f>
        <v/>
      </c>
      <c r="G100" s="175" t="str">
        <f>IF(ISNUMBER(deployment_raw[[#This Row],[Column7]]), (deployment_raw[[#This Row],[Column7]] * deployment_raw[[#This Row],[Column5]])/1048576,"")</f>
        <v/>
      </c>
      <c r="H100" s="175" t="str">
        <f>IF(ISNUMBER(deployment_raw[[#This Row],[Column8]]), (deployment_raw[[#This Row],[Column8]]  * deployment_raw[[#This Row],[Column5]]),"")</f>
        <v/>
      </c>
      <c r="I100" s="176" t="str">
        <f>IF(ISNUMBER(deployment_raw[[#This Row],[Column9]]), (deployment_raw[[#This Row],[Column9]] * deployment_raw[[#This Row],[Column5]])/1048576,"")</f>
        <v/>
      </c>
      <c r="J100" s="57" t="str">
        <f>IF(ISNUMBER(deployment_raw[[#This Row],[Column10]]), (deployment_raw[[#This Row],[Column10]] * deployment_raw[[#This Row],[Column5]]),"")</f>
        <v/>
      </c>
      <c r="K100" s="58" t="str">
        <f>IF(ISNUMBER(deployment_raw[[#This Row],[Column11]]), (deployment_raw[[#This Row],[Column11]] * deployment_raw[[#This Row],[Column5]])/1048576,"")</f>
        <v/>
      </c>
      <c r="L100" s="180" t="str">
        <f>IF(ISNUMBER(deployment_raw[[#This Row],[Column8]]),IF(deployment_raw[[#This Row],[Column5]] &lt;&gt; 0, MAX((deployment_raw[[#This Row],[Column12]] * deployment_raw[[#This Row],[Column5]]), ((deployment_raw[[#This Row],[Column8]] * deployment_raw[[#This Row],[Column5]]) * $L$2), ($H$2 * deployment_raw[[#This Row],[Column5]])), 0),"")</f>
        <v/>
      </c>
      <c r="M10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0" s="188" t="str">
        <f>IF(ISNUMBER(deployment_raw[[#This Row],[Column14]]), deployment_raw[[#This Row],[Column14]],"")</f>
        <v/>
      </c>
      <c r="O100" s="189" t="str">
        <f>IF(ISNUMBER(deployment_raw[[#This Row],[Column15]]), deployment_raw[[#This Row],[Column15]]/1048576,"")</f>
        <v/>
      </c>
      <c r="P100" s="190" t="str">
        <f>IF(ISNUMBER(deployment_raw[[#This Row],[Column12]]), (deployment_raw[[#This Row],[Column12]] * deployment_raw[[#This Row],[Column5]]),"")</f>
        <v/>
      </c>
      <c r="Q100" s="189" t="str">
        <f>IF(ISNUMBER(deployment_raw[[#This Row],[Column13]]), (deployment_raw[[#This Row],[Column13]] * deployment_raw[[#This Row],[Column5]])/1048576,"")</f>
        <v/>
      </c>
    </row>
    <row r="101" spans="1:17" ht="15.75" customHeight="1" x14ac:dyDescent="0.25">
      <c r="A101" s="37" t="str">
        <f>IF(ISNONTEXT(deployment_raw[[#This Row],[Column1]]), "", deployment_raw[[#This Row],[Column1]])</f>
        <v/>
      </c>
      <c r="B101" s="38" t="str">
        <f>IF(ISNONTEXT(deployment_raw[[#This Row],[Column2]]), "", deployment_raw[[#This Row],[Column2]])</f>
        <v/>
      </c>
      <c r="C101" s="38" t="str">
        <f>IF(ISNONTEXT(deployment_raw[[#This Row],[Column3]]), "", deployment_raw[[#This Row],[Column3]])</f>
        <v/>
      </c>
      <c r="D101" s="38" t="str">
        <f>IF(ISNONTEXT(deployment_raw[[#This Row],[Column4]]), "", deployment_raw[[#This Row],[Column4]])</f>
        <v/>
      </c>
      <c r="E101" s="39" t="str">
        <f>IF(ISNUMBER(deployment_raw[[#This Row],[Column5]]), deployment_raw[[#This Row],[Column5]],"")</f>
        <v/>
      </c>
      <c r="F101" s="174" t="str">
        <f>IF(ISNUMBER(deployment_raw[[#This Row],[Column6]]), (deployment_raw[[#This Row],[Column6]] * deployment_raw[[#This Row],[Column5]]),"")</f>
        <v/>
      </c>
      <c r="G101" s="175" t="str">
        <f>IF(ISNUMBER(deployment_raw[[#This Row],[Column7]]), (deployment_raw[[#This Row],[Column7]] * deployment_raw[[#This Row],[Column5]])/1048576,"")</f>
        <v/>
      </c>
      <c r="H101" s="175" t="str">
        <f>IF(ISNUMBER(deployment_raw[[#This Row],[Column8]]), (deployment_raw[[#This Row],[Column8]]  * deployment_raw[[#This Row],[Column5]]),"")</f>
        <v/>
      </c>
      <c r="I101" s="176" t="str">
        <f>IF(ISNUMBER(deployment_raw[[#This Row],[Column9]]), (deployment_raw[[#This Row],[Column9]] * deployment_raw[[#This Row],[Column5]])/1048576,"")</f>
        <v/>
      </c>
      <c r="J101" s="57" t="str">
        <f>IF(ISNUMBER(deployment_raw[[#This Row],[Column10]]), (deployment_raw[[#This Row],[Column10]] * deployment_raw[[#This Row],[Column5]]),"")</f>
        <v/>
      </c>
      <c r="K101" s="58" t="str">
        <f>IF(ISNUMBER(deployment_raw[[#This Row],[Column11]]), (deployment_raw[[#This Row],[Column11]] * deployment_raw[[#This Row],[Column5]])/1048576,"")</f>
        <v/>
      </c>
      <c r="L101" s="180" t="str">
        <f>IF(ISNUMBER(deployment_raw[[#This Row],[Column8]]),IF(deployment_raw[[#This Row],[Column5]] &lt;&gt; 0, MAX((deployment_raw[[#This Row],[Column12]] * deployment_raw[[#This Row],[Column5]]), ((deployment_raw[[#This Row],[Column8]] * deployment_raw[[#This Row],[Column5]]) * $L$2), ($H$2 * deployment_raw[[#This Row],[Column5]])), 0),"")</f>
        <v/>
      </c>
      <c r="M10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1" s="188" t="str">
        <f>IF(ISNUMBER(deployment_raw[[#This Row],[Column14]]), deployment_raw[[#This Row],[Column14]],"")</f>
        <v/>
      </c>
      <c r="O101" s="189" t="str">
        <f>IF(ISNUMBER(deployment_raw[[#This Row],[Column15]]), deployment_raw[[#This Row],[Column15]]/1048576,"")</f>
        <v/>
      </c>
      <c r="P101" s="190" t="str">
        <f>IF(ISNUMBER(deployment_raw[[#This Row],[Column12]]), (deployment_raw[[#This Row],[Column12]] * deployment_raw[[#This Row],[Column5]]),"")</f>
        <v/>
      </c>
      <c r="Q101" s="189" t="str">
        <f>IF(ISNUMBER(deployment_raw[[#This Row],[Column13]]), (deployment_raw[[#This Row],[Column13]] * deployment_raw[[#This Row],[Column5]])/1048576,"")</f>
        <v/>
      </c>
    </row>
    <row r="102" spans="1:17" ht="15.75" customHeight="1" x14ac:dyDescent="0.25">
      <c r="A102" s="37" t="str">
        <f>IF(ISNONTEXT(deployment_raw[[#This Row],[Column1]]), "", deployment_raw[[#This Row],[Column1]])</f>
        <v/>
      </c>
      <c r="B102" s="38" t="str">
        <f>IF(ISNONTEXT(deployment_raw[[#This Row],[Column2]]), "", deployment_raw[[#This Row],[Column2]])</f>
        <v/>
      </c>
      <c r="C102" s="38" t="str">
        <f>IF(ISNONTEXT(deployment_raw[[#This Row],[Column3]]), "", deployment_raw[[#This Row],[Column3]])</f>
        <v/>
      </c>
      <c r="D102" s="38" t="str">
        <f>IF(ISNONTEXT(deployment_raw[[#This Row],[Column4]]), "", deployment_raw[[#This Row],[Column4]])</f>
        <v/>
      </c>
      <c r="E102" s="39" t="str">
        <f>IF(ISNUMBER(deployment_raw[[#This Row],[Column5]]), deployment_raw[[#This Row],[Column5]],"")</f>
        <v/>
      </c>
      <c r="F102" s="174" t="str">
        <f>IF(ISNUMBER(deployment_raw[[#This Row],[Column6]]), (deployment_raw[[#This Row],[Column6]] * deployment_raw[[#This Row],[Column5]]),"")</f>
        <v/>
      </c>
      <c r="G102" s="175" t="str">
        <f>IF(ISNUMBER(deployment_raw[[#This Row],[Column7]]), (deployment_raw[[#This Row],[Column7]] * deployment_raw[[#This Row],[Column5]])/1048576,"")</f>
        <v/>
      </c>
      <c r="H102" s="175" t="str">
        <f>IF(ISNUMBER(deployment_raw[[#This Row],[Column8]]), (deployment_raw[[#This Row],[Column8]]  * deployment_raw[[#This Row],[Column5]]),"")</f>
        <v/>
      </c>
      <c r="I102" s="176" t="str">
        <f>IF(ISNUMBER(deployment_raw[[#This Row],[Column9]]), (deployment_raw[[#This Row],[Column9]] * deployment_raw[[#This Row],[Column5]])/1048576,"")</f>
        <v/>
      </c>
      <c r="J102" s="57" t="str">
        <f>IF(ISNUMBER(deployment_raw[[#This Row],[Column10]]), (deployment_raw[[#This Row],[Column10]] * deployment_raw[[#This Row],[Column5]]),"")</f>
        <v/>
      </c>
      <c r="K102" s="58" t="str">
        <f>IF(ISNUMBER(deployment_raw[[#This Row],[Column11]]), (deployment_raw[[#This Row],[Column11]] * deployment_raw[[#This Row],[Column5]])/1048576,"")</f>
        <v/>
      </c>
      <c r="L102" s="180" t="str">
        <f>IF(ISNUMBER(deployment_raw[[#This Row],[Column8]]),IF(deployment_raw[[#This Row],[Column5]] &lt;&gt; 0, MAX((deployment_raw[[#This Row],[Column12]] * deployment_raw[[#This Row],[Column5]]), ((deployment_raw[[#This Row],[Column8]] * deployment_raw[[#This Row],[Column5]]) * $L$2), ($H$2 * deployment_raw[[#This Row],[Column5]])), 0),"")</f>
        <v/>
      </c>
      <c r="M10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2" s="188" t="str">
        <f>IF(ISNUMBER(deployment_raw[[#This Row],[Column14]]), deployment_raw[[#This Row],[Column14]],"")</f>
        <v/>
      </c>
      <c r="O102" s="189" t="str">
        <f>IF(ISNUMBER(deployment_raw[[#This Row],[Column15]]), deployment_raw[[#This Row],[Column15]]/1048576,"")</f>
        <v/>
      </c>
      <c r="P102" s="190" t="str">
        <f>IF(ISNUMBER(deployment_raw[[#This Row],[Column12]]), (deployment_raw[[#This Row],[Column12]] * deployment_raw[[#This Row],[Column5]]),"")</f>
        <v/>
      </c>
      <c r="Q102" s="189" t="str">
        <f>IF(ISNUMBER(deployment_raw[[#This Row],[Column13]]), (deployment_raw[[#This Row],[Column13]] * deployment_raw[[#This Row],[Column5]])/1048576,"")</f>
        <v/>
      </c>
    </row>
    <row r="103" spans="1:17" ht="15.75" customHeight="1" x14ac:dyDescent="0.25">
      <c r="A103" s="37" t="str">
        <f>IF(ISNONTEXT(deployment_raw[[#This Row],[Column1]]), "", deployment_raw[[#This Row],[Column1]])</f>
        <v/>
      </c>
      <c r="B103" s="38" t="str">
        <f>IF(ISNONTEXT(deployment_raw[[#This Row],[Column2]]), "", deployment_raw[[#This Row],[Column2]])</f>
        <v/>
      </c>
      <c r="C103" s="38" t="str">
        <f>IF(ISNONTEXT(deployment_raw[[#This Row],[Column3]]), "", deployment_raw[[#This Row],[Column3]])</f>
        <v/>
      </c>
      <c r="D103" s="38" t="str">
        <f>IF(ISNONTEXT(deployment_raw[[#This Row],[Column4]]), "", deployment_raw[[#This Row],[Column4]])</f>
        <v/>
      </c>
      <c r="E103" s="39" t="str">
        <f>IF(ISNUMBER(deployment_raw[[#This Row],[Column5]]), deployment_raw[[#This Row],[Column5]],"")</f>
        <v/>
      </c>
      <c r="F103" s="174" t="str">
        <f>IF(ISNUMBER(deployment_raw[[#This Row],[Column6]]), (deployment_raw[[#This Row],[Column6]] * deployment_raw[[#This Row],[Column5]]),"")</f>
        <v/>
      </c>
      <c r="G103" s="175" t="str">
        <f>IF(ISNUMBER(deployment_raw[[#This Row],[Column7]]), (deployment_raw[[#This Row],[Column7]] * deployment_raw[[#This Row],[Column5]])/1048576,"")</f>
        <v/>
      </c>
      <c r="H103" s="175" t="str">
        <f>IF(ISNUMBER(deployment_raw[[#This Row],[Column8]]), (deployment_raw[[#This Row],[Column8]]  * deployment_raw[[#This Row],[Column5]]),"")</f>
        <v/>
      </c>
      <c r="I103" s="176" t="str">
        <f>IF(ISNUMBER(deployment_raw[[#This Row],[Column9]]), (deployment_raw[[#This Row],[Column9]] * deployment_raw[[#This Row],[Column5]])/1048576,"")</f>
        <v/>
      </c>
      <c r="J103" s="57" t="str">
        <f>IF(ISNUMBER(deployment_raw[[#This Row],[Column10]]), (deployment_raw[[#This Row],[Column10]] * deployment_raw[[#This Row],[Column5]]),"")</f>
        <v/>
      </c>
      <c r="K103" s="58" t="str">
        <f>IF(ISNUMBER(deployment_raw[[#This Row],[Column11]]), (deployment_raw[[#This Row],[Column11]] * deployment_raw[[#This Row],[Column5]])/1048576,"")</f>
        <v/>
      </c>
      <c r="L103" s="180" t="str">
        <f>IF(ISNUMBER(deployment_raw[[#This Row],[Column8]]),IF(deployment_raw[[#This Row],[Column5]] &lt;&gt; 0, MAX((deployment_raw[[#This Row],[Column12]] * deployment_raw[[#This Row],[Column5]]), ((deployment_raw[[#This Row],[Column8]] * deployment_raw[[#This Row],[Column5]]) * $L$2), ($H$2 * deployment_raw[[#This Row],[Column5]])), 0),"")</f>
        <v/>
      </c>
      <c r="M10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3" s="188" t="str">
        <f>IF(ISNUMBER(deployment_raw[[#This Row],[Column14]]), deployment_raw[[#This Row],[Column14]],"")</f>
        <v/>
      </c>
      <c r="O103" s="189" t="str">
        <f>IF(ISNUMBER(deployment_raw[[#This Row],[Column15]]), deployment_raw[[#This Row],[Column15]]/1048576,"")</f>
        <v/>
      </c>
      <c r="P103" s="190" t="str">
        <f>IF(ISNUMBER(deployment_raw[[#This Row],[Column12]]), (deployment_raw[[#This Row],[Column12]] * deployment_raw[[#This Row],[Column5]]),"")</f>
        <v/>
      </c>
      <c r="Q103" s="189" t="str">
        <f>IF(ISNUMBER(deployment_raw[[#This Row],[Column13]]), (deployment_raw[[#This Row],[Column13]] * deployment_raw[[#This Row],[Column5]])/1048576,"")</f>
        <v/>
      </c>
    </row>
    <row r="104" spans="1:17" ht="15.75" customHeight="1" x14ac:dyDescent="0.25">
      <c r="A104" s="37" t="str">
        <f>IF(ISNONTEXT(deployment_raw[[#This Row],[Column1]]), "", deployment_raw[[#This Row],[Column1]])</f>
        <v/>
      </c>
      <c r="B104" s="38" t="str">
        <f>IF(ISNONTEXT(deployment_raw[[#This Row],[Column2]]), "", deployment_raw[[#This Row],[Column2]])</f>
        <v/>
      </c>
      <c r="C104" s="38" t="str">
        <f>IF(ISNONTEXT(deployment_raw[[#This Row],[Column3]]), "", deployment_raw[[#This Row],[Column3]])</f>
        <v/>
      </c>
      <c r="D104" s="38" t="str">
        <f>IF(ISNONTEXT(deployment_raw[[#This Row],[Column4]]), "", deployment_raw[[#This Row],[Column4]])</f>
        <v/>
      </c>
      <c r="E104" s="39" t="str">
        <f>IF(ISNUMBER(deployment_raw[[#This Row],[Column5]]), deployment_raw[[#This Row],[Column5]],"")</f>
        <v/>
      </c>
      <c r="F104" s="174" t="str">
        <f>IF(ISNUMBER(deployment_raw[[#This Row],[Column6]]), (deployment_raw[[#This Row],[Column6]] * deployment_raw[[#This Row],[Column5]]),"")</f>
        <v/>
      </c>
      <c r="G104" s="175" t="str">
        <f>IF(ISNUMBER(deployment_raw[[#This Row],[Column7]]), (deployment_raw[[#This Row],[Column7]] * deployment_raw[[#This Row],[Column5]])/1048576,"")</f>
        <v/>
      </c>
      <c r="H104" s="175" t="str">
        <f>IF(ISNUMBER(deployment_raw[[#This Row],[Column8]]), (deployment_raw[[#This Row],[Column8]]  * deployment_raw[[#This Row],[Column5]]),"")</f>
        <v/>
      </c>
      <c r="I104" s="176" t="str">
        <f>IF(ISNUMBER(deployment_raw[[#This Row],[Column9]]), (deployment_raw[[#This Row],[Column9]] * deployment_raw[[#This Row],[Column5]])/1048576,"")</f>
        <v/>
      </c>
      <c r="J104" s="57" t="str">
        <f>IF(ISNUMBER(deployment_raw[[#This Row],[Column10]]), (deployment_raw[[#This Row],[Column10]] * deployment_raw[[#This Row],[Column5]]),"")</f>
        <v/>
      </c>
      <c r="K104" s="58" t="str">
        <f>IF(ISNUMBER(deployment_raw[[#This Row],[Column11]]), (deployment_raw[[#This Row],[Column11]] * deployment_raw[[#This Row],[Column5]])/1048576,"")</f>
        <v/>
      </c>
      <c r="L104" s="180" t="str">
        <f>IF(ISNUMBER(deployment_raw[[#This Row],[Column8]]),IF(deployment_raw[[#This Row],[Column5]] &lt;&gt; 0, MAX((deployment_raw[[#This Row],[Column12]] * deployment_raw[[#This Row],[Column5]]), ((deployment_raw[[#This Row],[Column8]] * deployment_raw[[#This Row],[Column5]]) * $L$2), ($H$2 * deployment_raw[[#This Row],[Column5]])), 0),"")</f>
        <v/>
      </c>
      <c r="M10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4" s="188" t="str">
        <f>IF(ISNUMBER(deployment_raw[[#This Row],[Column14]]), deployment_raw[[#This Row],[Column14]],"")</f>
        <v/>
      </c>
      <c r="O104" s="189" t="str">
        <f>IF(ISNUMBER(deployment_raw[[#This Row],[Column15]]), deployment_raw[[#This Row],[Column15]]/1048576,"")</f>
        <v/>
      </c>
      <c r="P104" s="190" t="str">
        <f>IF(ISNUMBER(deployment_raw[[#This Row],[Column12]]), (deployment_raw[[#This Row],[Column12]] * deployment_raw[[#This Row],[Column5]]),"")</f>
        <v/>
      </c>
      <c r="Q104" s="189" t="str">
        <f>IF(ISNUMBER(deployment_raw[[#This Row],[Column13]]), (deployment_raw[[#This Row],[Column13]] * deployment_raw[[#This Row],[Column5]])/1048576,"")</f>
        <v/>
      </c>
    </row>
    <row r="105" spans="1:17" ht="15.75" customHeight="1" x14ac:dyDescent="0.25">
      <c r="A105" s="37" t="str">
        <f>IF(ISNONTEXT(deployment_raw[[#This Row],[Column1]]), "", deployment_raw[[#This Row],[Column1]])</f>
        <v/>
      </c>
      <c r="B105" s="38" t="str">
        <f>IF(ISNONTEXT(deployment_raw[[#This Row],[Column2]]), "", deployment_raw[[#This Row],[Column2]])</f>
        <v/>
      </c>
      <c r="C105" s="38" t="str">
        <f>IF(ISNONTEXT(deployment_raw[[#This Row],[Column3]]), "", deployment_raw[[#This Row],[Column3]])</f>
        <v/>
      </c>
      <c r="D105" s="38" t="str">
        <f>IF(ISNONTEXT(deployment_raw[[#This Row],[Column4]]), "", deployment_raw[[#This Row],[Column4]])</f>
        <v/>
      </c>
      <c r="E105" s="39" t="str">
        <f>IF(ISNUMBER(deployment_raw[[#This Row],[Column5]]), deployment_raw[[#This Row],[Column5]],"")</f>
        <v/>
      </c>
      <c r="F105" s="174" t="str">
        <f>IF(ISNUMBER(deployment_raw[[#This Row],[Column6]]), (deployment_raw[[#This Row],[Column6]] * deployment_raw[[#This Row],[Column5]]),"")</f>
        <v/>
      </c>
      <c r="G105" s="175" t="str">
        <f>IF(ISNUMBER(deployment_raw[[#This Row],[Column7]]), (deployment_raw[[#This Row],[Column7]] * deployment_raw[[#This Row],[Column5]])/1048576,"")</f>
        <v/>
      </c>
      <c r="H105" s="175" t="str">
        <f>IF(ISNUMBER(deployment_raw[[#This Row],[Column8]]), (deployment_raw[[#This Row],[Column8]]  * deployment_raw[[#This Row],[Column5]]),"")</f>
        <v/>
      </c>
      <c r="I105" s="176" t="str">
        <f>IF(ISNUMBER(deployment_raw[[#This Row],[Column9]]), (deployment_raw[[#This Row],[Column9]] * deployment_raw[[#This Row],[Column5]])/1048576,"")</f>
        <v/>
      </c>
      <c r="J105" s="57" t="str">
        <f>IF(ISNUMBER(deployment_raw[[#This Row],[Column10]]), (deployment_raw[[#This Row],[Column10]] * deployment_raw[[#This Row],[Column5]]),"")</f>
        <v/>
      </c>
      <c r="K105" s="58" t="str">
        <f>IF(ISNUMBER(deployment_raw[[#This Row],[Column11]]), (deployment_raw[[#This Row],[Column11]] * deployment_raw[[#This Row],[Column5]])/1048576,"")</f>
        <v/>
      </c>
      <c r="L105" s="180" t="str">
        <f>IF(ISNUMBER(deployment_raw[[#This Row],[Column8]]),IF(deployment_raw[[#This Row],[Column5]] &lt;&gt; 0, MAX((deployment_raw[[#This Row],[Column12]] * deployment_raw[[#This Row],[Column5]]), ((deployment_raw[[#This Row],[Column8]] * deployment_raw[[#This Row],[Column5]]) * $L$2), ($H$2 * deployment_raw[[#This Row],[Column5]])), 0),"")</f>
        <v/>
      </c>
      <c r="M10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5" s="188" t="str">
        <f>IF(ISNUMBER(deployment_raw[[#This Row],[Column14]]), deployment_raw[[#This Row],[Column14]],"")</f>
        <v/>
      </c>
      <c r="O105" s="189" t="str">
        <f>IF(ISNUMBER(deployment_raw[[#This Row],[Column15]]), deployment_raw[[#This Row],[Column15]]/1048576,"")</f>
        <v/>
      </c>
      <c r="P105" s="190" t="str">
        <f>IF(ISNUMBER(deployment_raw[[#This Row],[Column12]]), (deployment_raw[[#This Row],[Column12]] * deployment_raw[[#This Row],[Column5]]),"")</f>
        <v/>
      </c>
      <c r="Q105" s="189" t="str">
        <f>IF(ISNUMBER(deployment_raw[[#This Row],[Column13]]), (deployment_raw[[#This Row],[Column13]] * deployment_raw[[#This Row],[Column5]])/1048576,"")</f>
        <v/>
      </c>
    </row>
    <row r="106" spans="1:17" ht="15.75" customHeight="1" x14ac:dyDescent="0.25">
      <c r="A106" s="37" t="str">
        <f>IF(ISNONTEXT(deployment_raw[[#This Row],[Column1]]), "", deployment_raw[[#This Row],[Column1]])</f>
        <v/>
      </c>
      <c r="B106" s="38" t="str">
        <f>IF(ISNONTEXT(deployment_raw[[#This Row],[Column2]]), "", deployment_raw[[#This Row],[Column2]])</f>
        <v/>
      </c>
      <c r="C106" s="38" t="str">
        <f>IF(ISNONTEXT(deployment_raw[[#This Row],[Column3]]), "", deployment_raw[[#This Row],[Column3]])</f>
        <v/>
      </c>
      <c r="D106" s="38" t="str">
        <f>IF(ISNONTEXT(deployment_raw[[#This Row],[Column4]]), "", deployment_raw[[#This Row],[Column4]])</f>
        <v/>
      </c>
      <c r="E106" s="39" t="str">
        <f>IF(ISNUMBER(deployment_raw[[#This Row],[Column5]]), deployment_raw[[#This Row],[Column5]],"")</f>
        <v/>
      </c>
      <c r="F106" s="174" t="str">
        <f>IF(ISNUMBER(deployment_raw[[#This Row],[Column6]]), (deployment_raw[[#This Row],[Column6]] * deployment_raw[[#This Row],[Column5]]),"")</f>
        <v/>
      </c>
      <c r="G106" s="175" t="str">
        <f>IF(ISNUMBER(deployment_raw[[#This Row],[Column7]]), (deployment_raw[[#This Row],[Column7]] * deployment_raw[[#This Row],[Column5]])/1048576,"")</f>
        <v/>
      </c>
      <c r="H106" s="175" t="str">
        <f>IF(ISNUMBER(deployment_raw[[#This Row],[Column8]]), (deployment_raw[[#This Row],[Column8]]  * deployment_raw[[#This Row],[Column5]]),"")</f>
        <v/>
      </c>
      <c r="I106" s="176" t="str">
        <f>IF(ISNUMBER(deployment_raw[[#This Row],[Column9]]), (deployment_raw[[#This Row],[Column9]] * deployment_raw[[#This Row],[Column5]])/1048576,"")</f>
        <v/>
      </c>
      <c r="J106" s="57" t="str">
        <f>IF(ISNUMBER(deployment_raw[[#This Row],[Column10]]), (deployment_raw[[#This Row],[Column10]] * deployment_raw[[#This Row],[Column5]]),"")</f>
        <v/>
      </c>
      <c r="K106" s="58" t="str">
        <f>IF(ISNUMBER(deployment_raw[[#This Row],[Column11]]), (deployment_raw[[#This Row],[Column11]] * deployment_raw[[#This Row],[Column5]])/1048576,"")</f>
        <v/>
      </c>
      <c r="L106" s="180" t="str">
        <f>IF(ISNUMBER(deployment_raw[[#This Row],[Column8]]),IF(deployment_raw[[#This Row],[Column5]] &lt;&gt; 0, MAX((deployment_raw[[#This Row],[Column12]] * deployment_raw[[#This Row],[Column5]]), ((deployment_raw[[#This Row],[Column8]] * deployment_raw[[#This Row],[Column5]]) * $L$2), ($H$2 * deployment_raw[[#This Row],[Column5]])), 0),"")</f>
        <v/>
      </c>
      <c r="M10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6" s="188" t="str">
        <f>IF(ISNUMBER(deployment_raw[[#This Row],[Column14]]), deployment_raw[[#This Row],[Column14]],"")</f>
        <v/>
      </c>
      <c r="O106" s="189" t="str">
        <f>IF(ISNUMBER(deployment_raw[[#This Row],[Column15]]), deployment_raw[[#This Row],[Column15]]/1048576,"")</f>
        <v/>
      </c>
      <c r="P106" s="190" t="str">
        <f>IF(ISNUMBER(deployment_raw[[#This Row],[Column12]]), (deployment_raw[[#This Row],[Column12]] * deployment_raw[[#This Row],[Column5]]),"")</f>
        <v/>
      </c>
      <c r="Q106" s="189" t="str">
        <f>IF(ISNUMBER(deployment_raw[[#This Row],[Column13]]), (deployment_raw[[#This Row],[Column13]] * deployment_raw[[#This Row],[Column5]])/1048576,"")</f>
        <v/>
      </c>
    </row>
    <row r="107" spans="1:17" ht="15.75" customHeight="1" x14ac:dyDescent="0.25">
      <c r="A107" s="37" t="str">
        <f>IF(ISNONTEXT(deployment_raw[[#This Row],[Column1]]), "", deployment_raw[[#This Row],[Column1]])</f>
        <v/>
      </c>
      <c r="B107" s="38" t="str">
        <f>IF(ISNONTEXT(deployment_raw[[#This Row],[Column2]]), "", deployment_raw[[#This Row],[Column2]])</f>
        <v/>
      </c>
      <c r="C107" s="38" t="str">
        <f>IF(ISNONTEXT(deployment_raw[[#This Row],[Column3]]), "", deployment_raw[[#This Row],[Column3]])</f>
        <v/>
      </c>
      <c r="D107" s="38" t="str">
        <f>IF(ISNONTEXT(deployment_raw[[#This Row],[Column4]]), "", deployment_raw[[#This Row],[Column4]])</f>
        <v/>
      </c>
      <c r="E107" s="39" t="str">
        <f>IF(ISNUMBER(deployment_raw[[#This Row],[Column5]]), deployment_raw[[#This Row],[Column5]],"")</f>
        <v/>
      </c>
      <c r="F107" s="174" t="str">
        <f>IF(ISNUMBER(deployment_raw[[#This Row],[Column6]]), (deployment_raw[[#This Row],[Column6]] * deployment_raw[[#This Row],[Column5]]),"")</f>
        <v/>
      </c>
      <c r="G107" s="175" t="str">
        <f>IF(ISNUMBER(deployment_raw[[#This Row],[Column7]]), (deployment_raw[[#This Row],[Column7]] * deployment_raw[[#This Row],[Column5]])/1048576,"")</f>
        <v/>
      </c>
      <c r="H107" s="175" t="str">
        <f>IF(ISNUMBER(deployment_raw[[#This Row],[Column8]]), (deployment_raw[[#This Row],[Column8]]  * deployment_raw[[#This Row],[Column5]]),"")</f>
        <v/>
      </c>
      <c r="I107" s="176" t="str">
        <f>IF(ISNUMBER(deployment_raw[[#This Row],[Column9]]), (deployment_raw[[#This Row],[Column9]] * deployment_raw[[#This Row],[Column5]])/1048576,"")</f>
        <v/>
      </c>
      <c r="J107" s="57" t="str">
        <f>IF(ISNUMBER(deployment_raw[[#This Row],[Column10]]), (deployment_raw[[#This Row],[Column10]] * deployment_raw[[#This Row],[Column5]]),"")</f>
        <v/>
      </c>
      <c r="K107" s="58" t="str">
        <f>IF(ISNUMBER(deployment_raw[[#This Row],[Column11]]), (deployment_raw[[#This Row],[Column11]] * deployment_raw[[#This Row],[Column5]])/1048576,"")</f>
        <v/>
      </c>
      <c r="L107" s="180" t="str">
        <f>IF(ISNUMBER(deployment_raw[[#This Row],[Column8]]),IF(deployment_raw[[#This Row],[Column5]] &lt;&gt; 0, MAX((deployment_raw[[#This Row],[Column12]] * deployment_raw[[#This Row],[Column5]]), ((deployment_raw[[#This Row],[Column8]] * deployment_raw[[#This Row],[Column5]]) * $L$2), ($H$2 * deployment_raw[[#This Row],[Column5]])), 0),"")</f>
        <v/>
      </c>
      <c r="M10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7" s="188" t="str">
        <f>IF(ISNUMBER(deployment_raw[[#This Row],[Column14]]), deployment_raw[[#This Row],[Column14]],"")</f>
        <v/>
      </c>
      <c r="O107" s="189" t="str">
        <f>IF(ISNUMBER(deployment_raw[[#This Row],[Column15]]), deployment_raw[[#This Row],[Column15]]/1048576,"")</f>
        <v/>
      </c>
      <c r="P107" s="190" t="str">
        <f>IF(ISNUMBER(deployment_raw[[#This Row],[Column12]]), (deployment_raw[[#This Row],[Column12]] * deployment_raw[[#This Row],[Column5]]),"")</f>
        <v/>
      </c>
      <c r="Q107" s="189" t="str">
        <f>IF(ISNUMBER(deployment_raw[[#This Row],[Column13]]), (deployment_raw[[#This Row],[Column13]] * deployment_raw[[#This Row],[Column5]])/1048576,"")</f>
        <v/>
      </c>
    </row>
    <row r="108" spans="1:17" ht="15.75" customHeight="1" x14ac:dyDescent="0.25">
      <c r="A108" s="37" t="str">
        <f>IF(ISNONTEXT(deployment_raw[[#This Row],[Column1]]), "", deployment_raw[[#This Row],[Column1]])</f>
        <v/>
      </c>
      <c r="B108" s="38" t="str">
        <f>IF(ISNONTEXT(deployment_raw[[#This Row],[Column2]]), "", deployment_raw[[#This Row],[Column2]])</f>
        <v/>
      </c>
      <c r="C108" s="38" t="str">
        <f>IF(ISNONTEXT(deployment_raw[[#This Row],[Column3]]), "", deployment_raw[[#This Row],[Column3]])</f>
        <v/>
      </c>
      <c r="D108" s="38" t="str">
        <f>IF(ISNONTEXT(deployment_raw[[#This Row],[Column4]]), "", deployment_raw[[#This Row],[Column4]])</f>
        <v/>
      </c>
      <c r="E108" s="39" t="str">
        <f>IF(ISNUMBER(deployment_raw[[#This Row],[Column5]]), deployment_raw[[#This Row],[Column5]],"")</f>
        <v/>
      </c>
      <c r="F108" s="174" t="str">
        <f>IF(ISNUMBER(deployment_raw[[#This Row],[Column6]]), (deployment_raw[[#This Row],[Column6]] * deployment_raw[[#This Row],[Column5]]),"")</f>
        <v/>
      </c>
      <c r="G108" s="175" t="str">
        <f>IF(ISNUMBER(deployment_raw[[#This Row],[Column7]]), (deployment_raw[[#This Row],[Column7]] * deployment_raw[[#This Row],[Column5]])/1048576,"")</f>
        <v/>
      </c>
      <c r="H108" s="175" t="str">
        <f>IF(ISNUMBER(deployment_raw[[#This Row],[Column8]]), (deployment_raw[[#This Row],[Column8]]  * deployment_raw[[#This Row],[Column5]]),"")</f>
        <v/>
      </c>
      <c r="I108" s="176" t="str">
        <f>IF(ISNUMBER(deployment_raw[[#This Row],[Column9]]), (deployment_raw[[#This Row],[Column9]] * deployment_raw[[#This Row],[Column5]])/1048576,"")</f>
        <v/>
      </c>
      <c r="J108" s="57" t="str">
        <f>IF(ISNUMBER(deployment_raw[[#This Row],[Column10]]), (deployment_raw[[#This Row],[Column10]] * deployment_raw[[#This Row],[Column5]]),"")</f>
        <v/>
      </c>
      <c r="K108" s="58" t="str">
        <f>IF(ISNUMBER(deployment_raw[[#This Row],[Column11]]), (deployment_raw[[#This Row],[Column11]] * deployment_raw[[#This Row],[Column5]])/1048576,"")</f>
        <v/>
      </c>
      <c r="L108" s="180" t="str">
        <f>IF(ISNUMBER(deployment_raw[[#This Row],[Column8]]),IF(deployment_raw[[#This Row],[Column5]] &lt;&gt; 0, MAX((deployment_raw[[#This Row],[Column12]] * deployment_raw[[#This Row],[Column5]]), ((deployment_raw[[#This Row],[Column8]] * deployment_raw[[#This Row],[Column5]]) * $L$2), ($H$2 * deployment_raw[[#This Row],[Column5]])), 0),"")</f>
        <v/>
      </c>
      <c r="M10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8" s="188" t="str">
        <f>IF(ISNUMBER(deployment_raw[[#This Row],[Column14]]), deployment_raw[[#This Row],[Column14]],"")</f>
        <v/>
      </c>
      <c r="O108" s="189" t="str">
        <f>IF(ISNUMBER(deployment_raw[[#This Row],[Column15]]), deployment_raw[[#This Row],[Column15]]/1048576,"")</f>
        <v/>
      </c>
      <c r="P108" s="190" t="str">
        <f>IF(ISNUMBER(deployment_raw[[#This Row],[Column12]]), (deployment_raw[[#This Row],[Column12]] * deployment_raw[[#This Row],[Column5]]),"")</f>
        <v/>
      </c>
      <c r="Q108" s="189" t="str">
        <f>IF(ISNUMBER(deployment_raw[[#This Row],[Column13]]), (deployment_raw[[#This Row],[Column13]] * deployment_raw[[#This Row],[Column5]])/1048576,"")</f>
        <v/>
      </c>
    </row>
    <row r="109" spans="1:17" ht="15.75" customHeight="1" x14ac:dyDescent="0.25">
      <c r="A109" s="37" t="str">
        <f>IF(ISNONTEXT(deployment_raw[[#This Row],[Column1]]), "", deployment_raw[[#This Row],[Column1]])</f>
        <v/>
      </c>
      <c r="B109" s="38" t="str">
        <f>IF(ISNONTEXT(deployment_raw[[#This Row],[Column2]]), "", deployment_raw[[#This Row],[Column2]])</f>
        <v/>
      </c>
      <c r="C109" s="38" t="str">
        <f>IF(ISNONTEXT(deployment_raw[[#This Row],[Column3]]), "", deployment_raw[[#This Row],[Column3]])</f>
        <v/>
      </c>
      <c r="D109" s="38" t="str">
        <f>IF(ISNONTEXT(deployment_raw[[#This Row],[Column4]]), "", deployment_raw[[#This Row],[Column4]])</f>
        <v/>
      </c>
      <c r="E109" s="39" t="str">
        <f>IF(ISNUMBER(deployment_raw[[#This Row],[Column5]]), deployment_raw[[#This Row],[Column5]],"")</f>
        <v/>
      </c>
      <c r="F109" s="174" t="str">
        <f>IF(ISNUMBER(deployment_raw[[#This Row],[Column6]]), (deployment_raw[[#This Row],[Column6]] * deployment_raw[[#This Row],[Column5]]),"")</f>
        <v/>
      </c>
      <c r="G109" s="175" t="str">
        <f>IF(ISNUMBER(deployment_raw[[#This Row],[Column7]]), (deployment_raw[[#This Row],[Column7]] * deployment_raw[[#This Row],[Column5]])/1048576,"")</f>
        <v/>
      </c>
      <c r="H109" s="175" t="str">
        <f>IF(ISNUMBER(deployment_raw[[#This Row],[Column8]]), (deployment_raw[[#This Row],[Column8]]  * deployment_raw[[#This Row],[Column5]]),"")</f>
        <v/>
      </c>
      <c r="I109" s="176" t="str">
        <f>IF(ISNUMBER(deployment_raw[[#This Row],[Column9]]), (deployment_raw[[#This Row],[Column9]] * deployment_raw[[#This Row],[Column5]])/1048576,"")</f>
        <v/>
      </c>
      <c r="J109" s="57" t="str">
        <f>IF(ISNUMBER(deployment_raw[[#This Row],[Column10]]), (deployment_raw[[#This Row],[Column10]] * deployment_raw[[#This Row],[Column5]]),"")</f>
        <v/>
      </c>
      <c r="K109" s="58" t="str">
        <f>IF(ISNUMBER(deployment_raw[[#This Row],[Column11]]), (deployment_raw[[#This Row],[Column11]] * deployment_raw[[#This Row],[Column5]])/1048576,"")</f>
        <v/>
      </c>
      <c r="L109" s="180" t="str">
        <f>IF(ISNUMBER(deployment_raw[[#This Row],[Column8]]),IF(deployment_raw[[#This Row],[Column5]] &lt;&gt; 0, MAX((deployment_raw[[#This Row],[Column12]] * deployment_raw[[#This Row],[Column5]]), ((deployment_raw[[#This Row],[Column8]] * deployment_raw[[#This Row],[Column5]]) * $L$2), ($H$2 * deployment_raw[[#This Row],[Column5]])), 0),"")</f>
        <v/>
      </c>
      <c r="M10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9" s="188" t="str">
        <f>IF(ISNUMBER(deployment_raw[[#This Row],[Column14]]), deployment_raw[[#This Row],[Column14]],"")</f>
        <v/>
      </c>
      <c r="O109" s="189" t="str">
        <f>IF(ISNUMBER(deployment_raw[[#This Row],[Column15]]), deployment_raw[[#This Row],[Column15]]/1048576,"")</f>
        <v/>
      </c>
      <c r="P109" s="190" t="str">
        <f>IF(ISNUMBER(deployment_raw[[#This Row],[Column12]]), (deployment_raw[[#This Row],[Column12]] * deployment_raw[[#This Row],[Column5]]),"")</f>
        <v/>
      </c>
      <c r="Q109" s="189" t="str">
        <f>IF(ISNUMBER(deployment_raw[[#This Row],[Column13]]), (deployment_raw[[#This Row],[Column13]] * deployment_raw[[#This Row],[Column5]])/1048576,"")</f>
        <v/>
      </c>
    </row>
    <row r="110" spans="1:17" ht="15.75" customHeight="1" x14ac:dyDescent="0.25">
      <c r="A110" s="37" t="str">
        <f>IF(ISNONTEXT(deployment_raw[[#This Row],[Column1]]), "", deployment_raw[[#This Row],[Column1]])</f>
        <v/>
      </c>
      <c r="B110" s="38" t="str">
        <f>IF(ISNONTEXT(deployment_raw[[#This Row],[Column2]]), "", deployment_raw[[#This Row],[Column2]])</f>
        <v/>
      </c>
      <c r="C110" s="38" t="str">
        <f>IF(ISNONTEXT(deployment_raw[[#This Row],[Column3]]), "", deployment_raw[[#This Row],[Column3]])</f>
        <v/>
      </c>
      <c r="D110" s="38" t="str">
        <f>IF(ISNONTEXT(deployment_raw[[#This Row],[Column4]]), "", deployment_raw[[#This Row],[Column4]])</f>
        <v/>
      </c>
      <c r="E110" s="39" t="str">
        <f>IF(ISNUMBER(deployment_raw[[#This Row],[Column5]]), deployment_raw[[#This Row],[Column5]],"")</f>
        <v/>
      </c>
      <c r="F110" s="174" t="str">
        <f>IF(ISNUMBER(deployment_raw[[#This Row],[Column6]]), (deployment_raw[[#This Row],[Column6]] * deployment_raw[[#This Row],[Column5]]),"")</f>
        <v/>
      </c>
      <c r="G110" s="175" t="str">
        <f>IF(ISNUMBER(deployment_raw[[#This Row],[Column7]]), (deployment_raw[[#This Row],[Column7]] * deployment_raw[[#This Row],[Column5]])/1048576,"")</f>
        <v/>
      </c>
      <c r="H110" s="175" t="str">
        <f>IF(ISNUMBER(deployment_raw[[#This Row],[Column8]]), (deployment_raw[[#This Row],[Column8]]  * deployment_raw[[#This Row],[Column5]]),"")</f>
        <v/>
      </c>
      <c r="I110" s="176" t="str">
        <f>IF(ISNUMBER(deployment_raw[[#This Row],[Column9]]), (deployment_raw[[#This Row],[Column9]] * deployment_raw[[#This Row],[Column5]])/1048576,"")</f>
        <v/>
      </c>
      <c r="J110" s="57" t="str">
        <f>IF(ISNUMBER(deployment_raw[[#This Row],[Column10]]), (deployment_raw[[#This Row],[Column10]] * deployment_raw[[#This Row],[Column5]]),"")</f>
        <v/>
      </c>
      <c r="K110" s="58" t="str">
        <f>IF(ISNUMBER(deployment_raw[[#This Row],[Column11]]), (deployment_raw[[#This Row],[Column11]] * deployment_raw[[#This Row],[Column5]])/1048576,"")</f>
        <v/>
      </c>
      <c r="L110" s="180" t="str">
        <f>IF(ISNUMBER(deployment_raw[[#This Row],[Column8]]),IF(deployment_raw[[#This Row],[Column5]] &lt;&gt; 0, MAX((deployment_raw[[#This Row],[Column12]] * deployment_raw[[#This Row],[Column5]]), ((deployment_raw[[#This Row],[Column8]] * deployment_raw[[#This Row],[Column5]]) * $L$2), ($H$2 * deployment_raw[[#This Row],[Column5]])), 0),"")</f>
        <v/>
      </c>
      <c r="M11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10" s="188" t="str">
        <f>IF(ISNUMBER(deployment_raw[[#This Row],[Column14]]), deployment_raw[[#This Row],[Column14]],"")</f>
        <v/>
      </c>
      <c r="O110" s="189" t="str">
        <f>IF(ISNUMBER(deployment_raw[[#This Row],[Column15]]), deployment_raw[[#This Row],[Column15]]/1048576,"")</f>
        <v/>
      </c>
      <c r="P110" s="190" t="str">
        <f>IF(ISNUMBER(deployment_raw[[#This Row],[Column12]]), (deployment_raw[[#This Row],[Column12]] * deployment_raw[[#This Row],[Column5]]),"")</f>
        <v/>
      </c>
      <c r="Q110" s="189" t="str">
        <f>IF(ISNUMBER(deployment_raw[[#This Row],[Column13]]), (deployment_raw[[#This Row],[Column13]] * deployment_raw[[#This Row],[Column5]])/1048576,"")</f>
        <v/>
      </c>
    </row>
    <row r="111" spans="1:17" ht="15.75" customHeight="1" x14ac:dyDescent="0.25">
      <c r="A111" s="37" t="str">
        <f>IF(ISNONTEXT(deployment_raw[[#This Row],[Column1]]), "", deployment_raw[[#This Row],[Column1]])</f>
        <v/>
      </c>
      <c r="B111" s="38" t="str">
        <f>IF(ISNONTEXT(deployment_raw[[#This Row],[Column2]]), "", deployment_raw[[#This Row],[Column2]])</f>
        <v/>
      </c>
      <c r="C111" s="38" t="str">
        <f>IF(ISNONTEXT(deployment_raw[[#This Row],[Column3]]), "", deployment_raw[[#This Row],[Column3]])</f>
        <v/>
      </c>
      <c r="D111" s="38" t="str">
        <f>IF(ISNONTEXT(deployment_raw[[#This Row],[Column4]]), "", deployment_raw[[#This Row],[Column4]])</f>
        <v/>
      </c>
      <c r="E111" s="39" t="str">
        <f>IF(ISNUMBER(deployment_raw[[#This Row],[Column5]]), deployment_raw[[#This Row],[Column5]],"")</f>
        <v/>
      </c>
      <c r="F111" s="174" t="str">
        <f>IF(ISNUMBER(deployment_raw[[#This Row],[Column6]]), (deployment_raw[[#This Row],[Column6]] * deployment_raw[[#This Row],[Column5]]),"")</f>
        <v/>
      </c>
      <c r="G111" s="175" t="str">
        <f>IF(ISNUMBER(deployment_raw[[#This Row],[Column7]]), (deployment_raw[[#This Row],[Column7]] * deployment_raw[[#This Row],[Column5]])/1048576,"")</f>
        <v/>
      </c>
      <c r="H111" s="175" t="str">
        <f>IF(ISNUMBER(deployment_raw[[#This Row],[Column8]]), (deployment_raw[[#This Row],[Column8]]  * deployment_raw[[#This Row],[Column5]]),"")</f>
        <v/>
      </c>
      <c r="I111" s="176" t="str">
        <f>IF(ISNUMBER(deployment_raw[[#This Row],[Column9]]), (deployment_raw[[#This Row],[Column9]] * deployment_raw[[#This Row],[Column5]])/1048576,"")</f>
        <v/>
      </c>
      <c r="J111" s="57" t="str">
        <f>IF(ISNUMBER(deployment_raw[[#This Row],[Column10]]), (deployment_raw[[#This Row],[Column10]] * deployment_raw[[#This Row],[Column5]]),"")</f>
        <v/>
      </c>
      <c r="K111" s="58" t="str">
        <f>IF(ISNUMBER(deployment_raw[[#This Row],[Column11]]), (deployment_raw[[#This Row],[Column11]] * deployment_raw[[#This Row],[Column5]])/1048576,"")</f>
        <v/>
      </c>
      <c r="L111" s="180" t="str">
        <f>IF(ISNUMBER(deployment_raw[[#This Row],[Column8]]),IF(deployment_raw[[#This Row],[Column5]] &lt;&gt; 0, MAX((deployment_raw[[#This Row],[Column12]] * deployment_raw[[#This Row],[Column5]]), ((deployment_raw[[#This Row],[Column8]] * deployment_raw[[#This Row],[Column5]]) * $L$2), ($H$2 * deployment_raw[[#This Row],[Column5]])), 0),"")</f>
        <v/>
      </c>
      <c r="M11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11" s="188" t="str">
        <f>IF(ISNUMBER(deployment_raw[[#This Row],[Column14]]), deployment_raw[[#This Row],[Column14]],"")</f>
        <v/>
      </c>
      <c r="O111" s="189" t="str">
        <f>IF(ISNUMBER(deployment_raw[[#This Row],[Column15]]), deployment_raw[[#This Row],[Column15]]/1048576,"")</f>
        <v/>
      </c>
      <c r="P111" s="190" t="str">
        <f>IF(ISNUMBER(deployment_raw[[#This Row],[Column12]]), (deployment_raw[[#This Row],[Column12]] * deployment_raw[[#This Row],[Column5]]),"")</f>
        <v/>
      </c>
      <c r="Q111" s="189" t="str">
        <f>IF(ISNUMBER(deployment_raw[[#This Row],[Column13]]), (deployment_raw[[#This Row],[Column13]] * deployment_raw[[#This Row],[Column5]])/1048576,"")</f>
        <v/>
      </c>
    </row>
    <row r="112" spans="1:17" ht="15.75" customHeight="1" x14ac:dyDescent="0.25">
      <c r="A112" s="37" t="str">
        <f>IF(ISNONTEXT(deployment_raw[[#This Row],[Column1]]), "", deployment_raw[[#This Row],[Column1]])</f>
        <v/>
      </c>
      <c r="B112" s="38" t="str">
        <f>IF(ISNONTEXT(deployment_raw[[#This Row],[Column2]]), "", deployment_raw[[#This Row],[Column2]])</f>
        <v/>
      </c>
      <c r="C112" s="38" t="str">
        <f>IF(ISNONTEXT(deployment_raw[[#This Row],[Column3]]), "", deployment_raw[[#This Row],[Column3]])</f>
        <v/>
      </c>
      <c r="D112" s="38" t="str">
        <f>IF(ISNONTEXT(deployment_raw[[#This Row],[Column4]]), "", deployment_raw[[#This Row],[Column4]])</f>
        <v/>
      </c>
      <c r="E112" s="39" t="str">
        <f>IF(ISNUMBER(deployment_raw[[#This Row],[Column5]]), deployment_raw[[#This Row],[Column5]],"")</f>
        <v/>
      </c>
      <c r="F112" s="174" t="str">
        <f>IF(ISNUMBER(deployment_raw[[#This Row],[Column6]]), (deployment_raw[[#This Row],[Column6]] * deployment_raw[[#This Row],[Column5]]),"")</f>
        <v/>
      </c>
      <c r="G112" s="175" t="str">
        <f>IF(ISNUMBER(deployment_raw[[#This Row],[Column7]]), (deployment_raw[[#This Row],[Column7]] * deployment_raw[[#This Row],[Column5]])/1048576,"")</f>
        <v/>
      </c>
      <c r="H112" s="175" t="str">
        <f>IF(ISNUMBER(deployment_raw[[#This Row],[Column8]]), (deployment_raw[[#This Row],[Column8]]  * deployment_raw[[#This Row],[Column5]]),"")</f>
        <v/>
      </c>
      <c r="I112" s="176" t="str">
        <f>IF(ISNUMBER(deployment_raw[[#This Row],[Column9]]), (deployment_raw[[#This Row],[Column9]] * deployment_raw[[#This Row],[Column5]])/1048576,"")</f>
        <v/>
      </c>
      <c r="J112" s="57" t="str">
        <f>IF(ISNUMBER(deployment_raw[[#This Row],[Column10]]), (deployment_raw[[#This Row],[Column10]] * deployment_raw[[#This Row],[Column5]]),"")</f>
        <v/>
      </c>
      <c r="K112" s="58" t="str">
        <f>IF(ISNUMBER(deployment_raw[[#This Row],[Column11]]), (deployment_raw[[#This Row],[Column11]] * deployment_raw[[#This Row],[Column5]])/1048576,"")</f>
        <v/>
      </c>
      <c r="L112" s="180" t="str">
        <f>IF(ISNUMBER(deployment_raw[[#This Row],[Column8]]),IF(deployment_raw[[#This Row],[Column5]] &lt;&gt; 0, MAX((deployment_raw[[#This Row],[Column12]] * deployment_raw[[#This Row],[Column5]]), ((deployment_raw[[#This Row],[Column8]] * deployment_raw[[#This Row],[Column5]]) * $L$2), ($H$2 * deployment_raw[[#This Row],[Column5]])), 0),"")</f>
        <v/>
      </c>
      <c r="M11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12" s="188" t="str">
        <f>IF(ISNUMBER(deployment_raw[[#This Row],[Column14]]), deployment_raw[[#This Row],[Column14]],"")</f>
        <v/>
      </c>
      <c r="O112" s="189" t="str">
        <f>IF(ISNUMBER(deployment_raw[[#This Row],[Column15]]), deployment_raw[[#This Row],[Column15]]/1048576,"")</f>
        <v/>
      </c>
      <c r="P112" s="190" t="str">
        <f>IF(ISNUMBER(deployment_raw[[#This Row],[Column12]]), (deployment_raw[[#This Row],[Column12]] * deployment_raw[[#This Row],[Column5]]),"")</f>
        <v/>
      </c>
      <c r="Q112" s="189" t="str">
        <f>IF(ISNUMBER(deployment_raw[[#This Row],[Column13]]), (deployment_raw[[#This Row],[Column13]] * deployment_raw[[#This Row],[Column5]])/1048576,"")</f>
        <v/>
      </c>
    </row>
    <row r="113" spans="1:17" ht="15.75" customHeight="1" x14ac:dyDescent="0.25">
      <c r="A113" s="37" t="str">
        <f>IF(ISNONTEXT(deployment_raw[[#This Row],[Column1]]), "", deployment_raw[[#This Row],[Column1]])</f>
        <v/>
      </c>
      <c r="B113" s="38" t="str">
        <f>IF(ISNONTEXT(deployment_raw[[#This Row],[Column2]]), "", deployment_raw[[#This Row],[Column2]])</f>
        <v/>
      </c>
      <c r="C113" s="38" t="str">
        <f>IF(ISNONTEXT(deployment_raw[[#This Row],[Column3]]), "", deployment_raw[[#This Row],[Column3]])</f>
        <v/>
      </c>
      <c r="D113" s="38" t="str">
        <f>IF(ISNONTEXT(deployment_raw[[#This Row],[Column4]]), "", deployment_raw[[#This Row],[Column4]])</f>
        <v/>
      </c>
      <c r="E113" s="39" t="str">
        <f>IF(ISNUMBER(deployment_raw[[#This Row],[Column5]]), deployment_raw[[#This Row],[Column5]],"")</f>
        <v/>
      </c>
      <c r="F113" s="174" t="str">
        <f>IF(ISNUMBER(deployment_raw[[#This Row],[Column6]]), (deployment_raw[[#This Row],[Column6]] * deployment_raw[[#This Row],[Column5]]),"")</f>
        <v/>
      </c>
      <c r="G113" s="175" t="str">
        <f>IF(ISNUMBER(deployment_raw[[#This Row],[Column7]]), (deployment_raw[[#This Row],[Column7]] * deployment_raw[[#This Row],[Column5]])/1048576,"")</f>
        <v/>
      </c>
      <c r="H113" s="175" t="str">
        <f>IF(ISNUMBER(deployment_raw[[#This Row],[Column8]]), (deployment_raw[[#This Row],[Column8]]  * deployment_raw[[#This Row],[Column5]]),"")</f>
        <v/>
      </c>
      <c r="I113" s="176" t="str">
        <f>IF(ISNUMBER(deployment_raw[[#This Row],[Column9]]), (deployment_raw[[#This Row],[Column9]] * deployment_raw[[#This Row],[Column5]])/1048576,"")</f>
        <v/>
      </c>
      <c r="J113" s="57" t="str">
        <f>IF(ISNUMBER(deployment_raw[[#This Row],[Column10]]), (deployment_raw[[#This Row],[Column10]] * deployment_raw[[#This Row],[Column5]]),"")</f>
        <v/>
      </c>
      <c r="K113" s="58" t="str">
        <f>IF(ISNUMBER(deployment_raw[[#This Row],[Column11]]), (deployment_raw[[#This Row],[Column11]] * deployment_raw[[#This Row],[Column5]])/1048576,"")</f>
        <v/>
      </c>
      <c r="L113" s="180" t="str">
        <f>IF(ISNUMBER(deployment_raw[[#This Row],[Column8]]),IF(deployment_raw[[#This Row],[Column5]] &lt;&gt; 0, MAX((deployment_raw[[#This Row],[Column12]] * deployment_raw[[#This Row],[Column5]]), ((deployment_raw[[#This Row],[Column8]] * deployment_raw[[#This Row],[Column5]]) * $L$2), ($H$2 * deployment_raw[[#This Row],[Column5]])), 0),"")</f>
        <v/>
      </c>
      <c r="M11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13" s="188" t="str">
        <f>IF(ISNUMBER(deployment_raw[[#This Row],[Column14]]), deployment_raw[[#This Row],[Column14]],"")</f>
        <v/>
      </c>
      <c r="O113" s="189" t="str">
        <f>IF(ISNUMBER(deployment_raw[[#This Row],[Column15]]), deployment_raw[[#This Row],[Column15]]/1048576,"")</f>
        <v/>
      </c>
      <c r="P113" s="190" t="str">
        <f>IF(ISNUMBER(deployment_raw[[#This Row],[Column12]]), (deployment_raw[[#This Row],[Column12]] * deployment_raw[[#This Row],[Column5]]),"")</f>
        <v/>
      </c>
      <c r="Q113" s="189" t="str">
        <f>IF(ISNUMBER(deployment_raw[[#This Row],[Column13]]), (deployment_raw[[#This Row],[Column13]] * deployment_raw[[#This Row],[Column5]])/1048576,"")</f>
        <v/>
      </c>
    </row>
    <row r="114" spans="1:17" ht="15.75" customHeight="1" x14ac:dyDescent="0.25">
      <c r="A114" s="37" t="str">
        <f>IF(ISNONTEXT(deployment_raw[[#This Row],[Column1]]), "", deployment_raw[[#This Row],[Column1]])</f>
        <v/>
      </c>
      <c r="B114" s="38" t="str">
        <f>IF(ISNONTEXT(deployment_raw[[#This Row],[Column2]]), "", deployment_raw[[#This Row],[Column2]])</f>
        <v/>
      </c>
      <c r="C114" s="38" t="str">
        <f>IF(ISNONTEXT(deployment_raw[[#This Row],[Column3]]), "", deployment_raw[[#This Row],[Column3]])</f>
        <v/>
      </c>
      <c r="D114" s="38" t="str">
        <f>IF(ISNONTEXT(deployment_raw[[#This Row],[Column4]]), "", deployment_raw[[#This Row],[Column4]])</f>
        <v/>
      </c>
      <c r="E114" s="39" t="str">
        <f>IF(ISNUMBER(deployment_raw[[#This Row],[Column5]]), deployment_raw[[#This Row],[Column5]],"")</f>
        <v/>
      </c>
      <c r="F114" s="174" t="str">
        <f>IF(ISNUMBER(deployment_raw[[#This Row],[Column6]]), (deployment_raw[[#This Row],[Column6]] * deployment_raw[[#This Row],[Column5]]),"")</f>
        <v/>
      </c>
      <c r="G114" s="175" t="str">
        <f>IF(ISNUMBER(deployment_raw[[#This Row],[Column7]]), (deployment_raw[[#This Row],[Column7]] * deployment_raw[[#This Row],[Column5]])/1048576,"")</f>
        <v/>
      </c>
      <c r="H114" s="175" t="str">
        <f>IF(ISNUMBER(deployment_raw[[#This Row],[Column8]]), (deployment_raw[[#This Row],[Column8]]  * deployment_raw[[#This Row],[Column5]]),"")</f>
        <v/>
      </c>
      <c r="I114" s="176" t="str">
        <f>IF(ISNUMBER(deployment_raw[[#This Row],[Column9]]), (deployment_raw[[#This Row],[Column9]] * deployment_raw[[#This Row],[Column5]])/1048576,"")</f>
        <v/>
      </c>
      <c r="J114" s="57" t="str">
        <f>IF(ISNUMBER(deployment_raw[[#This Row],[Column10]]), (deployment_raw[[#This Row],[Column10]] * deployment_raw[[#This Row],[Column5]]),"")</f>
        <v/>
      </c>
      <c r="K114" s="58" t="str">
        <f>IF(ISNUMBER(deployment_raw[[#This Row],[Column11]]), (deployment_raw[[#This Row],[Column11]] * deployment_raw[[#This Row],[Column5]])/1048576,"")</f>
        <v/>
      </c>
      <c r="L114" s="180" t="str">
        <f>IF(ISNUMBER(deployment_raw[[#This Row],[Column8]]),IF(deployment_raw[[#This Row],[Column5]] &lt;&gt; 0, MAX((deployment_raw[[#This Row],[Column12]] * deployment_raw[[#This Row],[Column5]]), ((deployment_raw[[#This Row],[Column8]] * deployment_raw[[#This Row],[Column5]]) * $L$2), ($H$2 * deployment_raw[[#This Row],[Column5]])), 0),"")</f>
        <v/>
      </c>
      <c r="M11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14" s="188" t="str">
        <f>IF(ISNUMBER(deployment_raw[[#This Row],[Column14]]), deployment_raw[[#This Row],[Column14]],"")</f>
        <v/>
      </c>
      <c r="O114" s="189" t="str">
        <f>IF(ISNUMBER(deployment_raw[[#This Row],[Column15]]), deployment_raw[[#This Row],[Column15]]/1048576,"")</f>
        <v/>
      </c>
      <c r="P114" s="190" t="str">
        <f>IF(ISNUMBER(deployment_raw[[#This Row],[Column12]]), (deployment_raw[[#This Row],[Column12]] * deployment_raw[[#This Row],[Column5]]),"")</f>
        <v/>
      </c>
      <c r="Q114" s="189" t="str">
        <f>IF(ISNUMBER(deployment_raw[[#This Row],[Column13]]), (deployment_raw[[#This Row],[Column13]] * deployment_raw[[#This Row],[Column5]])/1048576,"")</f>
        <v/>
      </c>
    </row>
    <row r="115" spans="1:17" ht="15.75" customHeight="1" x14ac:dyDescent="0.25">
      <c r="A115" s="37" t="str">
        <f>IF(ISNONTEXT(deployment_raw[[#This Row],[Column1]]), "", deployment_raw[[#This Row],[Column1]])</f>
        <v/>
      </c>
      <c r="B115" s="38" t="str">
        <f>IF(ISNONTEXT(deployment_raw[[#This Row],[Column2]]), "", deployment_raw[[#This Row],[Column2]])</f>
        <v/>
      </c>
      <c r="C115" s="38" t="str">
        <f>IF(ISNONTEXT(deployment_raw[[#This Row],[Column3]]), "", deployment_raw[[#This Row],[Column3]])</f>
        <v/>
      </c>
      <c r="D115" s="38" t="str">
        <f>IF(ISNONTEXT(deployment_raw[[#This Row],[Column4]]), "", deployment_raw[[#This Row],[Column4]])</f>
        <v/>
      </c>
      <c r="E115" s="39" t="str">
        <f>IF(ISNUMBER(deployment_raw[[#This Row],[Column5]]), deployment_raw[[#This Row],[Column5]],"")</f>
        <v/>
      </c>
      <c r="F115" s="174" t="str">
        <f>IF(ISNUMBER(deployment_raw[[#This Row],[Column6]]), (deployment_raw[[#This Row],[Column6]] * deployment_raw[[#This Row],[Column5]]),"")</f>
        <v/>
      </c>
      <c r="G115" s="175" t="str">
        <f>IF(ISNUMBER(deployment_raw[[#This Row],[Column7]]), (deployment_raw[[#This Row],[Column7]] * deployment_raw[[#This Row],[Column5]])/1048576,"")</f>
        <v/>
      </c>
      <c r="H115" s="175" t="str">
        <f>IF(ISNUMBER(deployment_raw[[#This Row],[Column8]]), (deployment_raw[[#This Row],[Column8]]  * deployment_raw[[#This Row],[Column5]]),"")</f>
        <v/>
      </c>
      <c r="I115" s="176" t="str">
        <f>IF(ISNUMBER(deployment_raw[[#This Row],[Column9]]), (deployment_raw[[#This Row],[Column9]] * deployment_raw[[#This Row],[Column5]])/1048576,"")</f>
        <v/>
      </c>
      <c r="J115" s="57" t="str">
        <f>IF(ISNUMBER(deployment_raw[[#This Row],[Column10]]), (deployment_raw[[#This Row],[Column10]] * deployment_raw[[#This Row],[Column5]]),"")</f>
        <v/>
      </c>
      <c r="K115" s="58" t="str">
        <f>IF(ISNUMBER(deployment_raw[[#This Row],[Column11]]), (deployment_raw[[#This Row],[Column11]] * deployment_raw[[#This Row],[Column5]])/1048576,"")</f>
        <v/>
      </c>
      <c r="L115" s="180" t="str">
        <f>IF(ISNUMBER(deployment_raw[[#This Row],[Column8]]),IF(deployment_raw[[#This Row],[Column5]] &lt;&gt; 0, MAX((deployment_raw[[#This Row],[Column12]] * deployment_raw[[#This Row],[Column5]]), ((deployment_raw[[#This Row],[Column8]] * deployment_raw[[#This Row],[Column5]]) * $L$2), ($H$2 * deployment_raw[[#This Row],[Column5]])), 0),"")</f>
        <v/>
      </c>
      <c r="M11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15" s="188" t="str">
        <f>IF(ISNUMBER(deployment_raw[[#This Row],[Column14]]), deployment_raw[[#This Row],[Column14]],"")</f>
        <v/>
      </c>
      <c r="O115" s="189" t="str">
        <f>IF(ISNUMBER(deployment_raw[[#This Row],[Column15]]), deployment_raw[[#This Row],[Column15]]/1048576,"")</f>
        <v/>
      </c>
      <c r="P115" s="190" t="str">
        <f>IF(ISNUMBER(deployment_raw[[#This Row],[Column12]]), (deployment_raw[[#This Row],[Column12]] * deployment_raw[[#This Row],[Column5]]),"")</f>
        <v/>
      </c>
      <c r="Q115" s="189" t="str">
        <f>IF(ISNUMBER(deployment_raw[[#This Row],[Column13]]), (deployment_raw[[#This Row],[Column13]] * deployment_raw[[#This Row],[Column5]])/1048576,"")</f>
        <v/>
      </c>
    </row>
    <row r="116" spans="1:17" ht="15.75" customHeight="1" x14ac:dyDescent="0.25">
      <c r="A116" s="37" t="str">
        <f>IF(ISNONTEXT(deployment_raw[[#This Row],[Column1]]), "", deployment_raw[[#This Row],[Column1]])</f>
        <v/>
      </c>
      <c r="B116" s="38" t="str">
        <f>IF(ISNONTEXT(deployment_raw[[#This Row],[Column2]]), "", deployment_raw[[#This Row],[Column2]])</f>
        <v/>
      </c>
      <c r="C116" s="38" t="str">
        <f>IF(ISNONTEXT(deployment_raw[[#This Row],[Column3]]), "", deployment_raw[[#This Row],[Column3]])</f>
        <v/>
      </c>
      <c r="D116" s="38" t="str">
        <f>IF(ISNONTEXT(deployment_raw[[#This Row],[Column4]]), "", deployment_raw[[#This Row],[Column4]])</f>
        <v/>
      </c>
      <c r="E116" s="39" t="str">
        <f>IF(ISNUMBER(deployment_raw[[#This Row],[Column5]]), deployment_raw[[#This Row],[Column5]],"")</f>
        <v/>
      </c>
      <c r="F116" s="174" t="str">
        <f>IF(ISNUMBER(deployment_raw[[#This Row],[Column6]]), (deployment_raw[[#This Row],[Column6]] * deployment_raw[[#This Row],[Column5]]),"")</f>
        <v/>
      </c>
      <c r="G116" s="175" t="str">
        <f>IF(ISNUMBER(deployment_raw[[#This Row],[Column7]]), (deployment_raw[[#This Row],[Column7]] * deployment_raw[[#This Row],[Column5]])/1048576,"")</f>
        <v/>
      </c>
      <c r="H116" s="175" t="str">
        <f>IF(ISNUMBER(deployment_raw[[#This Row],[Column8]]), (deployment_raw[[#This Row],[Column8]]  * deployment_raw[[#This Row],[Column5]]),"")</f>
        <v/>
      </c>
      <c r="I116" s="176" t="str">
        <f>IF(ISNUMBER(deployment_raw[[#This Row],[Column9]]), (deployment_raw[[#This Row],[Column9]] * deployment_raw[[#This Row],[Column5]])/1048576,"")</f>
        <v/>
      </c>
      <c r="J116" s="57" t="str">
        <f>IF(ISNUMBER(deployment_raw[[#This Row],[Column10]]), (deployment_raw[[#This Row],[Column10]] * deployment_raw[[#This Row],[Column5]]),"")</f>
        <v/>
      </c>
      <c r="K116" s="58" t="str">
        <f>IF(ISNUMBER(deployment_raw[[#This Row],[Column11]]), (deployment_raw[[#This Row],[Column11]] * deployment_raw[[#This Row],[Column5]])/1048576,"")</f>
        <v/>
      </c>
      <c r="L116" s="180" t="str">
        <f>IF(ISNUMBER(deployment_raw[[#This Row],[Column8]]),IF(deployment_raw[[#This Row],[Column5]] &lt;&gt; 0, MAX((deployment_raw[[#This Row],[Column12]] * deployment_raw[[#This Row],[Column5]]), ((deployment_raw[[#This Row],[Column8]] * deployment_raw[[#This Row],[Column5]]) * $L$2), ($H$2 * deployment_raw[[#This Row],[Column5]])), 0),"")</f>
        <v/>
      </c>
      <c r="M11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16" s="188" t="str">
        <f>IF(ISNUMBER(deployment_raw[[#This Row],[Column14]]), deployment_raw[[#This Row],[Column14]],"")</f>
        <v/>
      </c>
      <c r="O116" s="189" t="str">
        <f>IF(ISNUMBER(deployment_raw[[#This Row],[Column15]]), deployment_raw[[#This Row],[Column15]]/1048576,"")</f>
        <v/>
      </c>
      <c r="P116" s="190" t="str">
        <f>IF(ISNUMBER(deployment_raw[[#This Row],[Column12]]), (deployment_raw[[#This Row],[Column12]] * deployment_raw[[#This Row],[Column5]]),"")</f>
        <v/>
      </c>
      <c r="Q116" s="189" t="str">
        <f>IF(ISNUMBER(deployment_raw[[#This Row],[Column13]]), (deployment_raw[[#This Row],[Column13]] * deployment_raw[[#This Row],[Column5]])/1048576,"")</f>
        <v/>
      </c>
    </row>
    <row r="117" spans="1:17" ht="15.75" customHeight="1" x14ac:dyDescent="0.25">
      <c r="A117" s="37" t="str">
        <f>IF(ISNONTEXT(deployment_raw[[#This Row],[Column1]]), "", deployment_raw[[#This Row],[Column1]])</f>
        <v/>
      </c>
      <c r="B117" s="38" t="str">
        <f>IF(ISNONTEXT(deployment_raw[[#This Row],[Column2]]), "", deployment_raw[[#This Row],[Column2]])</f>
        <v/>
      </c>
      <c r="C117" s="38" t="str">
        <f>IF(ISNONTEXT(deployment_raw[[#This Row],[Column3]]), "", deployment_raw[[#This Row],[Column3]])</f>
        <v/>
      </c>
      <c r="D117" s="38" t="str">
        <f>IF(ISNONTEXT(deployment_raw[[#This Row],[Column4]]), "", deployment_raw[[#This Row],[Column4]])</f>
        <v/>
      </c>
      <c r="E117" s="39" t="str">
        <f>IF(ISNUMBER(deployment_raw[[#This Row],[Column5]]), deployment_raw[[#This Row],[Column5]],"")</f>
        <v/>
      </c>
      <c r="F117" s="174" t="str">
        <f>IF(ISNUMBER(deployment_raw[[#This Row],[Column6]]), (deployment_raw[[#This Row],[Column6]] * deployment_raw[[#This Row],[Column5]]),"")</f>
        <v/>
      </c>
      <c r="G117" s="175" t="str">
        <f>IF(ISNUMBER(deployment_raw[[#This Row],[Column7]]), (deployment_raw[[#This Row],[Column7]] * deployment_raw[[#This Row],[Column5]])/1048576,"")</f>
        <v/>
      </c>
      <c r="H117" s="175" t="str">
        <f>IF(ISNUMBER(deployment_raw[[#This Row],[Column8]]), (deployment_raw[[#This Row],[Column8]]  * deployment_raw[[#This Row],[Column5]]),"")</f>
        <v/>
      </c>
      <c r="I117" s="176" t="str">
        <f>IF(ISNUMBER(deployment_raw[[#This Row],[Column9]]), (deployment_raw[[#This Row],[Column9]] * deployment_raw[[#This Row],[Column5]])/1048576,"")</f>
        <v/>
      </c>
      <c r="J117" s="57" t="str">
        <f>IF(ISNUMBER(deployment_raw[[#This Row],[Column10]]), (deployment_raw[[#This Row],[Column10]] * deployment_raw[[#This Row],[Column5]]),"")</f>
        <v/>
      </c>
      <c r="K117" s="58" t="str">
        <f>IF(ISNUMBER(deployment_raw[[#This Row],[Column11]]), (deployment_raw[[#This Row],[Column11]] * deployment_raw[[#This Row],[Column5]])/1048576,"")</f>
        <v/>
      </c>
      <c r="L117" s="180" t="str">
        <f>IF(ISNUMBER(deployment_raw[[#This Row],[Column8]]),IF(deployment_raw[[#This Row],[Column5]] &lt;&gt; 0, MAX((deployment_raw[[#This Row],[Column12]] * deployment_raw[[#This Row],[Column5]]), ((deployment_raw[[#This Row],[Column8]] * deployment_raw[[#This Row],[Column5]]) * $L$2), ($H$2 * deployment_raw[[#This Row],[Column5]])), 0),"")</f>
        <v/>
      </c>
      <c r="M11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17" s="188" t="str">
        <f>IF(ISNUMBER(deployment_raw[[#This Row],[Column14]]), deployment_raw[[#This Row],[Column14]],"")</f>
        <v/>
      </c>
      <c r="O117" s="189" t="str">
        <f>IF(ISNUMBER(deployment_raw[[#This Row],[Column15]]), deployment_raw[[#This Row],[Column15]]/1048576,"")</f>
        <v/>
      </c>
      <c r="P117" s="190" t="str">
        <f>IF(ISNUMBER(deployment_raw[[#This Row],[Column12]]), (deployment_raw[[#This Row],[Column12]] * deployment_raw[[#This Row],[Column5]]),"")</f>
        <v/>
      </c>
      <c r="Q117" s="189" t="str">
        <f>IF(ISNUMBER(deployment_raw[[#This Row],[Column13]]), (deployment_raw[[#This Row],[Column13]] * deployment_raw[[#This Row],[Column5]])/1048576,"")</f>
        <v/>
      </c>
    </row>
    <row r="118" spans="1:17" ht="15.75" customHeight="1" x14ac:dyDescent="0.25">
      <c r="A118" s="37" t="str">
        <f>IF(ISNONTEXT(deployment_raw[[#This Row],[Column1]]), "", deployment_raw[[#This Row],[Column1]])</f>
        <v/>
      </c>
      <c r="B118" s="38" t="str">
        <f>IF(ISNONTEXT(deployment_raw[[#This Row],[Column2]]), "", deployment_raw[[#This Row],[Column2]])</f>
        <v/>
      </c>
      <c r="C118" s="38" t="str">
        <f>IF(ISNONTEXT(deployment_raw[[#This Row],[Column3]]), "", deployment_raw[[#This Row],[Column3]])</f>
        <v/>
      </c>
      <c r="D118" s="38" t="str">
        <f>IF(ISNONTEXT(deployment_raw[[#This Row],[Column4]]), "", deployment_raw[[#This Row],[Column4]])</f>
        <v/>
      </c>
      <c r="E118" s="39" t="str">
        <f>IF(ISNUMBER(deployment_raw[[#This Row],[Column5]]), deployment_raw[[#This Row],[Column5]],"")</f>
        <v/>
      </c>
      <c r="F118" s="174" t="str">
        <f>IF(ISNUMBER(deployment_raw[[#This Row],[Column6]]), (deployment_raw[[#This Row],[Column6]] * deployment_raw[[#This Row],[Column5]]),"")</f>
        <v/>
      </c>
      <c r="G118" s="175" t="str">
        <f>IF(ISNUMBER(deployment_raw[[#This Row],[Column7]]), (deployment_raw[[#This Row],[Column7]] * deployment_raw[[#This Row],[Column5]])/1048576,"")</f>
        <v/>
      </c>
      <c r="H118" s="175" t="str">
        <f>IF(ISNUMBER(deployment_raw[[#This Row],[Column8]]), (deployment_raw[[#This Row],[Column8]]  * deployment_raw[[#This Row],[Column5]]),"")</f>
        <v/>
      </c>
      <c r="I118" s="176" t="str">
        <f>IF(ISNUMBER(deployment_raw[[#This Row],[Column9]]), (deployment_raw[[#This Row],[Column9]] * deployment_raw[[#This Row],[Column5]])/1048576,"")</f>
        <v/>
      </c>
      <c r="J118" s="57" t="str">
        <f>IF(ISNUMBER(deployment_raw[[#This Row],[Column10]]), (deployment_raw[[#This Row],[Column10]] * deployment_raw[[#This Row],[Column5]]),"")</f>
        <v/>
      </c>
      <c r="K118" s="58" t="str">
        <f>IF(ISNUMBER(deployment_raw[[#This Row],[Column11]]), (deployment_raw[[#This Row],[Column11]] * deployment_raw[[#This Row],[Column5]])/1048576,"")</f>
        <v/>
      </c>
      <c r="L118" s="180" t="str">
        <f>IF(ISNUMBER(deployment_raw[[#This Row],[Column8]]),IF(deployment_raw[[#This Row],[Column5]] &lt;&gt; 0, MAX((deployment_raw[[#This Row],[Column12]] * deployment_raw[[#This Row],[Column5]]), ((deployment_raw[[#This Row],[Column8]] * deployment_raw[[#This Row],[Column5]]) * $L$2), ($H$2 * deployment_raw[[#This Row],[Column5]])), 0),"")</f>
        <v/>
      </c>
      <c r="M11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18" s="188" t="str">
        <f>IF(ISNUMBER(deployment_raw[[#This Row],[Column14]]), deployment_raw[[#This Row],[Column14]],"")</f>
        <v/>
      </c>
      <c r="O118" s="189" t="str">
        <f>IF(ISNUMBER(deployment_raw[[#This Row],[Column15]]), deployment_raw[[#This Row],[Column15]]/1048576,"")</f>
        <v/>
      </c>
      <c r="P118" s="190" t="str">
        <f>IF(ISNUMBER(deployment_raw[[#This Row],[Column12]]), (deployment_raw[[#This Row],[Column12]] * deployment_raw[[#This Row],[Column5]]),"")</f>
        <v/>
      </c>
      <c r="Q118" s="189" t="str">
        <f>IF(ISNUMBER(deployment_raw[[#This Row],[Column13]]), (deployment_raw[[#This Row],[Column13]] * deployment_raw[[#This Row],[Column5]])/1048576,"")</f>
        <v/>
      </c>
    </row>
    <row r="119" spans="1:17" ht="15.75" customHeight="1" x14ac:dyDescent="0.25">
      <c r="A119" s="37" t="str">
        <f>IF(ISNONTEXT(deployment_raw[[#This Row],[Column1]]), "", deployment_raw[[#This Row],[Column1]])</f>
        <v/>
      </c>
      <c r="B119" s="38" t="str">
        <f>IF(ISNONTEXT(deployment_raw[[#This Row],[Column2]]), "", deployment_raw[[#This Row],[Column2]])</f>
        <v/>
      </c>
      <c r="C119" s="38" t="str">
        <f>IF(ISNONTEXT(deployment_raw[[#This Row],[Column3]]), "", deployment_raw[[#This Row],[Column3]])</f>
        <v/>
      </c>
      <c r="D119" s="38" t="str">
        <f>IF(ISNONTEXT(deployment_raw[[#This Row],[Column4]]), "", deployment_raw[[#This Row],[Column4]])</f>
        <v/>
      </c>
      <c r="E119" s="39" t="str">
        <f>IF(ISNUMBER(deployment_raw[[#This Row],[Column5]]), deployment_raw[[#This Row],[Column5]],"")</f>
        <v/>
      </c>
      <c r="F119" s="174" t="str">
        <f>IF(ISNUMBER(deployment_raw[[#This Row],[Column6]]), (deployment_raw[[#This Row],[Column6]] * deployment_raw[[#This Row],[Column5]]),"")</f>
        <v/>
      </c>
      <c r="G119" s="175" t="str">
        <f>IF(ISNUMBER(deployment_raw[[#This Row],[Column7]]), (deployment_raw[[#This Row],[Column7]] * deployment_raw[[#This Row],[Column5]])/1048576,"")</f>
        <v/>
      </c>
      <c r="H119" s="175" t="str">
        <f>IF(ISNUMBER(deployment_raw[[#This Row],[Column8]]), (deployment_raw[[#This Row],[Column8]]  * deployment_raw[[#This Row],[Column5]]),"")</f>
        <v/>
      </c>
      <c r="I119" s="176" t="str">
        <f>IF(ISNUMBER(deployment_raw[[#This Row],[Column9]]), (deployment_raw[[#This Row],[Column9]] * deployment_raw[[#This Row],[Column5]])/1048576,"")</f>
        <v/>
      </c>
      <c r="J119" s="57" t="str">
        <f>IF(ISNUMBER(deployment_raw[[#This Row],[Column10]]), (deployment_raw[[#This Row],[Column10]] * deployment_raw[[#This Row],[Column5]]),"")</f>
        <v/>
      </c>
      <c r="K119" s="58" t="str">
        <f>IF(ISNUMBER(deployment_raw[[#This Row],[Column11]]), (deployment_raw[[#This Row],[Column11]] * deployment_raw[[#This Row],[Column5]])/1048576,"")</f>
        <v/>
      </c>
      <c r="L119" s="180" t="str">
        <f>IF(ISNUMBER(deployment_raw[[#This Row],[Column8]]),IF(deployment_raw[[#This Row],[Column5]] &lt;&gt; 0, MAX((deployment_raw[[#This Row],[Column12]] * deployment_raw[[#This Row],[Column5]]), ((deployment_raw[[#This Row],[Column8]] * deployment_raw[[#This Row],[Column5]]) * $L$2), ($H$2 * deployment_raw[[#This Row],[Column5]])), 0),"")</f>
        <v/>
      </c>
      <c r="M11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19" s="188" t="str">
        <f>IF(ISNUMBER(deployment_raw[[#This Row],[Column14]]), deployment_raw[[#This Row],[Column14]],"")</f>
        <v/>
      </c>
      <c r="O119" s="189" t="str">
        <f>IF(ISNUMBER(deployment_raw[[#This Row],[Column15]]), deployment_raw[[#This Row],[Column15]]/1048576,"")</f>
        <v/>
      </c>
      <c r="P119" s="190" t="str">
        <f>IF(ISNUMBER(deployment_raw[[#This Row],[Column12]]), (deployment_raw[[#This Row],[Column12]] * deployment_raw[[#This Row],[Column5]]),"")</f>
        <v/>
      </c>
      <c r="Q119" s="189" t="str">
        <f>IF(ISNUMBER(deployment_raw[[#This Row],[Column13]]), (deployment_raw[[#This Row],[Column13]] * deployment_raw[[#This Row],[Column5]])/1048576,"")</f>
        <v/>
      </c>
    </row>
    <row r="120" spans="1:17" ht="15.75" customHeight="1" x14ac:dyDescent="0.25">
      <c r="A120" s="37" t="str">
        <f>IF(ISNONTEXT(deployment_raw[[#This Row],[Column1]]), "", deployment_raw[[#This Row],[Column1]])</f>
        <v/>
      </c>
      <c r="B120" s="38" t="str">
        <f>IF(ISNONTEXT(deployment_raw[[#This Row],[Column2]]), "", deployment_raw[[#This Row],[Column2]])</f>
        <v/>
      </c>
      <c r="C120" s="38" t="str">
        <f>IF(ISNONTEXT(deployment_raw[[#This Row],[Column3]]), "", deployment_raw[[#This Row],[Column3]])</f>
        <v/>
      </c>
      <c r="D120" s="38" t="str">
        <f>IF(ISNONTEXT(deployment_raw[[#This Row],[Column4]]), "", deployment_raw[[#This Row],[Column4]])</f>
        <v/>
      </c>
      <c r="E120" s="39" t="str">
        <f>IF(ISNUMBER(deployment_raw[[#This Row],[Column5]]), deployment_raw[[#This Row],[Column5]],"")</f>
        <v/>
      </c>
      <c r="F120" s="174" t="str">
        <f>IF(ISNUMBER(deployment_raw[[#This Row],[Column6]]), (deployment_raw[[#This Row],[Column6]] * deployment_raw[[#This Row],[Column5]]),"")</f>
        <v/>
      </c>
      <c r="G120" s="175" t="str">
        <f>IF(ISNUMBER(deployment_raw[[#This Row],[Column7]]), (deployment_raw[[#This Row],[Column7]] * deployment_raw[[#This Row],[Column5]])/1048576,"")</f>
        <v/>
      </c>
      <c r="H120" s="175" t="str">
        <f>IF(ISNUMBER(deployment_raw[[#This Row],[Column8]]), (deployment_raw[[#This Row],[Column8]]  * deployment_raw[[#This Row],[Column5]]),"")</f>
        <v/>
      </c>
      <c r="I120" s="176" t="str">
        <f>IF(ISNUMBER(deployment_raw[[#This Row],[Column9]]), (deployment_raw[[#This Row],[Column9]] * deployment_raw[[#This Row],[Column5]])/1048576,"")</f>
        <v/>
      </c>
      <c r="J120" s="57" t="str">
        <f>IF(ISNUMBER(deployment_raw[[#This Row],[Column10]]), (deployment_raw[[#This Row],[Column10]] * deployment_raw[[#This Row],[Column5]]),"")</f>
        <v/>
      </c>
      <c r="K120" s="58" t="str">
        <f>IF(ISNUMBER(deployment_raw[[#This Row],[Column11]]), (deployment_raw[[#This Row],[Column11]] * deployment_raw[[#This Row],[Column5]])/1048576,"")</f>
        <v/>
      </c>
      <c r="L120" s="180" t="str">
        <f>IF(ISNUMBER(deployment_raw[[#This Row],[Column8]]),IF(deployment_raw[[#This Row],[Column5]] &lt;&gt; 0, MAX((deployment_raw[[#This Row],[Column12]] * deployment_raw[[#This Row],[Column5]]), ((deployment_raw[[#This Row],[Column8]] * deployment_raw[[#This Row],[Column5]]) * $L$2), ($H$2 * deployment_raw[[#This Row],[Column5]])), 0),"")</f>
        <v/>
      </c>
      <c r="M12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20" s="188" t="str">
        <f>IF(ISNUMBER(deployment_raw[[#This Row],[Column14]]), deployment_raw[[#This Row],[Column14]],"")</f>
        <v/>
      </c>
      <c r="O120" s="189" t="str">
        <f>IF(ISNUMBER(deployment_raw[[#This Row],[Column15]]), deployment_raw[[#This Row],[Column15]]/1048576,"")</f>
        <v/>
      </c>
      <c r="P120" s="190" t="str">
        <f>IF(ISNUMBER(deployment_raw[[#This Row],[Column12]]), (deployment_raw[[#This Row],[Column12]] * deployment_raw[[#This Row],[Column5]]),"")</f>
        <v/>
      </c>
      <c r="Q120" s="189" t="str">
        <f>IF(ISNUMBER(deployment_raw[[#This Row],[Column13]]), (deployment_raw[[#This Row],[Column13]] * deployment_raw[[#This Row],[Column5]])/1048576,"")</f>
        <v/>
      </c>
    </row>
    <row r="121" spans="1:17" ht="15.75" customHeight="1" x14ac:dyDescent="0.25">
      <c r="A121" s="37" t="str">
        <f>IF(ISNONTEXT(deployment_raw[[#This Row],[Column1]]), "", deployment_raw[[#This Row],[Column1]])</f>
        <v/>
      </c>
      <c r="B121" s="38" t="str">
        <f>IF(ISNONTEXT(deployment_raw[[#This Row],[Column2]]), "", deployment_raw[[#This Row],[Column2]])</f>
        <v/>
      </c>
      <c r="C121" s="38" t="str">
        <f>IF(ISNONTEXT(deployment_raw[[#This Row],[Column3]]), "", deployment_raw[[#This Row],[Column3]])</f>
        <v/>
      </c>
      <c r="D121" s="38" t="str">
        <f>IF(ISNONTEXT(deployment_raw[[#This Row],[Column4]]), "", deployment_raw[[#This Row],[Column4]])</f>
        <v/>
      </c>
      <c r="E121" s="39" t="str">
        <f>IF(ISNUMBER(deployment_raw[[#This Row],[Column5]]), deployment_raw[[#This Row],[Column5]],"")</f>
        <v/>
      </c>
      <c r="F121" s="174" t="str">
        <f>IF(ISNUMBER(deployment_raw[[#This Row],[Column6]]), (deployment_raw[[#This Row],[Column6]] * deployment_raw[[#This Row],[Column5]]),"")</f>
        <v/>
      </c>
      <c r="G121" s="175" t="str">
        <f>IF(ISNUMBER(deployment_raw[[#This Row],[Column7]]), (deployment_raw[[#This Row],[Column7]] * deployment_raw[[#This Row],[Column5]])/1048576,"")</f>
        <v/>
      </c>
      <c r="H121" s="175" t="str">
        <f>IF(ISNUMBER(deployment_raw[[#This Row],[Column8]]), (deployment_raw[[#This Row],[Column8]]  * deployment_raw[[#This Row],[Column5]]),"")</f>
        <v/>
      </c>
      <c r="I121" s="176" t="str">
        <f>IF(ISNUMBER(deployment_raw[[#This Row],[Column9]]), (deployment_raw[[#This Row],[Column9]] * deployment_raw[[#This Row],[Column5]])/1048576,"")</f>
        <v/>
      </c>
      <c r="J121" s="57" t="str">
        <f>IF(ISNUMBER(deployment_raw[[#This Row],[Column10]]), (deployment_raw[[#This Row],[Column10]] * deployment_raw[[#This Row],[Column5]]),"")</f>
        <v/>
      </c>
      <c r="K121" s="58" t="str">
        <f>IF(ISNUMBER(deployment_raw[[#This Row],[Column11]]), (deployment_raw[[#This Row],[Column11]] * deployment_raw[[#This Row],[Column5]])/1048576,"")</f>
        <v/>
      </c>
      <c r="L121" s="180" t="str">
        <f>IF(ISNUMBER(deployment_raw[[#This Row],[Column8]]),IF(deployment_raw[[#This Row],[Column5]] &lt;&gt; 0, MAX((deployment_raw[[#This Row],[Column12]] * deployment_raw[[#This Row],[Column5]]), ((deployment_raw[[#This Row],[Column8]] * deployment_raw[[#This Row],[Column5]]) * $L$2), ($H$2 * deployment_raw[[#This Row],[Column5]])), 0),"")</f>
        <v/>
      </c>
      <c r="M12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21" s="188" t="str">
        <f>IF(ISNUMBER(deployment_raw[[#This Row],[Column14]]), deployment_raw[[#This Row],[Column14]],"")</f>
        <v/>
      </c>
      <c r="O121" s="189" t="str">
        <f>IF(ISNUMBER(deployment_raw[[#This Row],[Column15]]), deployment_raw[[#This Row],[Column15]]/1048576,"")</f>
        <v/>
      </c>
      <c r="P121" s="190" t="str">
        <f>IF(ISNUMBER(deployment_raw[[#This Row],[Column12]]), (deployment_raw[[#This Row],[Column12]] * deployment_raw[[#This Row],[Column5]]),"")</f>
        <v/>
      </c>
      <c r="Q121" s="189" t="str">
        <f>IF(ISNUMBER(deployment_raw[[#This Row],[Column13]]), (deployment_raw[[#This Row],[Column13]] * deployment_raw[[#This Row],[Column5]])/1048576,"")</f>
        <v/>
      </c>
    </row>
    <row r="122" spans="1:17" ht="15.75" customHeight="1" x14ac:dyDescent="0.25">
      <c r="A122" s="37" t="str">
        <f>IF(ISNONTEXT(deployment_raw[[#This Row],[Column1]]), "", deployment_raw[[#This Row],[Column1]])</f>
        <v/>
      </c>
      <c r="B122" s="38" t="str">
        <f>IF(ISNONTEXT(deployment_raw[[#This Row],[Column2]]), "", deployment_raw[[#This Row],[Column2]])</f>
        <v/>
      </c>
      <c r="C122" s="38" t="str">
        <f>IF(ISNONTEXT(deployment_raw[[#This Row],[Column3]]), "", deployment_raw[[#This Row],[Column3]])</f>
        <v/>
      </c>
      <c r="D122" s="38" t="str">
        <f>IF(ISNONTEXT(deployment_raw[[#This Row],[Column4]]), "", deployment_raw[[#This Row],[Column4]])</f>
        <v/>
      </c>
      <c r="E122" s="39" t="str">
        <f>IF(ISNUMBER(deployment_raw[[#This Row],[Column5]]), deployment_raw[[#This Row],[Column5]],"")</f>
        <v/>
      </c>
      <c r="F122" s="174" t="str">
        <f>IF(ISNUMBER(deployment_raw[[#This Row],[Column6]]), (deployment_raw[[#This Row],[Column6]] * deployment_raw[[#This Row],[Column5]]),"")</f>
        <v/>
      </c>
      <c r="G122" s="175" t="str">
        <f>IF(ISNUMBER(deployment_raw[[#This Row],[Column7]]), (deployment_raw[[#This Row],[Column7]] * deployment_raw[[#This Row],[Column5]])/1048576,"")</f>
        <v/>
      </c>
      <c r="H122" s="175" t="str">
        <f>IF(ISNUMBER(deployment_raw[[#This Row],[Column8]]), (deployment_raw[[#This Row],[Column8]]  * deployment_raw[[#This Row],[Column5]]),"")</f>
        <v/>
      </c>
      <c r="I122" s="176" t="str">
        <f>IF(ISNUMBER(deployment_raw[[#This Row],[Column9]]), (deployment_raw[[#This Row],[Column9]] * deployment_raw[[#This Row],[Column5]])/1048576,"")</f>
        <v/>
      </c>
      <c r="J122" s="57" t="str">
        <f>IF(ISNUMBER(deployment_raw[[#This Row],[Column10]]), (deployment_raw[[#This Row],[Column10]] * deployment_raw[[#This Row],[Column5]]),"")</f>
        <v/>
      </c>
      <c r="K122" s="58" t="str">
        <f>IF(ISNUMBER(deployment_raw[[#This Row],[Column11]]), (deployment_raw[[#This Row],[Column11]] * deployment_raw[[#This Row],[Column5]])/1048576,"")</f>
        <v/>
      </c>
      <c r="L122" s="180" t="str">
        <f>IF(ISNUMBER(deployment_raw[[#This Row],[Column8]]),IF(deployment_raw[[#This Row],[Column5]] &lt;&gt; 0, MAX((deployment_raw[[#This Row],[Column12]] * deployment_raw[[#This Row],[Column5]]), ((deployment_raw[[#This Row],[Column8]] * deployment_raw[[#This Row],[Column5]]) * $L$2), ($H$2 * deployment_raw[[#This Row],[Column5]])), 0),"")</f>
        <v/>
      </c>
      <c r="M12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22" s="188" t="str">
        <f>IF(ISNUMBER(deployment_raw[[#This Row],[Column14]]), deployment_raw[[#This Row],[Column14]],"")</f>
        <v/>
      </c>
      <c r="O122" s="189" t="str">
        <f>IF(ISNUMBER(deployment_raw[[#This Row],[Column15]]), deployment_raw[[#This Row],[Column15]]/1048576,"")</f>
        <v/>
      </c>
      <c r="P122" s="190" t="str">
        <f>IF(ISNUMBER(deployment_raw[[#This Row],[Column12]]), (deployment_raw[[#This Row],[Column12]] * deployment_raw[[#This Row],[Column5]]),"")</f>
        <v/>
      </c>
      <c r="Q122" s="189" t="str">
        <f>IF(ISNUMBER(deployment_raw[[#This Row],[Column13]]), (deployment_raw[[#This Row],[Column13]] * deployment_raw[[#This Row],[Column5]])/1048576,"")</f>
        <v/>
      </c>
    </row>
    <row r="123" spans="1:17" ht="15.75" customHeight="1" x14ac:dyDescent="0.25">
      <c r="A123" s="37" t="str">
        <f>IF(ISNONTEXT(deployment_raw[[#This Row],[Column1]]), "", deployment_raw[[#This Row],[Column1]])</f>
        <v/>
      </c>
      <c r="B123" s="38" t="str">
        <f>IF(ISNONTEXT(deployment_raw[[#This Row],[Column2]]), "", deployment_raw[[#This Row],[Column2]])</f>
        <v/>
      </c>
      <c r="C123" s="38" t="str">
        <f>IF(ISNONTEXT(deployment_raw[[#This Row],[Column3]]), "", deployment_raw[[#This Row],[Column3]])</f>
        <v/>
      </c>
      <c r="D123" s="38" t="str">
        <f>IF(ISNONTEXT(deployment_raw[[#This Row],[Column4]]), "", deployment_raw[[#This Row],[Column4]])</f>
        <v/>
      </c>
      <c r="E123" s="39" t="str">
        <f>IF(ISNUMBER(deployment_raw[[#This Row],[Column5]]), deployment_raw[[#This Row],[Column5]],"")</f>
        <v/>
      </c>
      <c r="F123" s="174" t="str">
        <f>IF(ISNUMBER(deployment_raw[[#This Row],[Column6]]), (deployment_raw[[#This Row],[Column6]] * deployment_raw[[#This Row],[Column5]]),"")</f>
        <v/>
      </c>
      <c r="G123" s="175" t="str">
        <f>IF(ISNUMBER(deployment_raw[[#This Row],[Column7]]), (deployment_raw[[#This Row],[Column7]] * deployment_raw[[#This Row],[Column5]])/1048576,"")</f>
        <v/>
      </c>
      <c r="H123" s="175" t="str">
        <f>IF(ISNUMBER(deployment_raw[[#This Row],[Column8]]), (deployment_raw[[#This Row],[Column8]]  * deployment_raw[[#This Row],[Column5]]),"")</f>
        <v/>
      </c>
      <c r="I123" s="176" t="str">
        <f>IF(ISNUMBER(deployment_raw[[#This Row],[Column9]]), (deployment_raw[[#This Row],[Column9]] * deployment_raw[[#This Row],[Column5]])/1048576,"")</f>
        <v/>
      </c>
      <c r="J123" s="57" t="str">
        <f>IF(ISNUMBER(deployment_raw[[#This Row],[Column10]]), (deployment_raw[[#This Row],[Column10]] * deployment_raw[[#This Row],[Column5]]),"")</f>
        <v/>
      </c>
      <c r="K123" s="58" t="str">
        <f>IF(ISNUMBER(deployment_raw[[#This Row],[Column11]]), (deployment_raw[[#This Row],[Column11]] * deployment_raw[[#This Row],[Column5]])/1048576,"")</f>
        <v/>
      </c>
      <c r="L123" s="180" t="str">
        <f>IF(ISNUMBER(deployment_raw[[#This Row],[Column8]]),IF(deployment_raw[[#This Row],[Column5]] &lt;&gt; 0, MAX((deployment_raw[[#This Row],[Column12]] * deployment_raw[[#This Row],[Column5]]), ((deployment_raw[[#This Row],[Column8]] * deployment_raw[[#This Row],[Column5]]) * $L$2), ($H$2 * deployment_raw[[#This Row],[Column5]])), 0),"")</f>
        <v/>
      </c>
      <c r="M12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23" s="188" t="str">
        <f>IF(ISNUMBER(deployment_raw[[#This Row],[Column14]]), deployment_raw[[#This Row],[Column14]],"")</f>
        <v/>
      </c>
      <c r="O123" s="189" t="str">
        <f>IF(ISNUMBER(deployment_raw[[#This Row],[Column15]]), deployment_raw[[#This Row],[Column15]]/1048576,"")</f>
        <v/>
      </c>
      <c r="P123" s="190" t="str">
        <f>IF(ISNUMBER(deployment_raw[[#This Row],[Column12]]), (deployment_raw[[#This Row],[Column12]] * deployment_raw[[#This Row],[Column5]]),"")</f>
        <v/>
      </c>
      <c r="Q123" s="189" t="str">
        <f>IF(ISNUMBER(deployment_raw[[#This Row],[Column13]]), (deployment_raw[[#This Row],[Column13]] * deployment_raw[[#This Row],[Column5]])/1048576,"")</f>
        <v/>
      </c>
    </row>
    <row r="124" spans="1:17" ht="15.75" customHeight="1" x14ac:dyDescent="0.25">
      <c r="A124" s="37" t="str">
        <f>IF(ISNONTEXT(deployment_raw[[#This Row],[Column1]]), "", deployment_raw[[#This Row],[Column1]])</f>
        <v/>
      </c>
      <c r="B124" s="38" t="str">
        <f>IF(ISNONTEXT(deployment_raw[[#This Row],[Column2]]), "", deployment_raw[[#This Row],[Column2]])</f>
        <v/>
      </c>
      <c r="C124" s="38" t="str">
        <f>IF(ISNONTEXT(deployment_raw[[#This Row],[Column3]]), "", deployment_raw[[#This Row],[Column3]])</f>
        <v/>
      </c>
      <c r="D124" s="38" t="str">
        <f>IF(ISNONTEXT(deployment_raw[[#This Row],[Column4]]), "", deployment_raw[[#This Row],[Column4]])</f>
        <v/>
      </c>
      <c r="E124" s="39" t="str">
        <f>IF(ISNUMBER(deployment_raw[[#This Row],[Column5]]), deployment_raw[[#This Row],[Column5]],"")</f>
        <v/>
      </c>
      <c r="F124" s="174" t="str">
        <f>IF(ISNUMBER(deployment_raw[[#This Row],[Column6]]), (deployment_raw[[#This Row],[Column6]] * deployment_raw[[#This Row],[Column5]]),"")</f>
        <v/>
      </c>
      <c r="G124" s="175" t="str">
        <f>IF(ISNUMBER(deployment_raw[[#This Row],[Column7]]), (deployment_raw[[#This Row],[Column7]] * deployment_raw[[#This Row],[Column5]])/1048576,"")</f>
        <v/>
      </c>
      <c r="H124" s="175" t="str">
        <f>IF(ISNUMBER(deployment_raw[[#This Row],[Column8]]), (deployment_raw[[#This Row],[Column8]]  * deployment_raw[[#This Row],[Column5]]),"")</f>
        <v/>
      </c>
      <c r="I124" s="176" t="str">
        <f>IF(ISNUMBER(deployment_raw[[#This Row],[Column9]]), (deployment_raw[[#This Row],[Column9]] * deployment_raw[[#This Row],[Column5]])/1048576,"")</f>
        <v/>
      </c>
      <c r="J124" s="57" t="str">
        <f>IF(ISNUMBER(deployment_raw[[#This Row],[Column10]]), (deployment_raw[[#This Row],[Column10]] * deployment_raw[[#This Row],[Column5]]),"")</f>
        <v/>
      </c>
      <c r="K124" s="58" t="str">
        <f>IF(ISNUMBER(deployment_raw[[#This Row],[Column11]]), (deployment_raw[[#This Row],[Column11]] * deployment_raw[[#This Row],[Column5]])/1048576,"")</f>
        <v/>
      </c>
      <c r="L124" s="180" t="str">
        <f>IF(ISNUMBER(deployment_raw[[#This Row],[Column8]]),IF(deployment_raw[[#This Row],[Column5]] &lt;&gt; 0, MAX((deployment_raw[[#This Row],[Column12]] * deployment_raw[[#This Row],[Column5]]), ((deployment_raw[[#This Row],[Column8]] * deployment_raw[[#This Row],[Column5]]) * $L$2), ($H$2 * deployment_raw[[#This Row],[Column5]])), 0),"")</f>
        <v/>
      </c>
      <c r="M12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24" s="188" t="str">
        <f>IF(ISNUMBER(deployment_raw[[#This Row],[Column14]]), deployment_raw[[#This Row],[Column14]],"")</f>
        <v/>
      </c>
      <c r="O124" s="189" t="str">
        <f>IF(ISNUMBER(deployment_raw[[#This Row],[Column15]]), deployment_raw[[#This Row],[Column15]]/1048576,"")</f>
        <v/>
      </c>
      <c r="P124" s="190" t="str">
        <f>IF(ISNUMBER(deployment_raw[[#This Row],[Column12]]), (deployment_raw[[#This Row],[Column12]] * deployment_raw[[#This Row],[Column5]]),"")</f>
        <v/>
      </c>
      <c r="Q124" s="189" t="str">
        <f>IF(ISNUMBER(deployment_raw[[#This Row],[Column13]]), (deployment_raw[[#This Row],[Column13]] * deployment_raw[[#This Row],[Column5]])/1048576,"")</f>
        <v/>
      </c>
    </row>
    <row r="125" spans="1:17" ht="15.75" customHeight="1" x14ac:dyDescent="0.25">
      <c r="A125" s="37" t="str">
        <f>IF(ISNONTEXT(deployment_raw[[#This Row],[Column1]]), "", deployment_raw[[#This Row],[Column1]])</f>
        <v/>
      </c>
      <c r="B125" s="38" t="str">
        <f>IF(ISNONTEXT(deployment_raw[[#This Row],[Column2]]), "", deployment_raw[[#This Row],[Column2]])</f>
        <v/>
      </c>
      <c r="C125" s="38" t="str">
        <f>IF(ISNONTEXT(deployment_raw[[#This Row],[Column3]]), "", deployment_raw[[#This Row],[Column3]])</f>
        <v/>
      </c>
      <c r="D125" s="38" t="str">
        <f>IF(ISNONTEXT(deployment_raw[[#This Row],[Column4]]), "", deployment_raw[[#This Row],[Column4]])</f>
        <v/>
      </c>
      <c r="E125" s="39" t="str">
        <f>IF(ISNUMBER(deployment_raw[[#This Row],[Column5]]), deployment_raw[[#This Row],[Column5]],"")</f>
        <v/>
      </c>
      <c r="F125" s="174" t="str">
        <f>IF(ISNUMBER(deployment_raw[[#This Row],[Column6]]), (deployment_raw[[#This Row],[Column6]] * deployment_raw[[#This Row],[Column5]]),"")</f>
        <v/>
      </c>
      <c r="G125" s="175" t="str">
        <f>IF(ISNUMBER(deployment_raw[[#This Row],[Column7]]), (deployment_raw[[#This Row],[Column7]] * deployment_raw[[#This Row],[Column5]])/1048576,"")</f>
        <v/>
      </c>
      <c r="H125" s="175" t="str">
        <f>IF(ISNUMBER(deployment_raw[[#This Row],[Column8]]), (deployment_raw[[#This Row],[Column8]]  * deployment_raw[[#This Row],[Column5]]),"")</f>
        <v/>
      </c>
      <c r="I125" s="176" t="str">
        <f>IF(ISNUMBER(deployment_raw[[#This Row],[Column9]]), (deployment_raw[[#This Row],[Column9]] * deployment_raw[[#This Row],[Column5]])/1048576,"")</f>
        <v/>
      </c>
      <c r="J125" s="57" t="str">
        <f>IF(ISNUMBER(deployment_raw[[#This Row],[Column10]]), (deployment_raw[[#This Row],[Column10]] * deployment_raw[[#This Row],[Column5]]),"")</f>
        <v/>
      </c>
      <c r="K125" s="58" t="str">
        <f>IF(ISNUMBER(deployment_raw[[#This Row],[Column11]]), (deployment_raw[[#This Row],[Column11]] * deployment_raw[[#This Row],[Column5]])/1048576,"")</f>
        <v/>
      </c>
      <c r="L125" s="180" t="str">
        <f>IF(ISNUMBER(deployment_raw[[#This Row],[Column8]]),IF(deployment_raw[[#This Row],[Column5]] &lt;&gt; 0, MAX((deployment_raw[[#This Row],[Column12]] * deployment_raw[[#This Row],[Column5]]), ((deployment_raw[[#This Row],[Column8]] * deployment_raw[[#This Row],[Column5]]) * $L$2), ($H$2 * deployment_raw[[#This Row],[Column5]])), 0),"")</f>
        <v/>
      </c>
      <c r="M12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25" s="188" t="str">
        <f>IF(ISNUMBER(deployment_raw[[#This Row],[Column14]]), deployment_raw[[#This Row],[Column14]],"")</f>
        <v/>
      </c>
      <c r="O125" s="189" t="str">
        <f>IF(ISNUMBER(deployment_raw[[#This Row],[Column15]]), deployment_raw[[#This Row],[Column15]]/1048576,"")</f>
        <v/>
      </c>
      <c r="P125" s="190" t="str">
        <f>IF(ISNUMBER(deployment_raw[[#This Row],[Column12]]), (deployment_raw[[#This Row],[Column12]] * deployment_raw[[#This Row],[Column5]]),"")</f>
        <v/>
      </c>
      <c r="Q125" s="189" t="str">
        <f>IF(ISNUMBER(deployment_raw[[#This Row],[Column13]]), (deployment_raw[[#This Row],[Column13]] * deployment_raw[[#This Row],[Column5]])/1048576,"")</f>
        <v/>
      </c>
    </row>
    <row r="126" spans="1:17" ht="15.75" customHeight="1" x14ac:dyDescent="0.25">
      <c r="A126" s="37" t="str">
        <f>IF(ISNONTEXT(deployment_raw[[#This Row],[Column1]]), "", deployment_raw[[#This Row],[Column1]])</f>
        <v/>
      </c>
      <c r="B126" s="38" t="str">
        <f>IF(ISNONTEXT(deployment_raw[[#This Row],[Column2]]), "", deployment_raw[[#This Row],[Column2]])</f>
        <v/>
      </c>
      <c r="C126" s="38" t="str">
        <f>IF(ISNONTEXT(deployment_raw[[#This Row],[Column3]]), "", deployment_raw[[#This Row],[Column3]])</f>
        <v/>
      </c>
      <c r="D126" s="38" t="str">
        <f>IF(ISNONTEXT(deployment_raw[[#This Row],[Column4]]), "", deployment_raw[[#This Row],[Column4]])</f>
        <v/>
      </c>
      <c r="E126" s="39" t="str">
        <f>IF(ISNUMBER(deployment_raw[[#This Row],[Column5]]), deployment_raw[[#This Row],[Column5]],"")</f>
        <v/>
      </c>
      <c r="F126" s="174" t="str">
        <f>IF(ISNUMBER(deployment_raw[[#This Row],[Column6]]), (deployment_raw[[#This Row],[Column6]] * deployment_raw[[#This Row],[Column5]]),"")</f>
        <v/>
      </c>
      <c r="G126" s="175" t="str">
        <f>IF(ISNUMBER(deployment_raw[[#This Row],[Column7]]), (deployment_raw[[#This Row],[Column7]] * deployment_raw[[#This Row],[Column5]])/1048576,"")</f>
        <v/>
      </c>
      <c r="H126" s="175" t="str">
        <f>IF(ISNUMBER(deployment_raw[[#This Row],[Column8]]), (deployment_raw[[#This Row],[Column8]]  * deployment_raw[[#This Row],[Column5]]),"")</f>
        <v/>
      </c>
      <c r="I126" s="176" t="str">
        <f>IF(ISNUMBER(deployment_raw[[#This Row],[Column9]]), (deployment_raw[[#This Row],[Column9]] * deployment_raw[[#This Row],[Column5]])/1048576,"")</f>
        <v/>
      </c>
      <c r="J126" s="57" t="str">
        <f>IF(ISNUMBER(deployment_raw[[#This Row],[Column10]]), (deployment_raw[[#This Row],[Column10]] * deployment_raw[[#This Row],[Column5]]),"")</f>
        <v/>
      </c>
      <c r="K126" s="58" t="str">
        <f>IF(ISNUMBER(deployment_raw[[#This Row],[Column11]]), (deployment_raw[[#This Row],[Column11]] * deployment_raw[[#This Row],[Column5]])/1048576,"")</f>
        <v/>
      </c>
      <c r="L126" s="180" t="str">
        <f>IF(ISNUMBER(deployment_raw[[#This Row],[Column8]]),IF(deployment_raw[[#This Row],[Column5]] &lt;&gt; 0, MAX((deployment_raw[[#This Row],[Column12]] * deployment_raw[[#This Row],[Column5]]), ((deployment_raw[[#This Row],[Column8]] * deployment_raw[[#This Row],[Column5]]) * $L$2), ($H$2 * deployment_raw[[#This Row],[Column5]])), 0),"")</f>
        <v/>
      </c>
      <c r="M12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26" s="188" t="str">
        <f>IF(ISNUMBER(deployment_raw[[#This Row],[Column14]]), deployment_raw[[#This Row],[Column14]],"")</f>
        <v/>
      </c>
      <c r="O126" s="189" t="str">
        <f>IF(ISNUMBER(deployment_raw[[#This Row],[Column15]]), deployment_raw[[#This Row],[Column15]]/1048576,"")</f>
        <v/>
      </c>
      <c r="P126" s="190" t="str">
        <f>IF(ISNUMBER(deployment_raw[[#This Row],[Column12]]), (deployment_raw[[#This Row],[Column12]] * deployment_raw[[#This Row],[Column5]]),"")</f>
        <v/>
      </c>
      <c r="Q126" s="189" t="str">
        <f>IF(ISNUMBER(deployment_raw[[#This Row],[Column13]]), (deployment_raw[[#This Row],[Column13]] * deployment_raw[[#This Row],[Column5]])/1048576,"")</f>
        <v/>
      </c>
    </row>
    <row r="127" spans="1:17" ht="15.75" customHeight="1" x14ac:dyDescent="0.25">
      <c r="A127" s="37" t="str">
        <f>IF(ISNONTEXT(deployment_raw[[#This Row],[Column1]]), "", deployment_raw[[#This Row],[Column1]])</f>
        <v/>
      </c>
      <c r="B127" s="38" t="str">
        <f>IF(ISNONTEXT(deployment_raw[[#This Row],[Column2]]), "", deployment_raw[[#This Row],[Column2]])</f>
        <v/>
      </c>
      <c r="C127" s="38" t="str">
        <f>IF(ISNONTEXT(deployment_raw[[#This Row],[Column3]]), "", deployment_raw[[#This Row],[Column3]])</f>
        <v/>
      </c>
      <c r="D127" s="38" t="str">
        <f>IF(ISNONTEXT(deployment_raw[[#This Row],[Column4]]), "", deployment_raw[[#This Row],[Column4]])</f>
        <v/>
      </c>
      <c r="E127" s="39" t="str">
        <f>IF(ISNUMBER(deployment_raw[[#This Row],[Column5]]), deployment_raw[[#This Row],[Column5]],"")</f>
        <v/>
      </c>
      <c r="F127" s="174" t="str">
        <f>IF(ISNUMBER(deployment_raw[[#This Row],[Column6]]), (deployment_raw[[#This Row],[Column6]] * deployment_raw[[#This Row],[Column5]]),"")</f>
        <v/>
      </c>
      <c r="G127" s="175" t="str">
        <f>IF(ISNUMBER(deployment_raw[[#This Row],[Column7]]), (deployment_raw[[#This Row],[Column7]] * deployment_raw[[#This Row],[Column5]])/1048576,"")</f>
        <v/>
      </c>
      <c r="H127" s="175" t="str">
        <f>IF(ISNUMBER(deployment_raw[[#This Row],[Column8]]), (deployment_raw[[#This Row],[Column8]]  * deployment_raw[[#This Row],[Column5]]),"")</f>
        <v/>
      </c>
      <c r="I127" s="176" t="str">
        <f>IF(ISNUMBER(deployment_raw[[#This Row],[Column9]]), (deployment_raw[[#This Row],[Column9]] * deployment_raw[[#This Row],[Column5]])/1048576,"")</f>
        <v/>
      </c>
      <c r="J127" s="57" t="str">
        <f>IF(ISNUMBER(deployment_raw[[#This Row],[Column10]]), (deployment_raw[[#This Row],[Column10]] * deployment_raw[[#This Row],[Column5]]),"")</f>
        <v/>
      </c>
      <c r="K127" s="58" t="str">
        <f>IF(ISNUMBER(deployment_raw[[#This Row],[Column11]]), (deployment_raw[[#This Row],[Column11]] * deployment_raw[[#This Row],[Column5]])/1048576,"")</f>
        <v/>
      </c>
      <c r="L127" s="180" t="str">
        <f>IF(ISNUMBER(deployment_raw[[#This Row],[Column8]]),IF(deployment_raw[[#This Row],[Column5]] &lt;&gt; 0, MAX((deployment_raw[[#This Row],[Column12]] * deployment_raw[[#This Row],[Column5]]), ((deployment_raw[[#This Row],[Column8]] * deployment_raw[[#This Row],[Column5]]) * $L$2), ($H$2 * deployment_raw[[#This Row],[Column5]])), 0),"")</f>
        <v/>
      </c>
      <c r="M12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27" s="188" t="str">
        <f>IF(ISNUMBER(deployment_raw[[#This Row],[Column14]]), deployment_raw[[#This Row],[Column14]],"")</f>
        <v/>
      </c>
      <c r="O127" s="189" t="str">
        <f>IF(ISNUMBER(deployment_raw[[#This Row],[Column15]]), deployment_raw[[#This Row],[Column15]]/1048576,"")</f>
        <v/>
      </c>
      <c r="P127" s="190" t="str">
        <f>IF(ISNUMBER(deployment_raw[[#This Row],[Column12]]), (deployment_raw[[#This Row],[Column12]] * deployment_raw[[#This Row],[Column5]]),"")</f>
        <v/>
      </c>
      <c r="Q127" s="189" t="str">
        <f>IF(ISNUMBER(deployment_raw[[#This Row],[Column13]]), (deployment_raw[[#This Row],[Column13]] * deployment_raw[[#This Row],[Column5]])/1048576,"")</f>
        <v/>
      </c>
    </row>
    <row r="128" spans="1:17" ht="15.75" customHeight="1" x14ac:dyDescent="0.25">
      <c r="A128" s="37" t="str">
        <f>IF(ISNONTEXT(deployment_raw[[#This Row],[Column1]]), "", deployment_raw[[#This Row],[Column1]])</f>
        <v/>
      </c>
      <c r="B128" s="38" t="str">
        <f>IF(ISNONTEXT(deployment_raw[[#This Row],[Column2]]), "", deployment_raw[[#This Row],[Column2]])</f>
        <v/>
      </c>
      <c r="C128" s="38" t="str">
        <f>IF(ISNONTEXT(deployment_raw[[#This Row],[Column3]]), "", deployment_raw[[#This Row],[Column3]])</f>
        <v/>
      </c>
      <c r="D128" s="38" t="str">
        <f>IF(ISNONTEXT(deployment_raw[[#This Row],[Column4]]), "", deployment_raw[[#This Row],[Column4]])</f>
        <v/>
      </c>
      <c r="E128" s="39" t="str">
        <f>IF(ISNUMBER(deployment_raw[[#This Row],[Column5]]), deployment_raw[[#This Row],[Column5]],"")</f>
        <v/>
      </c>
      <c r="F128" s="174" t="str">
        <f>IF(ISNUMBER(deployment_raw[[#This Row],[Column6]]), (deployment_raw[[#This Row],[Column6]] * deployment_raw[[#This Row],[Column5]]),"")</f>
        <v/>
      </c>
      <c r="G128" s="175" t="str">
        <f>IF(ISNUMBER(deployment_raw[[#This Row],[Column7]]), (deployment_raw[[#This Row],[Column7]] * deployment_raw[[#This Row],[Column5]])/1048576,"")</f>
        <v/>
      </c>
      <c r="H128" s="175" t="str">
        <f>IF(ISNUMBER(deployment_raw[[#This Row],[Column8]]), (deployment_raw[[#This Row],[Column8]]  * deployment_raw[[#This Row],[Column5]]),"")</f>
        <v/>
      </c>
      <c r="I128" s="176" t="str">
        <f>IF(ISNUMBER(deployment_raw[[#This Row],[Column9]]), (deployment_raw[[#This Row],[Column9]] * deployment_raw[[#This Row],[Column5]])/1048576,"")</f>
        <v/>
      </c>
      <c r="J128" s="57" t="str">
        <f>IF(ISNUMBER(deployment_raw[[#This Row],[Column10]]), (deployment_raw[[#This Row],[Column10]] * deployment_raw[[#This Row],[Column5]]),"")</f>
        <v/>
      </c>
      <c r="K128" s="58" t="str">
        <f>IF(ISNUMBER(deployment_raw[[#This Row],[Column11]]), (deployment_raw[[#This Row],[Column11]] * deployment_raw[[#This Row],[Column5]])/1048576,"")</f>
        <v/>
      </c>
      <c r="L128" s="180" t="str">
        <f>IF(ISNUMBER(deployment_raw[[#This Row],[Column8]]),IF(deployment_raw[[#This Row],[Column5]] &lt;&gt; 0, MAX((deployment_raw[[#This Row],[Column12]] * deployment_raw[[#This Row],[Column5]]), ((deployment_raw[[#This Row],[Column8]] * deployment_raw[[#This Row],[Column5]]) * $L$2), ($H$2 * deployment_raw[[#This Row],[Column5]])), 0),"")</f>
        <v/>
      </c>
      <c r="M12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28" s="188" t="str">
        <f>IF(ISNUMBER(deployment_raw[[#This Row],[Column14]]), deployment_raw[[#This Row],[Column14]],"")</f>
        <v/>
      </c>
      <c r="O128" s="189" t="str">
        <f>IF(ISNUMBER(deployment_raw[[#This Row],[Column15]]), deployment_raw[[#This Row],[Column15]]/1048576,"")</f>
        <v/>
      </c>
      <c r="P128" s="190" t="str">
        <f>IF(ISNUMBER(deployment_raw[[#This Row],[Column12]]), (deployment_raw[[#This Row],[Column12]] * deployment_raw[[#This Row],[Column5]]),"")</f>
        <v/>
      </c>
      <c r="Q128" s="189" t="str">
        <f>IF(ISNUMBER(deployment_raw[[#This Row],[Column13]]), (deployment_raw[[#This Row],[Column13]] * deployment_raw[[#This Row],[Column5]])/1048576,"")</f>
        <v/>
      </c>
    </row>
    <row r="129" spans="1:17" ht="15.75" customHeight="1" x14ac:dyDescent="0.25">
      <c r="A129" s="37" t="str">
        <f>IF(ISNONTEXT(deployment_raw[[#This Row],[Column1]]), "", deployment_raw[[#This Row],[Column1]])</f>
        <v/>
      </c>
      <c r="B129" s="38" t="str">
        <f>IF(ISNONTEXT(deployment_raw[[#This Row],[Column2]]), "", deployment_raw[[#This Row],[Column2]])</f>
        <v/>
      </c>
      <c r="C129" s="38" t="str">
        <f>IF(ISNONTEXT(deployment_raw[[#This Row],[Column3]]), "", deployment_raw[[#This Row],[Column3]])</f>
        <v/>
      </c>
      <c r="D129" s="38" t="str">
        <f>IF(ISNONTEXT(deployment_raw[[#This Row],[Column4]]), "", deployment_raw[[#This Row],[Column4]])</f>
        <v/>
      </c>
      <c r="E129" s="39" t="str">
        <f>IF(ISNUMBER(deployment_raw[[#This Row],[Column5]]), deployment_raw[[#This Row],[Column5]],"")</f>
        <v/>
      </c>
      <c r="F129" s="174" t="str">
        <f>IF(ISNUMBER(deployment_raw[[#This Row],[Column6]]), (deployment_raw[[#This Row],[Column6]] * deployment_raw[[#This Row],[Column5]]),"")</f>
        <v/>
      </c>
      <c r="G129" s="175" t="str">
        <f>IF(ISNUMBER(deployment_raw[[#This Row],[Column7]]), (deployment_raw[[#This Row],[Column7]] * deployment_raw[[#This Row],[Column5]])/1048576,"")</f>
        <v/>
      </c>
      <c r="H129" s="175" t="str">
        <f>IF(ISNUMBER(deployment_raw[[#This Row],[Column8]]), (deployment_raw[[#This Row],[Column8]]  * deployment_raw[[#This Row],[Column5]]),"")</f>
        <v/>
      </c>
      <c r="I129" s="176" t="str">
        <f>IF(ISNUMBER(deployment_raw[[#This Row],[Column9]]), (deployment_raw[[#This Row],[Column9]] * deployment_raw[[#This Row],[Column5]])/1048576,"")</f>
        <v/>
      </c>
      <c r="J129" s="57" t="str">
        <f>IF(ISNUMBER(deployment_raw[[#This Row],[Column10]]), (deployment_raw[[#This Row],[Column10]] * deployment_raw[[#This Row],[Column5]]),"")</f>
        <v/>
      </c>
      <c r="K129" s="58" t="str">
        <f>IF(ISNUMBER(deployment_raw[[#This Row],[Column11]]), (deployment_raw[[#This Row],[Column11]] * deployment_raw[[#This Row],[Column5]])/1048576,"")</f>
        <v/>
      </c>
      <c r="L129" s="180" t="str">
        <f>IF(ISNUMBER(deployment_raw[[#This Row],[Column8]]),IF(deployment_raw[[#This Row],[Column5]] &lt;&gt; 0, MAX((deployment_raw[[#This Row],[Column12]] * deployment_raw[[#This Row],[Column5]]), ((deployment_raw[[#This Row],[Column8]] * deployment_raw[[#This Row],[Column5]]) * $L$2), ($H$2 * deployment_raw[[#This Row],[Column5]])), 0),"")</f>
        <v/>
      </c>
      <c r="M12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29" s="188" t="str">
        <f>IF(ISNUMBER(deployment_raw[[#This Row],[Column14]]), deployment_raw[[#This Row],[Column14]],"")</f>
        <v/>
      </c>
      <c r="O129" s="189" t="str">
        <f>IF(ISNUMBER(deployment_raw[[#This Row],[Column15]]), deployment_raw[[#This Row],[Column15]]/1048576,"")</f>
        <v/>
      </c>
      <c r="P129" s="190" t="str">
        <f>IF(ISNUMBER(deployment_raw[[#This Row],[Column12]]), (deployment_raw[[#This Row],[Column12]] * deployment_raw[[#This Row],[Column5]]),"")</f>
        <v/>
      </c>
      <c r="Q129" s="189" t="str">
        <f>IF(ISNUMBER(deployment_raw[[#This Row],[Column13]]), (deployment_raw[[#This Row],[Column13]] * deployment_raw[[#This Row],[Column5]])/1048576,"")</f>
        <v/>
      </c>
    </row>
    <row r="130" spans="1:17" ht="15.75" customHeight="1" x14ac:dyDescent="0.25">
      <c r="A130" s="37" t="str">
        <f>IF(ISNONTEXT(deployment_raw[[#This Row],[Column1]]), "", deployment_raw[[#This Row],[Column1]])</f>
        <v/>
      </c>
      <c r="B130" s="38" t="str">
        <f>IF(ISNONTEXT(deployment_raw[[#This Row],[Column2]]), "", deployment_raw[[#This Row],[Column2]])</f>
        <v/>
      </c>
      <c r="C130" s="38" t="str">
        <f>IF(ISNONTEXT(deployment_raw[[#This Row],[Column3]]), "", deployment_raw[[#This Row],[Column3]])</f>
        <v/>
      </c>
      <c r="D130" s="38" t="str">
        <f>IF(ISNONTEXT(deployment_raw[[#This Row],[Column4]]), "", deployment_raw[[#This Row],[Column4]])</f>
        <v/>
      </c>
      <c r="E130" s="39" t="str">
        <f>IF(ISNUMBER(deployment_raw[[#This Row],[Column5]]), deployment_raw[[#This Row],[Column5]],"")</f>
        <v/>
      </c>
      <c r="F130" s="174" t="str">
        <f>IF(ISNUMBER(deployment_raw[[#This Row],[Column6]]), (deployment_raw[[#This Row],[Column6]] * deployment_raw[[#This Row],[Column5]]),"")</f>
        <v/>
      </c>
      <c r="G130" s="175" t="str">
        <f>IF(ISNUMBER(deployment_raw[[#This Row],[Column7]]), (deployment_raw[[#This Row],[Column7]] * deployment_raw[[#This Row],[Column5]])/1048576,"")</f>
        <v/>
      </c>
      <c r="H130" s="175" t="str">
        <f>IF(ISNUMBER(deployment_raw[[#This Row],[Column8]]), (deployment_raw[[#This Row],[Column8]]  * deployment_raw[[#This Row],[Column5]]),"")</f>
        <v/>
      </c>
      <c r="I130" s="176" t="str">
        <f>IF(ISNUMBER(deployment_raw[[#This Row],[Column9]]), (deployment_raw[[#This Row],[Column9]] * deployment_raw[[#This Row],[Column5]])/1048576,"")</f>
        <v/>
      </c>
      <c r="J130" s="57" t="str">
        <f>IF(ISNUMBER(deployment_raw[[#This Row],[Column10]]), (deployment_raw[[#This Row],[Column10]] * deployment_raw[[#This Row],[Column5]]),"")</f>
        <v/>
      </c>
      <c r="K130" s="58" t="str">
        <f>IF(ISNUMBER(deployment_raw[[#This Row],[Column11]]), (deployment_raw[[#This Row],[Column11]] * deployment_raw[[#This Row],[Column5]])/1048576,"")</f>
        <v/>
      </c>
      <c r="L130" s="180" t="str">
        <f>IF(ISNUMBER(deployment_raw[[#This Row],[Column8]]),IF(deployment_raw[[#This Row],[Column5]] &lt;&gt; 0, MAX((deployment_raw[[#This Row],[Column12]] * deployment_raw[[#This Row],[Column5]]), ((deployment_raw[[#This Row],[Column8]] * deployment_raw[[#This Row],[Column5]]) * $L$2), ($H$2 * deployment_raw[[#This Row],[Column5]])), 0),"")</f>
        <v/>
      </c>
      <c r="M13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30" s="188" t="str">
        <f>IF(ISNUMBER(deployment_raw[[#This Row],[Column14]]), deployment_raw[[#This Row],[Column14]],"")</f>
        <v/>
      </c>
      <c r="O130" s="189" t="str">
        <f>IF(ISNUMBER(deployment_raw[[#This Row],[Column15]]), deployment_raw[[#This Row],[Column15]]/1048576,"")</f>
        <v/>
      </c>
      <c r="P130" s="190" t="str">
        <f>IF(ISNUMBER(deployment_raw[[#This Row],[Column12]]), (deployment_raw[[#This Row],[Column12]] * deployment_raw[[#This Row],[Column5]]),"")</f>
        <v/>
      </c>
      <c r="Q130" s="189" t="str">
        <f>IF(ISNUMBER(deployment_raw[[#This Row],[Column13]]), (deployment_raw[[#This Row],[Column13]] * deployment_raw[[#This Row],[Column5]])/1048576,"")</f>
        <v/>
      </c>
    </row>
    <row r="131" spans="1:17" ht="15.75" customHeight="1" x14ac:dyDescent="0.25">
      <c r="A131" s="37" t="str">
        <f>IF(ISNONTEXT(deployment_raw[[#This Row],[Column1]]), "", deployment_raw[[#This Row],[Column1]])</f>
        <v/>
      </c>
      <c r="B131" s="38" t="str">
        <f>IF(ISNONTEXT(deployment_raw[[#This Row],[Column2]]), "", deployment_raw[[#This Row],[Column2]])</f>
        <v/>
      </c>
      <c r="C131" s="38" t="str">
        <f>IF(ISNONTEXT(deployment_raw[[#This Row],[Column3]]), "", deployment_raw[[#This Row],[Column3]])</f>
        <v/>
      </c>
      <c r="D131" s="38" t="str">
        <f>IF(ISNONTEXT(deployment_raw[[#This Row],[Column4]]), "", deployment_raw[[#This Row],[Column4]])</f>
        <v/>
      </c>
      <c r="E131" s="39" t="str">
        <f>IF(ISNUMBER(deployment_raw[[#This Row],[Column5]]), deployment_raw[[#This Row],[Column5]],"")</f>
        <v/>
      </c>
      <c r="F131" s="174" t="str">
        <f>IF(ISNUMBER(deployment_raw[[#This Row],[Column6]]), (deployment_raw[[#This Row],[Column6]] * deployment_raw[[#This Row],[Column5]]),"")</f>
        <v/>
      </c>
      <c r="G131" s="175" t="str">
        <f>IF(ISNUMBER(deployment_raw[[#This Row],[Column7]]), (deployment_raw[[#This Row],[Column7]] * deployment_raw[[#This Row],[Column5]])/1048576,"")</f>
        <v/>
      </c>
      <c r="H131" s="175" t="str">
        <f>IF(ISNUMBER(deployment_raw[[#This Row],[Column8]]), (deployment_raw[[#This Row],[Column8]]  * deployment_raw[[#This Row],[Column5]]),"")</f>
        <v/>
      </c>
      <c r="I131" s="176" t="str">
        <f>IF(ISNUMBER(deployment_raw[[#This Row],[Column9]]), (deployment_raw[[#This Row],[Column9]] * deployment_raw[[#This Row],[Column5]])/1048576,"")</f>
        <v/>
      </c>
      <c r="J131" s="57" t="str">
        <f>IF(ISNUMBER(deployment_raw[[#This Row],[Column10]]), (deployment_raw[[#This Row],[Column10]] * deployment_raw[[#This Row],[Column5]]),"")</f>
        <v/>
      </c>
      <c r="K131" s="58" t="str">
        <f>IF(ISNUMBER(deployment_raw[[#This Row],[Column11]]), (deployment_raw[[#This Row],[Column11]] * deployment_raw[[#This Row],[Column5]])/1048576,"")</f>
        <v/>
      </c>
      <c r="L131" s="180" t="str">
        <f>IF(ISNUMBER(deployment_raw[[#This Row],[Column8]]),IF(deployment_raw[[#This Row],[Column5]] &lt;&gt; 0, MAX((deployment_raw[[#This Row],[Column12]] * deployment_raw[[#This Row],[Column5]]), ((deployment_raw[[#This Row],[Column8]] * deployment_raw[[#This Row],[Column5]]) * $L$2), ($H$2 * deployment_raw[[#This Row],[Column5]])), 0),"")</f>
        <v/>
      </c>
      <c r="M13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31" s="188" t="str">
        <f>IF(ISNUMBER(deployment_raw[[#This Row],[Column14]]), deployment_raw[[#This Row],[Column14]],"")</f>
        <v/>
      </c>
      <c r="O131" s="189" t="str">
        <f>IF(ISNUMBER(deployment_raw[[#This Row],[Column15]]), deployment_raw[[#This Row],[Column15]]/1048576,"")</f>
        <v/>
      </c>
      <c r="P131" s="190" t="str">
        <f>IF(ISNUMBER(deployment_raw[[#This Row],[Column12]]), (deployment_raw[[#This Row],[Column12]] * deployment_raw[[#This Row],[Column5]]),"")</f>
        <v/>
      </c>
      <c r="Q131" s="189" t="str">
        <f>IF(ISNUMBER(deployment_raw[[#This Row],[Column13]]), (deployment_raw[[#This Row],[Column13]] * deployment_raw[[#This Row],[Column5]])/1048576,"")</f>
        <v/>
      </c>
    </row>
    <row r="132" spans="1:17" ht="15.75" customHeight="1" x14ac:dyDescent="0.25">
      <c r="A132" s="37" t="str">
        <f>IF(ISNONTEXT(deployment_raw[[#This Row],[Column1]]), "", deployment_raw[[#This Row],[Column1]])</f>
        <v/>
      </c>
      <c r="B132" s="38" t="str">
        <f>IF(ISNONTEXT(deployment_raw[[#This Row],[Column2]]), "", deployment_raw[[#This Row],[Column2]])</f>
        <v/>
      </c>
      <c r="C132" s="38" t="str">
        <f>IF(ISNONTEXT(deployment_raw[[#This Row],[Column3]]), "", deployment_raw[[#This Row],[Column3]])</f>
        <v/>
      </c>
      <c r="D132" s="38" t="str">
        <f>IF(ISNONTEXT(deployment_raw[[#This Row],[Column4]]), "", deployment_raw[[#This Row],[Column4]])</f>
        <v/>
      </c>
      <c r="E132" s="39" t="str">
        <f>IF(ISNUMBER(deployment_raw[[#This Row],[Column5]]), deployment_raw[[#This Row],[Column5]],"")</f>
        <v/>
      </c>
      <c r="F132" s="174" t="str">
        <f>IF(ISNUMBER(deployment_raw[[#This Row],[Column6]]), (deployment_raw[[#This Row],[Column6]] * deployment_raw[[#This Row],[Column5]]),"")</f>
        <v/>
      </c>
      <c r="G132" s="175" t="str">
        <f>IF(ISNUMBER(deployment_raw[[#This Row],[Column7]]), (deployment_raw[[#This Row],[Column7]] * deployment_raw[[#This Row],[Column5]])/1048576,"")</f>
        <v/>
      </c>
      <c r="H132" s="175" t="str">
        <f>IF(ISNUMBER(deployment_raw[[#This Row],[Column8]]), (deployment_raw[[#This Row],[Column8]]  * deployment_raw[[#This Row],[Column5]]),"")</f>
        <v/>
      </c>
      <c r="I132" s="176" t="str">
        <f>IF(ISNUMBER(deployment_raw[[#This Row],[Column9]]), (deployment_raw[[#This Row],[Column9]] * deployment_raw[[#This Row],[Column5]])/1048576,"")</f>
        <v/>
      </c>
      <c r="J132" s="57" t="str">
        <f>IF(ISNUMBER(deployment_raw[[#This Row],[Column10]]), (deployment_raw[[#This Row],[Column10]] * deployment_raw[[#This Row],[Column5]]),"")</f>
        <v/>
      </c>
      <c r="K132" s="58" t="str">
        <f>IF(ISNUMBER(deployment_raw[[#This Row],[Column11]]), (deployment_raw[[#This Row],[Column11]] * deployment_raw[[#This Row],[Column5]])/1048576,"")</f>
        <v/>
      </c>
      <c r="L132" s="180" t="str">
        <f>IF(ISNUMBER(deployment_raw[[#This Row],[Column8]]),IF(deployment_raw[[#This Row],[Column5]] &lt;&gt; 0, MAX((deployment_raw[[#This Row],[Column12]] * deployment_raw[[#This Row],[Column5]]), ((deployment_raw[[#This Row],[Column8]] * deployment_raw[[#This Row],[Column5]]) * $L$2), ($H$2 * deployment_raw[[#This Row],[Column5]])), 0),"")</f>
        <v/>
      </c>
      <c r="M13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32" s="188" t="str">
        <f>IF(ISNUMBER(deployment_raw[[#This Row],[Column14]]), deployment_raw[[#This Row],[Column14]],"")</f>
        <v/>
      </c>
      <c r="O132" s="189" t="str">
        <f>IF(ISNUMBER(deployment_raw[[#This Row],[Column15]]), deployment_raw[[#This Row],[Column15]]/1048576,"")</f>
        <v/>
      </c>
      <c r="P132" s="190" t="str">
        <f>IF(ISNUMBER(deployment_raw[[#This Row],[Column12]]), (deployment_raw[[#This Row],[Column12]] * deployment_raw[[#This Row],[Column5]]),"")</f>
        <v/>
      </c>
      <c r="Q132" s="189" t="str">
        <f>IF(ISNUMBER(deployment_raw[[#This Row],[Column13]]), (deployment_raw[[#This Row],[Column13]] * deployment_raw[[#This Row],[Column5]])/1048576,"")</f>
        <v/>
      </c>
    </row>
    <row r="133" spans="1:17" ht="15.75" customHeight="1" x14ac:dyDescent="0.25">
      <c r="A133" s="37" t="str">
        <f>IF(ISNONTEXT(deployment_raw[[#This Row],[Column1]]), "", deployment_raw[[#This Row],[Column1]])</f>
        <v/>
      </c>
      <c r="B133" s="38" t="str">
        <f>IF(ISNONTEXT(deployment_raw[[#This Row],[Column2]]), "", deployment_raw[[#This Row],[Column2]])</f>
        <v/>
      </c>
      <c r="C133" s="38" t="str">
        <f>IF(ISNONTEXT(deployment_raw[[#This Row],[Column3]]), "", deployment_raw[[#This Row],[Column3]])</f>
        <v/>
      </c>
      <c r="D133" s="38" t="str">
        <f>IF(ISNONTEXT(deployment_raw[[#This Row],[Column4]]), "", deployment_raw[[#This Row],[Column4]])</f>
        <v/>
      </c>
      <c r="E133" s="39" t="str">
        <f>IF(ISNUMBER(deployment_raw[[#This Row],[Column5]]), deployment_raw[[#This Row],[Column5]],"")</f>
        <v/>
      </c>
      <c r="F133" s="174" t="str">
        <f>IF(ISNUMBER(deployment_raw[[#This Row],[Column6]]), (deployment_raw[[#This Row],[Column6]] * deployment_raw[[#This Row],[Column5]]),"")</f>
        <v/>
      </c>
      <c r="G133" s="175" t="str">
        <f>IF(ISNUMBER(deployment_raw[[#This Row],[Column7]]), (deployment_raw[[#This Row],[Column7]] * deployment_raw[[#This Row],[Column5]])/1048576,"")</f>
        <v/>
      </c>
      <c r="H133" s="175" t="str">
        <f>IF(ISNUMBER(deployment_raw[[#This Row],[Column8]]), (deployment_raw[[#This Row],[Column8]]  * deployment_raw[[#This Row],[Column5]]),"")</f>
        <v/>
      </c>
      <c r="I133" s="176" t="str">
        <f>IF(ISNUMBER(deployment_raw[[#This Row],[Column9]]), (deployment_raw[[#This Row],[Column9]] * deployment_raw[[#This Row],[Column5]])/1048576,"")</f>
        <v/>
      </c>
      <c r="J133" s="57" t="str">
        <f>IF(ISNUMBER(deployment_raw[[#This Row],[Column10]]), (deployment_raw[[#This Row],[Column10]] * deployment_raw[[#This Row],[Column5]]),"")</f>
        <v/>
      </c>
      <c r="K133" s="58" t="str">
        <f>IF(ISNUMBER(deployment_raw[[#This Row],[Column11]]), (deployment_raw[[#This Row],[Column11]] * deployment_raw[[#This Row],[Column5]])/1048576,"")</f>
        <v/>
      </c>
      <c r="L133" s="180" t="str">
        <f>IF(ISNUMBER(deployment_raw[[#This Row],[Column8]]),IF(deployment_raw[[#This Row],[Column5]] &lt;&gt; 0, MAX((deployment_raw[[#This Row],[Column12]] * deployment_raw[[#This Row],[Column5]]), ((deployment_raw[[#This Row],[Column8]] * deployment_raw[[#This Row],[Column5]]) * $L$2), ($H$2 * deployment_raw[[#This Row],[Column5]])), 0),"")</f>
        <v/>
      </c>
      <c r="M13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33" s="188" t="str">
        <f>IF(ISNUMBER(deployment_raw[[#This Row],[Column14]]), deployment_raw[[#This Row],[Column14]],"")</f>
        <v/>
      </c>
      <c r="O133" s="189" t="str">
        <f>IF(ISNUMBER(deployment_raw[[#This Row],[Column15]]), deployment_raw[[#This Row],[Column15]]/1048576,"")</f>
        <v/>
      </c>
      <c r="P133" s="190" t="str">
        <f>IF(ISNUMBER(deployment_raw[[#This Row],[Column12]]), (deployment_raw[[#This Row],[Column12]] * deployment_raw[[#This Row],[Column5]]),"")</f>
        <v/>
      </c>
      <c r="Q133" s="189" t="str">
        <f>IF(ISNUMBER(deployment_raw[[#This Row],[Column13]]), (deployment_raw[[#This Row],[Column13]] * deployment_raw[[#This Row],[Column5]])/1048576,"")</f>
        <v/>
      </c>
    </row>
    <row r="134" spans="1:17" ht="15.75" customHeight="1" x14ac:dyDescent="0.25">
      <c r="A134" s="37" t="str">
        <f>IF(ISNONTEXT(deployment_raw[[#This Row],[Column1]]), "", deployment_raw[[#This Row],[Column1]])</f>
        <v/>
      </c>
      <c r="B134" s="38" t="str">
        <f>IF(ISNONTEXT(deployment_raw[[#This Row],[Column2]]), "", deployment_raw[[#This Row],[Column2]])</f>
        <v/>
      </c>
      <c r="C134" s="38" t="str">
        <f>IF(ISNONTEXT(deployment_raw[[#This Row],[Column3]]), "", deployment_raw[[#This Row],[Column3]])</f>
        <v/>
      </c>
      <c r="D134" s="38" t="str">
        <f>IF(ISNONTEXT(deployment_raw[[#This Row],[Column4]]), "", deployment_raw[[#This Row],[Column4]])</f>
        <v/>
      </c>
      <c r="E134" s="39" t="str">
        <f>IF(ISNUMBER(deployment_raw[[#This Row],[Column5]]), deployment_raw[[#This Row],[Column5]],"")</f>
        <v/>
      </c>
      <c r="F134" s="174" t="str">
        <f>IF(ISNUMBER(deployment_raw[[#This Row],[Column6]]), (deployment_raw[[#This Row],[Column6]] * deployment_raw[[#This Row],[Column5]]),"")</f>
        <v/>
      </c>
      <c r="G134" s="175" t="str">
        <f>IF(ISNUMBER(deployment_raw[[#This Row],[Column7]]), (deployment_raw[[#This Row],[Column7]] * deployment_raw[[#This Row],[Column5]])/1048576,"")</f>
        <v/>
      </c>
      <c r="H134" s="175" t="str">
        <f>IF(ISNUMBER(deployment_raw[[#This Row],[Column8]]), (deployment_raw[[#This Row],[Column8]]  * deployment_raw[[#This Row],[Column5]]),"")</f>
        <v/>
      </c>
      <c r="I134" s="176" t="str">
        <f>IF(ISNUMBER(deployment_raw[[#This Row],[Column9]]), (deployment_raw[[#This Row],[Column9]] * deployment_raw[[#This Row],[Column5]])/1048576,"")</f>
        <v/>
      </c>
      <c r="J134" s="57" t="str">
        <f>IF(ISNUMBER(deployment_raw[[#This Row],[Column10]]), (deployment_raw[[#This Row],[Column10]] * deployment_raw[[#This Row],[Column5]]),"")</f>
        <v/>
      </c>
      <c r="K134" s="58" t="str">
        <f>IF(ISNUMBER(deployment_raw[[#This Row],[Column11]]), (deployment_raw[[#This Row],[Column11]] * deployment_raw[[#This Row],[Column5]])/1048576,"")</f>
        <v/>
      </c>
      <c r="L134" s="180" t="str">
        <f>IF(ISNUMBER(deployment_raw[[#This Row],[Column8]]),IF(deployment_raw[[#This Row],[Column5]] &lt;&gt; 0, MAX((deployment_raw[[#This Row],[Column12]] * deployment_raw[[#This Row],[Column5]]), ((deployment_raw[[#This Row],[Column8]] * deployment_raw[[#This Row],[Column5]]) * $L$2), ($H$2 * deployment_raw[[#This Row],[Column5]])), 0),"")</f>
        <v/>
      </c>
      <c r="M13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34" s="188" t="str">
        <f>IF(ISNUMBER(deployment_raw[[#This Row],[Column14]]), deployment_raw[[#This Row],[Column14]],"")</f>
        <v/>
      </c>
      <c r="O134" s="189" t="str">
        <f>IF(ISNUMBER(deployment_raw[[#This Row],[Column15]]), deployment_raw[[#This Row],[Column15]]/1048576,"")</f>
        <v/>
      </c>
      <c r="P134" s="190" t="str">
        <f>IF(ISNUMBER(deployment_raw[[#This Row],[Column12]]), (deployment_raw[[#This Row],[Column12]] * deployment_raw[[#This Row],[Column5]]),"")</f>
        <v/>
      </c>
      <c r="Q134" s="189" t="str">
        <f>IF(ISNUMBER(deployment_raw[[#This Row],[Column13]]), (deployment_raw[[#This Row],[Column13]] * deployment_raw[[#This Row],[Column5]])/1048576,"")</f>
        <v/>
      </c>
    </row>
    <row r="135" spans="1:17" ht="15.75" customHeight="1" x14ac:dyDescent="0.25">
      <c r="A135" s="37" t="str">
        <f>IF(ISNONTEXT(deployment_raw[[#This Row],[Column1]]), "", deployment_raw[[#This Row],[Column1]])</f>
        <v/>
      </c>
      <c r="B135" s="38" t="str">
        <f>IF(ISNONTEXT(deployment_raw[[#This Row],[Column2]]), "", deployment_raw[[#This Row],[Column2]])</f>
        <v/>
      </c>
      <c r="C135" s="38" t="str">
        <f>IF(ISNONTEXT(deployment_raw[[#This Row],[Column3]]), "", deployment_raw[[#This Row],[Column3]])</f>
        <v/>
      </c>
      <c r="D135" s="38" t="str">
        <f>IF(ISNONTEXT(deployment_raw[[#This Row],[Column4]]), "", deployment_raw[[#This Row],[Column4]])</f>
        <v/>
      </c>
      <c r="E135" s="39" t="str">
        <f>IF(ISNUMBER(deployment_raw[[#This Row],[Column5]]), deployment_raw[[#This Row],[Column5]],"")</f>
        <v/>
      </c>
      <c r="F135" s="174" t="str">
        <f>IF(ISNUMBER(deployment_raw[[#This Row],[Column6]]), (deployment_raw[[#This Row],[Column6]] * deployment_raw[[#This Row],[Column5]]),"")</f>
        <v/>
      </c>
      <c r="G135" s="175" t="str">
        <f>IF(ISNUMBER(deployment_raw[[#This Row],[Column7]]), (deployment_raw[[#This Row],[Column7]] * deployment_raw[[#This Row],[Column5]])/1048576,"")</f>
        <v/>
      </c>
      <c r="H135" s="175" t="str">
        <f>IF(ISNUMBER(deployment_raw[[#This Row],[Column8]]), (deployment_raw[[#This Row],[Column8]]  * deployment_raw[[#This Row],[Column5]]),"")</f>
        <v/>
      </c>
      <c r="I135" s="176" t="str">
        <f>IF(ISNUMBER(deployment_raw[[#This Row],[Column9]]), (deployment_raw[[#This Row],[Column9]] * deployment_raw[[#This Row],[Column5]])/1048576,"")</f>
        <v/>
      </c>
      <c r="J135" s="57" t="str">
        <f>IF(ISNUMBER(deployment_raw[[#This Row],[Column10]]), (deployment_raw[[#This Row],[Column10]] * deployment_raw[[#This Row],[Column5]]),"")</f>
        <v/>
      </c>
      <c r="K135" s="58" t="str">
        <f>IF(ISNUMBER(deployment_raw[[#This Row],[Column11]]), (deployment_raw[[#This Row],[Column11]] * deployment_raw[[#This Row],[Column5]])/1048576,"")</f>
        <v/>
      </c>
      <c r="L135" s="180" t="str">
        <f>IF(ISNUMBER(deployment_raw[[#This Row],[Column8]]),IF(deployment_raw[[#This Row],[Column5]] &lt;&gt; 0, MAX((deployment_raw[[#This Row],[Column12]] * deployment_raw[[#This Row],[Column5]]), ((deployment_raw[[#This Row],[Column8]] * deployment_raw[[#This Row],[Column5]]) * $L$2), ($H$2 * deployment_raw[[#This Row],[Column5]])), 0),"")</f>
        <v/>
      </c>
      <c r="M13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35" s="188" t="str">
        <f>IF(ISNUMBER(deployment_raw[[#This Row],[Column14]]), deployment_raw[[#This Row],[Column14]],"")</f>
        <v/>
      </c>
      <c r="O135" s="189" t="str">
        <f>IF(ISNUMBER(deployment_raw[[#This Row],[Column15]]), deployment_raw[[#This Row],[Column15]]/1048576,"")</f>
        <v/>
      </c>
      <c r="P135" s="190" t="str">
        <f>IF(ISNUMBER(deployment_raw[[#This Row],[Column12]]), (deployment_raw[[#This Row],[Column12]] * deployment_raw[[#This Row],[Column5]]),"")</f>
        <v/>
      </c>
      <c r="Q135" s="189" t="str">
        <f>IF(ISNUMBER(deployment_raw[[#This Row],[Column13]]), (deployment_raw[[#This Row],[Column13]] * deployment_raw[[#This Row],[Column5]])/1048576,"")</f>
        <v/>
      </c>
    </row>
    <row r="136" spans="1:17" ht="15.75" customHeight="1" x14ac:dyDescent="0.25">
      <c r="A136" s="37" t="str">
        <f>IF(ISNONTEXT(deployment_raw[[#This Row],[Column1]]), "", deployment_raw[[#This Row],[Column1]])</f>
        <v/>
      </c>
      <c r="B136" s="38" t="str">
        <f>IF(ISNONTEXT(deployment_raw[[#This Row],[Column2]]), "", deployment_raw[[#This Row],[Column2]])</f>
        <v/>
      </c>
      <c r="C136" s="38" t="str">
        <f>IF(ISNONTEXT(deployment_raw[[#This Row],[Column3]]), "", deployment_raw[[#This Row],[Column3]])</f>
        <v/>
      </c>
      <c r="D136" s="38" t="str">
        <f>IF(ISNONTEXT(deployment_raw[[#This Row],[Column4]]), "", deployment_raw[[#This Row],[Column4]])</f>
        <v/>
      </c>
      <c r="E136" s="39" t="str">
        <f>IF(ISNUMBER(deployment_raw[[#This Row],[Column5]]), deployment_raw[[#This Row],[Column5]],"")</f>
        <v/>
      </c>
      <c r="F136" s="174" t="str">
        <f>IF(ISNUMBER(deployment_raw[[#This Row],[Column6]]), (deployment_raw[[#This Row],[Column6]] * deployment_raw[[#This Row],[Column5]]),"")</f>
        <v/>
      </c>
      <c r="G136" s="175" t="str">
        <f>IF(ISNUMBER(deployment_raw[[#This Row],[Column7]]), (deployment_raw[[#This Row],[Column7]] * deployment_raw[[#This Row],[Column5]])/1048576,"")</f>
        <v/>
      </c>
      <c r="H136" s="175" t="str">
        <f>IF(ISNUMBER(deployment_raw[[#This Row],[Column8]]), (deployment_raw[[#This Row],[Column8]]  * deployment_raw[[#This Row],[Column5]]),"")</f>
        <v/>
      </c>
      <c r="I136" s="176" t="str">
        <f>IF(ISNUMBER(deployment_raw[[#This Row],[Column9]]), (deployment_raw[[#This Row],[Column9]] * deployment_raw[[#This Row],[Column5]])/1048576,"")</f>
        <v/>
      </c>
      <c r="J136" s="57" t="str">
        <f>IF(ISNUMBER(deployment_raw[[#This Row],[Column10]]), (deployment_raw[[#This Row],[Column10]] * deployment_raw[[#This Row],[Column5]]),"")</f>
        <v/>
      </c>
      <c r="K136" s="58" t="str">
        <f>IF(ISNUMBER(deployment_raw[[#This Row],[Column11]]), (deployment_raw[[#This Row],[Column11]] * deployment_raw[[#This Row],[Column5]])/1048576,"")</f>
        <v/>
      </c>
      <c r="L136" s="180" t="str">
        <f>IF(ISNUMBER(deployment_raw[[#This Row],[Column8]]),IF(deployment_raw[[#This Row],[Column5]] &lt;&gt; 0, MAX((deployment_raw[[#This Row],[Column12]] * deployment_raw[[#This Row],[Column5]]), ((deployment_raw[[#This Row],[Column8]] * deployment_raw[[#This Row],[Column5]]) * $L$2), ($H$2 * deployment_raw[[#This Row],[Column5]])), 0),"")</f>
        <v/>
      </c>
      <c r="M13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36" s="188" t="str">
        <f>IF(ISNUMBER(deployment_raw[[#This Row],[Column14]]), deployment_raw[[#This Row],[Column14]],"")</f>
        <v/>
      </c>
      <c r="O136" s="189" t="str">
        <f>IF(ISNUMBER(deployment_raw[[#This Row],[Column15]]), deployment_raw[[#This Row],[Column15]]/1048576,"")</f>
        <v/>
      </c>
      <c r="P136" s="190" t="str">
        <f>IF(ISNUMBER(deployment_raw[[#This Row],[Column12]]), (deployment_raw[[#This Row],[Column12]] * deployment_raw[[#This Row],[Column5]]),"")</f>
        <v/>
      </c>
      <c r="Q136" s="189" t="str">
        <f>IF(ISNUMBER(deployment_raw[[#This Row],[Column13]]), (deployment_raw[[#This Row],[Column13]] * deployment_raw[[#This Row],[Column5]])/1048576,"")</f>
        <v/>
      </c>
    </row>
    <row r="137" spans="1:17" ht="15.75" customHeight="1" x14ac:dyDescent="0.25">
      <c r="A137" s="37" t="str">
        <f>IF(ISNONTEXT(deployment_raw[[#This Row],[Column1]]), "", deployment_raw[[#This Row],[Column1]])</f>
        <v/>
      </c>
      <c r="B137" s="38" t="str">
        <f>IF(ISNONTEXT(deployment_raw[[#This Row],[Column2]]), "", deployment_raw[[#This Row],[Column2]])</f>
        <v/>
      </c>
      <c r="C137" s="38" t="str">
        <f>IF(ISNONTEXT(deployment_raw[[#This Row],[Column3]]), "", deployment_raw[[#This Row],[Column3]])</f>
        <v/>
      </c>
      <c r="D137" s="38" t="str">
        <f>IF(ISNONTEXT(deployment_raw[[#This Row],[Column4]]), "", deployment_raw[[#This Row],[Column4]])</f>
        <v/>
      </c>
      <c r="E137" s="39" t="str">
        <f>IF(ISNUMBER(deployment_raw[[#This Row],[Column5]]), deployment_raw[[#This Row],[Column5]],"")</f>
        <v/>
      </c>
      <c r="F137" s="174" t="str">
        <f>IF(ISNUMBER(deployment_raw[[#This Row],[Column6]]), (deployment_raw[[#This Row],[Column6]] * deployment_raw[[#This Row],[Column5]]),"")</f>
        <v/>
      </c>
      <c r="G137" s="175" t="str">
        <f>IF(ISNUMBER(deployment_raw[[#This Row],[Column7]]), (deployment_raw[[#This Row],[Column7]] * deployment_raw[[#This Row],[Column5]])/1048576,"")</f>
        <v/>
      </c>
      <c r="H137" s="175" t="str">
        <f>IF(ISNUMBER(deployment_raw[[#This Row],[Column8]]), (deployment_raw[[#This Row],[Column8]]  * deployment_raw[[#This Row],[Column5]]),"")</f>
        <v/>
      </c>
      <c r="I137" s="176" t="str">
        <f>IF(ISNUMBER(deployment_raw[[#This Row],[Column9]]), (deployment_raw[[#This Row],[Column9]] * deployment_raw[[#This Row],[Column5]])/1048576,"")</f>
        <v/>
      </c>
      <c r="J137" s="57" t="str">
        <f>IF(ISNUMBER(deployment_raw[[#This Row],[Column10]]), (deployment_raw[[#This Row],[Column10]] * deployment_raw[[#This Row],[Column5]]),"")</f>
        <v/>
      </c>
      <c r="K137" s="58" t="str">
        <f>IF(ISNUMBER(deployment_raw[[#This Row],[Column11]]), (deployment_raw[[#This Row],[Column11]] * deployment_raw[[#This Row],[Column5]])/1048576,"")</f>
        <v/>
      </c>
      <c r="L137" s="180" t="str">
        <f>IF(ISNUMBER(deployment_raw[[#This Row],[Column8]]),IF(deployment_raw[[#This Row],[Column5]] &lt;&gt; 0, MAX((deployment_raw[[#This Row],[Column12]] * deployment_raw[[#This Row],[Column5]]), ((deployment_raw[[#This Row],[Column8]] * deployment_raw[[#This Row],[Column5]]) * $L$2), ($H$2 * deployment_raw[[#This Row],[Column5]])), 0),"")</f>
        <v/>
      </c>
      <c r="M13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37" s="188" t="str">
        <f>IF(ISNUMBER(deployment_raw[[#This Row],[Column14]]), deployment_raw[[#This Row],[Column14]],"")</f>
        <v/>
      </c>
      <c r="O137" s="189" t="str">
        <f>IF(ISNUMBER(deployment_raw[[#This Row],[Column15]]), deployment_raw[[#This Row],[Column15]]/1048576,"")</f>
        <v/>
      </c>
      <c r="P137" s="190" t="str">
        <f>IF(ISNUMBER(deployment_raw[[#This Row],[Column12]]), (deployment_raw[[#This Row],[Column12]] * deployment_raw[[#This Row],[Column5]]),"")</f>
        <v/>
      </c>
      <c r="Q137" s="189" t="str">
        <f>IF(ISNUMBER(deployment_raw[[#This Row],[Column13]]), (deployment_raw[[#This Row],[Column13]] * deployment_raw[[#This Row],[Column5]])/1048576,"")</f>
        <v/>
      </c>
    </row>
    <row r="138" spans="1:17" ht="15.75" customHeight="1" x14ac:dyDescent="0.25">
      <c r="A138" s="37" t="str">
        <f>IF(ISNONTEXT(deployment_raw[[#This Row],[Column1]]), "", deployment_raw[[#This Row],[Column1]])</f>
        <v/>
      </c>
      <c r="B138" s="38" t="str">
        <f>IF(ISNONTEXT(deployment_raw[[#This Row],[Column2]]), "", deployment_raw[[#This Row],[Column2]])</f>
        <v/>
      </c>
      <c r="C138" s="38" t="str">
        <f>IF(ISNONTEXT(deployment_raw[[#This Row],[Column3]]), "", deployment_raw[[#This Row],[Column3]])</f>
        <v/>
      </c>
      <c r="D138" s="38" t="str">
        <f>IF(ISNONTEXT(deployment_raw[[#This Row],[Column4]]), "", deployment_raw[[#This Row],[Column4]])</f>
        <v/>
      </c>
      <c r="E138" s="39" t="str">
        <f>IF(ISNUMBER(deployment_raw[[#This Row],[Column5]]), deployment_raw[[#This Row],[Column5]],"")</f>
        <v/>
      </c>
      <c r="F138" s="174" t="str">
        <f>IF(ISNUMBER(deployment_raw[[#This Row],[Column6]]), (deployment_raw[[#This Row],[Column6]] * deployment_raw[[#This Row],[Column5]]),"")</f>
        <v/>
      </c>
      <c r="G138" s="175" t="str">
        <f>IF(ISNUMBER(deployment_raw[[#This Row],[Column7]]), (deployment_raw[[#This Row],[Column7]] * deployment_raw[[#This Row],[Column5]])/1048576,"")</f>
        <v/>
      </c>
      <c r="H138" s="175" t="str">
        <f>IF(ISNUMBER(deployment_raw[[#This Row],[Column8]]), (deployment_raw[[#This Row],[Column8]]  * deployment_raw[[#This Row],[Column5]]),"")</f>
        <v/>
      </c>
      <c r="I138" s="176" t="str">
        <f>IF(ISNUMBER(deployment_raw[[#This Row],[Column9]]), (deployment_raw[[#This Row],[Column9]] * deployment_raw[[#This Row],[Column5]])/1048576,"")</f>
        <v/>
      </c>
      <c r="J138" s="57" t="str">
        <f>IF(ISNUMBER(deployment_raw[[#This Row],[Column10]]), (deployment_raw[[#This Row],[Column10]] * deployment_raw[[#This Row],[Column5]]),"")</f>
        <v/>
      </c>
      <c r="K138" s="58" t="str">
        <f>IF(ISNUMBER(deployment_raw[[#This Row],[Column11]]), (deployment_raw[[#This Row],[Column11]] * deployment_raw[[#This Row],[Column5]])/1048576,"")</f>
        <v/>
      </c>
      <c r="L138" s="180" t="str">
        <f>IF(ISNUMBER(deployment_raw[[#This Row],[Column8]]),IF(deployment_raw[[#This Row],[Column5]] &lt;&gt; 0, MAX((deployment_raw[[#This Row],[Column12]] * deployment_raw[[#This Row],[Column5]]), ((deployment_raw[[#This Row],[Column8]] * deployment_raw[[#This Row],[Column5]]) * $L$2), ($H$2 * deployment_raw[[#This Row],[Column5]])), 0),"")</f>
        <v/>
      </c>
      <c r="M13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38" s="188" t="str">
        <f>IF(ISNUMBER(deployment_raw[[#This Row],[Column14]]), deployment_raw[[#This Row],[Column14]],"")</f>
        <v/>
      </c>
      <c r="O138" s="189" t="str">
        <f>IF(ISNUMBER(deployment_raw[[#This Row],[Column15]]), deployment_raw[[#This Row],[Column15]]/1048576,"")</f>
        <v/>
      </c>
      <c r="P138" s="190" t="str">
        <f>IF(ISNUMBER(deployment_raw[[#This Row],[Column12]]), (deployment_raw[[#This Row],[Column12]] * deployment_raw[[#This Row],[Column5]]),"")</f>
        <v/>
      </c>
      <c r="Q138" s="189" t="str">
        <f>IF(ISNUMBER(deployment_raw[[#This Row],[Column13]]), (deployment_raw[[#This Row],[Column13]] * deployment_raw[[#This Row],[Column5]])/1048576,"")</f>
        <v/>
      </c>
    </row>
    <row r="139" spans="1:17" ht="15.75" customHeight="1" x14ac:dyDescent="0.25">
      <c r="A139" s="37" t="str">
        <f>IF(ISNONTEXT(deployment_raw[[#This Row],[Column1]]), "", deployment_raw[[#This Row],[Column1]])</f>
        <v/>
      </c>
      <c r="B139" s="38" t="str">
        <f>IF(ISNONTEXT(deployment_raw[[#This Row],[Column2]]), "", deployment_raw[[#This Row],[Column2]])</f>
        <v/>
      </c>
      <c r="C139" s="38" t="str">
        <f>IF(ISNONTEXT(deployment_raw[[#This Row],[Column3]]), "", deployment_raw[[#This Row],[Column3]])</f>
        <v/>
      </c>
      <c r="D139" s="38" t="str">
        <f>IF(ISNONTEXT(deployment_raw[[#This Row],[Column4]]), "", deployment_raw[[#This Row],[Column4]])</f>
        <v/>
      </c>
      <c r="E139" s="39" t="str">
        <f>IF(ISNUMBER(deployment_raw[[#This Row],[Column5]]), deployment_raw[[#This Row],[Column5]],"")</f>
        <v/>
      </c>
      <c r="F139" s="174" t="str">
        <f>IF(ISNUMBER(deployment_raw[[#This Row],[Column6]]), (deployment_raw[[#This Row],[Column6]] * deployment_raw[[#This Row],[Column5]]),"")</f>
        <v/>
      </c>
      <c r="G139" s="175" t="str">
        <f>IF(ISNUMBER(deployment_raw[[#This Row],[Column7]]), (deployment_raw[[#This Row],[Column7]] * deployment_raw[[#This Row],[Column5]])/1048576,"")</f>
        <v/>
      </c>
      <c r="H139" s="175" t="str">
        <f>IF(ISNUMBER(deployment_raw[[#This Row],[Column8]]), (deployment_raw[[#This Row],[Column8]]  * deployment_raw[[#This Row],[Column5]]),"")</f>
        <v/>
      </c>
      <c r="I139" s="176" t="str">
        <f>IF(ISNUMBER(deployment_raw[[#This Row],[Column9]]), (deployment_raw[[#This Row],[Column9]] * deployment_raw[[#This Row],[Column5]])/1048576,"")</f>
        <v/>
      </c>
      <c r="J139" s="57" t="str">
        <f>IF(ISNUMBER(deployment_raw[[#This Row],[Column10]]), (deployment_raw[[#This Row],[Column10]] * deployment_raw[[#This Row],[Column5]]),"")</f>
        <v/>
      </c>
      <c r="K139" s="58" t="str">
        <f>IF(ISNUMBER(deployment_raw[[#This Row],[Column11]]), (deployment_raw[[#This Row],[Column11]] * deployment_raw[[#This Row],[Column5]])/1048576,"")</f>
        <v/>
      </c>
      <c r="L139" s="180" t="str">
        <f>IF(ISNUMBER(deployment_raw[[#This Row],[Column8]]),IF(deployment_raw[[#This Row],[Column5]] &lt;&gt; 0, MAX((deployment_raw[[#This Row],[Column12]] * deployment_raw[[#This Row],[Column5]]), ((deployment_raw[[#This Row],[Column8]] * deployment_raw[[#This Row],[Column5]]) * $L$2), ($H$2 * deployment_raw[[#This Row],[Column5]])), 0),"")</f>
        <v/>
      </c>
      <c r="M13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39" s="188" t="str">
        <f>IF(ISNUMBER(deployment_raw[[#This Row],[Column14]]), deployment_raw[[#This Row],[Column14]],"")</f>
        <v/>
      </c>
      <c r="O139" s="189" t="str">
        <f>IF(ISNUMBER(deployment_raw[[#This Row],[Column15]]), deployment_raw[[#This Row],[Column15]]/1048576,"")</f>
        <v/>
      </c>
      <c r="P139" s="190" t="str">
        <f>IF(ISNUMBER(deployment_raw[[#This Row],[Column12]]), (deployment_raw[[#This Row],[Column12]] * deployment_raw[[#This Row],[Column5]]),"")</f>
        <v/>
      </c>
      <c r="Q139" s="189" t="str">
        <f>IF(ISNUMBER(deployment_raw[[#This Row],[Column13]]), (deployment_raw[[#This Row],[Column13]] * deployment_raw[[#This Row],[Column5]])/1048576,"")</f>
        <v/>
      </c>
    </row>
    <row r="140" spans="1:17" ht="15.75" customHeight="1" x14ac:dyDescent="0.25">
      <c r="A140" s="37" t="str">
        <f>IF(ISNONTEXT(deployment_raw[[#This Row],[Column1]]), "", deployment_raw[[#This Row],[Column1]])</f>
        <v/>
      </c>
      <c r="B140" s="38" t="str">
        <f>IF(ISNONTEXT(deployment_raw[[#This Row],[Column2]]), "", deployment_raw[[#This Row],[Column2]])</f>
        <v/>
      </c>
      <c r="C140" s="38" t="str">
        <f>IF(ISNONTEXT(deployment_raw[[#This Row],[Column3]]), "", deployment_raw[[#This Row],[Column3]])</f>
        <v/>
      </c>
      <c r="D140" s="38" t="str">
        <f>IF(ISNONTEXT(deployment_raw[[#This Row],[Column4]]), "", deployment_raw[[#This Row],[Column4]])</f>
        <v/>
      </c>
      <c r="E140" s="39" t="str">
        <f>IF(ISNUMBER(deployment_raw[[#This Row],[Column5]]), deployment_raw[[#This Row],[Column5]],"")</f>
        <v/>
      </c>
      <c r="F140" s="174" t="str">
        <f>IF(ISNUMBER(deployment_raw[[#This Row],[Column6]]), (deployment_raw[[#This Row],[Column6]] * deployment_raw[[#This Row],[Column5]]),"")</f>
        <v/>
      </c>
      <c r="G140" s="175" t="str">
        <f>IF(ISNUMBER(deployment_raw[[#This Row],[Column7]]), (deployment_raw[[#This Row],[Column7]] * deployment_raw[[#This Row],[Column5]])/1048576,"")</f>
        <v/>
      </c>
      <c r="H140" s="175" t="str">
        <f>IF(ISNUMBER(deployment_raw[[#This Row],[Column8]]), (deployment_raw[[#This Row],[Column8]]  * deployment_raw[[#This Row],[Column5]]),"")</f>
        <v/>
      </c>
      <c r="I140" s="176" t="str">
        <f>IF(ISNUMBER(deployment_raw[[#This Row],[Column9]]), (deployment_raw[[#This Row],[Column9]] * deployment_raw[[#This Row],[Column5]])/1048576,"")</f>
        <v/>
      </c>
      <c r="J140" s="57" t="str">
        <f>IF(ISNUMBER(deployment_raw[[#This Row],[Column10]]), (deployment_raw[[#This Row],[Column10]] * deployment_raw[[#This Row],[Column5]]),"")</f>
        <v/>
      </c>
      <c r="K140" s="58" t="str">
        <f>IF(ISNUMBER(deployment_raw[[#This Row],[Column11]]), (deployment_raw[[#This Row],[Column11]] * deployment_raw[[#This Row],[Column5]])/1048576,"")</f>
        <v/>
      </c>
      <c r="L140" s="180" t="str">
        <f>IF(ISNUMBER(deployment_raw[[#This Row],[Column8]]),IF(deployment_raw[[#This Row],[Column5]] &lt;&gt; 0, MAX((deployment_raw[[#This Row],[Column12]] * deployment_raw[[#This Row],[Column5]]), ((deployment_raw[[#This Row],[Column8]] * deployment_raw[[#This Row],[Column5]]) * $L$2), ($H$2 * deployment_raw[[#This Row],[Column5]])), 0),"")</f>
        <v/>
      </c>
      <c r="M14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40" s="188" t="str">
        <f>IF(ISNUMBER(deployment_raw[[#This Row],[Column14]]), deployment_raw[[#This Row],[Column14]],"")</f>
        <v/>
      </c>
      <c r="O140" s="189" t="str">
        <f>IF(ISNUMBER(deployment_raw[[#This Row],[Column15]]), deployment_raw[[#This Row],[Column15]]/1048576,"")</f>
        <v/>
      </c>
      <c r="P140" s="190" t="str">
        <f>IF(ISNUMBER(deployment_raw[[#This Row],[Column12]]), (deployment_raw[[#This Row],[Column12]] * deployment_raw[[#This Row],[Column5]]),"")</f>
        <v/>
      </c>
      <c r="Q140" s="189" t="str">
        <f>IF(ISNUMBER(deployment_raw[[#This Row],[Column13]]), (deployment_raw[[#This Row],[Column13]] * deployment_raw[[#This Row],[Column5]])/1048576,"")</f>
        <v/>
      </c>
    </row>
    <row r="141" spans="1:17" ht="15.75" customHeight="1" x14ac:dyDescent="0.25">
      <c r="A141" s="37" t="str">
        <f>IF(ISNONTEXT(deployment_raw[[#This Row],[Column1]]), "", deployment_raw[[#This Row],[Column1]])</f>
        <v/>
      </c>
      <c r="B141" s="38" t="str">
        <f>IF(ISNONTEXT(deployment_raw[[#This Row],[Column2]]), "", deployment_raw[[#This Row],[Column2]])</f>
        <v/>
      </c>
      <c r="C141" s="38" t="str">
        <f>IF(ISNONTEXT(deployment_raw[[#This Row],[Column3]]), "", deployment_raw[[#This Row],[Column3]])</f>
        <v/>
      </c>
      <c r="D141" s="38" t="str">
        <f>IF(ISNONTEXT(deployment_raw[[#This Row],[Column4]]), "", deployment_raw[[#This Row],[Column4]])</f>
        <v/>
      </c>
      <c r="E141" s="39" t="str">
        <f>IF(ISNUMBER(deployment_raw[[#This Row],[Column5]]), deployment_raw[[#This Row],[Column5]],"")</f>
        <v/>
      </c>
      <c r="F141" s="174" t="str">
        <f>IF(ISNUMBER(deployment_raw[[#This Row],[Column6]]), (deployment_raw[[#This Row],[Column6]] * deployment_raw[[#This Row],[Column5]]),"")</f>
        <v/>
      </c>
      <c r="G141" s="175" t="str">
        <f>IF(ISNUMBER(deployment_raw[[#This Row],[Column7]]), (deployment_raw[[#This Row],[Column7]] * deployment_raw[[#This Row],[Column5]])/1048576,"")</f>
        <v/>
      </c>
      <c r="H141" s="175" t="str">
        <f>IF(ISNUMBER(deployment_raw[[#This Row],[Column8]]), (deployment_raw[[#This Row],[Column8]]  * deployment_raw[[#This Row],[Column5]]),"")</f>
        <v/>
      </c>
      <c r="I141" s="176" t="str">
        <f>IF(ISNUMBER(deployment_raw[[#This Row],[Column9]]), (deployment_raw[[#This Row],[Column9]] * deployment_raw[[#This Row],[Column5]])/1048576,"")</f>
        <v/>
      </c>
      <c r="J141" s="57" t="str">
        <f>IF(ISNUMBER(deployment_raw[[#This Row],[Column10]]), (deployment_raw[[#This Row],[Column10]] * deployment_raw[[#This Row],[Column5]]),"")</f>
        <v/>
      </c>
      <c r="K141" s="58" t="str">
        <f>IF(ISNUMBER(deployment_raw[[#This Row],[Column11]]), (deployment_raw[[#This Row],[Column11]] * deployment_raw[[#This Row],[Column5]])/1048576,"")</f>
        <v/>
      </c>
      <c r="L141" s="180" t="str">
        <f>IF(ISNUMBER(deployment_raw[[#This Row],[Column8]]),IF(deployment_raw[[#This Row],[Column5]] &lt;&gt; 0, MAX((deployment_raw[[#This Row],[Column12]] * deployment_raw[[#This Row],[Column5]]), ((deployment_raw[[#This Row],[Column8]] * deployment_raw[[#This Row],[Column5]]) * $L$2), ($H$2 * deployment_raw[[#This Row],[Column5]])), 0),"")</f>
        <v/>
      </c>
      <c r="M14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41" s="188" t="str">
        <f>IF(ISNUMBER(deployment_raw[[#This Row],[Column14]]), deployment_raw[[#This Row],[Column14]],"")</f>
        <v/>
      </c>
      <c r="O141" s="189" t="str">
        <f>IF(ISNUMBER(deployment_raw[[#This Row],[Column15]]), deployment_raw[[#This Row],[Column15]]/1048576,"")</f>
        <v/>
      </c>
      <c r="P141" s="190" t="str">
        <f>IF(ISNUMBER(deployment_raw[[#This Row],[Column12]]), (deployment_raw[[#This Row],[Column12]] * deployment_raw[[#This Row],[Column5]]),"")</f>
        <v/>
      </c>
      <c r="Q141" s="189" t="str">
        <f>IF(ISNUMBER(deployment_raw[[#This Row],[Column13]]), (deployment_raw[[#This Row],[Column13]] * deployment_raw[[#This Row],[Column5]])/1048576,"")</f>
        <v/>
      </c>
    </row>
    <row r="142" spans="1:17" ht="15.75" customHeight="1" x14ac:dyDescent="0.25">
      <c r="A142" s="37" t="str">
        <f>IF(ISNONTEXT(deployment_raw[[#This Row],[Column1]]), "", deployment_raw[[#This Row],[Column1]])</f>
        <v/>
      </c>
      <c r="B142" s="38" t="str">
        <f>IF(ISNONTEXT(deployment_raw[[#This Row],[Column2]]), "", deployment_raw[[#This Row],[Column2]])</f>
        <v/>
      </c>
      <c r="C142" s="38" t="str">
        <f>IF(ISNONTEXT(deployment_raw[[#This Row],[Column3]]), "", deployment_raw[[#This Row],[Column3]])</f>
        <v/>
      </c>
      <c r="D142" s="38" t="str">
        <f>IF(ISNONTEXT(deployment_raw[[#This Row],[Column4]]), "", deployment_raw[[#This Row],[Column4]])</f>
        <v/>
      </c>
      <c r="E142" s="39" t="str">
        <f>IF(ISNUMBER(deployment_raw[[#This Row],[Column5]]), deployment_raw[[#This Row],[Column5]],"")</f>
        <v/>
      </c>
      <c r="F142" s="174" t="str">
        <f>IF(ISNUMBER(deployment_raw[[#This Row],[Column6]]), (deployment_raw[[#This Row],[Column6]] * deployment_raw[[#This Row],[Column5]]),"")</f>
        <v/>
      </c>
      <c r="G142" s="175" t="str">
        <f>IF(ISNUMBER(deployment_raw[[#This Row],[Column7]]), (deployment_raw[[#This Row],[Column7]] * deployment_raw[[#This Row],[Column5]])/1048576,"")</f>
        <v/>
      </c>
      <c r="H142" s="175" t="str">
        <f>IF(ISNUMBER(deployment_raw[[#This Row],[Column8]]), (deployment_raw[[#This Row],[Column8]]  * deployment_raw[[#This Row],[Column5]]),"")</f>
        <v/>
      </c>
      <c r="I142" s="176" t="str">
        <f>IF(ISNUMBER(deployment_raw[[#This Row],[Column9]]), (deployment_raw[[#This Row],[Column9]] * deployment_raw[[#This Row],[Column5]])/1048576,"")</f>
        <v/>
      </c>
      <c r="J142" s="57" t="str">
        <f>IF(ISNUMBER(deployment_raw[[#This Row],[Column10]]), (deployment_raw[[#This Row],[Column10]] * deployment_raw[[#This Row],[Column5]]),"")</f>
        <v/>
      </c>
      <c r="K142" s="58" t="str">
        <f>IF(ISNUMBER(deployment_raw[[#This Row],[Column11]]), (deployment_raw[[#This Row],[Column11]] * deployment_raw[[#This Row],[Column5]])/1048576,"")</f>
        <v/>
      </c>
      <c r="L142" s="180" t="str">
        <f>IF(ISNUMBER(deployment_raw[[#This Row],[Column8]]),IF(deployment_raw[[#This Row],[Column5]] &lt;&gt; 0, MAX((deployment_raw[[#This Row],[Column12]] * deployment_raw[[#This Row],[Column5]]), ((deployment_raw[[#This Row],[Column8]] * deployment_raw[[#This Row],[Column5]]) * $L$2), ($H$2 * deployment_raw[[#This Row],[Column5]])), 0),"")</f>
        <v/>
      </c>
      <c r="M14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42" s="188" t="str">
        <f>IF(ISNUMBER(deployment_raw[[#This Row],[Column14]]), deployment_raw[[#This Row],[Column14]],"")</f>
        <v/>
      </c>
      <c r="O142" s="189" t="str">
        <f>IF(ISNUMBER(deployment_raw[[#This Row],[Column15]]), deployment_raw[[#This Row],[Column15]]/1048576,"")</f>
        <v/>
      </c>
      <c r="P142" s="190" t="str">
        <f>IF(ISNUMBER(deployment_raw[[#This Row],[Column12]]), (deployment_raw[[#This Row],[Column12]] * deployment_raw[[#This Row],[Column5]]),"")</f>
        <v/>
      </c>
      <c r="Q142" s="189" t="str">
        <f>IF(ISNUMBER(deployment_raw[[#This Row],[Column13]]), (deployment_raw[[#This Row],[Column13]] * deployment_raw[[#This Row],[Column5]])/1048576,"")</f>
        <v/>
      </c>
    </row>
    <row r="143" spans="1:17" ht="15.75" customHeight="1" x14ac:dyDescent="0.25">
      <c r="A143" s="37" t="str">
        <f>IF(ISNONTEXT(deployment_raw[[#This Row],[Column1]]), "", deployment_raw[[#This Row],[Column1]])</f>
        <v/>
      </c>
      <c r="B143" s="38" t="str">
        <f>IF(ISNONTEXT(deployment_raw[[#This Row],[Column2]]), "", deployment_raw[[#This Row],[Column2]])</f>
        <v/>
      </c>
      <c r="C143" s="38" t="str">
        <f>IF(ISNONTEXT(deployment_raw[[#This Row],[Column3]]), "", deployment_raw[[#This Row],[Column3]])</f>
        <v/>
      </c>
      <c r="D143" s="38" t="str">
        <f>IF(ISNONTEXT(deployment_raw[[#This Row],[Column4]]), "", deployment_raw[[#This Row],[Column4]])</f>
        <v/>
      </c>
      <c r="E143" s="39" t="str">
        <f>IF(ISNUMBER(deployment_raw[[#This Row],[Column5]]), deployment_raw[[#This Row],[Column5]],"")</f>
        <v/>
      </c>
      <c r="F143" s="174" t="str">
        <f>IF(ISNUMBER(deployment_raw[[#This Row],[Column6]]), (deployment_raw[[#This Row],[Column6]] * deployment_raw[[#This Row],[Column5]]),"")</f>
        <v/>
      </c>
      <c r="G143" s="175" t="str">
        <f>IF(ISNUMBER(deployment_raw[[#This Row],[Column7]]), (deployment_raw[[#This Row],[Column7]] * deployment_raw[[#This Row],[Column5]])/1048576,"")</f>
        <v/>
      </c>
      <c r="H143" s="175" t="str">
        <f>IF(ISNUMBER(deployment_raw[[#This Row],[Column8]]), (deployment_raw[[#This Row],[Column8]]  * deployment_raw[[#This Row],[Column5]]),"")</f>
        <v/>
      </c>
      <c r="I143" s="176" t="str">
        <f>IF(ISNUMBER(deployment_raw[[#This Row],[Column9]]), (deployment_raw[[#This Row],[Column9]] * deployment_raw[[#This Row],[Column5]])/1048576,"")</f>
        <v/>
      </c>
      <c r="J143" s="57" t="str">
        <f>IF(ISNUMBER(deployment_raw[[#This Row],[Column10]]), (deployment_raw[[#This Row],[Column10]] * deployment_raw[[#This Row],[Column5]]),"")</f>
        <v/>
      </c>
      <c r="K143" s="58" t="str">
        <f>IF(ISNUMBER(deployment_raw[[#This Row],[Column11]]), (deployment_raw[[#This Row],[Column11]] * deployment_raw[[#This Row],[Column5]])/1048576,"")</f>
        <v/>
      </c>
      <c r="L143" s="180" t="str">
        <f>IF(ISNUMBER(deployment_raw[[#This Row],[Column8]]),IF(deployment_raw[[#This Row],[Column5]] &lt;&gt; 0, MAX((deployment_raw[[#This Row],[Column12]] * deployment_raw[[#This Row],[Column5]]), ((deployment_raw[[#This Row],[Column8]] * deployment_raw[[#This Row],[Column5]]) * $L$2), ($H$2 * deployment_raw[[#This Row],[Column5]])), 0),"")</f>
        <v/>
      </c>
      <c r="M14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43" s="188" t="str">
        <f>IF(ISNUMBER(deployment_raw[[#This Row],[Column14]]), deployment_raw[[#This Row],[Column14]],"")</f>
        <v/>
      </c>
      <c r="O143" s="189" t="str">
        <f>IF(ISNUMBER(deployment_raw[[#This Row],[Column15]]), deployment_raw[[#This Row],[Column15]]/1048576,"")</f>
        <v/>
      </c>
      <c r="P143" s="190" t="str">
        <f>IF(ISNUMBER(deployment_raw[[#This Row],[Column12]]), (deployment_raw[[#This Row],[Column12]] * deployment_raw[[#This Row],[Column5]]),"")</f>
        <v/>
      </c>
      <c r="Q143" s="189" t="str">
        <f>IF(ISNUMBER(deployment_raw[[#This Row],[Column13]]), (deployment_raw[[#This Row],[Column13]] * deployment_raw[[#This Row],[Column5]])/1048576,"")</f>
        <v/>
      </c>
    </row>
    <row r="144" spans="1:17" ht="15.75" customHeight="1" x14ac:dyDescent="0.25">
      <c r="A144" s="37" t="str">
        <f>IF(ISNONTEXT(deployment_raw[[#This Row],[Column1]]), "", deployment_raw[[#This Row],[Column1]])</f>
        <v/>
      </c>
      <c r="B144" s="38" t="str">
        <f>IF(ISNONTEXT(deployment_raw[[#This Row],[Column2]]), "", deployment_raw[[#This Row],[Column2]])</f>
        <v/>
      </c>
      <c r="C144" s="38" t="str">
        <f>IF(ISNONTEXT(deployment_raw[[#This Row],[Column3]]), "", deployment_raw[[#This Row],[Column3]])</f>
        <v/>
      </c>
      <c r="D144" s="38" t="str">
        <f>IF(ISNONTEXT(deployment_raw[[#This Row],[Column4]]), "", deployment_raw[[#This Row],[Column4]])</f>
        <v/>
      </c>
      <c r="E144" s="39" t="str">
        <f>IF(ISNUMBER(deployment_raw[[#This Row],[Column5]]), deployment_raw[[#This Row],[Column5]],"")</f>
        <v/>
      </c>
      <c r="F144" s="174" t="str">
        <f>IF(ISNUMBER(deployment_raw[[#This Row],[Column6]]), (deployment_raw[[#This Row],[Column6]] * deployment_raw[[#This Row],[Column5]]),"")</f>
        <v/>
      </c>
      <c r="G144" s="175" t="str">
        <f>IF(ISNUMBER(deployment_raw[[#This Row],[Column7]]), (deployment_raw[[#This Row],[Column7]] * deployment_raw[[#This Row],[Column5]])/1048576,"")</f>
        <v/>
      </c>
      <c r="H144" s="175" t="str">
        <f>IF(ISNUMBER(deployment_raw[[#This Row],[Column8]]), (deployment_raw[[#This Row],[Column8]]  * deployment_raw[[#This Row],[Column5]]),"")</f>
        <v/>
      </c>
      <c r="I144" s="176" t="str">
        <f>IF(ISNUMBER(deployment_raw[[#This Row],[Column9]]), (deployment_raw[[#This Row],[Column9]] * deployment_raw[[#This Row],[Column5]])/1048576,"")</f>
        <v/>
      </c>
      <c r="J144" s="57" t="str">
        <f>IF(ISNUMBER(deployment_raw[[#This Row],[Column10]]), (deployment_raw[[#This Row],[Column10]] * deployment_raw[[#This Row],[Column5]]),"")</f>
        <v/>
      </c>
      <c r="K144" s="58" t="str">
        <f>IF(ISNUMBER(deployment_raw[[#This Row],[Column11]]), (deployment_raw[[#This Row],[Column11]] * deployment_raw[[#This Row],[Column5]])/1048576,"")</f>
        <v/>
      </c>
      <c r="L144" s="180" t="str">
        <f>IF(ISNUMBER(deployment_raw[[#This Row],[Column8]]),IF(deployment_raw[[#This Row],[Column5]] &lt;&gt; 0, MAX((deployment_raw[[#This Row],[Column12]] * deployment_raw[[#This Row],[Column5]]), ((deployment_raw[[#This Row],[Column8]] * deployment_raw[[#This Row],[Column5]]) * $L$2), ($H$2 * deployment_raw[[#This Row],[Column5]])), 0),"")</f>
        <v/>
      </c>
      <c r="M14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44" s="188" t="str">
        <f>IF(ISNUMBER(deployment_raw[[#This Row],[Column14]]), deployment_raw[[#This Row],[Column14]],"")</f>
        <v/>
      </c>
      <c r="O144" s="189" t="str">
        <f>IF(ISNUMBER(deployment_raw[[#This Row],[Column15]]), deployment_raw[[#This Row],[Column15]]/1048576,"")</f>
        <v/>
      </c>
      <c r="P144" s="190" t="str">
        <f>IF(ISNUMBER(deployment_raw[[#This Row],[Column12]]), (deployment_raw[[#This Row],[Column12]] * deployment_raw[[#This Row],[Column5]]),"")</f>
        <v/>
      </c>
      <c r="Q144" s="189" t="str">
        <f>IF(ISNUMBER(deployment_raw[[#This Row],[Column13]]), (deployment_raw[[#This Row],[Column13]] * deployment_raw[[#This Row],[Column5]])/1048576,"")</f>
        <v/>
      </c>
    </row>
    <row r="145" spans="1:17" ht="15.75" customHeight="1" x14ac:dyDescent="0.25">
      <c r="A145" s="37" t="str">
        <f>IF(ISNONTEXT(deployment_raw[[#This Row],[Column1]]), "", deployment_raw[[#This Row],[Column1]])</f>
        <v/>
      </c>
      <c r="B145" s="38" t="str">
        <f>IF(ISNONTEXT(deployment_raw[[#This Row],[Column2]]), "", deployment_raw[[#This Row],[Column2]])</f>
        <v/>
      </c>
      <c r="C145" s="38" t="str">
        <f>IF(ISNONTEXT(deployment_raw[[#This Row],[Column3]]), "", deployment_raw[[#This Row],[Column3]])</f>
        <v/>
      </c>
      <c r="D145" s="38" t="str">
        <f>IF(ISNONTEXT(deployment_raw[[#This Row],[Column4]]), "", deployment_raw[[#This Row],[Column4]])</f>
        <v/>
      </c>
      <c r="E145" s="39" t="str">
        <f>IF(ISNUMBER(deployment_raw[[#This Row],[Column5]]), deployment_raw[[#This Row],[Column5]],"")</f>
        <v/>
      </c>
      <c r="F145" s="174" t="str">
        <f>IF(ISNUMBER(deployment_raw[[#This Row],[Column6]]), (deployment_raw[[#This Row],[Column6]] * deployment_raw[[#This Row],[Column5]]),"")</f>
        <v/>
      </c>
      <c r="G145" s="175" t="str">
        <f>IF(ISNUMBER(deployment_raw[[#This Row],[Column7]]), (deployment_raw[[#This Row],[Column7]] * deployment_raw[[#This Row],[Column5]])/1048576,"")</f>
        <v/>
      </c>
      <c r="H145" s="175" t="str">
        <f>IF(ISNUMBER(deployment_raw[[#This Row],[Column8]]), (deployment_raw[[#This Row],[Column8]]  * deployment_raw[[#This Row],[Column5]]),"")</f>
        <v/>
      </c>
      <c r="I145" s="176" t="str">
        <f>IF(ISNUMBER(deployment_raw[[#This Row],[Column9]]), (deployment_raw[[#This Row],[Column9]] * deployment_raw[[#This Row],[Column5]])/1048576,"")</f>
        <v/>
      </c>
      <c r="J145" s="57" t="str">
        <f>IF(ISNUMBER(deployment_raw[[#This Row],[Column10]]), (deployment_raw[[#This Row],[Column10]] * deployment_raw[[#This Row],[Column5]]),"")</f>
        <v/>
      </c>
      <c r="K145" s="58" t="str">
        <f>IF(ISNUMBER(deployment_raw[[#This Row],[Column11]]), (deployment_raw[[#This Row],[Column11]] * deployment_raw[[#This Row],[Column5]])/1048576,"")</f>
        <v/>
      </c>
      <c r="L145" s="180" t="str">
        <f>IF(ISNUMBER(deployment_raw[[#This Row],[Column8]]),IF(deployment_raw[[#This Row],[Column5]] &lt;&gt; 0, MAX((deployment_raw[[#This Row],[Column12]] * deployment_raw[[#This Row],[Column5]]), ((deployment_raw[[#This Row],[Column8]] * deployment_raw[[#This Row],[Column5]]) * $L$2), ($H$2 * deployment_raw[[#This Row],[Column5]])), 0),"")</f>
        <v/>
      </c>
      <c r="M14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45" s="188" t="str">
        <f>IF(ISNUMBER(deployment_raw[[#This Row],[Column14]]), deployment_raw[[#This Row],[Column14]],"")</f>
        <v/>
      </c>
      <c r="O145" s="189" t="str">
        <f>IF(ISNUMBER(deployment_raw[[#This Row],[Column15]]), deployment_raw[[#This Row],[Column15]]/1048576,"")</f>
        <v/>
      </c>
      <c r="P145" s="190" t="str">
        <f>IF(ISNUMBER(deployment_raw[[#This Row],[Column12]]), (deployment_raw[[#This Row],[Column12]] * deployment_raw[[#This Row],[Column5]]),"")</f>
        <v/>
      </c>
      <c r="Q145" s="189" t="str">
        <f>IF(ISNUMBER(deployment_raw[[#This Row],[Column13]]), (deployment_raw[[#This Row],[Column13]] * deployment_raw[[#This Row],[Column5]])/1048576,"")</f>
        <v/>
      </c>
    </row>
    <row r="146" spans="1:17" ht="15.75" customHeight="1" x14ac:dyDescent="0.25">
      <c r="A146" s="37" t="str">
        <f>IF(ISNONTEXT(deployment_raw[[#This Row],[Column1]]), "", deployment_raw[[#This Row],[Column1]])</f>
        <v/>
      </c>
      <c r="B146" s="38" t="str">
        <f>IF(ISNONTEXT(deployment_raw[[#This Row],[Column2]]), "", deployment_raw[[#This Row],[Column2]])</f>
        <v/>
      </c>
      <c r="C146" s="38" t="str">
        <f>IF(ISNONTEXT(deployment_raw[[#This Row],[Column3]]), "", deployment_raw[[#This Row],[Column3]])</f>
        <v/>
      </c>
      <c r="D146" s="38" t="str">
        <f>IF(ISNONTEXT(deployment_raw[[#This Row],[Column4]]), "", deployment_raw[[#This Row],[Column4]])</f>
        <v/>
      </c>
      <c r="E146" s="39" t="str">
        <f>IF(ISNUMBER(deployment_raw[[#This Row],[Column5]]), deployment_raw[[#This Row],[Column5]],"")</f>
        <v/>
      </c>
      <c r="F146" s="174" t="str">
        <f>IF(ISNUMBER(deployment_raw[[#This Row],[Column6]]), (deployment_raw[[#This Row],[Column6]] * deployment_raw[[#This Row],[Column5]]),"")</f>
        <v/>
      </c>
      <c r="G146" s="175" t="str">
        <f>IF(ISNUMBER(deployment_raw[[#This Row],[Column7]]), (deployment_raw[[#This Row],[Column7]] * deployment_raw[[#This Row],[Column5]])/1048576,"")</f>
        <v/>
      </c>
      <c r="H146" s="175" t="str">
        <f>IF(ISNUMBER(deployment_raw[[#This Row],[Column8]]), (deployment_raw[[#This Row],[Column8]]  * deployment_raw[[#This Row],[Column5]]),"")</f>
        <v/>
      </c>
      <c r="I146" s="176" t="str">
        <f>IF(ISNUMBER(deployment_raw[[#This Row],[Column9]]), (deployment_raw[[#This Row],[Column9]] * deployment_raw[[#This Row],[Column5]])/1048576,"")</f>
        <v/>
      </c>
      <c r="J146" s="57" t="str">
        <f>IF(ISNUMBER(deployment_raw[[#This Row],[Column10]]), (deployment_raw[[#This Row],[Column10]] * deployment_raw[[#This Row],[Column5]]),"")</f>
        <v/>
      </c>
      <c r="K146" s="58" t="str">
        <f>IF(ISNUMBER(deployment_raw[[#This Row],[Column11]]), (deployment_raw[[#This Row],[Column11]] * deployment_raw[[#This Row],[Column5]])/1048576,"")</f>
        <v/>
      </c>
      <c r="L146" s="180" t="str">
        <f>IF(ISNUMBER(deployment_raw[[#This Row],[Column8]]),IF(deployment_raw[[#This Row],[Column5]] &lt;&gt; 0, MAX((deployment_raw[[#This Row],[Column12]] * deployment_raw[[#This Row],[Column5]]), ((deployment_raw[[#This Row],[Column8]] * deployment_raw[[#This Row],[Column5]]) * $L$2), ($H$2 * deployment_raw[[#This Row],[Column5]])), 0),"")</f>
        <v/>
      </c>
      <c r="M14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46" s="188" t="str">
        <f>IF(ISNUMBER(deployment_raw[[#This Row],[Column14]]), deployment_raw[[#This Row],[Column14]],"")</f>
        <v/>
      </c>
      <c r="O146" s="189" t="str">
        <f>IF(ISNUMBER(deployment_raw[[#This Row],[Column15]]), deployment_raw[[#This Row],[Column15]]/1048576,"")</f>
        <v/>
      </c>
      <c r="P146" s="190" t="str">
        <f>IF(ISNUMBER(deployment_raw[[#This Row],[Column12]]), (deployment_raw[[#This Row],[Column12]] * deployment_raw[[#This Row],[Column5]]),"")</f>
        <v/>
      </c>
      <c r="Q146" s="189" t="str">
        <f>IF(ISNUMBER(deployment_raw[[#This Row],[Column13]]), (deployment_raw[[#This Row],[Column13]] * deployment_raw[[#This Row],[Column5]])/1048576,"")</f>
        <v/>
      </c>
    </row>
    <row r="147" spans="1:17" ht="15.75" customHeight="1" x14ac:dyDescent="0.25">
      <c r="A147" s="37" t="str">
        <f>IF(ISNONTEXT(deployment_raw[[#This Row],[Column1]]), "", deployment_raw[[#This Row],[Column1]])</f>
        <v/>
      </c>
      <c r="B147" s="38" t="str">
        <f>IF(ISNONTEXT(deployment_raw[[#This Row],[Column2]]), "", deployment_raw[[#This Row],[Column2]])</f>
        <v/>
      </c>
      <c r="C147" s="38" t="str">
        <f>IF(ISNONTEXT(deployment_raw[[#This Row],[Column3]]), "", deployment_raw[[#This Row],[Column3]])</f>
        <v/>
      </c>
      <c r="D147" s="38" t="str">
        <f>IF(ISNONTEXT(deployment_raw[[#This Row],[Column4]]), "", deployment_raw[[#This Row],[Column4]])</f>
        <v/>
      </c>
      <c r="E147" s="39" t="str">
        <f>IF(ISNUMBER(deployment_raw[[#This Row],[Column5]]), deployment_raw[[#This Row],[Column5]],"")</f>
        <v/>
      </c>
      <c r="F147" s="174" t="str">
        <f>IF(ISNUMBER(deployment_raw[[#This Row],[Column6]]), (deployment_raw[[#This Row],[Column6]] * deployment_raw[[#This Row],[Column5]]),"")</f>
        <v/>
      </c>
      <c r="G147" s="175" t="str">
        <f>IF(ISNUMBER(deployment_raw[[#This Row],[Column7]]), (deployment_raw[[#This Row],[Column7]] * deployment_raw[[#This Row],[Column5]])/1048576,"")</f>
        <v/>
      </c>
      <c r="H147" s="175" t="str">
        <f>IF(ISNUMBER(deployment_raw[[#This Row],[Column8]]), (deployment_raw[[#This Row],[Column8]]  * deployment_raw[[#This Row],[Column5]]),"")</f>
        <v/>
      </c>
      <c r="I147" s="176" t="str">
        <f>IF(ISNUMBER(deployment_raw[[#This Row],[Column9]]), (deployment_raw[[#This Row],[Column9]] * deployment_raw[[#This Row],[Column5]])/1048576,"")</f>
        <v/>
      </c>
      <c r="J147" s="57" t="str">
        <f>IF(ISNUMBER(deployment_raw[[#This Row],[Column10]]), (deployment_raw[[#This Row],[Column10]] * deployment_raw[[#This Row],[Column5]]),"")</f>
        <v/>
      </c>
      <c r="K147" s="58" t="str">
        <f>IF(ISNUMBER(deployment_raw[[#This Row],[Column11]]), (deployment_raw[[#This Row],[Column11]] * deployment_raw[[#This Row],[Column5]])/1048576,"")</f>
        <v/>
      </c>
      <c r="L147" s="180" t="str">
        <f>IF(ISNUMBER(deployment_raw[[#This Row],[Column8]]),IF(deployment_raw[[#This Row],[Column5]] &lt;&gt; 0, MAX((deployment_raw[[#This Row],[Column12]] * deployment_raw[[#This Row],[Column5]]), ((deployment_raw[[#This Row],[Column8]] * deployment_raw[[#This Row],[Column5]]) * $L$2), ($H$2 * deployment_raw[[#This Row],[Column5]])), 0),"")</f>
        <v/>
      </c>
      <c r="M14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47" s="188" t="str">
        <f>IF(ISNUMBER(deployment_raw[[#This Row],[Column14]]), deployment_raw[[#This Row],[Column14]],"")</f>
        <v/>
      </c>
      <c r="O147" s="189" t="str">
        <f>IF(ISNUMBER(deployment_raw[[#This Row],[Column15]]), deployment_raw[[#This Row],[Column15]]/1048576,"")</f>
        <v/>
      </c>
      <c r="P147" s="190" t="str">
        <f>IF(ISNUMBER(deployment_raw[[#This Row],[Column12]]), (deployment_raw[[#This Row],[Column12]] * deployment_raw[[#This Row],[Column5]]),"")</f>
        <v/>
      </c>
      <c r="Q147" s="189" t="str">
        <f>IF(ISNUMBER(deployment_raw[[#This Row],[Column13]]), (deployment_raw[[#This Row],[Column13]] * deployment_raw[[#This Row],[Column5]])/1048576,"")</f>
        <v/>
      </c>
    </row>
    <row r="148" spans="1:17" ht="15.75" customHeight="1" x14ac:dyDescent="0.25">
      <c r="A148" s="37" t="str">
        <f>IF(ISNONTEXT(deployment_raw[[#This Row],[Column1]]), "", deployment_raw[[#This Row],[Column1]])</f>
        <v/>
      </c>
      <c r="B148" s="38" t="str">
        <f>IF(ISNONTEXT(deployment_raw[[#This Row],[Column2]]), "", deployment_raw[[#This Row],[Column2]])</f>
        <v/>
      </c>
      <c r="C148" s="38" t="str">
        <f>IF(ISNONTEXT(deployment_raw[[#This Row],[Column3]]), "", deployment_raw[[#This Row],[Column3]])</f>
        <v/>
      </c>
      <c r="D148" s="38" t="str">
        <f>IF(ISNONTEXT(deployment_raw[[#This Row],[Column4]]), "", deployment_raw[[#This Row],[Column4]])</f>
        <v/>
      </c>
      <c r="E148" s="39" t="str">
        <f>IF(ISNUMBER(deployment_raw[[#This Row],[Column5]]), deployment_raw[[#This Row],[Column5]],"")</f>
        <v/>
      </c>
      <c r="F148" s="174" t="str">
        <f>IF(ISNUMBER(deployment_raw[[#This Row],[Column6]]), (deployment_raw[[#This Row],[Column6]] * deployment_raw[[#This Row],[Column5]]),"")</f>
        <v/>
      </c>
      <c r="G148" s="175" t="str">
        <f>IF(ISNUMBER(deployment_raw[[#This Row],[Column7]]), (deployment_raw[[#This Row],[Column7]] * deployment_raw[[#This Row],[Column5]])/1048576,"")</f>
        <v/>
      </c>
      <c r="H148" s="175" t="str">
        <f>IF(ISNUMBER(deployment_raw[[#This Row],[Column8]]), (deployment_raw[[#This Row],[Column8]]  * deployment_raw[[#This Row],[Column5]]),"")</f>
        <v/>
      </c>
      <c r="I148" s="176" t="str">
        <f>IF(ISNUMBER(deployment_raw[[#This Row],[Column9]]), (deployment_raw[[#This Row],[Column9]] * deployment_raw[[#This Row],[Column5]])/1048576,"")</f>
        <v/>
      </c>
      <c r="J148" s="57" t="str">
        <f>IF(ISNUMBER(deployment_raw[[#This Row],[Column10]]), (deployment_raw[[#This Row],[Column10]] * deployment_raw[[#This Row],[Column5]]),"")</f>
        <v/>
      </c>
      <c r="K148" s="58" t="str">
        <f>IF(ISNUMBER(deployment_raw[[#This Row],[Column11]]), (deployment_raw[[#This Row],[Column11]] * deployment_raw[[#This Row],[Column5]])/1048576,"")</f>
        <v/>
      </c>
      <c r="L148" s="180" t="str">
        <f>IF(ISNUMBER(deployment_raw[[#This Row],[Column8]]),IF(deployment_raw[[#This Row],[Column5]] &lt;&gt; 0, MAX((deployment_raw[[#This Row],[Column12]] * deployment_raw[[#This Row],[Column5]]), ((deployment_raw[[#This Row],[Column8]] * deployment_raw[[#This Row],[Column5]]) * $L$2), ($H$2 * deployment_raw[[#This Row],[Column5]])), 0),"")</f>
        <v/>
      </c>
      <c r="M14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48" s="188" t="str">
        <f>IF(ISNUMBER(deployment_raw[[#This Row],[Column14]]), deployment_raw[[#This Row],[Column14]],"")</f>
        <v/>
      </c>
      <c r="O148" s="189" t="str">
        <f>IF(ISNUMBER(deployment_raw[[#This Row],[Column15]]), deployment_raw[[#This Row],[Column15]]/1048576,"")</f>
        <v/>
      </c>
      <c r="P148" s="190" t="str">
        <f>IF(ISNUMBER(deployment_raw[[#This Row],[Column12]]), (deployment_raw[[#This Row],[Column12]] * deployment_raw[[#This Row],[Column5]]),"")</f>
        <v/>
      </c>
      <c r="Q148" s="189" t="str">
        <f>IF(ISNUMBER(deployment_raw[[#This Row],[Column13]]), (deployment_raw[[#This Row],[Column13]] * deployment_raw[[#This Row],[Column5]])/1048576,"")</f>
        <v/>
      </c>
    </row>
    <row r="149" spans="1:17" ht="15.75" customHeight="1" x14ac:dyDescent="0.25">
      <c r="A149" s="37" t="str">
        <f>IF(ISNONTEXT(deployment_raw[[#This Row],[Column1]]), "", deployment_raw[[#This Row],[Column1]])</f>
        <v/>
      </c>
      <c r="B149" s="38" t="str">
        <f>IF(ISNONTEXT(deployment_raw[[#This Row],[Column2]]), "", deployment_raw[[#This Row],[Column2]])</f>
        <v/>
      </c>
      <c r="C149" s="38" t="str">
        <f>IF(ISNONTEXT(deployment_raw[[#This Row],[Column3]]), "", deployment_raw[[#This Row],[Column3]])</f>
        <v/>
      </c>
      <c r="D149" s="38" t="str">
        <f>IF(ISNONTEXT(deployment_raw[[#This Row],[Column4]]), "", deployment_raw[[#This Row],[Column4]])</f>
        <v/>
      </c>
      <c r="E149" s="39" t="str">
        <f>IF(ISNUMBER(deployment_raw[[#This Row],[Column5]]), deployment_raw[[#This Row],[Column5]],"")</f>
        <v/>
      </c>
      <c r="F149" s="174" t="str">
        <f>IF(ISNUMBER(deployment_raw[[#This Row],[Column6]]), (deployment_raw[[#This Row],[Column6]] * deployment_raw[[#This Row],[Column5]]),"")</f>
        <v/>
      </c>
      <c r="G149" s="175" t="str">
        <f>IF(ISNUMBER(deployment_raw[[#This Row],[Column7]]), (deployment_raw[[#This Row],[Column7]] * deployment_raw[[#This Row],[Column5]])/1048576,"")</f>
        <v/>
      </c>
      <c r="H149" s="175" t="str">
        <f>IF(ISNUMBER(deployment_raw[[#This Row],[Column8]]), (deployment_raw[[#This Row],[Column8]]  * deployment_raw[[#This Row],[Column5]]),"")</f>
        <v/>
      </c>
      <c r="I149" s="176" t="str">
        <f>IF(ISNUMBER(deployment_raw[[#This Row],[Column9]]), (deployment_raw[[#This Row],[Column9]] * deployment_raw[[#This Row],[Column5]])/1048576,"")</f>
        <v/>
      </c>
      <c r="J149" s="57" t="str">
        <f>IF(ISNUMBER(deployment_raw[[#This Row],[Column10]]), (deployment_raw[[#This Row],[Column10]] * deployment_raw[[#This Row],[Column5]]),"")</f>
        <v/>
      </c>
      <c r="K149" s="58" t="str">
        <f>IF(ISNUMBER(deployment_raw[[#This Row],[Column11]]), (deployment_raw[[#This Row],[Column11]] * deployment_raw[[#This Row],[Column5]])/1048576,"")</f>
        <v/>
      </c>
      <c r="L149" s="180" t="str">
        <f>IF(ISNUMBER(deployment_raw[[#This Row],[Column8]]),IF(deployment_raw[[#This Row],[Column5]] &lt;&gt; 0, MAX((deployment_raw[[#This Row],[Column12]] * deployment_raw[[#This Row],[Column5]]), ((deployment_raw[[#This Row],[Column8]] * deployment_raw[[#This Row],[Column5]]) * $L$2), ($H$2 * deployment_raw[[#This Row],[Column5]])), 0),"")</f>
        <v/>
      </c>
      <c r="M14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49" s="188" t="str">
        <f>IF(ISNUMBER(deployment_raw[[#This Row],[Column14]]), deployment_raw[[#This Row],[Column14]],"")</f>
        <v/>
      </c>
      <c r="O149" s="189" t="str">
        <f>IF(ISNUMBER(deployment_raw[[#This Row],[Column15]]), deployment_raw[[#This Row],[Column15]]/1048576,"")</f>
        <v/>
      </c>
      <c r="P149" s="190" t="str">
        <f>IF(ISNUMBER(deployment_raw[[#This Row],[Column12]]), (deployment_raw[[#This Row],[Column12]] * deployment_raw[[#This Row],[Column5]]),"")</f>
        <v/>
      </c>
      <c r="Q149" s="189" t="str">
        <f>IF(ISNUMBER(deployment_raw[[#This Row],[Column13]]), (deployment_raw[[#This Row],[Column13]] * deployment_raw[[#This Row],[Column5]])/1048576,"")</f>
        <v/>
      </c>
    </row>
    <row r="150" spans="1:17" ht="15.75" customHeight="1" x14ac:dyDescent="0.25">
      <c r="A150" s="37" t="str">
        <f>IF(ISNONTEXT(deployment_raw[[#This Row],[Column1]]), "", deployment_raw[[#This Row],[Column1]])</f>
        <v/>
      </c>
      <c r="B150" s="38" t="str">
        <f>IF(ISNONTEXT(deployment_raw[[#This Row],[Column2]]), "", deployment_raw[[#This Row],[Column2]])</f>
        <v/>
      </c>
      <c r="C150" s="38" t="str">
        <f>IF(ISNONTEXT(deployment_raw[[#This Row],[Column3]]), "", deployment_raw[[#This Row],[Column3]])</f>
        <v/>
      </c>
      <c r="D150" s="38" t="str">
        <f>IF(ISNONTEXT(deployment_raw[[#This Row],[Column4]]), "", deployment_raw[[#This Row],[Column4]])</f>
        <v/>
      </c>
      <c r="E150" s="39" t="str">
        <f>IF(ISNUMBER(deployment_raw[[#This Row],[Column5]]), deployment_raw[[#This Row],[Column5]],"")</f>
        <v/>
      </c>
      <c r="F150" s="174" t="str">
        <f>IF(ISNUMBER(deployment_raw[[#This Row],[Column6]]), (deployment_raw[[#This Row],[Column6]] * deployment_raw[[#This Row],[Column5]]),"")</f>
        <v/>
      </c>
      <c r="G150" s="175" t="str">
        <f>IF(ISNUMBER(deployment_raw[[#This Row],[Column7]]), (deployment_raw[[#This Row],[Column7]] * deployment_raw[[#This Row],[Column5]])/1048576,"")</f>
        <v/>
      </c>
      <c r="H150" s="175" t="str">
        <f>IF(ISNUMBER(deployment_raw[[#This Row],[Column8]]), (deployment_raw[[#This Row],[Column8]]  * deployment_raw[[#This Row],[Column5]]),"")</f>
        <v/>
      </c>
      <c r="I150" s="176" t="str">
        <f>IF(ISNUMBER(deployment_raw[[#This Row],[Column9]]), (deployment_raw[[#This Row],[Column9]] * deployment_raw[[#This Row],[Column5]])/1048576,"")</f>
        <v/>
      </c>
      <c r="J150" s="57" t="str">
        <f>IF(ISNUMBER(deployment_raw[[#This Row],[Column10]]), (deployment_raw[[#This Row],[Column10]] * deployment_raw[[#This Row],[Column5]]),"")</f>
        <v/>
      </c>
      <c r="K150" s="58" t="str">
        <f>IF(ISNUMBER(deployment_raw[[#This Row],[Column11]]), (deployment_raw[[#This Row],[Column11]] * deployment_raw[[#This Row],[Column5]])/1048576,"")</f>
        <v/>
      </c>
      <c r="L150" s="180" t="str">
        <f>IF(ISNUMBER(deployment_raw[[#This Row],[Column8]]),IF(deployment_raw[[#This Row],[Column5]] &lt;&gt; 0, MAX((deployment_raw[[#This Row],[Column12]] * deployment_raw[[#This Row],[Column5]]), ((deployment_raw[[#This Row],[Column8]] * deployment_raw[[#This Row],[Column5]]) * $L$2), ($H$2 * deployment_raw[[#This Row],[Column5]])), 0),"")</f>
        <v/>
      </c>
      <c r="M15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50" s="188" t="str">
        <f>IF(ISNUMBER(deployment_raw[[#This Row],[Column14]]), deployment_raw[[#This Row],[Column14]],"")</f>
        <v/>
      </c>
      <c r="O150" s="189" t="str">
        <f>IF(ISNUMBER(deployment_raw[[#This Row],[Column15]]), deployment_raw[[#This Row],[Column15]]/1048576,"")</f>
        <v/>
      </c>
      <c r="P150" s="190" t="str">
        <f>IF(ISNUMBER(deployment_raw[[#This Row],[Column12]]), (deployment_raw[[#This Row],[Column12]] * deployment_raw[[#This Row],[Column5]]),"")</f>
        <v/>
      </c>
      <c r="Q150" s="189" t="str">
        <f>IF(ISNUMBER(deployment_raw[[#This Row],[Column13]]), (deployment_raw[[#This Row],[Column13]] * deployment_raw[[#This Row],[Column5]])/1048576,"")</f>
        <v/>
      </c>
    </row>
    <row r="151" spans="1:17" ht="15.75" customHeight="1" x14ac:dyDescent="0.25">
      <c r="A151" s="37" t="str">
        <f>IF(ISNONTEXT(deployment_raw[[#This Row],[Column1]]), "", deployment_raw[[#This Row],[Column1]])</f>
        <v/>
      </c>
      <c r="B151" s="38" t="str">
        <f>IF(ISNONTEXT(deployment_raw[[#This Row],[Column2]]), "", deployment_raw[[#This Row],[Column2]])</f>
        <v/>
      </c>
      <c r="C151" s="38" t="str">
        <f>IF(ISNONTEXT(deployment_raw[[#This Row],[Column3]]), "", deployment_raw[[#This Row],[Column3]])</f>
        <v/>
      </c>
      <c r="D151" s="38" t="str">
        <f>IF(ISNONTEXT(deployment_raw[[#This Row],[Column4]]), "", deployment_raw[[#This Row],[Column4]])</f>
        <v/>
      </c>
      <c r="E151" s="39" t="str">
        <f>IF(ISNUMBER(deployment_raw[[#This Row],[Column5]]), deployment_raw[[#This Row],[Column5]],"")</f>
        <v/>
      </c>
      <c r="F151" s="174" t="str">
        <f>IF(ISNUMBER(deployment_raw[[#This Row],[Column6]]), (deployment_raw[[#This Row],[Column6]] * deployment_raw[[#This Row],[Column5]]),"")</f>
        <v/>
      </c>
      <c r="G151" s="175" t="str">
        <f>IF(ISNUMBER(deployment_raw[[#This Row],[Column7]]), (deployment_raw[[#This Row],[Column7]] * deployment_raw[[#This Row],[Column5]])/1048576,"")</f>
        <v/>
      </c>
      <c r="H151" s="175" t="str">
        <f>IF(ISNUMBER(deployment_raw[[#This Row],[Column8]]), (deployment_raw[[#This Row],[Column8]]  * deployment_raw[[#This Row],[Column5]]),"")</f>
        <v/>
      </c>
      <c r="I151" s="176" t="str">
        <f>IF(ISNUMBER(deployment_raw[[#This Row],[Column9]]), (deployment_raw[[#This Row],[Column9]] * deployment_raw[[#This Row],[Column5]])/1048576,"")</f>
        <v/>
      </c>
      <c r="J151" s="57" t="str">
        <f>IF(ISNUMBER(deployment_raw[[#This Row],[Column10]]), (deployment_raw[[#This Row],[Column10]] * deployment_raw[[#This Row],[Column5]]),"")</f>
        <v/>
      </c>
      <c r="K151" s="58" t="str">
        <f>IF(ISNUMBER(deployment_raw[[#This Row],[Column11]]), (deployment_raw[[#This Row],[Column11]] * deployment_raw[[#This Row],[Column5]])/1048576,"")</f>
        <v/>
      </c>
      <c r="L151" s="180" t="str">
        <f>IF(ISNUMBER(deployment_raw[[#This Row],[Column8]]),IF(deployment_raw[[#This Row],[Column5]] &lt;&gt; 0, MAX((deployment_raw[[#This Row],[Column12]] * deployment_raw[[#This Row],[Column5]]), ((deployment_raw[[#This Row],[Column8]] * deployment_raw[[#This Row],[Column5]]) * $L$2), ($H$2 * deployment_raw[[#This Row],[Column5]])), 0),"")</f>
        <v/>
      </c>
      <c r="M15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51" s="188" t="str">
        <f>IF(ISNUMBER(deployment_raw[[#This Row],[Column14]]), deployment_raw[[#This Row],[Column14]],"")</f>
        <v/>
      </c>
      <c r="O151" s="189" t="str">
        <f>IF(ISNUMBER(deployment_raw[[#This Row],[Column15]]), deployment_raw[[#This Row],[Column15]]/1048576,"")</f>
        <v/>
      </c>
      <c r="P151" s="190" t="str">
        <f>IF(ISNUMBER(deployment_raw[[#This Row],[Column12]]), (deployment_raw[[#This Row],[Column12]] * deployment_raw[[#This Row],[Column5]]),"")</f>
        <v/>
      </c>
      <c r="Q151" s="189" t="str">
        <f>IF(ISNUMBER(deployment_raw[[#This Row],[Column13]]), (deployment_raw[[#This Row],[Column13]] * deployment_raw[[#This Row],[Column5]])/1048576,"")</f>
        <v/>
      </c>
    </row>
    <row r="152" spans="1:17" ht="15.75" customHeight="1" x14ac:dyDescent="0.25">
      <c r="A152" s="37" t="str">
        <f>IF(ISNONTEXT(deployment_raw[[#This Row],[Column1]]), "", deployment_raw[[#This Row],[Column1]])</f>
        <v/>
      </c>
      <c r="B152" s="38" t="str">
        <f>IF(ISNONTEXT(deployment_raw[[#This Row],[Column2]]), "", deployment_raw[[#This Row],[Column2]])</f>
        <v/>
      </c>
      <c r="C152" s="38" t="str">
        <f>IF(ISNONTEXT(deployment_raw[[#This Row],[Column3]]), "", deployment_raw[[#This Row],[Column3]])</f>
        <v/>
      </c>
      <c r="D152" s="38" t="str">
        <f>IF(ISNONTEXT(deployment_raw[[#This Row],[Column4]]), "", deployment_raw[[#This Row],[Column4]])</f>
        <v/>
      </c>
      <c r="E152" s="39" t="str">
        <f>IF(ISNUMBER(deployment_raw[[#This Row],[Column5]]), deployment_raw[[#This Row],[Column5]],"")</f>
        <v/>
      </c>
      <c r="F152" s="174" t="str">
        <f>IF(ISNUMBER(deployment_raw[[#This Row],[Column6]]), (deployment_raw[[#This Row],[Column6]] * deployment_raw[[#This Row],[Column5]]),"")</f>
        <v/>
      </c>
      <c r="G152" s="175" t="str">
        <f>IF(ISNUMBER(deployment_raw[[#This Row],[Column7]]), (deployment_raw[[#This Row],[Column7]] * deployment_raw[[#This Row],[Column5]])/1048576,"")</f>
        <v/>
      </c>
      <c r="H152" s="175" t="str">
        <f>IF(ISNUMBER(deployment_raw[[#This Row],[Column8]]), (deployment_raw[[#This Row],[Column8]]  * deployment_raw[[#This Row],[Column5]]),"")</f>
        <v/>
      </c>
      <c r="I152" s="176" t="str">
        <f>IF(ISNUMBER(deployment_raw[[#This Row],[Column9]]), (deployment_raw[[#This Row],[Column9]] * deployment_raw[[#This Row],[Column5]])/1048576,"")</f>
        <v/>
      </c>
      <c r="J152" s="57" t="str">
        <f>IF(ISNUMBER(deployment_raw[[#This Row],[Column10]]), (deployment_raw[[#This Row],[Column10]] * deployment_raw[[#This Row],[Column5]]),"")</f>
        <v/>
      </c>
      <c r="K152" s="58" t="str">
        <f>IF(ISNUMBER(deployment_raw[[#This Row],[Column11]]), (deployment_raw[[#This Row],[Column11]] * deployment_raw[[#This Row],[Column5]])/1048576,"")</f>
        <v/>
      </c>
      <c r="L152" s="180" t="str">
        <f>IF(ISNUMBER(deployment_raw[[#This Row],[Column8]]),IF(deployment_raw[[#This Row],[Column5]] &lt;&gt; 0, MAX((deployment_raw[[#This Row],[Column12]] * deployment_raw[[#This Row],[Column5]]), ((deployment_raw[[#This Row],[Column8]] * deployment_raw[[#This Row],[Column5]]) * $L$2), ($H$2 * deployment_raw[[#This Row],[Column5]])), 0),"")</f>
        <v/>
      </c>
      <c r="M15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52" s="188" t="str">
        <f>IF(ISNUMBER(deployment_raw[[#This Row],[Column14]]), deployment_raw[[#This Row],[Column14]],"")</f>
        <v/>
      </c>
      <c r="O152" s="189" t="str">
        <f>IF(ISNUMBER(deployment_raw[[#This Row],[Column15]]), deployment_raw[[#This Row],[Column15]]/1048576,"")</f>
        <v/>
      </c>
      <c r="P152" s="190" t="str">
        <f>IF(ISNUMBER(deployment_raw[[#This Row],[Column12]]), (deployment_raw[[#This Row],[Column12]] * deployment_raw[[#This Row],[Column5]]),"")</f>
        <v/>
      </c>
      <c r="Q152" s="189" t="str">
        <f>IF(ISNUMBER(deployment_raw[[#This Row],[Column13]]), (deployment_raw[[#This Row],[Column13]] * deployment_raw[[#This Row],[Column5]])/1048576,"")</f>
        <v/>
      </c>
    </row>
    <row r="153" spans="1:17" ht="15.75" customHeight="1" x14ac:dyDescent="0.25">
      <c r="A153" s="37" t="str">
        <f>IF(ISNONTEXT(deployment_raw[[#This Row],[Column1]]), "", deployment_raw[[#This Row],[Column1]])</f>
        <v/>
      </c>
      <c r="B153" s="38" t="str">
        <f>IF(ISNONTEXT(deployment_raw[[#This Row],[Column2]]), "", deployment_raw[[#This Row],[Column2]])</f>
        <v/>
      </c>
      <c r="C153" s="38" t="str">
        <f>IF(ISNONTEXT(deployment_raw[[#This Row],[Column3]]), "", deployment_raw[[#This Row],[Column3]])</f>
        <v/>
      </c>
      <c r="D153" s="38" t="str">
        <f>IF(ISNONTEXT(deployment_raw[[#This Row],[Column4]]), "", deployment_raw[[#This Row],[Column4]])</f>
        <v/>
      </c>
      <c r="E153" s="39" t="str">
        <f>IF(ISNUMBER(deployment_raw[[#This Row],[Column5]]), deployment_raw[[#This Row],[Column5]],"")</f>
        <v/>
      </c>
      <c r="F153" s="174" t="str">
        <f>IF(ISNUMBER(deployment_raw[[#This Row],[Column6]]), (deployment_raw[[#This Row],[Column6]] * deployment_raw[[#This Row],[Column5]]),"")</f>
        <v/>
      </c>
      <c r="G153" s="175" t="str">
        <f>IF(ISNUMBER(deployment_raw[[#This Row],[Column7]]), (deployment_raw[[#This Row],[Column7]] * deployment_raw[[#This Row],[Column5]])/1048576,"")</f>
        <v/>
      </c>
      <c r="H153" s="175" t="str">
        <f>IF(ISNUMBER(deployment_raw[[#This Row],[Column8]]), (deployment_raw[[#This Row],[Column8]]  * deployment_raw[[#This Row],[Column5]]),"")</f>
        <v/>
      </c>
      <c r="I153" s="176" t="str">
        <f>IF(ISNUMBER(deployment_raw[[#This Row],[Column9]]), (deployment_raw[[#This Row],[Column9]] * deployment_raw[[#This Row],[Column5]])/1048576,"")</f>
        <v/>
      </c>
      <c r="J153" s="57" t="str">
        <f>IF(ISNUMBER(deployment_raw[[#This Row],[Column10]]), (deployment_raw[[#This Row],[Column10]] * deployment_raw[[#This Row],[Column5]]),"")</f>
        <v/>
      </c>
      <c r="K153" s="58" t="str">
        <f>IF(ISNUMBER(deployment_raw[[#This Row],[Column11]]), (deployment_raw[[#This Row],[Column11]] * deployment_raw[[#This Row],[Column5]])/1048576,"")</f>
        <v/>
      </c>
      <c r="L153" s="180" t="str">
        <f>IF(ISNUMBER(deployment_raw[[#This Row],[Column8]]),IF(deployment_raw[[#This Row],[Column5]] &lt;&gt; 0, MAX((deployment_raw[[#This Row],[Column12]] * deployment_raw[[#This Row],[Column5]]), ((deployment_raw[[#This Row],[Column8]] * deployment_raw[[#This Row],[Column5]]) * $L$2), ($H$2 * deployment_raw[[#This Row],[Column5]])), 0),"")</f>
        <v/>
      </c>
      <c r="M15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53" s="188" t="str">
        <f>IF(ISNUMBER(deployment_raw[[#This Row],[Column14]]), deployment_raw[[#This Row],[Column14]],"")</f>
        <v/>
      </c>
      <c r="O153" s="189" t="str">
        <f>IF(ISNUMBER(deployment_raw[[#This Row],[Column15]]), deployment_raw[[#This Row],[Column15]]/1048576,"")</f>
        <v/>
      </c>
      <c r="P153" s="190" t="str">
        <f>IF(ISNUMBER(deployment_raw[[#This Row],[Column12]]), (deployment_raw[[#This Row],[Column12]] * deployment_raw[[#This Row],[Column5]]),"")</f>
        <v/>
      </c>
      <c r="Q153" s="189" t="str">
        <f>IF(ISNUMBER(deployment_raw[[#This Row],[Column13]]), (deployment_raw[[#This Row],[Column13]] * deployment_raw[[#This Row],[Column5]])/1048576,"")</f>
        <v/>
      </c>
    </row>
    <row r="154" spans="1:17" ht="15.75" customHeight="1" x14ac:dyDescent="0.25">
      <c r="A154" s="37" t="str">
        <f>IF(ISNONTEXT(deployment_raw[[#This Row],[Column1]]), "", deployment_raw[[#This Row],[Column1]])</f>
        <v/>
      </c>
      <c r="B154" s="38" t="str">
        <f>IF(ISNONTEXT(deployment_raw[[#This Row],[Column2]]), "", deployment_raw[[#This Row],[Column2]])</f>
        <v/>
      </c>
      <c r="C154" s="38" t="str">
        <f>IF(ISNONTEXT(deployment_raw[[#This Row],[Column3]]), "", deployment_raw[[#This Row],[Column3]])</f>
        <v/>
      </c>
      <c r="D154" s="38" t="str">
        <f>IF(ISNONTEXT(deployment_raw[[#This Row],[Column4]]), "", deployment_raw[[#This Row],[Column4]])</f>
        <v/>
      </c>
      <c r="E154" s="39" t="str">
        <f>IF(ISNUMBER(deployment_raw[[#This Row],[Column5]]), deployment_raw[[#This Row],[Column5]],"")</f>
        <v/>
      </c>
      <c r="F154" s="174" t="str">
        <f>IF(ISNUMBER(deployment_raw[[#This Row],[Column6]]), (deployment_raw[[#This Row],[Column6]] * deployment_raw[[#This Row],[Column5]]),"")</f>
        <v/>
      </c>
      <c r="G154" s="175" t="str">
        <f>IF(ISNUMBER(deployment_raw[[#This Row],[Column7]]), (deployment_raw[[#This Row],[Column7]] * deployment_raw[[#This Row],[Column5]])/1048576,"")</f>
        <v/>
      </c>
      <c r="H154" s="175" t="str">
        <f>IF(ISNUMBER(deployment_raw[[#This Row],[Column8]]), (deployment_raw[[#This Row],[Column8]]  * deployment_raw[[#This Row],[Column5]]),"")</f>
        <v/>
      </c>
      <c r="I154" s="176" t="str">
        <f>IF(ISNUMBER(deployment_raw[[#This Row],[Column9]]), (deployment_raw[[#This Row],[Column9]] * deployment_raw[[#This Row],[Column5]])/1048576,"")</f>
        <v/>
      </c>
      <c r="J154" s="57" t="str">
        <f>IF(ISNUMBER(deployment_raw[[#This Row],[Column10]]), (deployment_raw[[#This Row],[Column10]] * deployment_raw[[#This Row],[Column5]]),"")</f>
        <v/>
      </c>
      <c r="K154" s="58" t="str">
        <f>IF(ISNUMBER(deployment_raw[[#This Row],[Column11]]), (deployment_raw[[#This Row],[Column11]] * deployment_raw[[#This Row],[Column5]])/1048576,"")</f>
        <v/>
      </c>
      <c r="L154" s="180" t="str">
        <f>IF(ISNUMBER(deployment_raw[[#This Row],[Column8]]),IF(deployment_raw[[#This Row],[Column5]] &lt;&gt; 0, MAX((deployment_raw[[#This Row],[Column12]] * deployment_raw[[#This Row],[Column5]]), ((deployment_raw[[#This Row],[Column8]] * deployment_raw[[#This Row],[Column5]]) * $L$2), ($H$2 * deployment_raw[[#This Row],[Column5]])), 0),"")</f>
        <v/>
      </c>
      <c r="M15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54" s="188" t="str">
        <f>IF(ISNUMBER(deployment_raw[[#This Row],[Column14]]), deployment_raw[[#This Row],[Column14]],"")</f>
        <v/>
      </c>
      <c r="O154" s="189" t="str">
        <f>IF(ISNUMBER(deployment_raw[[#This Row],[Column15]]), deployment_raw[[#This Row],[Column15]]/1048576,"")</f>
        <v/>
      </c>
      <c r="P154" s="190" t="str">
        <f>IF(ISNUMBER(deployment_raw[[#This Row],[Column12]]), (deployment_raw[[#This Row],[Column12]] * deployment_raw[[#This Row],[Column5]]),"")</f>
        <v/>
      </c>
      <c r="Q154" s="189" t="str">
        <f>IF(ISNUMBER(deployment_raw[[#This Row],[Column13]]), (deployment_raw[[#This Row],[Column13]] * deployment_raw[[#This Row],[Column5]])/1048576,"")</f>
        <v/>
      </c>
    </row>
    <row r="155" spans="1:17" ht="15.75" customHeight="1" x14ac:dyDescent="0.25">
      <c r="A155" s="37" t="str">
        <f>IF(ISNONTEXT(deployment_raw[[#This Row],[Column1]]), "", deployment_raw[[#This Row],[Column1]])</f>
        <v/>
      </c>
      <c r="B155" s="38" t="str">
        <f>IF(ISNONTEXT(deployment_raw[[#This Row],[Column2]]), "", deployment_raw[[#This Row],[Column2]])</f>
        <v/>
      </c>
      <c r="C155" s="38" t="str">
        <f>IF(ISNONTEXT(deployment_raw[[#This Row],[Column3]]), "", deployment_raw[[#This Row],[Column3]])</f>
        <v/>
      </c>
      <c r="D155" s="38" t="str">
        <f>IF(ISNONTEXT(deployment_raw[[#This Row],[Column4]]), "", deployment_raw[[#This Row],[Column4]])</f>
        <v/>
      </c>
      <c r="E155" s="39" t="str">
        <f>IF(ISNUMBER(deployment_raw[[#This Row],[Column5]]), deployment_raw[[#This Row],[Column5]],"")</f>
        <v/>
      </c>
      <c r="F155" s="174" t="str">
        <f>IF(ISNUMBER(deployment_raw[[#This Row],[Column6]]), (deployment_raw[[#This Row],[Column6]] * deployment_raw[[#This Row],[Column5]]),"")</f>
        <v/>
      </c>
      <c r="G155" s="175" t="str">
        <f>IF(ISNUMBER(deployment_raw[[#This Row],[Column7]]), (deployment_raw[[#This Row],[Column7]] * deployment_raw[[#This Row],[Column5]])/1048576,"")</f>
        <v/>
      </c>
      <c r="H155" s="175" t="str">
        <f>IF(ISNUMBER(deployment_raw[[#This Row],[Column8]]), (deployment_raw[[#This Row],[Column8]]  * deployment_raw[[#This Row],[Column5]]),"")</f>
        <v/>
      </c>
      <c r="I155" s="176" t="str">
        <f>IF(ISNUMBER(deployment_raw[[#This Row],[Column9]]), (deployment_raw[[#This Row],[Column9]] * deployment_raw[[#This Row],[Column5]])/1048576,"")</f>
        <v/>
      </c>
      <c r="J155" s="57" t="str">
        <f>IF(ISNUMBER(deployment_raw[[#This Row],[Column10]]), (deployment_raw[[#This Row],[Column10]] * deployment_raw[[#This Row],[Column5]]),"")</f>
        <v/>
      </c>
      <c r="K155" s="58" t="str">
        <f>IF(ISNUMBER(deployment_raw[[#This Row],[Column11]]), (deployment_raw[[#This Row],[Column11]] * deployment_raw[[#This Row],[Column5]])/1048576,"")</f>
        <v/>
      </c>
      <c r="L155" s="180" t="str">
        <f>IF(ISNUMBER(deployment_raw[[#This Row],[Column8]]),IF(deployment_raw[[#This Row],[Column5]] &lt;&gt; 0, MAX((deployment_raw[[#This Row],[Column12]] * deployment_raw[[#This Row],[Column5]]), ((deployment_raw[[#This Row],[Column8]] * deployment_raw[[#This Row],[Column5]]) * $L$2), ($H$2 * deployment_raw[[#This Row],[Column5]])), 0),"")</f>
        <v/>
      </c>
      <c r="M15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55" s="188" t="str">
        <f>IF(ISNUMBER(deployment_raw[[#This Row],[Column14]]), deployment_raw[[#This Row],[Column14]],"")</f>
        <v/>
      </c>
      <c r="O155" s="189" t="str">
        <f>IF(ISNUMBER(deployment_raw[[#This Row],[Column15]]), deployment_raw[[#This Row],[Column15]]/1048576,"")</f>
        <v/>
      </c>
      <c r="P155" s="190" t="str">
        <f>IF(ISNUMBER(deployment_raw[[#This Row],[Column12]]), (deployment_raw[[#This Row],[Column12]] * deployment_raw[[#This Row],[Column5]]),"")</f>
        <v/>
      </c>
      <c r="Q155" s="189" t="str">
        <f>IF(ISNUMBER(deployment_raw[[#This Row],[Column13]]), (deployment_raw[[#This Row],[Column13]] * deployment_raw[[#This Row],[Column5]])/1048576,"")</f>
        <v/>
      </c>
    </row>
    <row r="156" spans="1:17" ht="15.75" customHeight="1" x14ac:dyDescent="0.25">
      <c r="A156" s="37" t="str">
        <f>IF(ISNONTEXT(deployment_raw[[#This Row],[Column1]]), "", deployment_raw[[#This Row],[Column1]])</f>
        <v/>
      </c>
      <c r="B156" s="38" t="str">
        <f>IF(ISNONTEXT(deployment_raw[[#This Row],[Column2]]), "", deployment_raw[[#This Row],[Column2]])</f>
        <v/>
      </c>
      <c r="C156" s="38" t="str">
        <f>IF(ISNONTEXT(deployment_raw[[#This Row],[Column3]]), "", deployment_raw[[#This Row],[Column3]])</f>
        <v/>
      </c>
      <c r="D156" s="38" t="str">
        <f>IF(ISNONTEXT(deployment_raw[[#This Row],[Column4]]), "", deployment_raw[[#This Row],[Column4]])</f>
        <v/>
      </c>
      <c r="E156" s="39" t="str">
        <f>IF(ISNUMBER(deployment_raw[[#This Row],[Column5]]), deployment_raw[[#This Row],[Column5]],"")</f>
        <v/>
      </c>
      <c r="F156" s="174" t="str">
        <f>IF(ISNUMBER(deployment_raw[[#This Row],[Column6]]), (deployment_raw[[#This Row],[Column6]] * deployment_raw[[#This Row],[Column5]]),"")</f>
        <v/>
      </c>
      <c r="G156" s="175" t="str">
        <f>IF(ISNUMBER(deployment_raw[[#This Row],[Column7]]), (deployment_raw[[#This Row],[Column7]] * deployment_raw[[#This Row],[Column5]])/1048576,"")</f>
        <v/>
      </c>
      <c r="H156" s="175" t="str">
        <f>IF(ISNUMBER(deployment_raw[[#This Row],[Column8]]), (deployment_raw[[#This Row],[Column8]]  * deployment_raw[[#This Row],[Column5]]),"")</f>
        <v/>
      </c>
      <c r="I156" s="176" t="str">
        <f>IF(ISNUMBER(deployment_raw[[#This Row],[Column9]]), (deployment_raw[[#This Row],[Column9]] * deployment_raw[[#This Row],[Column5]])/1048576,"")</f>
        <v/>
      </c>
      <c r="J156" s="57" t="str">
        <f>IF(ISNUMBER(deployment_raw[[#This Row],[Column10]]), (deployment_raw[[#This Row],[Column10]] * deployment_raw[[#This Row],[Column5]]),"")</f>
        <v/>
      </c>
      <c r="K156" s="58" t="str">
        <f>IF(ISNUMBER(deployment_raw[[#This Row],[Column11]]), (deployment_raw[[#This Row],[Column11]] * deployment_raw[[#This Row],[Column5]])/1048576,"")</f>
        <v/>
      </c>
      <c r="L156" s="180" t="str">
        <f>IF(ISNUMBER(deployment_raw[[#This Row],[Column8]]),IF(deployment_raw[[#This Row],[Column5]] &lt;&gt; 0, MAX((deployment_raw[[#This Row],[Column12]] * deployment_raw[[#This Row],[Column5]]), ((deployment_raw[[#This Row],[Column8]] * deployment_raw[[#This Row],[Column5]]) * $L$2), ($H$2 * deployment_raw[[#This Row],[Column5]])), 0),"")</f>
        <v/>
      </c>
      <c r="M15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56" s="188" t="str">
        <f>IF(ISNUMBER(deployment_raw[[#This Row],[Column14]]), deployment_raw[[#This Row],[Column14]],"")</f>
        <v/>
      </c>
      <c r="O156" s="189" t="str">
        <f>IF(ISNUMBER(deployment_raw[[#This Row],[Column15]]), deployment_raw[[#This Row],[Column15]]/1048576,"")</f>
        <v/>
      </c>
      <c r="P156" s="190" t="str">
        <f>IF(ISNUMBER(deployment_raw[[#This Row],[Column12]]), (deployment_raw[[#This Row],[Column12]] * deployment_raw[[#This Row],[Column5]]),"")</f>
        <v/>
      </c>
      <c r="Q156" s="189" t="str">
        <f>IF(ISNUMBER(deployment_raw[[#This Row],[Column13]]), (deployment_raw[[#This Row],[Column13]] * deployment_raw[[#This Row],[Column5]])/1048576,"")</f>
        <v/>
      </c>
    </row>
    <row r="157" spans="1:17" ht="15.75" customHeight="1" x14ac:dyDescent="0.25">
      <c r="A157" s="37" t="str">
        <f>IF(ISNONTEXT(deployment_raw[[#This Row],[Column1]]), "", deployment_raw[[#This Row],[Column1]])</f>
        <v/>
      </c>
      <c r="B157" s="38" t="str">
        <f>IF(ISNONTEXT(deployment_raw[[#This Row],[Column2]]), "", deployment_raw[[#This Row],[Column2]])</f>
        <v/>
      </c>
      <c r="C157" s="38" t="str">
        <f>IF(ISNONTEXT(deployment_raw[[#This Row],[Column3]]), "", deployment_raw[[#This Row],[Column3]])</f>
        <v/>
      </c>
      <c r="D157" s="38" t="str">
        <f>IF(ISNONTEXT(deployment_raw[[#This Row],[Column4]]), "", deployment_raw[[#This Row],[Column4]])</f>
        <v/>
      </c>
      <c r="E157" s="39" t="str">
        <f>IF(ISNUMBER(deployment_raw[[#This Row],[Column5]]), deployment_raw[[#This Row],[Column5]],"")</f>
        <v/>
      </c>
      <c r="F157" s="174" t="str">
        <f>IF(ISNUMBER(deployment_raw[[#This Row],[Column6]]), (deployment_raw[[#This Row],[Column6]] * deployment_raw[[#This Row],[Column5]]),"")</f>
        <v/>
      </c>
      <c r="G157" s="175" t="str">
        <f>IF(ISNUMBER(deployment_raw[[#This Row],[Column7]]), (deployment_raw[[#This Row],[Column7]] * deployment_raw[[#This Row],[Column5]])/1048576,"")</f>
        <v/>
      </c>
      <c r="H157" s="175" t="str">
        <f>IF(ISNUMBER(deployment_raw[[#This Row],[Column8]]), (deployment_raw[[#This Row],[Column8]]  * deployment_raw[[#This Row],[Column5]]),"")</f>
        <v/>
      </c>
      <c r="I157" s="176" t="str">
        <f>IF(ISNUMBER(deployment_raw[[#This Row],[Column9]]), (deployment_raw[[#This Row],[Column9]] * deployment_raw[[#This Row],[Column5]])/1048576,"")</f>
        <v/>
      </c>
      <c r="J157" s="57" t="str">
        <f>IF(ISNUMBER(deployment_raw[[#This Row],[Column10]]), (deployment_raw[[#This Row],[Column10]] * deployment_raw[[#This Row],[Column5]]),"")</f>
        <v/>
      </c>
      <c r="K157" s="58" t="str">
        <f>IF(ISNUMBER(deployment_raw[[#This Row],[Column11]]), (deployment_raw[[#This Row],[Column11]] * deployment_raw[[#This Row],[Column5]])/1048576,"")</f>
        <v/>
      </c>
      <c r="L157" s="180" t="str">
        <f>IF(ISNUMBER(deployment_raw[[#This Row],[Column8]]),IF(deployment_raw[[#This Row],[Column5]] &lt;&gt; 0, MAX((deployment_raw[[#This Row],[Column12]] * deployment_raw[[#This Row],[Column5]]), ((deployment_raw[[#This Row],[Column8]] * deployment_raw[[#This Row],[Column5]]) * $L$2), ($H$2 * deployment_raw[[#This Row],[Column5]])), 0),"")</f>
        <v/>
      </c>
      <c r="M15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57" s="188" t="str">
        <f>IF(ISNUMBER(deployment_raw[[#This Row],[Column14]]), deployment_raw[[#This Row],[Column14]],"")</f>
        <v/>
      </c>
      <c r="O157" s="189" t="str">
        <f>IF(ISNUMBER(deployment_raw[[#This Row],[Column15]]), deployment_raw[[#This Row],[Column15]]/1048576,"")</f>
        <v/>
      </c>
      <c r="P157" s="190" t="str">
        <f>IF(ISNUMBER(deployment_raw[[#This Row],[Column12]]), (deployment_raw[[#This Row],[Column12]] * deployment_raw[[#This Row],[Column5]]),"")</f>
        <v/>
      </c>
      <c r="Q157" s="189" t="str">
        <f>IF(ISNUMBER(deployment_raw[[#This Row],[Column13]]), (deployment_raw[[#This Row],[Column13]] * deployment_raw[[#This Row],[Column5]])/1048576,"")</f>
        <v/>
      </c>
    </row>
    <row r="158" spans="1:17" ht="15.75" customHeight="1" x14ac:dyDescent="0.25">
      <c r="A158" s="37" t="str">
        <f>IF(ISNONTEXT(deployment_raw[[#This Row],[Column1]]), "", deployment_raw[[#This Row],[Column1]])</f>
        <v/>
      </c>
      <c r="B158" s="38" t="str">
        <f>IF(ISNONTEXT(deployment_raw[[#This Row],[Column2]]), "", deployment_raw[[#This Row],[Column2]])</f>
        <v/>
      </c>
      <c r="C158" s="38" t="str">
        <f>IF(ISNONTEXT(deployment_raw[[#This Row],[Column3]]), "", deployment_raw[[#This Row],[Column3]])</f>
        <v/>
      </c>
      <c r="D158" s="38" t="str">
        <f>IF(ISNONTEXT(deployment_raw[[#This Row],[Column4]]), "", deployment_raw[[#This Row],[Column4]])</f>
        <v/>
      </c>
      <c r="E158" s="39" t="str">
        <f>IF(ISNUMBER(deployment_raw[[#This Row],[Column5]]), deployment_raw[[#This Row],[Column5]],"")</f>
        <v/>
      </c>
      <c r="F158" s="174" t="str">
        <f>IF(ISNUMBER(deployment_raw[[#This Row],[Column6]]), (deployment_raw[[#This Row],[Column6]] * deployment_raw[[#This Row],[Column5]]),"")</f>
        <v/>
      </c>
      <c r="G158" s="175" t="str">
        <f>IF(ISNUMBER(deployment_raw[[#This Row],[Column7]]), (deployment_raw[[#This Row],[Column7]] * deployment_raw[[#This Row],[Column5]])/1048576,"")</f>
        <v/>
      </c>
      <c r="H158" s="175" t="str">
        <f>IF(ISNUMBER(deployment_raw[[#This Row],[Column8]]), (deployment_raw[[#This Row],[Column8]]  * deployment_raw[[#This Row],[Column5]]),"")</f>
        <v/>
      </c>
      <c r="I158" s="176" t="str">
        <f>IF(ISNUMBER(deployment_raw[[#This Row],[Column9]]), (deployment_raw[[#This Row],[Column9]] * deployment_raw[[#This Row],[Column5]])/1048576,"")</f>
        <v/>
      </c>
      <c r="J158" s="57" t="str">
        <f>IF(ISNUMBER(deployment_raw[[#This Row],[Column10]]), (deployment_raw[[#This Row],[Column10]] * deployment_raw[[#This Row],[Column5]]),"")</f>
        <v/>
      </c>
      <c r="K158" s="58" t="str">
        <f>IF(ISNUMBER(deployment_raw[[#This Row],[Column11]]), (deployment_raw[[#This Row],[Column11]] * deployment_raw[[#This Row],[Column5]])/1048576,"")</f>
        <v/>
      </c>
      <c r="L158" s="180" t="str">
        <f>IF(ISNUMBER(deployment_raw[[#This Row],[Column8]]),IF(deployment_raw[[#This Row],[Column5]] &lt;&gt; 0, MAX((deployment_raw[[#This Row],[Column12]] * deployment_raw[[#This Row],[Column5]]), ((deployment_raw[[#This Row],[Column8]] * deployment_raw[[#This Row],[Column5]]) * $L$2), ($H$2 * deployment_raw[[#This Row],[Column5]])), 0),"")</f>
        <v/>
      </c>
      <c r="M15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58" s="188" t="str">
        <f>IF(ISNUMBER(deployment_raw[[#This Row],[Column14]]), deployment_raw[[#This Row],[Column14]],"")</f>
        <v/>
      </c>
      <c r="O158" s="189" t="str">
        <f>IF(ISNUMBER(deployment_raw[[#This Row],[Column15]]), deployment_raw[[#This Row],[Column15]]/1048576,"")</f>
        <v/>
      </c>
      <c r="P158" s="190" t="str">
        <f>IF(ISNUMBER(deployment_raw[[#This Row],[Column12]]), (deployment_raw[[#This Row],[Column12]] * deployment_raw[[#This Row],[Column5]]),"")</f>
        <v/>
      </c>
      <c r="Q158" s="189" t="str">
        <f>IF(ISNUMBER(deployment_raw[[#This Row],[Column13]]), (deployment_raw[[#This Row],[Column13]] * deployment_raw[[#This Row],[Column5]])/1048576,"")</f>
        <v/>
      </c>
    </row>
    <row r="159" spans="1:17" ht="15.75" customHeight="1" x14ac:dyDescent="0.25">
      <c r="A159" s="37" t="str">
        <f>IF(ISNONTEXT(deployment_raw[[#This Row],[Column1]]), "", deployment_raw[[#This Row],[Column1]])</f>
        <v/>
      </c>
      <c r="B159" s="38" t="str">
        <f>IF(ISNONTEXT(deployment_raw[[#This Row],[Column2]]), "", deployment_raw[[#This Row],[Column2]])</f>
        <v/>
      </c>
      <c r="C159" s="38" t="str">
        <f>IF(ISNONTEXT(deployment_raw[[#This Row],[Column3]]), "", deployment_raw[[#This Row],[Column3]])</f>
        <v/>
      </c>
      <c r="D159" s="38" t="str">
        <f>IF(ISNONTEXT(deployment_raw[[#This Row],[Column4]]), "", deployment_raw[[#This Row],[Column4]])</f>
        <v/>
      </c>
      <c r="E159" s="39" t="str">
        <f>IF(ISNUMBER(deployment_raw[[#This Row],[Column5]]), deployment_raw[[#This Row],[Column5]],"")</f>
        <v/>
      </c>
      <c r="F159" s="174" t="str">
        <f>IF(ISNUMBER(deployment_raw[[#This Row],[Column6]]), (deployment_raw[[#This Row],[Column6]] * deployment_raw[[#This Row],[Column5]]),"")</f>
        <v/>
      </c>
      <c r="G159" s="175" t="str">
        <f>IF(ISNUMBER(deployment_raw[[#This Row],[Column7]]), (deployment_raw[[#This Row],[Column7]] * deployment_raw[[#This Row],[Column5]])/1048576,"")</f>
        <v/>
      </c>
      <c r="H159" s="175" t="str">
        <f>IF(ISNUMBER(deployment_raw[[#This Row],[Column8]]), (deployment_raw[[#This Row],[Column8]]  * deployment_raw[[#This Row],[Column5]]),"")</f>
        <v/>
      </c>
      <c r="I159" s="176" t="str">
        <f>IF(ISNUMBER(deployment_raw[[#This Row],[Column9]]), (deployment_raw[[#This Row],[Column9]] * deployment_raw[[#This Row],[Column5]])/1048576,"")</f>
        <v/>
      </c>
      <c r="J159" s="57" t="str">
        <f>IF(ISNUMBER(deployment_raw[[#This Row],[Column10]]), (deployment_raw[[#This Row],[Column10]] * deployment_raw[[#This Row],[Column5]]),"")</f>
        <v/>
      </c>
      <c r="K159" s="58" t="str">
        <f>IF(ISNUMBER(deployment_raw[[#This Row],[Column11]]), (deployment_raw[[#This Row],[Column11]] * deployment_raw[[#This Row],[Column5]])/1048576,"")</f>
        <v/>
      </c>
      <c r="L159" s="180" t="str">
        <f>IF(ISNUMBER(deployment_raw[[#This Row],[Column8]]),IF(deployment_raw[[#This Row],[Column5]] &lt;&gt; 0, MAX((deployment_raw[[#This Row],[Column12]] * deployment_raw[[#This Row],[Column5]]), ((deployment_raw[[#This Row],[Column8]] * deployment_raw[[#This Row],[Column5]]) * $L$2), ($H$2 * deployment_raw[[#This Row],[Column5]])), 0),"")</f>
        <v/>
      </c>
      <c r="M15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59" s="188" t="str">
        <f>IF(ISNUMBER(deployment_raw[[#This Row],[Column14]]), deployment_raw[[#This Row],[Column14]],"")</f>
        <v/>
      </c>
      <c r="O159" s="189" t="str">
        <f>IF(ISNUMBER(deployment_raw[[#This Row],[Column15]]), deployment_raw[[#This Row],[Column15]]/1048576,"")</f>
        <v/>
      </c>
      <c r="P159" s="190" t="str">
        <f>IF(ISNUMBER(deployment_raw[[#This Row],[Column12]]), (deployment_raw[[#This Row],[Column12]] * deployment_raw[[#This Row],[Column5]]),"")</f>
        <v/>
      </c>
      <c r="Q159" s="189" t="str">
        <f>IF(ISNUMBER(deployment_raw[[#This Row],[Column13]]), (deployment_raw[[#This Row],[Column13]] * deployment_raw[[#This Row],[Column5]])/1048576,"")</f>
        <v/>
      </c>
    </row>
    <row r="160" spans="1:17" ht="15.75" customHeight="1" x14ac:dyDescent="0.25">
      <c r="A160" s="37" t="str">
        <f>IF(ISNONTEXT(deployment_raw[[#This Row],[Column1]]), "", deployment_raw[[#This Row],[Column1]])</f>
        <v/>
      </c>
      <c r="B160" s="38" t="str">
        <f>IF(ISNONTEXT(deployment_raw[[#This Row],[Column2]]), "", deployment_raw[[#This Row],[Column2]])</f>
        <v/>
      </c>
      <c r="C160" s="38" t="str">
        <f>IF(ISNONTEXT(deployment_raw[[#This Row],[Column3]]), "", deployment_raw[[#This Row],[Column3]])</f>
        <v/>
      </c>
      <c r="D160" s="38" t="str">
        <f>IF(ISNONTEXT(deployment_raw[[#This Row],[Column4]]), "", deployment_raw[[#This Row],[Column4]])</f>
        <v/>
      </c>
      <c r="E160" s="39" t="str">
        <f>IF(ISNUMBER(deployment_raw[[#This Row],[Column5]]), deployment_raw[[#This Row],[Column5]],"")</f>
        <v/>
      </c>
      <c r="F160" s="174" t="str">
        <f>IF(ISNUMBER(deployment_raw[[#This Row],[Column6]]), (deployment_raw[[#This Row],[Column6]] * deployment_raw[[#This Row],[Column5]]),"")</f>
        <v/>
      </c>
      <c r="G160" s="175" t="str">
        <f>IF(ISNUMBER(deployment_raw[[#This Row],[Column7]]), (deployment_raw[[#This Row],[Column7]] * deployment_raw[[#This Row],[Column5]])/1048576,"")</f>
        <v/>
      </c>
      <c r="H160" s="175" t="str">
        <f>IF(ISNUMBER(deployment_raw[[#This Row],[Column8]]), (deployment_raw[[#This Row],[Column8]]  * deployment_raw[[#This Row],[Column5]]),"")</f>
        <v/>
      </c>
      <c r="I160" s="176" t="str">
        <f>IF(ISNUMBER(deployment_raw[[#This Row],[Column9]]), (deployment_raw[[#This Row],[Column9]] * deployment_raw[[#This Row],[Column5]])/1048576,"")</f>
        <v/>
      </c>
      <c r="J160" s="57" t="str">
        <f>IF(ISNUMBER(deployment_raw[[#This Row],[Column10]]), (deployment_raw[[#This Row],[Column10]] * deployment_raw[[#This Row],[Column5]]),"")</f>
        <v/>
      </c>
      <c r="K160" s="58" t="str">
        <f>IF(ISNUMBER(deployment_raw[[#This Row],[Column11]]), (deployment_raw[[#This Row],[Column11]] * deployment_raw[[#This Row],[Column5]])/1048576,"")</f>
        <v/>
      </c>
      <c r="L160" s="180" t="str">
        <f>IF(ISNUMBER(deployment_raw[[#This Row],[Column8]]),IF(deployment_raw[[#This Row],[Column5]] &lt;&gt; 0, MAX((deployment_raw[[#This Row],[Column12]] * deployment_raw[[#This Row],[Column5]]), ((deployment_raw[[#This Row],[Column8]] * deployment_raw[[#This Row],[Column5]]) * $L$2), ($H$2 * deployment_raw[[#This Row],[Column5]])), 0),"")</f>
        <v/>
      </c>
      <c r="M16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60" s="188" t="str">
        <f>IF(ISNUMBER(deployment_raw[[#This Row],[Column14]]), deployment_raw[[#This Row],[Column14]],"")</f>
        <v/>
      </c>
      <c r="O160" s="189" t="str">
        <f>IF(ISNUMBER(deployment_raw[[#This Row],[Column15]]), deployment_raw[[#This Row],[Column15]]/1048576,"")</f>
        <v/>
      </c>
      <c r="P160" s="190" t="str">
        <f>IF(ISNUMBER(deployment_raw[[#This Row],[Column12]]), (deployment_raw[[#This Row],[Column12]] * deployment_raw[[#This Row],[Column5]]),"")</f>
        <v/>
      </c>
      <c r="Q160" s="189" t="str">
        <f>IF(ISNUMBER(deployment_raw[[#This Row],[Column13]]), (deployment_raw[[#This Row],[Column13]] * deployment_raw[[#This Row],[Column5]])/1048576,"")</f>
        <v/>
      </c>
    </row>
    <row r="161" spans="1:17" ht="15.75" customHeight="1" x14ac:dyDescent="0.25">
      <c r="A161" s="37" t="str">
        <f>IF(ISNONTEXT(deployment_raw[[#This Row],[Column1]]), "", deployment_raw[[#This Row],[Column1]])</f>
        <v/>
      </c>
      <c r="B161" s="38" t="str">
        <f>IF(ISNONTEXT(deployment_raw[[#This Row],[Column2]]), "", deployment_raw[[#This Row],[Column2]])</f>
        <v/>
      </c>
      <c r="C161" s="38" t="str">
        <f>IF(ISNONTEXT(deployment_raw[[#This Row],[Column3]]), "", deployment_raw[[#This Row],[Column3]])</f>
        <v/>
      </c>
      <c r="D161" s="38" t="str">
        <f>IF(ISNONTEXT(deployment_raw[[#This Row],[Column4]]), "", deployment_raw[[#This Row],[Column4]])</f>
        <v/>
      </c>
      <c r="E161" s="39" t="str">
        <f>IF(ISNUMBER(deployment_raw[[#This Row],[Column5]]), deployment_raw[[#This Row],[Column5]],"")</f>
        <v/>
      </c>
      <c r="F161" s="174" t="str">
        <f>IF(ISNUMBER(deployment_raw[[#This Row],[Column6]]), (deployment_raw[[#This Row],[Column6]] * deployment_raw[[#This Row],[Column5]]),"")</f>
        <v/>
      </c>
      <c r="G161" s="175" t="str">
        <f>IF(ISNUMBER(deployment_raw[[#This Row],[Column7]]), (deployment_raw[[#This Row],[Column7]] * deployment_raw[[#This Row],[Column5]])/1048576,"")</f>
        <v/>
      </c>
      <c r="H161" s="175" t="str">
        <f>IF(ISNUMBER(deployment_raw[[#This Row],[Column8]]), (deployment_raw[[#This Row],[Column8]]  * deployment_raw[[#This Row],[Column5]]),"")</f>
        <v/>
      </c>
      <c r="I161" s="176" t="str">
        <f>IF(ISNUMBER(deployment_raw[[#This Row],[Column9]]), (deployment_raw[[#This Row],[Column9]] * deployment_raw[[#This Row],[Column5]])/1048576,"")</f>
        <v/>
      </c>
      <c r="J161" s="57" t="str">
        <f>IF(ISNUMBER(deployment_raw[[#This Row],[Column10]]), (deployment_raw[[#This Row],[Column10]] * deployment_raw[[#This Row],[Column5]]),"")</f>
        <v/>
      </c>
      <c r="K161" s="58" t="str">
        <f>IF(ISNUMBER(deployment_raw[[#This Row],[Column11]]), (deployment_raw[[#This Row],[Column11]] * deployment_raw[[#This Row],[Column5]])/1048576,"")</f>
        <v/>
      </c>
      <c r="L161" s="180" t="str">
        <f>IF(ISNUMBER(deployment_raw[[#This Row],[Column8]]),IF(deployment_raw[[#This Row],[Column5]] &lt;&gt; 0, MAX((deployment_raw[[#This Row],[Column12]] * deployment_raw[[#This Row],[Column5]]), ((deployment_raw[[#This Row],[Column8]] * deployment_raw[[#This Row],[Column5]]) * $L$2), ($H$2 * deployment_raw[[#This Row],[Column5]])), 0),"")</f>
        <v/>
      </c>
      <c r="M16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61" s="188" t="str">
        <f>IF(ISNUMBER(deployment_raw[[#This Row],[Column14]]), deployment_raw[[#This Row],[Column14]],"")</f>
        <v/>
      </c>
      <c r="O161" s="189" t="str">
        <f>IF(ISNUMBER(deployment_raw[[#This Row],[Column15]]), deployment_raw[[#This Row],[Column15]]/1048576,"")</f>
        <v/>
      </c>
      <c r="P161" s="190" t="str">
        <f>IF(ISNUMBER(deployment_raw[[#This Row],[Column12]]), (deployment_raw[[#This Row],[Column12]] * deployment_raw[[#This Row],[Column5]]),"")</f>
        <v/>
      </c>
      <c r="Q161" s="189" t="str">
        <f>IF(ISNUMBER(deployment_raw[[#This Row],[Column13]]), (deployment_raw[[#This Row],[Column13]] * deployment_raw[[#This Row],[Column5]])/1048576,"")</f>
        <v/>
      </c>
    </row>
    <row r="162" spans="1:17" ht="15.75" customHeight="1" x14ac:dyDescent="0.25">
      <c r="A162" s="37" t="str">
        <f>IF(ISNONTEXT(deployment_raw[[#This Row],[Column1]]), "", deployment_raw[[#This Row],[Column1]])</f>
        <v/>
      </c>
      <c r="B162" s="38" t="str">
        <f>IF(ISNONTEXT(deployment_raw[[#This Row],[Column2]]), "", deployment_raw[[#This Row],[Column2]])</f>
        <v/>
      </c>
      <c r="C162" s="38" t="str">
        <f>IF(ISNONTEXT(deployment_raw[[#This Row],[Column3]]), "", deployment_raw[[#This Row],[Column3]])</f>
        <v/>
      </c>
      <c r="D162" s="38" t="str">
        <f>IF(ISNONTEXT(deployment_raw[[#This Row],[Column4]]), "", deployment_raw[[#This Row],[Column4]])</f>
        <v/>
      </c>
      <c r="E162" s="39" t="str">
        <f>IF(ISNUMBER(deployment_raw[[#This Row],[Column5]]), deployment_raw[[#This Row],[Column5]],"")</f>
        <v/>
      </c>
      <c r="F162" s="174" t="str">
        <f>IF(ISNUMBER(deployment_raw[[#This Row],[Column6]]), (deployment_raw[[#This Row],[Column6]] * deployment_raw[[#This Row],[Column5]]),"")</f>
        <v/>
      </c>
      <c r="G162" s="175" t="str">
        <f>IF(ISNUMBER(deployment_raw[[#This Row],[Column7]]), (deployment_raw[[#This Row],[Column7]] * deployment_raw[[#This Row],[Column5]])/1048576,"")</f>
        <v/>
      </c>
      <c r="H162" s="175" t="str">
        <f>IF(ISNUMBER(deployment_raw[[#This Row],[Column8]]), (deployment_raw[[#This Row],[Column8]]  * deployment_raw[[#This Row],[Column5]]),"")</f>
        <v/>
      </c>
      <c r="I162" s="176" t="str">
        <f>IF(ISNUMBER(deployment_raw[[#This Row],[Column9]]), (deployment_raw[[#This Row],[Column9]] * deployment_raw[[#This Row],[Column5]])/1048576,"")</f>
        <v/>
      </c>
      <c r="J162" s="57" t="str">
        <f>IF(ISNUMBER(deployment_raw[[#This Row],[Column10]]), (deployment_raw[[#This Row],[Column10]] * deployment_raw[[#This Row],[Column5]]),"")</f>
        <v/>
      </c>
      <c r="K162" s="58" t="str">
        <f>IF(ISNUMBER(deployment_raw[[#This Row],[Column11]]), (deployment_raw[[#This Row],[Column11]] * deployment_raw[[#This Row],[Column5]])/1048576,"")</f>
        <v/>
      </c>
      <c r="L162" s="180" t="str">
        <f>IF(ISNUMBER(deployment_raw[[#This Row],[Column8]]),IF(deployment_raw[[#This Row],[Column5]] &lt;&gt; 0, MAX((deployment_raw[[#This Row],[Column12]] * deployment_raw[[#This Row],[Column5]]), ((deployment_raw[[#This Row],[Column8]] * deployment_raw[[#This Row],[Column5]]) * $L$2), ($H$2 * deployment_raw[[#This Row],[Column5]])), 0),"")</f>
        <v/>
      </c>
      <c r="M16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62" s="188" t="str">
        <f>IF(ISNUMBER(deployment_raw[[#This Row],[Column14]]), deployment_raw[[#This Row],[Column14]],"")</f>
        <v/>
      </c>
      <c r="O162" s="189" t="str">
        <f>IF(ISNUMBER(deployment_raw[[#This Row],[Column15]]), deployment_raw[[#This Row],[Column15]]/1048576,"")</f>
        <v/>
      </c>
      <c r="P162" s="190" t="str">
        <f>IF(ISNUMBER(deployment_raw[[#This Row],[Column12]]), (deployment_raw[[#This Row],[Column12]] * deployment_raw[[#This Row],[Column5]]),"")</f>
        <v/>
      </c>
      <c r="Q162" s="189" t="str">
        <f>IF(ISNUMBER(deployment_raw[[#This Row],[Column13]]), (deployment_raw[[#This Row],[Column13]] * deployment_raw[[#This Row],[Column5]])/1048576,"")</f>
        <v/>
      </c>
    </row>
    <row r="163" spans="1:17" ht="15.75" customHeight="1" x14ac:dyDescent="0.25">
      <c r="A163" s="37" t="str">
        <f>IF(ISNONTEXT(deployment_raw[[#This Row],[Column1]]), "", deployment_raw[[#This Row],[Column1]])</f>
        <v/>
      </c>
      <c r="B163" s="38" t="str">
        <f>IF(ISNONTEXT(deployment_raw[[#This Row],[Column2]]), "", deployment_raw[[#This Row],[Column2]])</f>
        <v/>
      </c>
      <c r="C163" s="38" t="str">
        <f>IF(ISNONTEXT(deployment_raw[[#This Row],[Column3]]), "", deployment_raw[[#This Row],[Column3]])</f>
        <v/>
      </c>
      <c r="D163" s="38" t="str">
        <f>IF(ISNONTEXT(deployment_raw[[#This Row],[Column4]]), "", deployment_raw[[#This Row],[Column4]])</f>
        <v/>
      </c>
      <c r="E163" s="39" t="str">
        <f>IF(ISNUMBER(deployment_raw[[#This Row],[Column5]]), deployment_raw[[#This Row],[Column5]],"")</f>
        <v/>
      </c>
      <c r="F163" s="174" t="str">
        <f>IF(ISNUMBER(deployment_raw[[#This Row],[Column6]]), (deployment_raw[[#This Row],[Column6]] * deployment_raw[[#This Row],[Column5]]),"")</f>
        <v/>
      </c>
      <c r="G163" s="175" t="str">
        <f>IF(ISNUMBER(deployment_raw[[#This Row],[Column7]]), (deployment_raw[[#This Row],[Column7]] * deployment_raw[[#This Row],[Column5]])/1048576,"")</f>
        <v/>
      </c>
      <c r="H163" s="175" t="str">
        <f>IF(ISNUMBER(deployment_raw[[#This Row],[Column8]]), (deployment_raw[[#This Row],[Column8]]  * deployment_raw[[#This Row],[Column5]]),"")</f>
        <v/>
      </c>
      <c r="I163" s="176" t="str">
        <f>IF(ISNUMBER(deployment_raw[[#This Row],[Column9]]), (deployment_raw[[#This Row],[Column9]] * deployment_raw[[#This Row],[Column5]])/1048576,"")</f>
        <v/>
      </c>
      <c r="J163" s="57" t="str">
        <f>IF(ISNUMBER(deployment_raw[[#This Row],[Column10]]), (deployment_raw[[#This Row],[Column10]] * deployment_raw[[#This Row],[Column5]]),"")</f>
        <v/>
      </c>
      <c r="K163" s="58" t="str">
        <f>IF(ISNUMBER(deployment_raw[[#This Row],[Column11]]), (deployment_raw[[#This Row],[Column11]] * deployment_raw[[#This Row],[Column5]])/1048576,"")</f>
        <v/>
      </c>
      <c r="L163" s="180" t="str">
        <f>IF(ISNUMBER(deployment_raw[[#This Row],[Column8]]),IF(deployment_raw[[#This Row],[Column5]] &lt;&gt; 0, MAX((deployment_raw[[#This Row],[Column12]] * deployment_raw[[#This Row],[Column5]]), ((deployment_raw[[#This Row],[Column8]] * deployment_raw[[#This Row],[Column5]]) * $L$2), ($H$2 * deployment_raw[[#This Row],[Column5]])), 0),"")</f>
        <v/>
      </c>
      <c r="M16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63" s="188" t="str">
        <f>IF(ISNUMBER(deployment_raw[[#This Row],[Column14]]), deployment_raw[[#This Row],[Column14]],"")</f>
        <v/>
      </c>
      <c r="O163" s="189" t="str">
        <f>IF(ISNUMBER(deployment_raw[[#This Row],[Column15]]), deployment_raw[[#This Row],[Column15]]/1048576,"")</f>
        <v/>
      </c>
      <c r="P163" s="190" t="str">
        <f>IF(ISNUMBER(deployment_raw[[#This Row],[Column12]]), (deployment_raw[[#This Row],[Column12]] * deployment_raw[[#This Row],[Column5]]),"")</f>
        <v/>
      </c>
      <c r="Q163" s="189" t="str">
        <f>IF(ISNUMBER(deployment_raw[[#This Row],[Column13]]), (deployment_raw[[#This Row],[Column13]] * deployment_raw[[#This Row],[Column5]])/1048576,"")</f>
        <v/>
      </c>
    </row>
    <row r="164" spans="1:17" ht="15.75" customHeight="1" x14ac:dyDescent="0.25">
      <c r="A164" s="37" t="str">
        <f>IF(ISNONTEXT(deployment_raw[[#This Row],[Column1]]), "", deployment_raw[[#This Row],[Column1]])</f>
        <v/>
      </c>
      <c r="B164" s="38" t="str">
        <f>IF(ISNONTEXT(deployment_raw[[#This Row],[Column2]]), "", deployment_raw[[#This Row],[Column2]])</f>
        <v/>
      </c>
      <c r="C164" s="38" t="str">
        <f>IF(ISNONTEXT(deployment_raw[[#This Row],[Column3]]), "", deployment_raw[[#This Row],[Column3]])</f>
        <v/>
      </c>
      <c r="D164" s="38" t="str">
        <f>IF(ISNONTEXT(deployment_raw[[#This Row],[Column4]]), "", deployment_raw[[#This Row],[Column4]])</f>
        <v/>
      </c>
      <c r="E164" s="39" t="str">
        <f>IF(ISNUMBER(deployment_raw[[#This Row],[Column5]]), deployment_raw[[#This Row],[Column5]],"")</f>
        <v/>
      </c>
      <c r="F164" s="174" t="str">
        <f>IF(ISNUMBER(deployment_raw[[#This Row],[Column6]]), (deployment_raw[[#This Row],[Column6]] * deployment_raw[[#This Row],[Column5]]),"")</f>
        <v/>
      </c>
      <c r="G164" s="175" t="str">
        <f>IF(ISNUMBER(deployment_raw[[#This Row],[Column7]]), (deployment_raw[[#This Row],[Column7]] * deployment_raw[[#This Row],[Column5]])/1048576,"")</f>
        <v/>
      </c>
      <c r="H164" s="175" t="str">
        <f>IF(ISNUMBER(deployment_raw[[#This Row],[Column8]]), (deployment_raw[[#This Row],[Column8]]  * deployment_raw[[#This Row],[Column5]]),"")</f>
        <v/>
      </c>
      <c r="I164" s="176" t="str">
        <f>IF(ISNUMBER(deployment_raw[[#This Row],[Column9]]), (deployment_raw[[#This Row],[Column9]] * deployment_raw[[#This Row],[Column5]])/1048576,"")</f>
        <v/>
      </c>
      <c r="J164" s="57" t="str">
        <f>IF(ISNUMBER(deployment_raw[[#This Row],[Column10]]), (deployment_raw[[#This Row],[Column10]] * deployment_raw[[#This Row],[Column5]]),"")</f>
        <v/>
      </c>
      <c r="K164" s="58" t="str">
        <f>IF(ISNUMBER(deployment_raw[[#This Row],[Column11]]), (deployment_raw[[#This Row],[Column11]] * deployment_raw[[#This Row],[Column5]])/1048576,"")</f>
        <v/>
      </c>
      <c r="L164" s="180" t="str">
        <f>IF(ISNUMBER(deployment_raw[[#This Row],[Column8]]),IF(deployment_raw[[#This Row],[Column5]] &lt;&gt; 0, MAX((deployment_raw[[#This Row],[Column12]] * deployment_raw[[#This Row],[Column5]]), ((deployment_raw[[#This Row],[Column8]] * deployment_raw[[#This Row],[Column5]]) * $L$2), ($H$2 * deployment_raw[[#This Row],[Column5]])), 0),"")</f>
        <v/>
      </c>
      <c r="M16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64" s="188" t="str">
        <f>IF(ISNUMBER(deployment_raw[[#This Row],[Column14]]), deployment_raw[[#This Row],[Column14]],"")</f>
        <v/>
      </c>
      <c r="O164" s="189" t="str">
        <f>IF(ISNUMBER(deployment_raw[[#This Row],[Column15]]), deployment_raw[[#This Row],[Column15]]/1048576,"")</f>
        <v/>
      </c>
      <c r="P164" s="190" t="str">
        <f>IF(ISNUMBER(deployment_raw[[#This Row],[Column12]]), (deployment_raw[[#This Row],[Column12]] * deployment_raw[[#This Row],[Column5]]),"")</f>
        <v/>
      </c>
      <c r="Q164" s="189" t="str">
        <f>IF(ISNUMBER(deployment_raw[[#This Row],[Column13]]), (deployment_raw[[#This Row],[Column13]] * deployment_raw[[#This Row],[Column5]])/1048576,"")</f>
        <v/>
      </c>
    </row>
    <row r="165" spans="1:17" ht="15.75" customHeight="1" x14ac:dyDescent="0.25">
      <c r="A165" s="37" t="str">
        <f>IF(ISNONTEXT(deployment_raw[[#This Row],[Column1]]), "", deployment_raw[[#This Row],[Column1]])</f>
        <v/>
      </c>
      <c r="B165" s="38" t="str">
        <f>IF(ISNONTEXT(deployment_raw[[#This Row],[Column2]]), "", deployment_raw[[#This Row],[Column2]])</f>
        <v/>
      </c>
      <c r="C165" s="38" t="str">
        <f>IF(ISNONTEXT(deployment_raw[[#This Row],[Column3]]), "", deployment_raw[[#This Row],[Column3]])</f>
        <v/>
      </c>
      <c r="D165" s="38" t="str">
        <f>IF(ISNONTEXT(deployment_raw[[#This Row],[Column4]]), "", deployment_raw[[#This Row],[Column4]])</f>
        <v/>
      </c>
      <c r="E165" s="39" t="str">
        <f>IF(ISNUMBER(deployment_raw[[#This Row],[Column5]]), deployment_raw[[#This Row],[Column5]],"")</f>
        <v/>
      </c>
      <c r="F165" s="174" t="str">
        <f>IF(ISNUMBER(deployment_raw[[#This Row],[Column6]]), (deployment_raw[[#This Row],[Column6]] * deployment_raw[[#This Row],[Column5]]),"")</f>
        <v/>
      </c>
      <c r="G165" s="175" t="str">
        <f>IF(ISNUMBER(deployment_raw[[#This Row],[Column7]]), (deployment_raw[[#This Row],[Column7]] * deployment_raw[[#This Row],[Column5]])/1048576,"")</f>
        <v/>
      </c>
      <c r="H165" s="175" t="str">
        <f>IF(ISNUMBER(deployment_raw[[#This Row],[Column8]]), (deployment_raw[[#This Row],[Column8]]  * deployment_raw[[#This Row],[Column5]]),"")</f>
        <v/>
      </c>
      <c r="I165" s="176" t="str">
        <f>IF(ISNUMBER(deployment_raw[[#This Row],[Column9]]), (deployment_raw[[#This Row],[Column9]] * deployment_raw[[#This Row],[Column5]])/1048576,"")</f>
        <v/>
      </c>
      <c r="J165" s="57" t="str">
        <f>IF(ISNUMBER(deployment_raw[[#This Row],[Column10]]), (deployment_raw[[#This Row],[Column10]] * deployment_raw[[#This Row],[Column5]]),"")</f>
        <v/>
      </c>
      <c r="K165" s="58" t="str">
        <f>IF(ISNUMBER(deployment_raw[[#This Row],[Column11]]), (deployment_raw[[#This Row],[Column11]] * deployment_raw[[#This Row],[Column5]])/1048576,"")</f>
        <v/>
      </c>
      <c r="L165" s="180" t="str">
        <f>IF(ISNUMBER(deployment_raw[[#This Row],[Column8]]),IF(deployment_raw[[#This Row],[Column5]] &lt;&gt; 0, MAX((deployment_raw[[#This Row],[Column12]] * deployment_raw[[#This Row],[Column5]]), ((deployment_raw[[#This Row],[Column8]] * deployment_raw[[#This Row],[Column5]]) * $L$2), ($H$2 * deployment_raw[[#This Row],[Column5]])), 0),"")</f>
        <v/>
      </c>
      <c r="M16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65" s="188" t="str">
        <f>IF(ISNUMBER(deployment_raw[[#This Row],[Column14]]), deployment_raw[[#This Row],[Column14]],"")</f>
        <v/>
      </c>
      <c r="O165" s="189" t="str">
        <f>IF(ISNUMBER(deployment_raw[[#This Row],[Column15]]), deployment_raw[[#This Row],[Column15]]/1048576,"")</f>
        <v/>
      </c>
      <c r="P165" s="190" t="str">
        <f>IF(ISNUMBER(deployment_raw[[#This Row],[Column12]]), (deployment_raw[[#This Row],[Column12]] * deployment_raw[[#This Row],[Column5]]),"")</f>
        <v/>
      </c>
      <c r="Q165" s="189" t="str">
        <f>IF(ISNUMBER(deployment_raw[[#This Row],[Column13]]), (deployment_raw[[#This Row],[Column13]] * deployment_raw[[#This Row],[Column5]])/1048576,"")</f>
        <v/>
      </c>
    </row>
    <row r="166" spans="1:17" ht="15.75" customHeight="1" x14ac:dyDescent="0.25">
      <c r="A166" s="37" t="str">
        <f>IF(ISNONTEXT(deployment_raw[[#This Row],[Column1]]), "", deployment_raw[[#This Row],[Column1]])</f>
        <v/>
      </c>
      <c r="B166" s="38" t="str">
        <f>IF(ISNONTEXT(deployment_raw[[#This Row],[Column2]]), "", deployment_raw[[#This Row],[Column2]])</f>
        <v/>
      </c>
      <c r="C166" s="38" t="str">
        <f>IF(ISNONTEXT(deployment_raw[[#This Row],[Column3]]), "", deployment_raw[[#This Row],[Column3]])</f>
        <v/>
      </c>
      <c r="D166" s="38" t="str">
        <f>IF(ISNONTEXT(deployment_raw[[#This Row],[Column4]]), "", deployment_raw[[#This Row],[Column4]])</f>
        <v/>
      </c>
      <c r="E166" s="39" t="str">
        <f>IF(ISNUMBER(deployment_raw[[#This Row],[Column5]]), deployment_raw[[#This Row],[Column5]],"")</f>
        <v/>
      </c>
      <c r="F166" s="174" t="str">
        <f>IF(ISNUMBER(deployment_raw[[#This Row],[Column6]]), (deployment_raw[[#This Row],[Column6]] * deployment_raw[[#This Row],[Column5]]),"")</f>
        <v/>
      </c>
      <c r="G166" s="175" t="str">
        <f>IF(ISNUMBER(deployment_raw[[#This Row],[Column7]]), (deployment_raw[[#This Row],[Column7]] * deployment_raw[[#This Row],[Column5]])/1048576,"")</f>
        <v/>
      </c>
      <c r="H166" s="175" t="str">
        <f>IF(ISNUMBER(deployment_raw[[#This Row],[Column8]]), (deployment_raw[[#This Row],[Column8]]  * deployment_raw[[#This Row],[Column5]]),"")</f>
        <v/>
      </c>
      <c r="I166" s="176" t="str">
        <f>IF(ISNUMBER(deployment_raw[[#This Row],[Column9]]), (deployment_raw[[#This Row],[Column9]] * deployment_raw[[#This Row],[Column5]])/1048576,"")</f>
        <v/>
      </c>
      <c r="J166" s="57" t="str">
        <f>IF(ISNUMBER(deployment_raw[[#This Row],[Column10]]), (deployment_raw[[#This Row],[Column10]] * deployment_raw[[#This Row],[Column5]]),"")</f>
        <v/>
      </c>
      <c r="K166" s="58" t="str">
        <f>IF(ISNUMBER(deployment_raw[[#This Row],[Column11]]), (deployment_raw[[#This Row],[Column11]] * deployment_raw[[#This Row],[Column5]])/1048576,"")</f>
        <v/>
      </c>
      <c r="L166" s="180" t="str">
        <f>IF(ISNUMBER(deployment_raw[[#This Row],[Column8]]),IF(deployment_raw[[#This Row],[Column5]] &lt;&gt; 0, MAX((deployment_raw[[#This Row],[Column12]] * deployment_raw[[#This Row],[Column5]]), ((deployment_raw[[#This Row],[Column8]] * deployment_raw[[#This Row],[Column5]]) * $L$2), ($H$2 * deployment_raw[[#This Row],[Column5]])), 0),"")</f>
        <v/>
      </c>
      <c r="M16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66" s="188" t="str">
        <f>IF(ISNUMBER(deployment_raw[[#This Row],[Column14]]), deployment_raw[[#This Row],[Column14]],"")</f>
        <v/>
      </c>
      <c r="O166" s="189" t="str">
        <f>IF(ISNUMBER(deployment_raw[[#This Row],[Column15]]), deployment_raw[[#This Row],[Column15]]/1048576,"")</f>
        <v/>
      </c>
      <c r="P166" s="190" t="str">
        <f>IF(ISNUMBER(deployment_raw[[#This Row],[Column12]]), (deployment_raw[[#This Row],[Column12]] * deployment_raw[[#This Row],[Column5]]),"")</f>
        <v/>
      </c>
      <c r="Q166" s="189" t="str">
        <f>IF(ISNUMBER(deployment_raw[[#This Row],[Column13]]), (deployment_raw[[#This Row],[Column13]] * deployment_raw[[#This Row],[Column5]])/1048576,"")</f>
        <v/>
      </c>
    </row>
    <row r="167" spans="1:17" ht="15.75" customHeight="1" x14ac:dyDescent="0.25">
      <c r="A167" s="37" t="str">
        <f>IF(ISNONTEXT(deployment_raw[[#This Row],[Column1]]), "", deployment_raw[[#This Row],[Column1]])</f>
        <v/>
      </c>
      <c r="B167" s="38" t="str">
        <f>IF(ISNONTEXT(deployment_raw[[#This Row],[Column2]]), "", deployment_raw[[#This Row],[Column2]])</f>
        <v/>
      </c>
      <c r="C167" s="38" t="str">
        <f>IF(ISNONTEXT(deployment_raw[[#This Row],[Column3]]), "", deployment_raw[[#This Row],[Column3]])</f>
        <v/>
      </c>
      <c r="D167" s="38" t="str">
        <f>IF(ISNONTEXT(deployment_raw[[#This Row],[Column4]]), "", deployment_raw[[#This Row],[Column4]])</f>
        <v/>
      </c>
      <c r="E167" s="39" t="str">
        <f>IF(ISNUMBER(deployment_raw[[#This Row],[Column5]]), deployment_raw[[#This Row],[Column5]],"")</f>
        <v/>
      </c>
      <c r="F167" s="174" t="str">
        <f>IF(ISNUMBER(deployment_raw[[#This Row],[Column6]]), (deployment_raw[[#This Row],[Column6]] * deployment_raw[[#This Row],[Column5]]),"")</f>
        <v/>
      </c>
      <c r="G167" s="175" t="str">
        <f>IF(ISNUMBER(deployment_raw[[#This Row],[Column7]]), (deployment_raw[[#This Row],[Column7]] * deployment_raw[[#This Row],[Column5]])/1048576,"")</f>
        <v/>
      </c>
      <c r="H167" s="175" t="str">
        <f>IF(ISNUMBER(deployment_raw[[#This Row],[Column8]]), (deployment_raw[[#This Row],[Column8]]  * deployment_raw[[#This Row],[Column5]]),"")</f>
        <v/>
      </c>
      <c r="I167" s="176" t="str">
        <f>IF(ISNUMBER(deployment_raw[[#This Row],[Column9]]), (deployment_raw[[#This Row],[Column9]] * deployment_raw[[#This Row],[Column5]])/1048576,"")</f>
        <v/>
      </c>
      <c r="J167" s="57" t="str">
        <f>IF(ISNUMBER(deployment_raw[[#This Row],[Column10]]), (deployment_raw[[#This Row],[Column10]] * deployment_raw[[#This Row],[Column5]]),"")</f>
        <v/>
      </c>
      <c r="K167" s="58" t="str">
        <f>IF(ISNUMBER(deployment_raw[[#This Row],[Column11]]), (deployment_raw[[#This Row],[Column11]] * deployment_raw[[#This Row],[Column5]])/1048576,"")</f>
        <v/>
      </c>
      <c r="L167" s="180" t="str">
        <f>IF(ISNUMBER(deployment_raw[[#This Row],[Column8]]),IF(deployment_raw[[#This Row],[Column5]] &lt;&gt; 0, MAX((deployment_raw[[#This Row],[Column12]] * deployment_raw[[#This Row],[Column5]]), ((deployment_raw[[#This Row],[Column8]] * deployment_raw[[#This Row],[Column5]]) * $L$2), ($H$2 * deployment_raw[[#This Row],[Column5]])), 0),"")</f>
        <v/>
      </c>
      <c r="M16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67" s="188" t="str">
        <f>IF(ISNUMBER(deployment_raw[[#This Row],[Column14]]), deployment_raw[[#This Row],[Column14]],"")</f>
        <v/>
      </c>
      <c r="O167" s="189" t="str">
        <f>IF(ISNUMBER(deployment_raw[[#This Row],[Column15]]), deployment_raw[[#This Row],[Column15]]/1048576,"")</f>
        <v/>
      </c>
      <c r="P167" s="190" t="str">
        <f>IF(ISNUMBER(deployment_raw[[#This Row],[Column12]]), (deployment_raw[[#This Row],[Column12]] * deployment_raw[[#This Row],[Column5]]),"")</f>
        <v/>
      </c>
      <c r="Q167" s="189" t="str">
        <f>IF(ISNUMBER(deployment_raw[[#This Row],[Column13]]), (deployment_raw[[#This Row],[Column13]] * deployment_raw[[#This Row],[Column5]])/1048576,"")</f>
        <v/>
      </c>
    </row>
    <row r="168" spans="1:17" ht="15.75" customHeight="1" x14ac:dyDescent="0.25">
      <c r="A168" s="37" t="str">
        <f>IF(ISNONTEXT(deployment_raw[[#This Row],[Column1]]), "", deployment_raw[[#This Row],[Column1]])</f>
        <v/>
      </c>
      <c r="B168" s="38" t="str">
        <f>IF(ISNONTEXT(deployment_raw[[#This Row],[Column2]]), "", deployment_raw[[#This Row],[Column2]])</f>
        <v/>
      </c>
      <c r="C168" s="38" t="str">
        <f>IF(ISNONTEXT(deployment_raw[[#This Row],[Column3]]), "", deployment_raw[[#This Row],[Column3]])</f>
        <v/>
      </c>
      <c r="D168" s="38" t="str">
        <f>IF(ISNONTEXT(deployment_raw[[#This Row],[Column4]]), "", deployment_raw[[#This Row],[Column4]])</f>
        <v/>
      </c>
      <c r="E168" s="39" t="str">
        <f>IF(ISNUMBER(deployment_raw[[#This Row],[Column5]]), deployment_raw[[#This Row],[Column5]],"")</f>
        <v/>
      </c>
      <c r="F168" s="174" t="str">
        <f>IF(ISNUMBER(deployment_raw[[#This Row],[Column6]]), (deployment_raw[[#This Row],[Column6]] * deployment_raw[[#This Row],[Column5]]),"")</f>
        <v/>
      </c>
      <c r="G168" s="175" t="str">
        <f>IF(ISNUMBER(deployment_raw[[#This Row],[Column7]]), (deployment_raw[[#This Row],[Column7]] * deployment_raw[[#This Row],[Column5]])/1048576,"")</f>
        <v/>
      </c>
      <c r="H168" s="175" t="str">
        <f>IF(ISNUMBER(deployment_raw[[#This Row],[Column8]]), (deployment_raw[[#This Row],[Column8]]  * deployment_raw[[#This Row],[Column5]]),"")</f>
        <v/>
      </c>
      <c r="I168" s="176" t="str">
        <f>IF(ISNUMBER(deployment_raw[[#This Row],[Column9]]), (deployment_raw[[#This Row],[Column9]] * deployment_raw[[#This Row],[Column5]])/1048576,"")</f>
        <v/>
      </c>
      <c r="J168" s="57" t="str">
        <f>IF(ISNUMBER(deployment_raw[[#This Row],[Column10]]), (deployment_raw[[#This Row],[Column10]] * deployment_raw[[#This Row],[Column5]]),"")</f>
        <v/>
      </c>
      <c r="K168" s="58" t="str">
        <f>IF(ISNUMBER(deployment_raw[[#This Row],[Column11]]), (deployment_raw[[#This Row],[Column11]] * deployment_raw[[#This Row],[Column5]])/1048576,"")</f>
        <v/>
      </c>
      <c r="L168" s="180" t="str">
        <f>IF(ISNUMBER(deployment_raw[[#This Row],[Column8]]),IF(deployment_raw[[#This Row],[Column5]] &lt;&gt; 0, MAX((deployment_raw[[#This Row],[Column12]] * deployment_raw[[#This Row],[Column5]]), ((deployment_raw[[#This Row],[Column8]] * deployment_raw[[#This Row],[Column5]]) * $L$2), ($H$2 * deployment_raw[[#This Row],[Column5]])), 0),"")</f>
        <v/>
      </c>
      <c r="M16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68" s="188" t="str">
        <f>IF(ISNUMBER(deployment_raw[[#This Row],[Column14]]), deployment_raw[[#This Row],[Column14]],"")</f>
        <v/>
      </c>
      <c r="O168" s="189" t="str">
        <f>IF(ISNUMBER(deployment_raw[[#This Row],[Column15]]), deployment_raw[[#This Row],[Column15]]/1048576,"")</f>
        <v/>
      </c>
      <c r="P168" s="190" t="str">
        <f>IF(ISNUMBER(deployment_raw[[#This Row],[Column12]]), (deployment_raw[[#This Row],[Column12]] * deployment_raw[[#This Row],[Column5]]),"")</f>
        <v/>
      </c>
      <c r="Q168" s="189" t="str">
        <f>IF(ISNUMBER(deployment_raw[[#This Row],[Column13]]), (deployment_raw[[#This Row],[Column13]] * deployment_raw[[#This Row],[Column5]])/1048576,"")</f>
        <v/>
      </c>
    </row>
    <row r="169" spans="1:17" ht="15.75" customHeight="1" x14ac:dyDescent="0.25">
      <c r="A169" s="37" t="str">
        <f>IF(ISNONTEXT(deployment_raw[[#This Row],[Column1]]), "", deployment_raw[[#This Row],[Column1]])</f>
        <v/>
      </c>
      <c r="B169" s="38" t="str">
        <f>IF(ISNONTEXT(deployment_raw[[#This Row],[Column2]]), "", deployment_raw[[#This Row],[Column2]])</f>
        <v/>
      </c>
      <c r="C169" s="38" t="str">
        <f>IF(ISNONTEXT(deployment_raw[[#This Row],[Column3]]), "", deployment_raw[[#This Row],[Column3]])</f>
        <v/>
      </c>
      <c r="D169" s="38" t="str">
        <f>IF(ISNONTEXT(deployment_raw[[#This Row],[Column4]]), "", deployment_raw[[#This Row],[Column4]])</f>
        <v/>
      </c>
      <c r="E169" s="39" t="str">
        <f>IF(ISNUMBER(deployment_raw[[#This Row],[Column5]]), deployment_raw[[#This Row],[Column5]],"")</f>
        <v/>
      </c>
      <c r="F169" s="174" t="str">
        <f>IF(ISNUMBER(deployment_raw[[#This Row],[Column6]]), (deployment_raw[[#This Row],[Column6]] * deployment_raw[[#This Row],[Column5]]),"")</f>
        <v/>
      </c>
      <c r="G169" s="175" t="str">
        <f>IF(ISNUMBER(deployment_raw[[#This Row],[Column7]]), (deployment_raw[[#This Row],[Column7]] * deployment_raw[[#This Row],[Column5]])/1048576,"")</f>
        <v/>
      </c>
      <c r="H169" s="175" t="str">
        <f>IF(ISNUMBER(deployment_raw[[#This Row],[Column8]]), (deployment_raw[[#This Row],[Column8]]  * deployment_raw[[#This Row],[Column5]]),"")</f>
        <v/>
      </c>
      <c r="I169" s="176" t="str">
        <f>IF(ISNUMBER(deployment_raw[[#This Row],[Column9]]), (deployment_raw[[#This Row],[Column9]] * deployment_raw[[#This Row],[Column5]])/1048576,"")</f>
        <v/>
      </c>
      <c r="J169" s="57" t="str">
        <f>IF(ISNUMBER(deployment_raw[[#This Row],[Column10]]), (deployment_raw[[#This Row],[Column10]] * deployment_raw[[#This Row],[Column5]]),"")</f>
        <v/>
      </c>
      <c r="K169" s="58" t="str">
        <f>IF(ISNUMBER(deployment_raw[[#This Row],[Column11]]), (deployment_raw[[#This Row],[Column11]] * deployment_raw[[#This Row],[Column5]])/1048576,"")</f>
        <v/>
      </c>
      <c r="L169" s="180" t="str">
        <f>IF(ISNUMBER(deployment_raw[[#This Row],[Column8]]),IF(deployment_raw[[#This Row],[Column5]] &lt;&gt; 0, MAX((deployment_raw[[#This Row],[Column12]] * deployment_raw[[#This Row],[Column5]]), ((deployment_raw[[#This Row],[Column8]] * deployment_raw[[#This Row],[Column5]]) * $L$2), ($H$2 * deployment_raw[[#This Row],[Column5]])), 0),"")</f>
        <v/>
      </c>
      <c r="M16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69" s="188" t="str">
        <f>IF(ISNUMBER(deployment_raw[[#This Row],[Column14]]), deployment_raw[[#This Row],[Column14]],"")</f>
        <v/>
      </c>
      <c r="O169" s="189" t="str">
        <f>IF(ISNUMBER(deployment_raw[[#This Row],[Column15]]), deployment_raw[[#This Row],[Column15]]/1048576,"")</f>
        <v/>
      </c>
      <c r="P169" s="190" t="str">
        <f>IF(ISNUMBER(deployment_raw[[#This Row],[Column12]]), (deployment_raw[[#This Row],[Column12]] * deployment_raw[[#This Row],[Column5]]),"")</f>
        <v/>
      </c>
      <c r="Q169" s="189" t="str">
        <f>IF(ISNUMBER(deployment_raw[[#This Row],[Column13]]), (deployment_raw[[#This Row],[Column13]] * deployment_raw[[#This Row],[Column5]])/1048576,"")</f>
        <v/>
      </c>
    </row>
    <row r="170" spans="1:17" ht="15.75" customHeight="1" x14ac:dyDescent="0.25">
      <c r="A170" s="37" t="str">
        <f>IF(ISNONTEXT(deployment_raw[[#This Row],[Column1]]), "", deployment_raw[[#This Row],[Column1]])</f>
        <v/>
      </c>
      <c r="B170" s="38" t="str">
        <f>IF(ISNONTEXT(deployment_raw[[#This Row],[Column2]]), "", deployment_raw[[#This Row],[Column2]])</f>
        <v/>
      </c>
      <c r="C170" s="38" t="str">
        <f>IF(ISNONTEXT(deployment_raw[[#This Row],[Column3]]), "", deployment_raw[[#This Row],[Column3]])</f>
        <v/>
      </c>
      <c r="D170" s="38" t="str">
        <f>IF(ISNONTEXT(deployment_raw[[#This Row],[Column4]]), "", deployment_raw[[#This Row],[Column4]])</f>
        <v/>
      </c>
      <c r="E170" s="39" t="str">
        <f>IF(ISNUMBER(deployment_raw[[#This Row],[Column5]]), deployment_raw[[#This Row],[Column5]],"")</f>
        <v/>
      </c>
      <c r="F170" s="174" t="str">
        <f>IF(ISNUMBER(deployment_raw[[#This Row],[Column6]]), (deployment_raw[[#This Row],[Column6]] * deployment_raw[[#This Row],[Column5]]),"")</f>
        <v/>
      </c>
      <c r="G170" s="175" t="str">
        <f>IF(ISNUMBER(deployment_raw[[#This Row],[Column7]]), (deployment_raw[[#This Row],[Column7]] * deployment_raw[[#This Row],[Column5]])/1048576,"")</f>
        <v/>
      </c>
      <c r="H170" s="175" t="str">
        <f>IF(ISNUMBER(deployment_raw[[#This Row],[Column8]]), (deployment_raw[[#This Row],[Column8]]  * deployment_raw[[#This Row],[Column5]]),"")</f>
        <v/>
      </c>
      <c r="I170" s="176" t="str">
        <f>IF(ISNUMBER(deployment_raw[[#This Row],[Column9]]), (deployment_raw[[#This Row],[Column9]] * deployment_raw[[#This Row],[Column5]])/1048576,"")</f>
        <v/>
      </c>
      <c r="J170" s="57" t="str">
        <f>IF(ISNUMBER(deployment_raw[[#This Row],[Column10]]), (deployment_raw[[#This Row],[Column10]] * deployment_raw[[#This Row],[Column5]]),"")</f>
        <v/>
      </c>
      <c r="K170" s="58" t="str">
        <f>IF(ISNUMBER(deployment_raw[[#This Row],[Column11]]), (deployment_raw[[#This Row],[Column11]] * deployment_raw[[#This Row],[Column5]])/1048576,"")</f>
        <v/>
      </c>
      <c r="L170" s="180" t="str">
        <f>IF(ISNUMBER(deployment_raw[[#This Row],[Column8]]),IF(deployment_raw[[#This Row],[Column5]] &lt;&gt; 0, MAX((deployment_raw[[#This Row],[Column12]] * deployment_raw[[#This Row],[Column5]]), ((deployment_raw[[#This Row],[Column8]] * deployment_raw[[#This Row],[Column5]]) * $L$2), ($H$2 * deployment_raw[[#This Row],[Column5]])), 0),"")</f>
        <v/>
      </c>
      <c r="M17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70" s="188" t="str">
        <f>IF(ISNUMBER(deployment_raw[[#This Row],[Column14]]), deployment_raw[[#This Row],[Column14]],"")</f>
        <v/>
      </c>
      <c r="O170" s="189" t="str">
        <f>IF(ISNUMBER(deployment_raw[[#This Row],[Column15]]), deployment_raw[[#This Row],[Column15]]/1048576,"")</f>
        <v/>
      </c>
      <c r="P170" s="190" t="str">
        <f>IF(ISNUMBER(deployment_raw[[#This Row],[Column12]]), (deployment_raw[[#This Row],[Column12]] * deployment_raw[[#This Row],[Column5]]),"")</f>
        <v/>
      </c>
      <c r="Q170" s="189" t="str">
        <f>IF(ISNUMBER(deployment_raw[[#This Row],[Column13]]), (deployment_raw[[#This Row],[Column13]] * deployment_raw[[#This Row],[Column5]])/1048576,"")</f>
        <v/>
      </c>
    </row>
    <row r="171" spans="1:17" ht="15.75" customHeight="1" x14ac:dyDescent="0.25">
      <c r="A171" s="37" t="str">
        <f>IF(ISNONTEXT(deployment_raw[[#This Row],[Column1]]), "", deployment_raw[[#This Row],[Column1]])</f>
        <v/>
      </c>
      <c r="B171" s="38" t="str">
        <f>IF(ISNONTEXT(deployment_raw[[#This Row],[Column2]]), "", deployment_raw[[#This Row],[Column2]])</f>
        <v/>
      </c>
      <c r="C171" s="38" t="str">
        <f>IF(ISNONTEXT(deployment_raw[[#This Row],[Column3]]), "", deployment_raw[[#This Row],[Column3]])</f>
        <v/>
      </c>
      <c r="D171" s="38" t="str">
        <f>IF(ISNONTEXT(deployment_raw[[#This Row],[Column4]]), "", deployment_raw[[#This Row],[Column4]])</f>
        <v/>
      </c>
      <c r="E171" s="39" t="str">
        <f>IF(ISNUMBER(deployment_raw[[#This Row],[Column5]]), deployment_raw[[#This Row],[Column5]],"")</f>
        <v/>
      </c>
      <c r="F171" s="174" t="str">
        <f>IF(ISNUMBER(deployment_raw[[#This Row],[Column6]]), (deployment_raw[[#This Row],[Column6]] * deployment_raw[[#This Row],[Column5]]),"")</f>
        <v/>
      </c>
      <c r="G171" s="175" t="str">
        <f>IF(ISNUMBER(deployment_raw[[#This Row],[Column7]]), (deployment_raw[[#This Row],[Column7]] * deployment_raw[[#This Row],[Column5]])/1048576,"")</f>
        <v/>
      </c>
      <c r="H171" s="175" t="str">
        <f>IF(ISNUMBER(deployment_raw[[#This Row],[Column8]]), (deployment_raw[[#This Row],[Column8]]  * deployment_raw[[#This Row],[Column5]]),"")</f>
        <v/>
      </c>
      <c r="I171" s="176" t="str">
        <f>IF(ISNUMBER(deployment_raw[[#This Row],[Column9]]), (deployment_raw[[#This Row],[Column9]] * deployment_raw[[#This Row],[Column5]])/1048576,"")</f>
        <v/>
      </c>
      <c r="J171" s="57" t="str">
        <f>IF(ISNUMBER(deployment_raw[[#This Row],[Column10]]), (deployment_raw[[#This Row],[Column10]] * deployment_raw[[#This Row],[Column5]]),"")</f>
        <v/>
      </c>
      <c r="K171" s="58" t="str">
        <f>IF(ISNUMBER(deployment_raw[[#This Row],[Column11]]), (deployment_raw[[#This Row],[Column11]] * deployment_raw[[#This Row],[Column5]])/1048576,"")</f>
        <v/>
      </c>
      <c r="L171" s="180" t="str">
        <f>IF(ISNUMBER(deployment_raw[[#This Row],[Column8]]),IF(deployment_raw[[#This Row],[Column5]] &lt;&gt; 0, MAX((deployment_raw[[#This Row],[Column12]] * deployment_raw[[#This Row],[Column5]]), ((deployment_raw[[#This Row],[Column8]] * deployment_raw[[#This Row],[Column5]]) * $L$2), ($H$2 * deployment_raw[[#This Row],[Column5]])), 0),"")</f>
        <v/>
      </c>
      <c r="M17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71" s="188" t="str">
        <f>IF(ISNUMBER(deployment_raw[[#This Row],[Column14]]), deployment_raw[[#This Row],[Column14]],"")</f>
        <v/>
      </c>
      <c r="O171" s="189" t="str">
        <f>IF(ISNUMBER(deployment_raw[[#This Row],[Column15]]), deployment_raw[[#This Row],[Column15]]/1048576,"")</f>
        <v/>
      </c>
      <c r="P171" s="190" t="str">
        <f>IF(ISNUMBER(deployment_raw[[#This Row],[Column12]]), (deployment_raw[[#This Row],[Column12]] * deployment_raw[[#This Row],[Column5]]),"")</f>
        <v/>
      </c>
      <c r="Q171" s="189" t="str">
        <f>IF(ISNUMBER(deployment_raw[[#This Row],[Column13]]), (deployment_raw[[#This Row],[Column13]] * deployment_raw[[#This Row],[Column5]])/1048576,"")</f>
        <v/>
      </c>
    </row>
    <row r="172" spans="1:17" ht="15.75" customHeight="1" x14ac:dyDescent="0.25">
      <c r="A172" s="37" t="str">
        <f>IF(ISNONTEXT(deployment_raw[[#This Row],[Column1]]), "", deployment_raw[[#This Row],[Column1]])</f>
        <v/>
      </c>
      <c r="B172" s="38" t="str">
        <f>IF(ISNONTEXT(deployment_raw[[#This Row],[Column2]]), "", deployment_raw[[#This Row],[Column2]])</f>
        <v/>
      </c>
      <c r="C172" s="38" t="str">
        <f>IF(ISNONTEXT(deployment_raw[[#This Row],[Column3]]), "", deployment_raw[[#This Row],[Column3]])</f>
        <v/>
      </c>
      <c r="D172" s="38" t="str">
        <f>IF(ISNONTEXT(deployment_raw[[#This Row],[Column4]]), "", deployment_raw[[#This Row],[Column4]])</f>
        <v/>
      </c>
      <c r="E172" s="39" t="str">
        <f>IF(ISNUMBER(deployment_raw[[#This Row],[Column5]]), deployment_raw[[#This Row],[Column5]],"")</f>
        <v/>
      </c>
      <c r="F172" s="174" t="str">
        <f>IF(ISNUMBER(deployment_raw[[#This Row],[Column6]]), (deployment_raw[[#This Row],[Column6]] * deployment_raw[[#This Row],[Column5]]),"")</f>
        <v/>
      </c>
      <c r="G172" s="175" t="str">
        <f>IF(ISNUMBER(deployment_raw[[#This Row],[Column7]]), (deployment_raw[[#This Row],[Column7]] * deployment_raw[[#This Row],[Column5]])/1048576,"")</f>
        <v/>
      </c>
      <c r="H172" s="175" t="str">
        <f>IF(ISNUMBER(deployment_raw[[#This Row],[Column8]]), (deployment_raw[[#This Row],[Column8]]  * deployment_raw[[#This Row],[Column5]]),"")</f>
        <v/>
      </c>
      <c r="I172" s="176" t="str">
        <f>IF(ISNUMBER(deployment_raw[[#This Row],[Column9]]), (deployment_raw[[#This Row],[Column9]] * deployment_raw[[#This Row],[Column5]])/1048576,"")</f>
        <v/>
      </c>
      <c r="J172" s="57" t="str">
        <f>IF(ISNUMBER(deployment_raw[[#This Row],[Column10]]), (deployment_raw[[#This Row],[Column10]] * deployment_raw[[#This Row],[Column5]]),"")</f>
        <v/>
      </c>
      <c r="K172" s="58" t="str">
        <f>IF(ISNUMBER(deployment_raw[[#This Row],[Column11]]), (deployment_raw[[#This Row],[Column11]] * deployment_raw[[#This Row],[Column5]])/1048576,"")</f>
        <v/>
      </c>
      <c r="L172" s="180" t="str">
        <f>IF(ISNUMBER(deployment_raw[[#This Row],[Column8]]),IF(deployment_raw[[#This Row],[Column5]] &lt;&gt; 0, MAX((deployment_raw[[#This Row],[Column12]] * deployment_raw[[#This Row],[Column5]]), ((deployment_raw[[#This Row],[Column8]] * deployment_raw[[#This Row],[Column5]]) * $L$2), ($H$2 * deployment_raw[[#This Row],[Column5]])), 0),"")</f>
        <v/>
      </c>
      <c r="M17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72" s="188" t="str">
        <f>IF(ISNUMBER(deployment_raw[[#This Row],[Column14]]), deployment_raw[[#This Row],[Column14]],"")</f>
        <v/>
      </c>
      <c r="O172" s="189" t="str">
        <f>IF(ISNUMBER(deployment_raw[[#This Row],[Column15]]), deployment_raw[[#This Row],[Column15]]/1048576,"")</f>
        <v/>
      </c>
      <c r="P172" s="190" t="str">
        <f>IF(ISNUMBER(deployment_raw[[#This Row],[Column12]]), (deployment_raw[[#This Row],[Column12]] * deployment_raw[[#This Row],[Column5]]),"")</f>
        <v/>
      </c>
      <c r="Q172" s="189" t="str">
        <f>IF(ISNUMBER(deployment_raw[[#This Row],[Column13]]), (deployment_raw[[#This Row],[Column13]] * deployment_raw[[#This Row],[Column5]])/1048576,"")</f>
        <v/>
      </c>
    </row>
    <row r="173" spans="1:17" ht="15.75" customHeight="1" x14ac:dyDescent="0.25">
      <c r="A173" s="37" t="str">
        <f>IF(ISNONTEXT(deployment_raw[[#This Row],[Column1]]), "", deployment_raw[[#This Row],[Column1]])</f>
        <v/>
      </c>
      <c r="B173" s="38" t="str">
        <f>IF(ISNONTEXT(deployment_raw[[#This Row],[Column2]]), "", deployment_raw[[#This Row],[Column2]])</f>
        <v/>
      </c>
      <c r="C173" s="38" t="str">
        <f>IF(ISNONTEXT(deployment_raw[[#This Row],[Column3]]), "", deployment_raw[[#This Row],[Column3]])</f>
        <v/>
      </c>
      <c r="D173" s="38" t="str">
        <f>IF(ISNONTEXT(deployment_raw[[#This Row],[Column4]]), "", deployment_raw[[#This Row],[Column4]])</f>
        <v/>
      </c>
      <c r="E173" s="39" t="str">
        <f>IF(ISNUMBER(deployment_raw[[#This Row],[Column5]]), deployment_raw[[#This Row],[Column5]],"")</f>
        <v/>
      </c>
      <c r="F173" s="174" t="str">
        <f>IF(ISNUMBER(deployment_raw[[#This Row],[Column6]]), (deployment_raw[[#This Row],[Column6]] * deployment_raw[[#This Row],[Column5]]),"")</f>
        <v/>
      </c>
      <c r="G173" s="175" t="str">
        <f>IF(ISNUMBER(deployment_raw[[#This Row],[Column7]]), (deployment_raw[[#This Row],[Column7]] * deployment_raw[[#This Row],[Column5]])/1048576,"")</f>
        <v/>
      </c>
      <c r="H173" s="175" t="str">
        <f>IF(ISNUMBER(deployment_raw[[#This Row],[Column8]]), (deployment_raw[[#This Row],[Column8]]  * deployment_raw[[#This Row],[Column5]]),"")</f>
        <v/>
      </c>
      <c r="I173" s="176" t="str">
        <f>IF(ISNUMBER(deployment_raw[[#This Row],[Column9]]), (deployment_raw[[#This Row],[Column9]] * deployment_raw[[#This Row],[Column5]])/1048576,"")</f>
        <v/>
      </c>
      <c r="J173" s="57" t="str">
        <f>IF(ISNUMBER(deployment_raw[[#This Row],[Column10]]), (deployment_raw[[#This Row],[Column10]] * deployment_raw[[#This Row],[Column5]]),"")</f>
        <v/>
      </c>
      <c r="K173" s="58" t="str">
        <f>IF(ISNUMBER(deployment_raw[[#This Row],[Column11]]), (deployment_raw[[#This Row],[Column11]] * deployment_raw[[#This Row],[Column5]])/1048576,"")</f>
        <v/>
      </c>
      <c r="L173" s="180" t="str">
        <f>IF(ISNUMBER(deployment_raw[[#This Row],[Column8]]),IF(deployment_raw[[#This Row],[Column5]] &lt;&gt; 0, MAX((deployment_raw[[#This Row],[Column12]] * deployment_raw[[#This Row],[Column5]]), ((deployment_raw[[#This Row],[Column8]] * deployment_raw[[#This Row],[Column5]]) * $L$2), ($H$2 * deployment_raw[[#This Row],[Column5]])), 0),"")</f>
        <v/>
      </c>
      <c r="M17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73" s="188" t="str">
        <f>IF(ISNUMBER(deployment_raw[[#This Row],[Column14]]), deployment_raw[[#This Row],[Column14]],"")</f>
        <v/>
      </c>
      <c r="O173" s="189" t="str">
        <f>IF(ISNUMBER(deployment_raw[[#This Row],[Column15]]), deployment_raw[[#This Row],[Column15]]/1048576,"")</f>
        <v/>
      </c>
      <c r="P173" s="190" t="str">
        <f>IF(ISNUMBER(deployment_raw[[#This Row],[Column12]]), (deployment_raw[[#This Row],[Column12]] * deployment_raw[[#This Row],[Column5]]),"")</f>
        <v/>
      </c>
      <c r="Q173" s="189" t="str">
        <f>IF(ISNUMBER(deployment_raw[[#This Row],[Column13]]), (deployment_raw[[#This Row],[Column13]] * deployment_raw[[#This Row],[Column5]])/1048576,"")</f>
        <v/>
      </c>
    </row>
    <row r="174" spans="1:17" ht="15.75" customHeight="1" x14ac:dyDescent="0.25">
      <c r="A174" s="37" t="str">
        <f>IF(ISNONTEXT(deployment_raw[[#This Row],[Column1]]), "", deployment_raw[[#This Row],[Column1]])</f>
        <v/>
      </c>
      <c r="B174" s="38" t="str">
        <f>IF(ISNONTEXT(deployment_raw[[#This Row],[Column2]]), "", deployment_raw[[#This Row],[Column2]])</f>
        <v/>
      </c>
      <c r="C174" s="38" t="str">
        <f>IF(ISNONTEXT(deployment_raw[[#This Row],[Column3]]), "", deployment_raw[[#This Row],[Column3]])</f>
        <v/>
      </c>
      <c r="D174" s="38" t="str">
        <f>IF(ISNONTEXT(deployment_raw[[#This Row],[Column4]]), "", deployment_raw[[#This Row],[Column4]])</f>
        <v/>
      </c>
      <c r="E174" s="39" t="str">
        <f>IF(ISNUMBER(deployment_raw[[#This Row],[Column5]]), deployment_raw[[#This Row],[Column5]],"")</f>
        <v/>
      </c>
      <c r="F174" s="174" t="str">
        <f>IF(ISNUMBER(deployment_raw[[#This Row],[Column6]]), (deployment_raw[[#This Row],[Column6]] * deployment_raw[[#This Row],[Column5]]),"")</f>
        <v/>
      </c>
      <c r="G174" s="175" t="str">
        <f>IF(ISNUMBER(deployment_raw[[#This Row],[Column7]]), (deployment_raw[[#This Row],[Column7]] * deployment_raw[[#This Row],[Column5]])/1048576,"")</f>
        <v/>
      </c>
      <c r="H174" s="175" t="str">
        <f>IF(ISNUMBER(deployment_raw[[#This Row],[Column8]]), (deployment_raw[[#This Row],[Column8]]  * deployment_raw[[#This Row],[Column5]]),"")</f>
        <v/>
      </c>
      <c r="I174" s="176" t="str">
        <f>IF(ISNUMBER(deployment_raw[[#This Row],[Column9]]), (deployment_raw[[#This Row],[Column9]] * deployment_raw[[#This Row],[Column5]])/1048576,"")</f>
        <v/>
      </c>
      <c r="J174" s="57" t="str">
        <f>IF(ISNUMBER(deployment_raw[[#This Row],[Column10]]), (deployment_raw[[#This Row],[Column10]] * deployment_raw[[#This Row],[Column5]]),"")</f>
        <v/>
      </c>
      <c r="K174" s="58" t="str">
        <f>IF(ISNUMBER(deployment_raw[[#This Row],[Column11]]), (deployment_raw[[#This Row],[Column11]] * deployment_raw[[#This Row],[Column5]])/1048576,"")</f>
        <v/>
      </c>
      <c r="L174" s="180" t="str">
        <f>IF(ISNUMBER(deployment_raw[[#This Row],[Column8]]),IF(deployment_raw[[#This Row],[Column5]] &lt;&gt; 0, MAX((deployment_raw[[#This Row],[Column12]] * deployment_raw[[#This Row],[Column5]]), ((deployment_raw[[#This Row],[Column8]] * deployment_raw[[#This Row],[Column5]]) * $L$2), ($H$2 * deployment_raw[[#This Row],[Column5]])), 0),"")</f>
        <v/>
      </c>
      <c r="M17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74" s="188" t="str">
        <f>IF(ISNUMBER(deployment_raw[[#This Row],[Column14]]), deployment_raw[[#This Row],[Column14]],"")</f>
        <v/>
      </c>
      <c r="O174" s="189" t="str">
        <f>IF(ISNUMBER(deployment_raw[[#This Row],[Column15]]), deployment_raw[[#This Row],[Column15]]/1048576,"")</f>
        <v/>
      </c>
      <c r="P174" s="190" t="str">
        <f>IF(ISNUMBER(deployment_raw[[#This Row],[Column12]]), (deployment_raw[[#This Row],[Column12]] * deployment_raw[[#This Row],[Column5]]),"")</f>
        <v/>
      </c>
      <c r="Q174" s="189" t="str">
        <f>IF(ISNUMBER(deployment_raw[[#This Row],[Column13]]), (deployment_raw[[#This Row],[Column13]] * deployment_raw[[#This Row],[Column5]])/1048576,"")</f>
        <v/>
      </c>
    </row>
    <row r="175" spans="1:17" ht="15.75" customHeight="1" x14ac:dyDescent="0.25">
      <c r="A175" s="37" t="str">
        <f>IF(ISNONTEXT(deployment_raw[[#This Row],[Column1]]), "", deployment_raw[[#This Row],[Column1]])</f>
        <v/>
      </c>
      <c r="B175" s="38" t="str">
        <f>IF(ISNONTEXT(deployment_raw[[#This Row],[Column2]]), "", deployment_raw[[#This Row],[Column2]])</f>
        <v/>
      </c>
      <c r="C175" s="38" t="str">
        <f>IF(ISNONTEXT(deployment_raw[[#This Row],[Column3]]), "", deployment_raw[[#This Row],[Column3]])</f>
        <v/>
      </c>
      <c r="D175" s="38" t="str">
        <f>IF(ISNONTEXT(deployment_raw[[#This Row],[Column4]]), "", deployment_raw[[#This Row],[Column4]])</f>
        <v/>
      </c>
      <c r="E175" s="39" t="str">
        <f>IF(ISNUMBER(deployment_raw[[#This Row],[Column5]]), deployment_raw[[#This Row],[Column5]],"")</f>
        <v/>
      </c>
      <c r="F175" s="174" t="str">
        <f>IF(ISNUMBER(deployment_raw[[#This Row],[Column6]]), (deployment_raw[[#This Row],[Column6]] * deployment_raw[[#This Row],[Column5]]),"")</f>
        <v/>
      </c>
      <c r="G175" s="175" t="str">
        <f>IF(ISNUMBER(deployment_raw[[#This Row],[Column7]]), (deployment_raw[[#This Row],[Column7]] * deployment_raw[[#This Row],[Column5]])/1048576,"")</f>
        <v/>
      </c>
      <c r="H175" s="175" t="str">
        <f>IF(ISNUMBER(deployment_raw[[#This Row],[Column8]]), (deployment_raw[[#This Row],[Column8]]  * deployment_raw[[#This Row],[Column5]]),"")</f>
        <v/>
      </c>
      <c r="I175" s="176" t="str">
        <f>IF(ISNUMBER(deployment_raw[[#This Row],[Column9]]), (deployment_raw[[#This Row],[Column9]] * deployment_raw[[#This Row],[Column5]])/1048576,"")</f>
        <v/>
      </c>
      <c r="J175" s="57" t="str">
        <f>IF(ISNUMBER(deployment_raw[[#This Row],[Column10]]), (deployment_raw[[#This Row],[Column10]] * deployment_raw[[#This Row],[Column5]]),"")</f>
        <v/>
      </c>
      <c r="K175" s="58" t="str">
        <f>IF(ISNUMBER(deployment_raw[[#This Row],[Column11]]), (deployment_raw[[#This Row],[Column11]] * deployment_raw[[#This Row],[Column5]])/1048576,"")</f>
        <v/>
      </c>
      <c r="L175" s="180" t="str">
        <f>IF(ISNUMBER(deployment_raw[[#This Row],[Column8]]),IF(deployment_raw[[#This Row],[Column5]] &lt;&gt; 0, MAX((deployment_raw[[#This Row],[Column12]] * deployment_raw[[#This Row],[Column5]]), ((deployment_raw[[#This Row],[Column8]] * deployment_raw[[#This Row],[Column5]]) * $L$2), ($H$2 * deployment_raw[[#This Row],[Column5]])), 0),"")</f>
        <v/>
      </c>
      <c r="M17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75" s="188" t="str">
        <f>IF(ISNUMBER(deployment_raw[[#This Row],[Column14]]), deployment_raw[[#This Row],[Column14]],"")</f>
        <v/>
      </c>
      <c r="O175" s="189" t="str">
        <f>IF(ISNUMBER(deployment_raw[[#This Row],[Column15]]), deployment_raw[[#This Row],[Column15]]/1048576,"")</f>
        <v/>
      </c>
      <c r="P175" s="190" t="str">
        <f>IF(ISNUMBER(deployment_raw[[#This Row],[Column12]]), (deployment_raw[[#This Row],[Column12]] * deployment_raw[[#This Row],[Column5]]),"")</f>
        <v/>
      </c>
      <c r="Q175" s="189" t="str">
        <f>IF(ISNUMBER(deployment_raw[[#This Row],[Column13]]), (deployment_raw[[#This Row],[Column13]] * deployment_raw[[#This Row],[Column5]])/1048576,"")</f>
        <v/>
      </c>
    </row>
    <row r="176" spans="1:17" ht="15.75" customHeight="1" x14ac:dyDescent="0.25">
      <c r="A176" s="37" t="str">
        <f>IF(ISNONTEXT(deployment_raw[[#This Row],[Column1]]), "", deployment_raw[[#This Row],[Column1]])</f>
        <v/>
      </c>
      <c r="B176" s="38" t="str">
        <f>IF(ISNONTEXT(deployment_raw[[#This Row],[Column2]]), "", deployment_raw[[#This Row],[Column2]])</f>
        <v/>
      </c>
      <c r="C176" s="38" t="str">
        <f>IF(ISNONTEXT(deployment_raw[[#This Row],[Column3]]), "", deployment_raw[[#This Row],[Column3]])</f>
        <v/>
      </c>
      <c r="D176" s="38" t="str">
        <f>IF(ISNONTEXT(deployment_raw[[#This Row],[Column4]]), "", deployment_raw[[#This Row],[Column4]])</f>
        <v/>
      </c>
      <c r="E176" s="39" t="str">
        <f>IF(ISNUMBER(deployment_raw[[#This Row],[Column5]]), deployment_raw[[#This Row],[Column5]],"")</f>
        <v/>
      </c>
      <c r="F176" s="174" t="str">
        <f>IF(ISNUMBER(deployment_raw[[#This Row],[Column6]]), (deployment_raw[[#This Row],[Column6]] * deployment_raw[[#This Row],[Column5]]),"")</f>
        <v/>
      </c>
      <c r="G176" s="175" t="str">
        <f>IF(ISNUMBER(deployment_raw[[#This Row],[Column7]]), (deployment_raw[[#This Row],[Column7]] * deployment_raw[[#This Row],[Column5]])/1048576,"")</f>
        <v/>
      </c>
      <c r="H176" s="175" t="str">
        <f>IF(ISNUMBER(deployment_raw[[#This Row],[Column8]]), (deployment_raw[[#This Row],[Column8]]  * deployment_raw[[#This Row],[Column5]]),"")</f>
        <v/>
      </c>
      <c r="I176" s="176" t="str">
        <f>IF(ISNUMBER(deployment_raw[[#This Row],[Column9]]), (deployment_raw[[#This Row],[Column9]] * deployment_raw[[#This Row],[Column5]])/1048576,"")</f>
        <v/>
      </c>
      <c r="J176" s="57" t="str">
        <f>IF(ISNUMBER(deployment_raw[[#This Row],[Column10]]), (deployment_raw[[#This Row],[Column10]] * deployment_raw[[#This Row],[Column5]]),"")</f>
        <v/>
      </c>
      <c r="K176" s="58" t="str">
        <f>IF(ISNUMBER(deployment_raw[[#This Row],[Column11]]), (deployment_raw[[#This Row],[Column11]] * deployment_raw[[#This Row],[Column5]])/1048576,"")</f>
        <v/>
      </c>
      <c r="L176" s="180" t="str">
        <f>IF(ISNUMBER(deployment_raw[[#This Row],[Column8]]),IF(deployment_raw[[#This Row],[Column5]] &lt;&gt; 0, MAX((deployment_raw[[#This Row],[Column12]] * deployment_raw[[#This Row],[Column5]]), ((deployment_raw[[#This Row],[Column8]] * deployment_raw[[#This Row],[Column5]]) * $L$2), ($H$2 * deployment_raw[[#This Row],[Column5]])), 0),"")</f>
        <v/>
      </c>
      <c r="M17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76" s="188" t="str">
        <f>IF(ISNUMBER(deployment_raw[[#This Row],[Column14]]), deployment_raw[[#This Row],[Column14]],"")</f>
        <v/>
      </c>
      <c r="O176" s="189" t="str">
        <f>IF(ISNUMBER(deployment_raw[[#This Row],[Column15]]), deployment_raw[[#This Row],[Column15]]/1048576,"")</f>
        <v/>
      </c>
      <c r="P176" s="190" t="str">
        <f>IF(ISNUMBER(deployment_raw[[#This Row],[Column12]]), (deployment_raw[[#This Row],[Column12]] * deployment_raw[[#This Row],[Column5]]),"")</f>
        <v/>
      </c>
      <c r="Q176" s="189" t="str">
        <f>IF(ISNUMBER(deployment_raw[[#This Row],[Column13]]), (deployment_raw[[#This Row],[Column13]] * deployment_raw[[#This Row],[Column5]])/1048576,"")</f>
        <v/>
      </c>
    </row>
    <row r="177" spans="1:17" ht="15.75" customHeight="1" x14ac:dyDescent="0.25">
      <c r="A177" s="37" t="str">
        <f>IF(ISNONTEXT(deployment_raw[[#This Row],[Column1]]), "", deployment_raw[[#This Row],[Column1]])</f>
        <v/>
      </c>
      <c r="B177" s="38" t="str">
        <f>IF(ISNONTEXT(deployment_raw[[#This Row],[Column2]]), "", deployment_raw[[#This Row],[Column2]])</f>
        <v/>
      </c>
      <c r="C177" s="38" t="str">
        <f>IF(ISNONTEXT(deployment_raw[[#This Row],[Column3]]), "", deployment_raw[[#This Row],[Column3]])</f>
        <v/>
      </c>
      <c r="D177" s="38" t="str">
        <f>IF(ISNONTEXT(deployment_raw[[#This Row],[Column4]]), "", deployment_raw[[#This Row],[Column4]])</f>
        <v/>
      </c>
      <c r="E177" s="39" t="str">
        <f>IF(ISNUMBER(deployment_raw[[#This Row],[Column5]]), deployment_raw[[#This Row],[Column5]],"")</f>
        <v/>
      </c>
      <c r="F177" s="174" t="str">
        <f>IF(ISNUMBER(deployment_raw[[#This Row],[Column6]]), (deployment_raw[[#This Row],[Column6]] * deployment_raw[[#This Row],[Column5]]),"")</f>
        <v/>
      </c>
      <c r="G177" s="175" t="str">
        <f>IF(ISNUMBER(deployment_raw[[#This Row],[Column7]]), (deployment_raw[[#This Row],[Column7]] * deployment_raw[[#This Row],[Column5]])/1048576,"")</f>
        <v/>
      </c>
      <c r="H177" s="175" t="str">
        <f>IF(ISNUMBER(deployment_raw[[#This Row],[Column8]]), (deployment_raw[[#This Row],[Column8]]  * deployment_raw[[#This Row],[Column5]]),"")</f>
        <v/>
      </c>
      <c r="I177" s="176" t="str">
        <f>IF(ISNUMBER(deployment_raw[[#This Row],[Column9]]), (deployment_raw[[#This Row],[Column9]] * deployment_raw[[#This Row],[Column5]])/1048576,"")</f>
        <v/>
      </c>
      <c r="J177" s="57" t="str">
        <f>IF(ISNUMBER(deployment_raw[[#This Row],[Column10]]), (deployment_raw[[#This Row],[Column10]] * deployment_raw[[#This Row],[Column5]]),"")</f>
        <v/>
      </c>
      <c r="K177" s="58" t="str">
        <f>IF(ISNUMBER(deployment_raw[[#This Row],[Column11]]), (deployment_raw[[#This Row],[Column11]] * deployment_raw[[#This Row],[Column5]])/1048576,"")</f>
        <v/>
      </c>
      <c r="L177" s="180" t="str">
        <f>IF(ISNUMBER(deployment_raw[[#This Row],[Column8]]),IF(deployment_raw[[#This Row],[Column5]] &lt;&gt; 0, MAX((deployment_raw[[#This Row],[Column12]] * deployment_raw[[#This Row],[Column5]]), ((deployment_raw[[#This Row],[Column8]] * deployment_raw[[#This Row],[Column5]]) * $L$2), ($H$2 * deployment_raw[[#This Row],[Column5]])), 0),"")</f>
        <v/>
      </c>
      <c r="M17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77" s="188" t="str">
        <f>IF(ISNUMBER(deployment_raw[[#This Row],[Column14]]), deployment_raw[[#This Row],[Column14]],"")</f>
        <v/>
      </c>
      <c r="O177" s="189" t="str">
        <f>IF(ISNUMBER(deployment_raw[[#This Row],[Column15]]), deployment_raw[[#This Row],[Column15]]/1048576,"")</f>
        <v/>
      </c>
      <c r="P177" s="190" t="str">
        <f>IF(ISNUMBER(deployment_raw[[#This Row],[Column12]]), (deployment_raw[[#This Row],[Column12]] * deployment_raw[[#This Row],[Column5]]),"")</f>
        <v/>
      </c>
      <c r="Q177" s="189" t="str">
        <f>IF(ISNUMBER(deployment_raw[[#This Row],[Column13]]), (deployment_raw[[#This Row],[Column13]] * deployment_raw[[#This Row],[Column5]])/1048576,"")</f>
        <v/>
      </c>
    </row>
    <row r="178" spans="1:17" ht="15.75" customHeight="1" x14ac:dyDescent="0.25">
      <c r="A178" s="37" t="str">
        <f>IF(ISNONTEXT(deployment_raw[[#This Row],[Column1]]), "", deployment_raw[[#This Row],[Column1]])</f>
        <v/>
      </c>
      <c r="B178" s="38" t="str">
        <f>IF(ISNONTEXT(deployment_raw[[#This Row],[Column2]]), "", deployment_raw[[#This Row],[Column2]])</f>
        <v/>
      </c>
      <c r="C178" s="38" t="str">
        <f>IF(ISNONTEXT(deployment_raw[[#This Row],[Column3]]), "", deployment_raw[[#This Row],[Column3]])</f>
        <v/>
      </c>
      <c r="D178" s="38" t="str">
        <f>IF(ISNONTEXT(deployment_raw[[#This Row],[Column4]]), "", deployment_raw[[#This Row],[Column4]])</f>
        <v/>
      </c>
      <c r="E178" s="39" t="str">
        <f>IF(ISNUMBER(deployment_raw[[#This Row],[Column5]]), deployment_raw[[#This Row],[Column5]],"")</f>
        <v/>
      </c>
      <c r="F178" s="174" t="str">
        <f>IF(ISNUMBER(deployment_raw[[#This Row],[Column6]]), (deployment_raw[[#This Row],[Column6]] * deployment_raw[[#This Row],[Column5]]),"")</f>
        <v/>
      </c>
      <c r="G178" s="175" t="str">
        <f>IF(ISNUMBER(deployment_raw[[#This Row],[Column7]]), (deployment_raw[[#This Row],[Column7]] * deployment_raw[[#This Row],[Column5]])/1048576,"")</f>
        <v/>
      </c>
      <c r="H178" s="175" t="str">
        <f>IF(ISNUMBER(deployment_raw[[#This Row],[Column8]]), (deployment_raw[[#This Row],[Column8]]  * deployment_raw[[#This Row],[Column5]]),"")</f>
        <v/>
      </c>
      <c r="I178" s="176" t="str">
        <f>IF(ISNUMBER(deployment_raw[[#This Row],[Column9]]), (deployment_raw[[#This Row],[Column9]] * deployment_raw[[#This Row],[Column5]])/1048576,"")</f>
        <v/>
      </c>
      <c r="J178" s="57" t="str">
        <f>IF(ISNUMBER(deployment_raw[[#This Row],[Column10]]), (deployment_raw[[#This Row],[Column10]] * deployment_raw[[#This Row],[Column5]]),"")</f>
        <v/>
      </c>
      <c r="K178" s="58" t="str">
        <f>IF(ISNUMBER(deployment_raw[[#This Row],[Column11]]), (deployment_raw[[#This Row],[Column11]] * deployment_raw[[#This Row],[Column5]])/1048576,"")</f>
        <v/>
      </c>
      <c r="L178" s="180" t="str">
        <f>IF(ISNUMBER(deployment_raw[[#This Row],[Column8]]),IF(deployment_raw[[#This Row],[Column5]] &lt;&gt; 0, MAX((deployment_raw[[#This Row],[Column12]] * deployment_raw[[#This Row],[Column5]]), ((deployment_raw[[#This Row],[Column8]] * deployment_raw[[#This Row],[Column5]]) * $L$2), ($H$2 * deployment_raw[[#This Row],[Column5]])), 0),"")</f>
        <v/>
      </c>
      <c r="M17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78" s="188" t="str">
        <f>IF(ISNUMBER(deployment_raw[[#This Row],[Column14]]), deployment_raw[[#This Row],[Column14]],"")</f>
        <v/>
      </c>
      <c r="O178" s="189" t="str">
        <f>IF(ISNUMBER(deployment_raw[[#This Row],[Column15]]), deployment_raw[[#This Row],[Column15]]/1048576,"")</f>
        <v/>
      </c>
      <c r="P178" s="190" t="str">
        <f>IF(ISNUMBER(deployment_raw[[#This Row],[Column12]]), (deployment_raw[[#This Row],[Column12]] * deployment_raw[[#This Row],[Column5]]),"")</f>
        <v/>
      </c>
      <c r="Q178" s="189" t="str">
        <f>IF(ISNUMBER(deployment_raw[[#This Row],[Column13]]), (deployment_raw[[#This Row],[Column13]] * deployment_raw[[#This Row],[Column5]])/1048576,"")</f>
        <v/>
      </c>
    </row>
    <row r="179" spans="1:17" ht="15.75" customHeight="1" x14ac:dyDescent="0.25">
      <c r="A179" s="37" t="str">
        <f>IF(ISNONTEXT(deployment_raw[[#This Row],[Column1]]), "", deployment_raw[[#This Row],[Column1]])</f>
        <v/>
      </c>
      <c r="B179" s="38" t="str">
        <f>IF(ISNONTEXT(deployment_raw[[#This Row],[Column2]]), "", deployment_raw[[#This Row],[Column2]])</f>
        <v/>
      </c>
      <c r="C179" s="38" t="str">
        <f>IF(ISNONTEXT(deployment_raw[[#This Row],[Column3]]), "", deployment_raw[[#This Row],[Column3]])</f>
        <v/>
      </c>
      <c r="D179" s="38" t="str">
        <f>IF(ISNONTEXT(deployment_raw[[#This Row],[Column4]]), "", deployment_raw[[#This Row],[Column4]])</f>
        <v/>
      </c>
      <c r="E179" s="39" t="str">
        <f>IF(ISNUMBER(deployment_raw[[#This Row],[Column5]]), deployment_raw[[#This Row],[Column5]],"")</f>
        <v/>
      </c>
      <c r="F179" s="174" t="str">
        <f>IF(ISNUMBER(deployment_raw[[#This Row],[Column6]]), (deployment_raw[[#This Row],[Column6]] * deployment_raw[[#This Row],[Column5]]),"")</f>
        <v/>
      </c>
      <c r="G179" s="175" t="str">
        <f>IF(ISNUMBER(deployment_raw[[#This Row],[Column7]]), (deployment_raw[[#This Row],[Column7]] * deployment_raw[[#This Row],[Column5]])/1048576,"")</f>
        <v/>
      </c>
      <c r="H179" s="175" t="str">
        <f>IF(ISNUMBER(deployment_raw[[#This Row],[Column8]]), (deployment_raw[[#This Row],[Column8]]  * deployment_raw[[#This Row],[Column5]]),"")</f>
        <v/>
      </c>
      <c r="I179" s="176" t="str">
        <f>IF(ISNUMBER(deployment_raw[[#This Row],[Column9]]), (deployment_raw[[#This Row],[Column9]] * deployment_raw[[#This Row],[Column5]])/1048576,"")</f>
        <v/>
      </c>
      <c r="J179" s="57" t="str">
        <f>IF(ISNUMBER(deployment_raw[[#This Row],[Column10]]), (deployment_raw[[#This Row],[Column10]] * deployment_raw[[#This Row],[Column5]]),"")</f>
        <v/>
      </c>
      <c r="K179" s="58" t="str">
        <f>IF(ISNUMBER(deployment_raw[[#This Row],[Column11]]), (deployment_raw[[#This Row],[Column11]] * deployment_raw[[#This Row],[Column5]])/1048576,"")</f>
        <v/>
      </c>
      <c r="L179" s="180" t="str">
        <f>IF(ISNUMBER(deployment_raw[[#This Row],[Column8]]),IF(deployment_raw[[#This Row],[Column5]] &lt;&gt; 0, MAX((deployment_raw[[#This Row],[Column12]] * deployment_raw[[#This Row],[Column5]]), ((deployment_raw[[#This Row],[Column8]] * deployment_raw[[#This Row],[Column5]]) * $L$2), ($H$2 * deployment_raw[[#This Row],[Column5]])), 0),"")</f>
        <v/>
      </c>
      <c r="M17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79" s="188" t="str">
        <f>IF(ISNUMBER(deployment_raw[[#This Row],[Column14]]), deployment_raw[[#This Row],[Column14]],"")</f>
        <v/>
      </c>
      <c r="O179" s="189" t="str">
        <f>IF(ISNUMBER(deployment_raw[[#This Row],[Column15]]), deployment_raw[[#This Row],[Column15]]/1048576,"")</f>
        <v/>
      </c>
      <c r="P179" s="190" t="str">
        <f>IF(ISNUMBER(deployment_raw[[#This Row],[Column12]]), (deployment_raw[[#This Row],[Column12]] * deployment_raw[[#This Row],[Column5]]),"")</f>
        <v/>
      </c>
      <c r="Q179" s="189" t="str">
        <f>IF(ISNUMBER(deployment_raw[[#This Row],[Column13]]), (deployment_raw[[#This Row],[Column13]] * deployment_raw[[#This Row],[Column5]])/1048576,"")</f>
        <v/>
      </c>
    </row>
    <row r="180" spans="1:17" ht="15.75" customHeight="1" x14ac:dyDescent="0.25">
      <c r="A180" s="37" t="str">
        <f>IF(ISNONTEXT(deployment_raw[[#This Row],[Column1]]), "", deployment_raw[[#This Row],[Column1]])</f>
        <v/>
      </c>
      <c r="B180" s="38" t="str">
        <f>IF(ISNONTEXT(deployment_raw[[#This Row],[Column2]]), "", deployment_raw[[#This Row],[Column2]])</f>
        <v/>
      </c>
      <c r="C180" s="38" t="str">
        <f>IF(ISNONTEXT(deployment_raw[[#This Row],[Column3]]), "", deployment_raw[[#This Row],[Column3]])</f>
        <v/>
      </c>
      <c r="D180" s="38" t="str">
        <f>IF(ISNONTEXT(deployment_raw[[#This Row],[Column4]]), "", deployment_raw[[#This Row],[Column4]])</f>
        <v/>
      </c>
      <c r="E180" s="39" t="str">
        <f>IF(ISNUMBER(deployment_raw[[#This Row],[Column5]]), deployment_raw[[#This Row],[Column5]],"")</f>
        <v/>
      </c>
      <c r="F180" s="174" t="str">
        <f>IF(ISNUMBER(deployment_raw[[#This Row],[Column6]]), (deployment_raw[[#This Row],[Column6]] * deployment_raw[[#This Row],[Column5]]),"")</f>
        <v/>
      </c>
      <c r="G180" s="175" t="str">
        <f>IF(ISNUMBER(deployment_raw[[#This Row],[Column7]]), (deployment_raw[[#This Row],[Column7]] * deployment_raw[[#This Row],[Column5]])/1048576,"")</f>
        <v/>
      </c>
      <c r="H180" s="175" t="str">
        <f>IF(ISNUMBER(deployment_raw[[#This Row],[Column8]]), (deployment_raw[[#This Row],[Column8]]  * deployment_raw[[#This Row],[Column5]]),"")</f>
        <v/>
      </c>
      <c r="I180" s="176" t="str">
        <f>IF(ISNUMBER(deployment_raw[[#This Row],[Column9]]), (deployment_raw[[#This Row],[Column9]] * deployment_raw[[#This Row],[Column5]])/1048576,"")</f>
        <v/>
      </c>
      <c r="J180" s="57" t="str">
        <f>IF(ISNUMBER(deployment_raw[[#This Row],[Column10]]), (deployment_raw[[#This Row],[Column10]] * deployment_raw[[#This Row],[Column5]]),"")</f>
        <v/>
      </c>
      <c r="K180" s="58" t="str">
        <f>IF(ISNUMBER(deployment_raw[[#This Row],[Column11]]), (deployment_raw[[#This Row],[Column11]] * deployment_raw[[#This Row],[Column5]])/1048576,"")</f>
        <v/>
      </c>
      <c r="L180" s="180" t="str">
        <f>IF(ISNUMBER(deployment_raw[[#This Row],[Column8]]),IF(deployment_raw[[#This Row],[Column5]] &lt;&gt; 0, MAX((deployment_raw[[#This Row],[Column12]] * deployment_raw[[#This Row],[Column5]]), ((deployment_raw[[#This Row],[Column8]] * deployment_raw[[#This Row],[Column5]]) * $L$2), ($H$2 * deployment_raw[[#This Row],[Column5]])), 0),"")</f>
        <v/>
      </c>
      <c r="M18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80" s="188" t="str">
        <f>IF(ISNUMBER(deployment_raw[[#This Row],[Column14]]), deployment_raw[[#This Row],[Column14]],"")</f>
        <v/>
      </c>
      <c r="O180" s="189" t="str">
        <f>IF(ISNUMBER(deployment_raw[[#This Row],[Column15]]), deployment_raw[[#This Row],[Column15]]/1048576,"")</f>
        <v/>
      </c>
      <c r="P180" s="190" t="str">
        <f>IF(ISNUMBER(deployment_raw[[#This Row],[Column12]]), (deployment_raw[[#This Row],[Column12]] * deployment_raw[[#This Row],[Column5]]),"")</f>
        <v/>
      </c>
      <c r="Q180" s="189" t="str">
        <f>IF(ISNUMBER(deployment_raw[[#This Row],[Column13]]), (deployment_raw[[#This Row],[Column13]] * deployment_raw[[#This Row],[Column5]])/1048576,"")</f>
        <v/>
      </c>
    </row>
    <row r="181" spans="1:17" ht="15.75" customHeight="1" x14ac:dyDescent="0.25">
      <c r="A181" s="37" t="str">
        <f>IF(ISNONTEXT(deployment_raw[[#This Row],[Column1]]), "", deployment_raw[[#This Row],[Column1]])</f>
        <v/>
      </c>
      <c r="B181" s="38" t="str">
        <f>IF(ISNONTEXT(deployment_raw[[#This Row],[Column2]]), "", deployment_raw[[#This Row],[Column2]])</f>
        <v/>
      </c>
      <c r="C181" s="38" t="str">
        <f>IF(ISNONTEXT(deployment_raw[[#This Row],[Column3]]), "", deployment_raw[[#This Row],[Column3]])</f>
        <v/>
      </c>
      <c r="D181" s="38" t="str">
        <f>IF(ISNONTEXT(deployment_raw[[#This Row],[Column4]]), "", deployment_raw[[#This Row],[Column4]])</f>
        <v/>
      </c>
      <c r="E181" s="39" t="str">
        <f>IF(ISNUMBER(deployment_raw[[#This Row],[Column5]]), deployment_raw[[#This Row],[Column5]],"")</f>
        <v/>
      </c>
      <c r="F181" s="174" t="str">
        <f>IF(ISNUMBER(deployment_raw[[#This Row],[Column6]]), (deployment_raw[[#This Row],[Column6]] * deployment_raw[[#This Row],[Column5]]),"")</f>
        <v/>
      </c>
      <c r="G181" s="175" t="str">
        <f>IF(ISNUMBER(deployment_raw[[#This Row],[Column7]]), (deployment_raw[[#This Row],[Column7]] * deployment_raw[[#This Row],[Column5]])/1048576,"")</f>
        <v/>
      </c>
      <c r="H181" s="175" t="str">
        <f>IF(ISNUMBER(deployment_raw[[#This Row],[Column8]]), (deployment_raw[[#This Row],[Column8]]  * deployment_raw[[#This Row],[Column5]]),"")</f>
        <v/>
      </c>
      <c r="I181" s="176" t="str">
        <f>IF(ISNUMBER(deployment_raw[[#This Row],[Column9]]), (deployment_raw[[#This Row],[Column9]] * deployment_raw[[#This Row],[Column5]])/1048576,"")</f>
        <v/>
      </c>
      <c r="J181" s="57" t="str">
        <f>IF(ISNUMBER(deployment_raw[[#This Row],[Column10]]), (deployment_raw[[#This Row],[Column10]] * deployment_raw[[#This Row],[Column5]]),"")</f>
        <v/>
      </c>
      <c r="K181" s="58" t="str">
        <f>IF(ISNUMBER(deployment_raw[[#This Row],[Column11]]), (deployment_raw[[#This Row],[Column11]] * deployment_raw[[#This Row],[Column5]])/1048576,"")</f>
        <v/>
      </c>
      <c r="L181" s="180" t="str">
        <f>IF(ISNUMBER(deployment_raw[[#This Row],[Column8]]),IF(deployment_raw[[#This Row],[Column5]] &lt;&gt; 0, MAX((deployment_raw[[#This Row],[Column12]] * deployment_raw[[#This Row],[Column5]]), ((deployment_raw[[#This Row],[Column8]] * deployment_raw[[#This Row],[Column5]]) * $L$2), ($H$2 * deployment_raw[[#This Row],[Column5]])), 0),"")</f>
        <v/>
      </c>
      <c r="M18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81" s="188" t="str">
        <f>IF(ISNUMBER(deployment_raw[[#This Row],[Column14]]), deployment_raw[[#This Row],[Column14]],"")</f>
        <v/>
      </c>
      <c r="O181" s="189" t="str">
        <f>IF(ISNUMBER(deployment_raw[[#This Row],[Column15]]), deployment_raw[[#This Row],[Column15]]/1048576,"")</f>
        <v/>
      </c>
      <c r="P181" s="190" t="str">
        <f>IF(ISNUMBER(deployment_raw[[#This Row],[Column12]]), (deployment_raw[[#This Row],[Column12]] * deployment_raw[[#This Row],[Column5]]),"")</f>
        <v/>
      </c>
      <c r="Q181" s="189" t="str">
        <f>IF(ISNUMBER(deployment_raw[[#This Row],[Column13]]), (deployment_raw[[#This Row],[Column13]] * deployment_raw[[#This Row],[Column5]])/1048576,"")</f>
        <v/>
      </c>
    </row>
    <row r="182" spans="1:17" ht="15.75" customHeight="1" x14ac:dyDescent="0.25">
      <c r="A182" s="37" t="str">
        <f>IF(ISNONTEXT(deployment_raw[[#This Row],[Column1]]), "", deployment_raw[[#This Row],[Column1]])</f>
        <v/>
      </c>
      <c r="B182" s="38" t="str">
        <f>IF(ISNONTEXT(deployment_raw[[#This Row],[Column2]]), "", deployment_raw[[#This Row],[Column2]])</f>
        <v/>
      </c>
      <c r="C182" s="38" t="str">
        <f>IF(ISNONTEXT(deployment_raw[[#This Row],[Column3]]), "", deployment_raw[[#This Row],[Column3]])</f>
        <v/>
      </c>
      <c r="D182" s="38" t="str">
        <f>IF(ISNONTEXT(deployment_raw[[#This Row],[Column4]]), "", deployment_raw[[#This Row],[Column4]])</f>
        <v/>
      </c>
      <c r="E182" s="39" t="str">
        <f>IF(ISNUMBER(deployment_raw[[#This Row],[Column5]]), deployment_raw[[#This Row],[Column5]],"")</f>
        <v/>
      </c>
      <c r="F182" s="174" t="str">
        <f>IF(ISNUMBER(deployment_raw[[#This Row],[Column6]]), (deployment_raw[[#This Row],[Column6]] * deployment_raw[[#This Row],[Column5]]),"")</f>
        <v/>
      </c>
      <c r="G182" s="175" t="str">
        <f>IF(ISNUMBER(deployment_raw[[#This Row],[Column7]]), (deployment_raw[[#This Row],[Column7]] * deployment_raw[[#This Row],[Column5]])/1048576,"")</f>
        <v/>
      </c>
      <c r="H182" s="175" t="str">
        <f>IF(ISNUMBER(deployment_raw[[#This Row],[Column8]]), (deployment_raw[[#This Row],[Column8]]  * deployment_raw[[#This Row],[Column5]]),"")</f>
        <v/>
      </c>
      <c r="I182" s="176" t="str">
        <f>IF(ISNUMBER(deployment_raw[[#This Row],[Column9]]), (deployment_raw[[#This Row],[Column9]] * deployment_raw[[#This Row],[Column5]])/1048576,"")</f>
        <v/>
      </c>
      <c r="J182" s="57" t="str">
        <f>IF(ISNUMBER(deployment_raw[[#This Row],[Column10]]), (deployment_raw[[#This Row],[Column10]] * deployment_raw[[#This Row],[Column5]]),"")</f>
        <v/>
      </c>
      <c r="K182" s="58" t="str">
        <f>IF(ISNUMBER(deployment_raw[[#This Row],[Column11]]), (deployment_raw[[#This Row],[Column11]] * deployment_raw[[#This Row],[Column5]])/1048576,"")</f>
        <v/>
      </c>
      <c r="L182" s="180" t="str">
        <f>IF(ISNUMBER(deployment_raw[[#This Row],[Column8]]),IF(deployment_raw[[#This Row],[Column5]] &lt;&gt; 0, MAX((deployment_raw[[#This Row],[Column12]] * deployment_raw[[#This Row],[Column5]]), ((deployment_raw[[#This Row],[Column8]] * deployment_raw[[#This Row],[Column5]]) * $L$2), ($H$2 * deployment_raw[[#This Row],[Column5]])), 0),"")</f>
        <v/>
      </c>
      <c r="M18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82" s="188" t="str">
        <f>IF(ISNUMBER(deployment_raw[[#This Row],[Column14]]), deployment_raw[[#This Row],[Column14]],"")</f>
        <v/>
      </c>
      <c r="O182" s="189" t="str">
        <f>IF(ISNUMBER(deployment_raw[[#This Row],[Column15]]), deployment_raw[[#This Row],[Column15]]/1048576,"")</f>
        <v/>
      </c>
      <c r="P182" s="190" t="str">
        <f>IF(ISNUMBER(deployment_raw[[#This Row],[Column12]]), (deployment_raw[[#This Row],[Column12]] * deployment_raw[[#This Row],[Column5]]),"")</f>
        <v/>
      </c>
      <c r="Q182" s="189" t="str">
        <f>IF(ISNUMBER(deployment_raw[[#This Row],[Column13]]), (deployment_raw[[#This Row],[Column13]] * deployment_raw[[#This Row],[Column5]])/1048576,"")</f>
        <v/>
      </c>
    </row>
    <row r="183" spans="1:17" ht="15.75" customHeight="1" x14ac:dyDescent="0.25">
      <c r="A183" s="37" t="str">
        <f>IF(ISNONTEXT(deployment_raw[[#This Row],[Column1]]), "", deployment_raw[[#This Row],[Column1]])</f>
        <v/>
      </c>
      <c r="B183" s="38" t="str">
        <f>IF(ISNONTEXT(deployment_raw[[#This Row],[Column2]]), "", deployment_raw[[#This Row],[Column2]])</f>
        <v/>
      </c>
      <c r="C183" s="38" t="str">
        <f>IF(ISNONTEXT(deployment_raw[[#This Row],[Column3]]), "", deployment_raw[[#This Row],[Column3]])</f>
        <v/>
      </c>
      <c r="D183" s="38" t="str">
        <f>IF(ISNONTEXT(deployment_raw[[#This Row],[Column4]]), "", deployment_raw[[#This Row],[Column4]])</f>
        <v/>
      </c>
      <c r="E183" s="39" t="str">
        <f>IF(ISNUMBER(deployment_raw[[#This Row],[Column5]]), deployment_raw[[#This Row],[Column5]],"")</f>
        <v/>
      </c>
      <c r="F183" s="174" t="str">
        <f>IF(ISNUMBER(deployment_raw[[#This Row],[Column6]]), (deployment_raw[[#This Row],[Column6]] * deployment_raw[[#This Row],[Column5]]),"")</f>
        <v/>
      </c>
      <c r="G183" s="175" t="str">
        <f>IF(ISNUMBER(deployment_raw[[#This Row],[Column7]]), (deployment_raw[[#This Row],[Column7]] * deployment_raw[[#This Row],[Column5]])/1048576,"")</f>
        <v/>
      </c>
      <c r="H183" s="175" t="str">
        <f>IF(ISNUMBER(deployment_raw[[#This Row],[Column8]]), (deployment_raw[[#This Row],[Column8]]  * deployment_raw[[#This Row],[Column5]]),"")</f>
        <v/>
      </c>
      <c r="I183" s="176" t="str">
        <f>IF(ISNUMBER(deployment_raw[[#This Row],[Column9]]), (deployment_raw[[#This Row],[Column9]] * deployment_raw[[#This Row],[Column5]])/1048576,"")</f>
        <v/>
      </c>
      <c r="J183" s="57" t="str">
        <f>IF(ISNUMBER(deployment_raw[[#This Row],[Column10]]), (deployment_raw[[#This Row],[Column10]] * deployment_raw[[#This Row],[Column5]]),"")</f>
        <v/>
      </c>
      <c r="K183" s="58" t="str">
        <f>IF(ISNUMBER(deployment_raw[[#This Row],[Column11]]), (deployment_raw[[#This Row],[Column11]] * deployment_raw[[#This Row],[Column5]])/1048576,"")</f>
        <v/>
      </c>
      <c r="L183" s="180" t="str">
        <f>IF(ISNUMBER(deployment_raw[[#This Row],[Column8]]),IF(deployment_raw[[#This Row],[Column5]] &lt;&gt; 0, MAX((deployment_raw[[#This Row],[Column12]] * deployment_raw[[#This Row],[Column5]]), ((deployment_raw[[#This Row],[Column8]] * deployment_raw[[#This Row],[Column5]]) * $L$2), ($H$2 * deployment_raw[[#This Row],[Column5]])), 0),"")</f>
        <v/>
      </c>
      <c r="M18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83" s="188" t="str">
        <f>IF(ISNUMBER(deployment_raw[[#This Row],[Column14]]), deployment_raw[[#This Row],[Column14]],"")</f>
        <v/>
      </c>
      <c r="O183" s="189" t="str">
        <f>IF(ISNUMBER(deployment_raw[[#This Row],[Column15]]), deployment_raw[[#This Row],[Column15]]/1048576,"")</f>
        <v/>
      </c>
      <c r="P183" s="190" t="str">
        <f>IF(ISNUMBER(deployment_raw[[#This Row],[Column12]]), (deployment_raw[[#This Row],[Column12]] * deployment_raw[[#This Row],[Column5]]),"")</f>
        <v/>
      </c>
      <c r="Q183" s="189" t="str">
        <f>IF(ISNUMBER(deployment_raw[[#This Row],[Column13]]), (deployment_raw[[#This Row],[Column13]] * deployment_raw[[#This Row],[Column5]])/1048576,"")</f>
        <v/>
      </c>
    </row>
    <row r="184" spans="1:17" ht="15.75" customHeight="1" x14ac:dyDescent="0.25">
      <c r="A184" s="37" t="str">
        <f>IF(ISNONTEXT(deployment_raw[[#This Row],[Column1]]), "", deployment_raw[[#This Row],[Column1]])</f>
        <v/>
      </c>
      <c r="B184" s="38" t="str">
        <f>IF(ISNONTEXT(deployment_raw[[#This Row],[Column2]]), "", deployment_raw[[#This Row],[Column2]])</f>
        <v/>
      </c>
      <c r="C184" s="38" t="str">
        <f>IF(ISNONTEXT(deployment_raw[[#This Row],[Column3]]), "", deployment_raw[[#This Row],[Column3]])</f>
        <v/>
      </c>
      <c r="D184" s="38" t="str">
        <f>IF(ISNONTEXT(deployment_raw[[#This Row],[Column4]]), "", deployment_raw[[#This Row],[Column4]])</f>
        <v/>
      </c>
      <c r="E184" s="39" t="str">
        <f>IF(ISNUMBER(deployment_raw[[#This Row],[Column5]]), deployment_raw[[#This Row],[Column5]],"")</f>
        <v/>
      </c>
      <c r="F184" s="174" t="str">
        <f>IF(ISNUMBER(deployment_raw[[#This Row],[Column6]]), (deployment_raw[[#This Row],[Column6]] * deployment_raw[[#This Row],[Column5]]),"")</f>
        <v/>
      </c>
      <c r="G184" s="175" t="str">
        <f>IF(ISNUMBER(deployment_raw[[#This Row],[Column7]]), (deployment_raw[[#This Row],[Column7]] * deployment_raw[[#This Row],[Column5]])/1048576,"")</f>
        <v/>
      </c>
      <c r="H184" s="175" t="str">
        <f>IF(ISNUMBER(deployment_raw[[#This Row],[Column8]]), (deployment_raw[[#This Row],[Column8]]  * deployment_raw[[#This Row],[Column5]]),"")</f>
        <v/>
      </c>
      <c r="I184" s="176" t="str">
        <f>IF(ISNUMBER(deployment_raw[[#This Row],[Column9]]), (deployment_raw[[#This Row],[Column9]] * deployment_raw[[#This Row],[Column5]])/1048576,"")</f>
        <v/>
      </c>
      <c r="J184" s="57" t="str">
        <f>IF(ISNUMBER(deployment_raw[[#This Row],[Column10]]), (deployment_raw[[#This Row],[Column10]] * deployment_raw[[#This Row],[Column5]]),"")</f>
        <v/>
      </c>
      <c r="K184" s="58" t="str">
        <f>IF(ISNUMBER(deployment_raw[[#This Row],[Column11]]), (deployment_raw[[#This Row],[Column11]] * deployment_raw[[#This Row],[Column5]])/1048576,"")</f>
        <v/>
      </c>
      <c r="L184" s="180" t="str">
        <f>IF(ISNUMBER(deployment_raw[[#This Row],[Column8]]),IF(deployment_raw[[#This Row],[Column5]] &lt;&gt; 0, MAX((deployment_raw[[#This Row],[Column12]] * deployment_raw[[#This Row],[Column5]]), ((deployment_raw[[#This Row],[Column8]] * deployment_raw[[#This Row],[Column5]]) * $L$2), ($H$2 * deployment_raw[[#This Row],[Column5]])), 0),"")</f>
        <v/>
      </c>
      <c r="M18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84" s="188" t="str">
        <f>IF(ISNUMBER(deployment_raw[[#This Row],[Column14]]), deployment_raw[[#This Row],[Column14]],"")</f>
        <v/>
      </c>
      <c r="O184" s="189" t="str">
        <f>IF(ISNUMBER(deployment_raw[[#This Row],[Column15]]), deployment_raw[[#This Row],[Column15]]/1048576,"")</f>
        <v/>
      </c>
      <c r="P184" s="190" t="str">
        <f>IF(ISNUMBER(deployment_raw[[#This Row],[Column12]]), (deployment_raw[[#This Row],[Column12]] * deployment_raw[[#This Row],[Column5]]),"")</f>
        <v/>
      </c>
      <c r="Q184" s="189" t="str">
        <f>IF(ISNUMBER(deployment_raw[[#This Row],[Column13]]), (deployment_raw[[#This Row],[Column13]] * deployment_raw[[#This Row],[Column5]])/1048576,"")</f>
        <v/>
      </c>
    </row>
    <row r="185" spans="1:17" ht="15.75" customHeight="1" x14ac:dyDescent="0.25">
      <c r="A185" s="37" t="str">
        <f>IF(ISNONTEXT(deployment_raw[[#This Row],[Column1]]), "", deployment_raw[[#This Row],[Column1]])</f>
        <v/>
      </c>
      <c r="B185" s="38" t="str">
        <f>IF(ISNONTEXT(deployment_raw[[#This Row],[Column2]]), "", deployment_raw[[#This Row],[Column2]])</f>
        <v/>
      </c>
      <c r="C185" s="38" t="str">
        <f>IF(ISNONTEXT(deployment_raw[[#This Row],[Column3]]), "", deployment_raw[[#This Row],[Column3]])</f>
        <v/>
      </c>
      <c r="D185" s="38" t="str">
        <f>IF(ISNONTEXT(deployment_raw[[#This Row],[Column4]]), "", deployment_raw[[#This Row],[Column4]])</f>
        <v/>
      </c>
      <c r="E185" s="39" t="str">
        <f>IF(ISNUMBER(deployment_raw[[#This Row],[Column5]]), deployment_raw[[#This Row],[Column5]],"")</f>
        <v/>
      </c>
      <c r="F185" s="174" t="str">
        <f>IF(ISNUMBER(deployment_raw[[#This Row],[Column6]]), (deployment_raw[[#This Row],[Column6]] * deployment_raw[[#This Row],[Column5]]),"")</f>
        <v/>
      </c>
      <c r="G185" s="175" t="str">
        <f>IF(ISNUMBER(deployment_raw[[#This Row],[Column7]]), (deployment_raw[[#This Row],[Column7]] * deployment_raw[[#This Row],[Column5]])/1048576,"")</f>
        <v/>
      </c>
      <c r="H185" s="175" t="str">
        <f>IF(ISNUMBER(deployment_raw[[#This Row],[Column8]]), (deployment_raw[[#This Row],[Column8]]  * deployment_raw[[#This Row],[Column5]]),"")</f>
        <v/>
      </c>
      <c r="I185" s="176" t="str">
        <f>IF(ISNUMBER(deployment_raw[[#This Row],[Column9]]), (deployment_raw[[#This Row],[Column9]] * deployment_raw[[#This Row],[Column5]])/1048576,"")</f>
        <v/>
      </c>
      <c r="J185" s="57" t="str">
        <f>IF(ISNUMBER(deployment_raw[[#This Row],[Column10]]), (deployment_raw[[#This Row],[Column10]] * deployment_raw[[#This Row],[Column5]]),"")</f>
        <v/>
      </c>
      <c r="K185" s="58" t="str">
        <f>IF(ISNUMBER(deployment_raw[[#This Row],[Column11]]), (deployment_raw[[#This Row],[Column11]] * deployment_raw[[#This Row],[Column5]])/1048576,"")</f>
        <v/>
      </c>
      <c r="L185" s="180" t="str">
        <f>IF(ISNUMBER(deployment_raw[[#This Row],[Column8]]),IF(deployment_raw[[#This Row],[Column5]] &lt;&gt; 0, MAX((deployment_raw[[#This Row],[Column12]] * deployment_raw[[#This Row],[Column5]]), ((deployment_raw[[#This Row],[Column8]] * deployment_raw[[#This Row],[Column5]]) * $L$2), ($H$2 * deployment_raw[[#This Row],[Column5]])), 0),"")</f>
        <v/>
      </c>
      <c r="M18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85" s="188" t="str">
        <f>IF(ISNUMBER(deployment_raw[[#This Row],[Column14]]), deployment_raw[[#This Row],[Column14]],"")</f>
        <v/>
      </c>
      <c r="O185" s="189" t="str">
        <f>IF(ISNUMBER(deployment_raw[[#This Row],[Column15]]), deployment_raw[[#This Row],[Column15]]/1048576,"")</f>
        <v/>
      </c>
      <c r="P185" s="190" t="str">
        <f>IF(ISNUMBER(deployment_raw[[#This Row],[Column12]]), (deployment_raw[[#This Row],[Column12]] * deployment_raw[[#This Row],[Column5]]),"")</f>
        <v/>
      </c>
      <c r="Q185" s="189" t="str">
        <f>IF(ISNUMBER(deployment_raw[[#This Row],[Column13]]), (deployment_raw[[#This Row],[Column13]] * deployment_raw[[#This Row],[Column5]])/1048576,"")</f>
        <v/>
      </c>
    </row>
    <row r="186" spans="1:17" ht="15.75" customHeight="1" x14ac:dyDescent="0.25">
      <c r="A186" s="37" t="str">
        <f>IF(ISNONTEXT(deployment_raw[[#This Row],[Column1]]), "", deployment_raw[[#This Row],[Column1]])</f>
        <v/>
      </c>
      <c r="B186" s="38" t="str">
        <f>IF(ISNONTEXT(deployment_raw[[#This Row],[Column2]]), "", deployment_raw[[#This Row],[Column2]])</f>
        <v/>
      </c>
      <c r="C186" s="38" t="str">
        <f>IF(ISNONTEXT(deployment_raw[[#This Row],[Column3]]), "", deployment_raw[[#This Row],[Column3]])</f>
        <v/>
      </c>
      <c r="D186" s="38" t="str">
        <f>IF(ISNONTEXT(deployment_raw[[#This Row],[Column4]]), "", deployment_raw[[#This Row],[Column4]])</f>
        <v/>
      </c>
      <c r="E186" s="39" t="str">
        <f>IF(ISNUMBER(deployment_raw[[#This Row],[Column5]]), deployment_raw[[#This Row],[Column5]],"")</f>
        <v/>
      </c>
      <c r="F186" s="174" t="str">
        <f>IF(ISNUMBER(deployment_raw[[#This Row],[Column6]]), (deployment_raw[[#This Row],[Column6]] * deployment_raw[[#This Row],[Column5]]),"")</f>
        <v/>
      </c>
      <c r="G186" s="175" t="str">
        <f>IF(ISNUMBER(deployment_raw[[#This Row],[Column7]]), (deployment_raw[[#This Row],[Column7]] * deployment_raw[[#This Row],[Column5]])/1048576,"")</f>
        <v/>
      </c>
      <c r="H186" s="175" t="str">
        <f>IF(ISNUMBER(deployment_raw[[#This Row],[Column8]]), (deployment_raw[[#This Row],[Column8]]  * deployment_raw[[#This Row],[Column5]]),"")</f>
        <v/>
      </c>
      <c r="I186" s="176" t="str">
        <f>IF(ISNUMBER(deployment_raw[[#This Row],[Column9]]), (deployment_raw[[#This Row],[Column9]] * deployment_raw[[#This Row],[Column5]])/1048576,"")</f>
        <v/>
      </c>
      <c r="J186" s="57" t="str">
        <f>IF(ISNUMBER(deployment_raw[[#This Row],[Column10]]), (deployment_raw[[#This Row],[Column10]] * deployment_raw[[#This Row],[Column5]]),"")</f>
        <v/>
      </c>
      <c r="K186" s="58" t="str">
        <f>IF(ISNUMBER(deployment_raw[[#This Row],[Column11]]), (deployment_raw[[#This Row],[Column11]] * deployment_raw[[#This Row],[Column5]])/1048576,"")</f>
        <v/>
      </c>
      <c r="L186" s="180" t="str">
        <f>IF(ISNUMBER(deployment_raw[[#This Row],[Column8]]),IF(deployment_raw[[#This Row],[Column5]] &lt;&gt; 0, MAX((deployment_raw[[#This Row],[Column12]] * deployment_raw[[#This Row],[Column5]]), ((deployment_raw[[#This Row],[Column8]] * deployment_raw[[#This Row],[Column5]]) * $L$2), ($H$2 * deployment_raw[[#This Row],[Column5]])), 0),"")</f>
        <v/>
      </c>
      <c r="M18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86" s="188" t="str">
        <f>IF(ISNUMBER(deployment_raw[[#This Row],[Column14]]), deployment_raw[[#This Row],[Column14]],"")</f>
        <v/>
      </c>
      <c r="O186" s="189" t="str">
        <f>IF(ISNUMBER(deployment_raw[[#This Row],[Column15]]), deployment_raw[[#This Row],[Column15]]/1048576,"")</f>
        <v/>
      </c>
      <c r="P186" s="190" t="str">
        <f>IF(ISNUMBER(deployment_raw[[#This Row],[Column12]]), (deployment_raw[[#This Row],[Column12]] * deployment_raw[[#This Row],[Column5]]),"")</f>
        <v/>
      </c>
      <c r="Q186" s="189" t="str">
        <f>IF(ISNUMBER(deployment_raw[[#This Row],[Column13]]), (deployment_raw[[#This Row],[Column13]] * deployment_raw[[#This Row],[Column5]])/1048576,"")</f>
        <v/>
      </c>
    </row>
    <row r="187" spans="1:17" ht="15.75" customHeight="1" x14ac:dyDescent="0.25">
      <c r="A187" s="37" t="str">
        <f>IF(ISNONTEXT(deployment_raw[[#This Row],[Column1]]), "", deployment_raw[[#This Row],[Column1]])</f>
        <v/>
      </c>
      <c r="B187" s="38" t="str">
        <f>IF(ISNONTEXT(deployment_raw[[#This Row],[Column2]]), "", deployment_raw[[#This Row],[Column2]])</f>
        <v/>
      </c>
      <c r="C187" s="38" t="str">
        <f>IF(ISNONTEXT(deployment_raw[[#This Row],[Column3]]), "", deployment_raw[[#This Row],[Column3]])</f>
        <v/>
      </c>
      <c r="D187" s="38" t="str">
        <f>IF(ISNONTEXT(deployment_raw[[#This Row],[Column4]]), "", deployment_raw[[#This Row],[Column4]])</f>
        <v/>
      </c>
      <c r="E187" s="39" t="str">
        <f>IF(ISNUMBER(deployment_raw[[#This Row],[Column5]]), deployment_raw[[#This Row],[Column5]],"")</f>
        <v/>
      </c>
      <c r="F187" s="174" t="str">
        <f>IF(ISNUMBER(deployment_raw[[#This Row],[Column6]]), (deployment_raw[[#This Row],[Column6]] * deployment_raw[[#This Row],[Column5]]),"")</f>
        <v/>
      </c>
      <c r="G187" s="175" t="str">
        <f>IF(ISNUMBER(deployment_raw[[#This Row],[Column7]]), (deployment_raw[[#This Row],[Column7]] * deployment_raw[[#This Row],[Column5]])/1048576,"")</f>
        <v/>
      </c>
      <c r="H187" s="175" t="str">
        <f>IF(ISNUMBER(deployment_raw[[#This Row],[Column8]]), (deployment_raw[[#This Row],[Column8]]  * deployment_raw[[#This Row],[Column5]]),"")</f>
        <v/>
      </c>
      <c r="I187" s="176" t="str">
        <f>IF(ISNUMBER(deployment_raw[[#This Row],[Column9]]), (deployment_raw[[#This Row],[Column9]] * deployment_raw[[#This Row],[Column5]])/1048576,"")</f>
        <v/>
      </c>
      <c r="J187" s="57" t="str">
        <f>IF(ISNUMBER(deployment_raw[[#This Row],[Column10]]), (deployment_raw[[#This Row],[Column10]] * deployment_raw[[#This Row],[Column5]]),"")</f>
        <v/>
      </c>
      <c r="K187" s="58" t="str">
        <f>IF(ISNUMBER(deployment_raw[[#This Row],[Column11]]), (deployment_raw[[#This Row],[Column11]] * deployment_raw[[#This Row],[Column5]])/1048576,"")</f>
        <v/>
      </c>
      <c r="L187" s="180" t="str">
        <f>IF(ISNUMBER(deployment_raw[[#This Row],[Column8]]),IF(deployment_raw[[#This Row],[Column5]] &lt;&gt; 0, MAX((deployment_raw[[#This Row],[Column12]] * deployment_raw[[#This Row],[Column5]]), ((deployment_raw[[#This Row],[Column8]] * deployment_raw[[#This Row],[Column5]]) * $L$2), ($H$2 * deployment_raw[[#This Row],[Column5]])), 0),"")</f>
        <v/>
      </c>
      <c r="M18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87" s="188" t="str">
        <f>IF(ISNUMBER(deployment_raw[[#This Row],[Column14]]), deployment_raw[[#This Row],[Column14]],"")</f>
        <v/>
      </c>
      <c r="O187" s="189" t="str">
        <f>IF(ISNUMBER(deployment_raw[[#This Row],[Column15]]), deployment_raw[[#This Row],[Column15]]/1048576,"")</f>
        <v/>
      </c>
      <c r="P187" s="190" t="str">
        <f>IF(ISNUMBER(deployment_raw[[#This Row],[Column12]]), (deployment_raw[[#This Row],[Column12]] * deployment_raw[[#This Row],[Column5]]),"")</f>
        <v/>
      </c>
      <c r="Q187" s="189" t="str">
        <f>IF(ISNUMBER(deployment_raw[[#This Row],[Column13]]), (deployment_raw[[#This Row],[Column13]] * deployment_raw[[#This Row],[Column5]])/1048576,"")</f>
        <v/>
      </c>
    </row>
    <row r="188" spans="1:17" ht="15.75" customHeight="1" x14ac:dyDescent="0.25">
      <c r="A188" s="37" t="str">
        <f>IF(ISNONTEXT(deployment_raw[[#This Row],[Column1]]), "", deployment_raw[[#This Row],[Column1]])</f>
        <v/>
      </c>
      <c r="B188" s="38" t="str">
        <f>IF(ISNONTEXT(deployment_raw[[#This Row],[Column2]]), "", deployment_raw[[#This Row],[Column2]])</f>
        <v/>
      </c>
      <c r="C188" s="38" t="str">
        <f>IF(ISNONTEXT(deployment_raw[[#This Row],[Column3]]), "", deployment_raw[[#This Row],[Column3]])</f>
        <v/>
      </c>
      <c r="D188" s="38" t="str">
        <f>IF(ISNONTEXT(deployment_raw[[#This Row],[Column4]]), "", deployment_raw[[#This Row],[Column4]])</f>
        <v/>
      </c>
      <c r="E188" s="39" t="str">
        <f>IF(ISNUMBER(deployment_raw[[#This Row],[Column5]]), deployment_raw[[#This Row],[Column5]],"")</f>
        <v/>
      </c>
      <c r="F188" s="174" t="str">
        <f>IF(ISNUMBER(deployment_raw[[#This Row],[Column6]]), (deployment_raw[[#This Row],[Column6]] * deployment_raw[[#This Row],[Column5]]),"")</f>
        <v/>
      </c>
      <c r="G188" s="175" t="str">
        <f>IF(ISNUMBER(deployment_raw[[#This Row],[Column7]]), (deployment_raw[[#This Row],[Column7]] * deployment_raw[[#This Row],[Column5]])/1048576,"")</f>
        <v/>
      </c>
      <c r="H188" s="175" t="str">
        <f>IF(ISNUMBER(deployment_raw[[#This Row],[Column8]]), (deployment_raw[[#This Row],[Column8]]  * deployment_raw[[#This Row],[Column5]]),"")</f>
        <v/>
      </c>
      <c r="I188" s="176" t="str">
        <f>IF(ISNUMBER(deployment_raw[[#This Row],[Column9]]), (deployment_raw[[#This Row],[Column9]] * deployment_raw[[#This Row],[Column5]])/1048576,"")</f>
        <v/>
      </c>
      <c r="J188" s="57" t="str">
        <f>IF(ISNUMBER(deployment_raw[[#This Row],[Column10]]), (deployment_raw[[#This Row],[Column10]] * deployment_raw[[#This Row],[Column5]]),"")</f>
        <v/>
      </c>
      <c r="K188" s="58" t="str">
        <f>IF(ISNUMBER(deployment_raw[[#This Row],[Column11]]), (deployment_raw[[#This Row],[Column11]] * deployment_raw[[#This Row],[Column5]])/1048576,"")</f>
        <v/>
      </c>
      <c r="L188" s="180" t="str">
        <f>IF(ISNUMBER(deployment_raw[[#This Row],[Column8]]),IF(deployment_raw[[#This Row],[Column5]] &lt;&gt; 0, MAX((deployment_raw[[#This Row],[Column12]] * deployment_raw[[#This Row],[Column5]]), ((deployment_raw[[#This Row],[Column8]] * deployment_raw[[#This Row],[Column5]]) * $L$2), ($H$2 * deployment_raw[[#This Row],[Column5]])), 0),"")</f>
        <v/>
      </c>
      <c r="M18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88" s="188" t="str">
        <f>IF(ISNUMBER(deployment_raw[[#This Row],[Column14]]), deployment_raw[[#This Row],[Column14]],"")</f>
        <v/>
      </c>
      <c r="O188" s="189" t="str">
        <f>IF(ISNUMBER(deployment_raw[[#This Row],[Column15]]), deployment_raw[[#This Row],[Column15]]/1048576,"")</f>
        <v/>
      </c>
      <c r="P188" s="190" t="str">
        <f>IF(ISNUMBER(deployment_raw[[#This Row],[Column12]]), (deployment_raw[[#This Row],[Column12]] * deployment_raw[[#This Row],[Column5]]),"")</f>
        <v/>
      </c>
      <c r="Q188" s="189" t="str">
        <f>IF(ISNUMBER(deployment_raw[[#This Row],[Column13]]), (deployment_raw[[#This Row],[Column13]] * deployment_raw[[#This Row],[Column5]])/1048576,"")</f>
        <v/>
      </c>
    </row>
    <row r="189" spans="1:17" ht="15.75" customHeight="1" x14ac:dyDescent="0.25">
      <c r="A189" s="37" t="str">
        <f>IF(ISNONTEXT(deployment_raw[[#This Row],[Column1]]), "", deployment_raw[[#This Row],[Column1]])</f>
        <v/>
      </c>
      <c r="B189" s="38" t="str">
        <f>IF(ISNONTEXT(deployment_raw[[#This Row],[Column2]]), "", deployment_raw[[#This Row],[Column2]])</f>
        <v/>
      </c>
      <c r="C189" s="38" t="str">
        <f>IF(ISNONTEXT(deployment_raw[[#This Row],[Column3]]), "", deployment_raw[[#This Row],[Column3]])</f>
        <v/>
      </c>
      <c r="D189" s="38" t="str">
        <f>IF(ISNONTEXT(deployment_raw[[#This Row],[Column4]]), "", deployment_raw[[#This Row],[Column4]])</f>
        <v/>
      </c>
      <c r="E189" s="39" t="str">
        <f>IF(ISNUMBER(deployment_raw[[#This Row],[Column5]]), deployment_raw[[#This Row],[Column5]],"")</f>
        <v/>
      </c>
      <c r="F189" s="174" t="str">
        <f>IF(ISNUMBER(deployment_raw[[#This Row],[Column6]]), (deployment_raw[[#This Row],[Column6]] * deployment_raw[[#This Row],[Column5]]),"")</f>
        <v/>
      </c>
      <c r="G189" s="175" t="str">
        <f>IF(ISNUMBER(deployment_raw[[#This Row],[Column7]]), (deployment_raw[[#This Row],[Column7]] * deployment_raw[[#This Row],[Column5]])/1048576,"")</f>
        <v/>
      </c>
      <c r="H189" s="175" t="str">
        <f>IF(ISNUMBER(deployment_raw[[#This Row],[Column8]]), (deployment_raw[[#This Row],[Column8]]  * deployment_raw[[#This Row],[Column5]]),"")</f>
        <v/>
      </c>
      <c r="I189" s="176" t="str">
        <f>IF(ISNUMBER(deployment_raw[[#This Row],[Column9]]), (deployment_raw[[#This Row],[Column9]] * deployment_raw[[#This Row],[Column5]])/1048576,"")</f>
        <v/>
      </c>
      <c r="J189" s="57" t="str">
        <f>IF(ISNUMBER(deployment_raw[[#This Row],[Column10]]), (deployment_raw[[#This Row],[Column10]] * deployment_raw[[#This Row],[Column5]]),"")</f>
        <v/>
      </c>
      <c r="K189" s="58" t="str">
        <f>IF(ISNUMBER(deployment_raw[[#This Row],[Column11]]), (deployment_raw[[#This Row],[Column11]] * deployment_raw[[#This Row],[Column5]])/1048576,"")</f>
        <v/>
      </c>
      <c r="L189" s="180" t="str">
        <f>IF(ISNUMBER(deployment_raw[[#This Row],[Column8]]),IF(deployment_raw[[#This Row],[Column5]] &lt;&gt; 0, MAX((deployment_raw[[#This Row],[Column12]] * deployment_raw[[#This Row],[Column5]]), ((deployment_raw[[#This Row],[Column8]] * deployment_raw[[#This Row],[Column5]]) * $L$2), ($H$2 * deployment_raw[[#This Row],[Column5]])), 0),"")</f>
        <v/>
      </c>
      <c r="M18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89" s="188" t="str">
        <f>IF(ISNUMBER(deployment_raw[[#This Row],[Column14]]), deployment_raw[[#This Row],[Column14]],"")</f>
        <v/>
      </c>
      <c r="O189" s="189" t="str">
        <f>IF(ISNUMBER(deployment_raw[[#This Row],[Column15]]), deployment_raw[[#This Row],[Column15]]/1048576,"")</f>
        <v/>
      </c>
      <c r="P189" s="190" t="str">
        <f>IF(ISNUMBER(deployment_raw[[#This Row],[Column12]]), (deployment_raw[[#This Row],[Column12]] * deployment_raw[[#This Row],[Column5]]),"")</f>
        <v/>
      </c>
      <c r="Q189" s="189" t="str">
        <f>IF(ISNUMBER(deployment_raw[[#This Row],[Column13]]), (deployment_raw[[#This Row],[Column13]] * deployment_raw[[#This Row],[Column5]])/1048576,"")</f>
        <v/>
      </c>
    </row>
    <row r="190" spans="1:17" ht="15.75" customHeight="1" x14ac:dyDescent="0.25">
      <c r="A190" s="37" t="str">
        <f>IF(ISNONTEXT(deployment_raw[[#This Row],[Column1]]), "", deployment_raw[[#This Row],[Column1]])</f>
        <v/>
      </c>
      <c r="B190" s="38" t="str">
        <f>IF(ISNONTEXT(deployment_raw[[#This Row],[Column2]]), "", deployment_raw[[#This Row],[Column2]])</f>
        <v/>
      </c>
      <c r="C190" s="38" t="str">
        <f>IF(ISNONTEXT(deployment_raw[[#This Row],[Column3]]), "", deployment_raw[[#This Row],[Column3]])</f>
        <v/>
      </c>
      <c r="D190" s="38" t="str">
        <f>IF(ISNONTEXT(deployment_raw[[#This Row],[Column4]]), "", deployment_raw[[#This Row],[Column4]])</f>
        <v/>
      </c>
      <c r="E190" s="39" t="str">
        <f>IF(ISNUMBER(deployment_raw[[#This Row],[Column5]]), deployment_raw[[#This Row],[Column5]],"")</f>
        <v/>
      </c>
      <c r="F190" s="174" t="str">
        <f>IF(ISNUMBER(deployment_raw[[#This Row],[Column6]]), (deployment_raw[[#This Row],[Column6]] * deployment_raw[[#This Row],[Column5]]),"")</f>
        <v/>
      </c>
      <c r="G190" s="175" t="str">
        <f>IF(ISNUMBER(deployment_raw[[#This Row],[Column7]]), (deployment_raw[[#This Row],[Column7]] * deployment_raw[[#This Row],[Column5]])/1048576,"")</f>
        <v/>
      </c>
      <c r="H190" s="175" t="str">
        <f>IF(ISNUMBER(deployment_raw[[#This Row],[Column8]]), (deployment_raw[[#This Row],[Column8]]  * deployment_raw[[#This Row],[Column5]]),"")</f>
        <v/>
      </c>
      <c r="I190" s="176" t="str">
        <f>IF(ISNUMBER(deployment_raw[[#This Row],[Column9]]), (deployment_raw[[#This Row],[Column9]] * deployment_raw[[#This Row],[Column5]])/1048576,"")</f>
        <v/>
      </c>
      <c r="J190" s="57" t="str">
        <f>IF(ISNUMBER(deployment_raw[[#This Row],[Column10]]), (deployment_raw[[#This Row],[Column10]] * deployment_raw[[#This Row],[Column5]]),"")</f>
        <v/>
      </c>
      <c r="K190" s="58" t="str">
        <f>IF(ISNUMBER(deployment_raw[[#This Row],[Column11]]), (deployment_raw[[#This Row],[Column11]] * deployment_raw[[#This Row],[Column5]])/1048576,"")</f>
        <v/>
      </c>
      <c r="L190" s="180" t="str">
        <f>IF(ISNUMBER(deployment_raw[[#This Row],[Column8]]),IF(deployment_raw[[#This Row],[Column5]] &lt;&gt; 0, MAX((deployment_raw[[#This Row],[Column12]] * deployment_raw[[#This Row],[Column5]]), ((deployment_raw[[#This Row],[Column8]] * deployment_raw[[#This Row],[Column5]]) * $L$2), ($H$2 * deployment_raw[[#This Row],[Column5]])), 0),"")</f>
        <v/>
      </c>
      <c r="M19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90" s="188" t="str">
        <f>IF(ISNUMBER(deployment_raw[[#This Row],[Column14]]), deployment_raw[[#This Row],[Column14]],"")</f>
        <v/>
      </c>
      <c r="O190" s="189" t="str">
        <f>IF(ISNUMBER(deployment_raw[[#This Row],[Column15]]), deployment_raw[[#This Row],[Column15]]/1048576,"")</f>
        <v/>
      </c>
      <c r="P190" s="190" t="str">
        <f>IF(ISNUMBER(deployment_raw[[#This Row],[Column12]]), (deployment_raw[[#This Row],[Column12]] * deployment_raw[[#This Row],[Column5]]),"")</f>
        <v/>
      </c>
      <c r="Q190" s="189" t="str">
        <f>IF(ISNUMBER(deployment_raw[[#This Row],[Column13]]), (deployment_raw[[#This Row],[Column13]] * deployment_raw[[#This Row],[Column5]])/1048576,"")</f>
        <v/>
      </c>
    </row>
    <row r="191" spans="1:17" ht="15.75" customHeight="1" x14ac:dyDescent="0.25">
      <c r="A191" s="37" t="str">
        <f>IF(ISNONTEXT(deployment_raw[[#This Row],[Column1]]), "", deployment_raw[[#This Row],[Column1]])</f>
        <v/>
      </c>
      <c r="B191" s="38" t="str">
        <f>IF(ISNONTEXT(deployment_raw[[#This Row],[Column2]]), "", deployment_raw[[#This Row],[Column2]])</f>
        <v/>
      </c>
      <c r="C191" s="38" t="str">
        <f>IF(ISNONTEXT(deployment_raw[[#This Row],[Column3]]), "", deployment_raw[[#This Row],[Column3]])</f>
        <v/>
      </c>
      <c r="D191" s="38" t="str">
        <f>IF(ISNONTEXT(deployment_raw[[#This Row],[Column4]]), "", deployment_raw[[#This Row],[Column4]])</f>
        <v/>
      </c>
      <c r="E191" s="39" t="str">
        <f>IF(ISNUMBER(deployment_raw[[#This Row],[Column5]]), deployment_raw[[#This Row],[Column5]],"")</f>
        <v/>
      </c>
      <c r="F191" s="174" t="str">
        <f>IF(ISNUMBER(deployment_raw[[#This Row],[Column6]]), (deployment_raw[[#This Row],[Column6]] * deployment_raw[[#This Row],[Column5]]),"")</f>
        <v/>
      </c>
      <c r="G191" s="175" t="str">
        <f>IF(ISNUMBER(deployment_raw[[#This Row],[Column7]]), (deployment_raw[[#This Row],[Column7]] * deployment_raw[[#This Row],[Column5]])/1048576,"")</f>
        <v/>
      </c>
      <c r="H191" s="175" t="str">
        <f>IF(ISNUMBER(deployment_raw[[#This Row],[Column8]]), (deployment_raw[[#This Row],[Column8]]  * deployment_raw[[#This Row],[Column5]]),"")</f>
        <v/>
      </c>
      <c r="I191" s="176" t="str">
        <f>IF(ISNUMBER(deployment_raw[[#This Row],[Column9]]), (deployment_raw[[#This Row],[Column9]] * deployment_raw[[#This Row],[Column5]])/1048576,"")</f>
        <v/>
      </c>
      <c r="J191" s="57" t="str">
        <f>IF(ISNUMBER(deployment_raw[[#This Row],[Column10]]), (deployment_raw[[#This Row],[Column10]] * deployment_raw[[#This Row],[Column5]]),"")</f>
        <v/>
      </c>
      <c r="K191" s="58" t="str">
        <f>IF(ISNUMBER(deployment_raw[[#This Row],[Column11]]), (deployment_raw[[#This Row],[Column11]] * deployment_raw[[#This Row],[Column5]])/1048576,"")</f>
        <v/>
      </c>
      <c r="L191" s="180" t="str">
        <f>IF(ISNUMBER(deployment_raw[[#This Row],[Column8]]),IF(deployment_raw[[#This Row],[Column5]] &lt;&gt; 0, MAX((deployment_raw[[#This Row],[Column12]] * deployment_raw[[#This Row],[Column5]]), ((deployment_raw[[#This Row],[Column8]] * deployment_raw[[#This Row],[Column5]]) * $L$2), ($H$2 * deployment_raw[[#This Row],[Column5]])), 0),"")</f>
        <v/>
      </c>
      <c r="M19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91" s="188" t="str">
        <f>IF(ISNUMBER(deployment_raw[[#This Row],[Column14]]), deployment_raw[[#This Row],[Column14]],"")</f>
        <v/>
      </c>
      <c r="O191" s="189" t="str">
        <f>IF(ISNUMBER(deployment_raw[[#This Row],[Column15]]), deployment_raw[[#This Row],[Column15]]/1048576,"")</f>
        <v/>
      </c>
      <c r="P191" s="190" t="str">
        <f>IF(ISNUMBER(deployment_raw[[#This Row],[Column12]]), (deployment_raw[[#This Row],[Column12]] * deployment_raw[[#This Row],[Column5]]),"")</f>
        <v/>
      </c>
      <c r="Q191" s="189" t="str">
        <f>IF(ISNUMBER(deployment_raw[[#This Row],[Column13]]), (deployment_raw[[#This Row],[Column13]] * deployment_raw[[#This Row],[Column5]])/1048576,"")</f>
        <v/>
      </c>
    </row>
    <row r="192" spans="1:17" ht="15.75" customHeight="1" x14ac:dyDescent="0.25">
      <c r="A192" s="37" t="str">
        <f>IF(ISNONTEXT(deployment_raw[[#This Row],[Column1]]), "", deployment_raw[[#This Row],[Column1]])</f>
        <v/>
      </c>
      <c r="B192" s="38" t="str">
        <f>IF(ISNONTEXT(deployment_raw[[#This Row],[Column2]]), "", deployment_raw[[#This Row],[Column2]])</f>
        <v/>
      </c>
      <c r="C192" s="38" t="str">
        <f>IF(ISNONTEXT(deployment_raw[[#This Row],[Column3]]), "", deployment_raw[[#This Row],[Column3]])</f>
        <v/>
      </c>
      <c r="D192" s="38" t="str">
        <f>IF(ISNONTEXT(deployment_raw[[#This Row],[Column4]]), "", deployment_raw[[#This Row],[Column4]])</f>
        <v/>
      </c>
      <c r="E192" s="39" t="str">
        <f>IF(ISNUMBER(deployment_raw[[#This Row],[Column5]]), deployment_raw[[#This Row],[Column5]],"")</f>
        <v/>
      </c>
      <c r="F192" s="174" t="str">
        <f>IF(ISNUMBER(deployment_raw[[#This Row],[Column6]]), (deployment_raw[[#This Row],[Column6]] * deployment_raw[[#This Row],[Column5]]),"")</f>
        <v/>
      </c>
      <c r="G192" s="175" t="str">
        <f>IF(ISNUMBER(deployment_raw[[#This Row],[Column7]]), (deployment_raw[[#This Row],[Column7]] * deployment_raw[[#This Row],[Column5]])/1048576,"")</f>
        <v/>
      </c>
      <c r="H192" s="175" t="str">
        <f>IF(ISNUMBER(deployment_raw[[#This Row],[Column8]]), (deployment_raw[[#This Row],[Column8]]  * deployment_raw[[#This Row],[Column5]]),"")</f>
        <v/>
      </c>
      <c r="I192" s="176" t="str">
        <f>IF(ISNUMBER(deployment_raw[[#This Row],[Column9]]), (deployment_raw[[#This Row],[Column9]] * deployment_raw[[#This Row],[Column5]])/1048576,"")</f>
        <v/>
      </c>
      <c r="J192" s="57" t="str">
        <f>IF(ISNUMBER(deployment_raw[[#This Row],[Column10]]), (deployment_raw[[#This Row],[Column10]] * deployment_raw[[#This Row],[Column5]]),"")</f>
        <v/>
      </c>
      <c r="K192" s="58" t="str">
        <f>IF(ISNUMBER(deployment_raw[[#This Row],[Column11]]), (deployment_raw[[#This Row],[Column11]] * deployment_raw[[#This Row],[Column5]])/1048576,"")</f>
        <v/>
      </c>
      <c r="L192" s="180" t="str">
        <f>IF(ISNUMBER(deployment_raw[[#This Row],[Column8]]),IF(deployment_raw[[#This Row],[Column5]] &lt;&gt; 0, MAX((deployment_raw[[#This Row],[Column12]] * deployment_raw[[#This Row],[Column5]]), ((deployment_raw[[#This Row],[Column8]] * deployment_raw[[#This Row],[Column5]]) * $L$2), ($H$2 * deployment_raw[[#This Row],[Column5]])), 0),"")</f>
        <v/>
      </c>
      <c r="M19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92" s="188" t="str">
        <f>IF(ISNUMBER(deployment_raw[[#This Row],[Column14]]), deployment_raw[[#This Row],[Column14]],"")</f>
        <v/>
      </c>
      <c r="O192" s="189" t="str">
        <f>IF(ISNUMBER(deployment_raw[[#This Row],[Column15]]), deployment_raw[[#This Row],[Column15]]/1048576,"")</f>
        <v/>
      </c>
      <c r="P192" s="190" t="str">
        <f>IF(ISNUMBER(deployment_raw[[#This Row],[Column12]]), (deployment_raw[[#This Row],[Column12]] * deployment_raw[[#This Row],[Column5]]),"")</f>
        <v/>
      </c>
      <c r="Q192" s="189" t="str">
        <f>IF(ISNUMBER(deployment_raw[[#This Row],[Column13]]), (deployment_raw[[#This Row],[Column13]] * deployment_raw[[#This Row],[Column5]])/1048576,"")</f>
        <v/>
      </c>
    </row>
    <row r="193" spans="1:17" ht="15.75" customHeight="1" x14ac:dyDescent="0.25">
      <c r="A193" s="37" t="str">
        <f>IF(ISNONTEXT(deployment_raw[[#This Row],[Column1]]), "", deployment_raw[[#This Row],[Column1]])</f>
        <v/>
      </c>
      <c r="B193" s="38" t="str">
        <f>IF(ISNONTEXT(deployment_raw[[#This Row],[Column2]]), "", deployment_raw[[#This Row],[Column2]])</f>
        <v/>
      </c>
      <c r="C193" s="38" t="str">
        <f>IF(ISNONTEXT(deployment_raw[[#This Row],[Column3]]), "", deployment_raw[[#This Row],[Column3]])</f>
        <v/>
      </c>
      <c r="D193" s="38" t="str">
        <f>IF(ISNONTEXT(deployment_raw[[#This Row],[Column4]]), "", deployment_raw[[#This Row],[Column4]])</f>
        <v/>
      </c>
      <c r="E193" s="39" t="str">
        <f>IF(ISNUMBER(deployment_raw[[#This Row],[Column5]]), deployment_raw[[#This Row],[Column5]],"")</f>
        <v/>
      </c>
      <c r="F193" s="174" t="str">
        <f>IF(ISNUMBER(deployment_raw[[#This Row],[Column6]]), (deployment_raw[[#This Row],[Column6]] * deployment_raw[[#This Row],[Column5]]),"")</f>
        <v/>
      </c>
      <c r="G193" s="175" t="str">
        <f>IF(ISNUMBER(deployment_raw[[#This Row],[Column7]]), (deployment_raw[[#This Row],[Column7]] * deployment_raw[[#This Row],[Column5]])/1048576,"")</f>
        <v/>
      </c>
      <c r="H193" s="175" t="str">
        <f>IF(ISNUMBER(deployment_raw[[#This Row],[Column8]]), (deployment_raw[[#This Row],[Column8]]  * deployment_raw[[#This Row],[Column5]]),"")</f>
        <v/>
      </c>
      <c r="I193" s="176" t="str">
        <f>IF(ISNUMBER(deployment_raw[[#This Row],[Column9]]), (deployment_raw[[#This Row],[Column9]] * deployment_raw[[#This Row],[Column5]])/1048576,"")</f>
        <v/>
      </c>
      <c r="J193" s="57" t="str">
        <f>IF(ISNUMBER(deployment_raw[[#This Row],[Column10]]), (deployment_raw[[#This Row],[Column10]] * deployment_raw[[#This Row],[Column5]]),"")</f>
        <v/>
      </c>
      <c r="K193" s="58" t="str">
        <f>IF(ISNUMBER(deployment_raw[[#This Row],[Column11]]), (deployment_raw[[#This Row],[Column11]] * deployment_raw[[#This Row],[Column5]])/1048576,"")</f>
        <v/>
      </c>
      <c r="L193" s="180" t="str">
        <f>IF(ISNUMBER(deployment_raw[[#This Row],[Column8]]),IF(deployment_raw[[#This Row],[Column5]] &lt;&gt; 0, MAX((deployment_raw[[#This Row],[Column12]] * deployment_raw[[#This Row],[Column5]]), ((deployment_raw[[#This Row],[Column8]] * deployment_raw[[#This Row],[Column5]]) * $L$2), ($H$2 * deployment_raw[[#This Row],[Column5]])), 0),"")</f>
        <v/>
      </c>
      <c r="M19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93" s="188" t="str">
        <f>IF(ISNUMBER(deployment_raw[[#This Row],[Column14]]), deployment_raw[[#This Row],[Column14]],"")</f>
        <v/>
      </c>
      <c r="O193" s="189" t="str">
        <f>IF(ISNUMBER(deployment_raw[[#This Row],[Column15]]), deployment_raw[[#This Row],[Column15]]/1048576,"")</f>
        <v/>
      </c>
      <c r="P193" s="190" t="str">
        <f>IF(ISNUMBER(deployment_raw[[#This Row],[Column12]]), (deployment_raw[[#This Row],[Column12]] * deployment_raw[[#This Row],[Column5]]),"")</f>
        <v/>
      </c>
      <c r="Q193" s="189" t="str">
        <f>IF(ISNUMBER(deployment_raw[[#This Row],[Column13]]), (deployment_raw[[#This Row],[Column13]] * deployment_raw[[#This Row],[Column5]])/1048576,"")</f>
        <v/>
      </c>
    </row>
    <row r="194" spans="1:17" ht="15.75" customHeight="1" x14ac:dyDescent="0.25">
      <c r="A194" s="37" t="str">
        <f>IF(ISNONTEXT(deployment_raw[[#This Row],[Column1]]), "", deployment_raw[[#This Row],[Column1]])</f>
        <v/>
      </c>
      <c r="B194" s="38" t="str">
        <f>IF(ISNONTEXT(deployment_raw[[#This Row],[Column2]]), "", deployment_raw[[#This Row],[Column2]])</f>
        <v/>
      </c>
      <c r="C194" s="38" t="str">
        <f>IF(ISNONTEXT(deployment_raw[[#This Row],[Column3]]), "", deployment_raw[[#This Row],[Column3]])</f>
        <v/>
      </c>
      <c r="D194" s="38" t="str">
        <f>IF(ISNONTEXT(deployment_raw[[#This Row],[Column4]]), "", deployment_raw[[#This Row],[Column4]])</f>
        <v/>
      </c>
      <c r="E194" s="39" t="str">
        <f>IF(ISNUMBER(deployment_raw[[#This Row],[Column5]]), deployment_raw[[#This Row],[Column5]],"")</f>
        <v/>
      </c>
      <c r="F194" s="174" t="str">
        <f>IF(ISNUMBER(deployment_raw[[#This Row],[Column6]]), (deployment_raw[[#This Row],[Column6]] * deployment_raw[[#This Row],[Column5]]),"")</f>
        <v/>
      </c>
      <c r="G194" s="175" t="str">
        <f>IF(ISNUMBER(deployment_raw[[#This Row],[Column7]]), (deployment_raw[[#This Row],[Column7]] * deployment_raw[[#This Row],[Column5]])/1048576,"")</f>
        <v/>
      </c>
      <c r="H194" s="175" t="str">
        <f>IF(ISNUMBER(deployment_raw[[#This Row],[Column8]]), (deployment_raw[[#This Row],[Column8]]  * deployment_raw[[#This Row],[Column5]]),"")</f>
        <v/>
      </c>
      <c r="I194" s="176" t="str">
        <f>IF(ISNUMBER(deployment_raw[[#This Row],[Column9]]), (deployment_raw[[#This Row],[Column9]] * deployment_raw[[#This Row],[Column5]])/1048576,"")</f>
        <v/>
      </c>
      <c r="J194" s="57" t="str">
        <f>IF(ISNUMBER(deployment_raw[[#This Row],[Column10]]), (deployment_raw[[#This Row],[Column10]] * deployment_raw[[#This Row],[Column5]]),"")</f>
        <v/>
      </c>
      <c r="K194" s="58" t="str">
        <f>IF(ISNUMBER(deployment_raw[[#This Row],[Column11]]), (deployment_raw[[#This Row],[Column11]] * deployment_raw[[#This Row],[Column5]])/1048576,"")</f>
        <v/>
      </c>
      <c r="L194" s="180" t="str">
        <f>IF(ISNUMBER(deployment_raw[[#This Row],[Column8]]),IF(deployment_raw[[#This Row],[Column5]] &lt;&gt; 0, MAX((deployment_raw[[#This Row],[Column12]] * deployment_raw[[#This Row],[Column5]]), ((deployment_raw[[#This Row],[Column8]] * deployment_raw[[#This Row],[Column5]]) * $L$2), ($H$2 * deployment_raw[[#This Row],[Column5]])), 0),"")</f>
        <v/>
      </c>
      <c r="M19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94" s="188" t="str">
        <f>IF(ISNUMBER(deployment_raw[[#This Row],[Column14]]), deployment_raw[[#This Row],[Column14]],"")</f>
        <v/>
      </c>
      <c r="O194" s="189" t="str">
        <f>IF(ISNUMBER(deployment_raw[[#This Row],[Column15]]), deployment_raw[[#This Row],[Column15]]/1048576,"")</f>
        <v/>
      </c>
      <c r="P194" s="190" t="str">
        <f>IF(ISNUMBER(deployment_raw[[#This Row],[Column12]]), (deployment_raw[[#This Row],[Column12]] * deployment_raw[[#This Row],[Column5]]),"")</f>
        <v/>
      </c>
      <c r="Q194" s="189" t="str">
        <f>IF(ISNUMBER(deployment_raw[[#This Row],[Column13]]), (deployment_raw[[#This Row],[Column13]] * deployment_raw[[#This Row],[Column5]])/1048576,"")</f>
        <v/>
      </c>
    </row>
    <row r="195" spans="1:17" ht="15.75" customHeight="1" x14ac:dyDescent="0.25">
      <c r="A195" s="37" t="str">
        <f>IF(ISNONTEXT(deployment_raw[[#This Row],[Column1]]), "", deployment_raw[[#This Row],[Column1]])</f>
        <v/>
      </c>
      <c r="B195" s="38" t="str">
        <f>IF(ISNONTEXT(deployment_raw[[#This Row],[Column2]]), "", deployment_raw[[#This Row],[Column2]])</f>
        <v/>
      </c>
      <c r="C195" s="38" t="str">
        <f>IF(ISNONTEXT(deployment_raw[[#This Row],[Column3]]), "", deployment_raw[[#This Row],[Column3]])</f>
        <v/>
      </c>
      <c r="D195" s="38" t="str">
        <f>IF(ISNONTEXT(deployment_raw[[#This Row],[Column4]]), "", deployment_raw[[#This Row],[Column4]])</f>
        <v/>
      </c>
      <c r="E195" s="39" t="str">
        <f>IF(ISNUMBER(deployment_raw[[#This Row],[Column5]]), deployment_raw[[#This Row],[Column5]],"")</f>
        <v/>
      </c>
      <c r="F195" s="174" t="str">
        <f>IF(ISNUMBER(deployment_raw[[#This Row],[Column6]]), (deployment_raw[[#This Row],[Column6]] * deployment_raw[[#This Row],[Column5]]),"")</f>
        <v/>
      </c>
      <c r="G195" s="175" t="str">
        <f>IF(ISNUMBER(deployment_raw[[#This Row],[Column7]]), (deployment_raw[[#This Row],[Column7]] * deployment_raw[[#This Row],[Column5]])/1048576,"")</f>
        <v/>
      </c>
      <c r="H195" s="175" t="str">
        <f>IF(ISNUMBER(deployment_raw[[#This Row],[Column8]]), (deployment_raw[[#This Row],[Column8]]  * deployment_raw[[#This Row],[Column5]]),"")</f>
        <v/>
      </c>
      <c r="I195" s="176" t="str">
        <f>IF(ISNUMBER(deployment_raw[[#This Row],[Column9]]), (deployment_raw[[#This Row],[Column9]] * deployment_raw[[#This Row],[Column5]])/1048576,"")</f>
        <v/>
      </c>
      <c r="J195" s="57" t="str">
        <f>IF(ISNUMBER(deployment_raw[[#This Row],[Column10]]), (deployment_raw[[#This Row],[Column10]] * deployment_raw[[#This Row],[Column5]]),"")</f>
        <v/>
      </c>
      <c r="K195" s="58" t="str">
        <f>IF(ISNUMBER(deployment_raw[[#This Row],[Column11]]), (deployment_raw[[#This Row],[Column11]] * deployment_raw[[#This Row],[Column5]])/1048576,"")</f>
        <v/>
      </c>
      <c r="L195" s="180" t="str">
        <f>IF(ISNUMBER(deployment_raw[[#This Row],[Column8]]),IF(deployment_raw[[#This Row],[Column5]] &lt;&gt; 0, MAX((deployment_raw[[#This Row],[Column12]] * deployment_raw[[#This Row],[Column5]]), ((deployment_raw[[#This Row],[Column8]] * deployment_raw[[#This Row],[Column5]]) * $L$2), ($H$2 * deployment_raw[[#This Row],[Column5]])), 0),"")</f>
        <v/>
      </c>
      <c r="M19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95" s="188" t="str">
        <f>IF(ISNUMBER(deployment_raw[[#This Row],[Column14]]), deployment_raw[[#This Row],[Column14]],"")</f>
        <v/>
      </c>
      <c r="O195" s="189" t="str">
        <f>IF(ISNUMBER(deployment_raw[[#This Row],[Column15]]), deployment_raw[[#This Row],[Column15]]/1048576,"")</f>
        <v/>
      </c>
      <c r="P195" s="190" t="str">
        <f>IF(ISNUMBER(deployment_raw[[#This Row],[Column12]]), (deployment_raw[[#This Row],[Column12]] * deployment_raw[[#This Row],[Column5]]),"")</f>
        <v/>
      </c>
      <c r="Q195" s="189" t="str">
        <f>IF(ISNUMBER(deployment_raw[[#This Row],[Column13]]), (deployment_raw[[#This Row],[Column13]] * deployment_raw[[#This Row],[Column5]])/1048576,"")</f>
        <v/>
      </c>
    </row>
    <row r="196" spans="1:17" ht="15.75" customHeight="1" x14ac:dyDescent="0.25">
      <c r="A196" s="37" t="str">
        <f>IF(ISNONTEXT(deployment_raw[[#This Row],[Column1]]), "", deployment_raw[[#This Row],[Column1]])</f>
        <v/>
      </c>
      <c r="B196" s="38" t="str">
        <f>IF(ISNONTEXT(deployment_raw[[#This Row],[Column2]]), "", deployment_raw[[#This Row],[Column2]])</f>
        <v/>
      </c>
      <c r="C196" s="38" t="str">
        <f>IF(ISNONTEXT(deployment_raw[[#This Row],[Column3]]), "", deployment_raw[[#This Row],[Column3]])</f>
        <v/>
      </c>
      <c r="D196" s="38" t="str">
        <f>IF(ISNONTEXT(deployment_raw[[#This Row],[Column4]]), "", deployment_raw[[#This Row],[Column4]])</f>
        <v/>
      </c>
      <c r="E196" s="39" t="str">
        <f>IF(ISNUMBER(deployment_raw[[#This Row],[Column5]]), deployment_raw[[#This Row],[Column5]],"")</f>
        <v/>
      </c>
      <c r="F196" s="174" t="str">
        <f>IF(ISNUMBER(deployment_raw[[#This Row],[Column6]]), (deployment_raw[[#This Row],[Column6]] * deployment_raw[[#This Row],[Column5]]),"")</f>
        <v/>
      </c>
      <c r="G196" s="175" t="str">
        <f>IF(ISNUMBER(deployment_raw[[#This Row],[Column7]]), (deployment_raw[[#This Row],[Column7]] * deployment_raw[[#This Row],[Column5]])/1048576,"")</f>
        <v/>
      </c>
      <c r="H196" s="175" t="str">
        <f>IF(ISNUMBER(deployment_raw[[#This Row],[Column8]]), (deployment_raw[[#This Row],[Column8]]  * deployment_raw[[#This Row],[Column5]]),"")</f>
        <v/>
      </c>
      <c r="I196" s="176" t="str">
        <f>IF(ISNUMBER(deployment_raw[[#This Row],[Column9]]), (deployment_raw[[#This Row],[Column9]] * deployment_raw[[#This Row],[Column5]])/1048576,"")</f>
        <v/>
      </c>
      <c r="J196" s="57" t="str">
        <f>IF(ISNUMBER(deployment_raw[[#This Row],[Column10]]), (deployment_raw[[#This Row],[Column10]] * deployment_raw[[#This Row],[Column5]]),"")</f>
        <v/>
      </c>
      <c r="K196" s="58" t="str">
        <f>IF(ISNUMBER(deployment_raw[[#This Row],[Column11]]), (deployment_raw[[#This Row],[Column11]] * deployment_raw[[#This Row],[Column5]])/1048576,"")</f>
        <v/>
      </c>
      <c r="L196" s="180" t="str">
        <f>IF(ISNUMBER(deployment_raw[[#This Row],[Column8]]),IF(deployment_raw[[#This Row],[Column5]] &lt;&gt; 0, MAX((deployment_raw[[#This Row],[Column12]] * deployment_raw[[#This Row],[Column5]]), ((deployment_raw[[#This Row],[Column8]] * deployment_raw[[#This Row],[Column5]]) * $L$2), ($H$2 * deployment_raw[[#This Row],[Column5]])), 0),"")</f>
        <v/>
      </c>
      <c r="M19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96" s="188" t="str">
        <f>IF(ISNUMBER(deployment_raw[[#This Row],[Column14]]), deployment_raw[[#This Row],[Column14]],"")</f>
        <v/>
      </c>
      <c r="O196" s="189" t="str">
        <f>IF(ISNUMBER(deployment_raw[[#This Row],[Column15]]), deployment_raw[[#This Row],[Column15]]/1048576,"")</f>
        <v/>
      </c>
      <c r="P196" s="190" t="str">
        <f>IF(ISNUMBER(deployment_raw[[#This Row],[Column12]]), (deployment_raw[[#This Row],[Column12]] * deployment_raw[[#This Row],[Column5]]),"")</f>
        <v/>
      </c>
      <c r="Q196" s="189" t="str">
        <f>IF(ISNUMBER(deployment_raw[[#This Row],[Column13]]), (deployment_raw[[#This Row],[Column13]] * deployment_raw[[#This Row],[Column5]])/1048576,"")</f>
        <v/>
      </c>
    </row>
    <row r="197" spans="1:17" ht="15.75" customHeight="1" x14ac:dyDescent="0.25">
      <c r="A197" s="37" t="str">
        <f>IF(ISNONTEXT(deployment_raw[[#This Row],[Column1]]), "", deployment_raw[[#This Row],[Column1]])</f>
        <v/>
      </c>
      <c r="B197" s="38" t="str">
        <f>IF(ISNONTEXT(deployment_raw[[#This Row],[Column2]]), "", deployment_raw[[#This Row],[Column2]])</f>
        <v/>
      </c>
      <c r="C197" s="38" t="str">
        <f>IF(ISNONTEXT(deployment_raw[[#This Row],[Column3]]), "", deployment_raw[[#This Row],[Column3]])</f>
        <v/>
      </c>
      <c r="D197" s="38" t="str">
        <f>IF(ISNONTEXT(deployment_raw[[#This Row],[Column4]]), "", deployment_raw[[#This Row],[Column4]])</f>
        <v/>
      </c>
      <c r="E197" s="39" t="str">
        <f>IF(ISNUMBER(deployment_raw[[#This Row],[Column5]]), deployment_raw[[#This Row],[Column5]],"")</f>
        <v/>
      </c>
      <c r="F197" s="174" t="str">
        <f>IF(ISNUMBER(deployment_raw[[#This Row],[Column6]]), (deployment_raw[[#This Row],[Column6]] * deployment_raw[[#This Row],[Column5]]),"")</f>
        <v/>
      </c>
      <c r="G197" s="175" t="str">
        <f>IF(ISNUMBER(deployment_raw[[#This Row],[Column7]]), (deployment_raw[[#This Row],[Column7]] * deployment_raw[[#This Row],[Column5]])/1048576,"")</f>
        <v/>
      </c>
      <c r="H197" s="175" t="str">
        <f>IF(ISNUMBER(deployment_raw[[#This Row],[Column8]]), (deployment_raw[[#This Row],[Column8]]  * deployment_raw[[#This Row],[Column5]]),"")</f>
        <v/>
      </c>
      <c r="I197" s="176" t="str">
        <f>IF(ISNUMBER(deployment_raw[[#This Row],[Column9]]), (deployment_raw[[#This Row],[Column9]] * deployment_raw[[#This Row],[Column5]])/1048576,"")</f>
        <v/>
      </c>
      <c r="J197" s="57" t="str">
        <f>IF(ISNUMBER(deployment_raw[[#This Row],[Column10]]), (deployment_raw[[#This Row],[Column10]] * deployment_raw[[#This Row],[Column5]]),"")</f>
        <v/>
      </c>
      <c r="K197" s="58" t="str">
        <f>IF(ISNUMBER(deployment_raw[[#This Row],[Column11]]), (deployment_raw[[#This Row],[Column11]] * deployment_raw[[#This Row],[Column5]])/1048576,"")</f>
        <v/>
      </c>
      <c r="L197" s="180" t="str">
        <f>IF(ISNUMBER(deployment_raw[[#This Row],[Column8]]),IF(deployment_raw[[#This Row],[Column5]] &lt;&gt; 0, MAX((deployment_raw[[#This Row],[Column12]] * deployment_raw[[#This Row],[Column5]]), ((deployment_raw[[#This Row],[Column8]] * deployment_raw[[#This Row],[Column5]]) * $L$2), ($H$2 * deployment_raw[[#This Row],[Column5]])), 0),"")</f>
        <v/>
      </c>
      <c r="M19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97" s="188" t="str">
        <f>IF(ISNUMBER(deployment_raw[[#This Row],[Column14]]), deployment_raw[[#This Row],[Column14]],"")</f>
        <v/>
      </c>
      <c r="O197" s="189" t="str">
        <f>IF(ISNUMBER(deployment_raw[[#This Row],[Column15]]), deployment_raw[[#This Row],[Column15]]/1048576,"")</f>
        <v/>
      </c>
      <c r="P197" s="190" t="str">
        <f>IF(ISNUMBER(deployment_raw[[#This Row],[Column12]]), (deployment_raw[[#This Row],[Column12]] * deployment_raw[[#This Row],[Column5]]),"")</f>
        <v/>
      </c>
      <c r="Q197" s="189" t="str">
        <f>IF(ISNUMBER(deployment_raw[[#This Row],[Column13]]), (deployment_raw[[#This Row],[Column13]] * deployment_raw[[#This Row],[Column5]])/1048576,"")</f>
        <v/>
      </c>
    </row>
    <row r="198" spans="1:17" ht="15.75" customHeight="1" x14ac:dyDescent="0.25">
      <c r="A198" s="37" t="str">
        <f>IF(ISNONTEXT(deployment_raw[[#This Row],[Column1]]), "", deployment_raw[[#This Row],[Column1]])</f>
        <v/>
      </c>
      <c r="B198" s="38" t="str">
        <f>IF(ISNONTEXT(deployment_raw[[#This Row],[Column2]]), "", deployment_raw[[#This Row],[Column2]])</f>
        <v/>
      </c>
      <c r="C198" s="38" t="str">
        <f>IF(ISNONTEXT(deployment_raw[[#This Row],[Column3]]), "", deployment_raw[[#This Row],[Column3]])</f>
        <v/>
      </c>
      <c r="D198" s="38" t="str">
        <f>IF(ISNONTEXT(deployment_raw[[#This Row],[Column4]]), "", deployment_raw[[#This Row],[Column4]])</f>
        <v/>
      </c>
      <c r="E198" s="39" t="str">
        <f>IF(ISNUMBER(deployment_raw[[#This Row],[Column5]]), deployment_raw[[#This Row],[Column5]],"")</f>
        <v/>
      </c>
      <c r="F198" s="174" t="str">
        <f>IF(ISNUMBER(deployment_raw[[#This Row],[Column6]]), (deployment_raw[[#This Row],[Column6]] * deployment_raw[[#This Row],[Column5]]),"")</f>
        <v/>
      </c>
      <c r="G198" s="175" t="str">
        <f>IF(ISNUMBER(deployment_raw[[#This Row],[Column7]]), (deployment_raw[[#This Row],[Column7]] * deployment_raw[[#This Row],[Column5]])/1048576,"")</f>
        <v/>
      </c>
      <c r="H198" s="175" t="str">
        <f>IF(ISNUMBER(deployment_raw[[#This Row],[Column8]]), (deployment_raw[[#This Row],[Column8]]  * deployment_raw[[#This Row],[Column5]]),"")</f>
        <v/>
      </c>
      <c r="I198" s="176" t="str">
        <f>IF(ISNUMBER(deployment_raw[[#This Row],[Column9]]), (deployment_raw[[#This Row],[Column9]] * deployment_raw[[#This Row],[Column5]])/1048576,"")</f>
        <v/>
      </c>
      <c r="J198" s="57" t="str">
        <f>IF(ISNUMBER(deployment_raw[[#This Row],[Column10]]), (deployment_raw[[#This Row],[Column10]] * deployment_raw[[#This Row],[Column5]]),"")</f>
        <v/>
      </c>
      <c r="K198" s="58" t="str">
        <f>IF(ISNUMBER(deployment_raw[[#This Row],[Column11]]), (deployment_raw[[#This Row],[Column11]] * deployment_raw[[#This Row],[Column5]])/1048576,"")</f>
        <v/>
      </c>
      <c r="L198" s="180" t="str">
        <f>IF(ISNUMBER(deployment_raw[[#This Row],[Column8]]),IF(deployment_raw[[#This Row],[Column5]] &lt;&gt; 0, MAX((deployment_raw[[#This Row],[Column12]] * deployment_raw[[#This Row],[Column5]]), ((deployment_raw[[#This Row],[Column8]] * deployment_raw[[#This Row],[Column5]]) * $L$2), ($H$2 * deployment_raw[[#This Row],[Column5]])), 0),"")</f>
        <v/>
      </c>
      <c r="M19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98" s="188" t="str">
        <f>IF(ISNUMBER(deployment_raw[[#This Row],[Column14]]), deployment_raw[[#This Row],[Column14]],"")</f>
        <v/>
      </c>
      <c r="O198" s="189" t="str">
        <f>IF(ISNUMBER(deployment_raw[[#This Row],[Column15]]), deployment_raw[[#This Row],[Column15]]/1048576,"")</f>
        <v/>
      </c>
      <c r="P198" s="190" t="str">
        <f>IF(ISNUMBER(deployment_raw[[#This Row],[Column12]]), (deployment_raw[[#This Row],[Column12]] * deployment_raw[[#This Row],[Column5]]),"")</f>
        <v/>
      </c>
      <c r="Q198" s="189" t="str">
        <f>IF(ISNUMBER(deployment_raw[[#This Row],[Column13]]), (deployment_raw[[#This Row],[Column13]] * deployment_raw[[#This Row],[Column5]])/1048576,"")</f>
        <v/>
      </c>
    </row>
    <row r="199" spans="1:17" ht="15.75" customHeight="1" x14ac:dyDescent="0.25">
      <c r="A199" s="37" t="str">
        <f>IF(ISNONTEXT(deployment_raw[[#This Row],[Column1]]), "", deployment_raw[[#This Row],[Column1]])</f>
        <v/>
      </c>
      <c r="B199" s="38" t="str">
        <f>IF(ISNONTEXT(deployment_raw[[#This Row],[Column2]]), "", deployment_raw[[#This Row],[Column2]])</f>
        <v/>
      </c>
      <c r="C199" s="38" t="str">
        <f>IF(ISNONTEXT(deployment_raw[[#This Row],[Column3]]), "", deployment_raw[[#This Row],[Column3]])</f>
        <v/>
      </c>
      <c r="D199" s="38" t="str">
        <f>IF(ISNONTEXT(deployment_raw[[#This Row],[Column4]]), "", deployment_raw[[#This Row],[Column4]])</f>
        <v/>
      </c>
      <c r="E199" s="39" t="str">
        <f>IF(ISNUMBER(deployment_raw[[#This Row],[Column5]]), deployment_raw[[#This Row],[Column5]],"")</f>
        <v/>
      </c>
      <c r="F199" s="174" t="str">
        <f>IF(ISNUMBER(deployment_raw[[#This Row],[Column6]]), (deployment_raw[[#This Row],[Column6]] * deployment_raw[[#This Row],[Column5]]),"")</f>
        <v/>
      </c>
      <c r="G199" s="175" t="str">
        <f>IF(ISNUMBER(deployment_raw[[#This Row],[Column7]]), (deployment_raw[[#This Row],[Column7]] * deployment_raw[[#This Row],[Column5]])/1048576,"")</f>
        <v/>
      </c>
      <c r="H199" s="175" t="str">
        <f>IF(ISNUMBER(deployment_raw[[#This Row],[Column8]]), (deployment_raw[[#This Row],[Column8]]  * deployment_raw[[#This Row],[Column5]]),"")</f>
        <v/>
      </c>
      <c r="I199" s="176" t="str">
        <f>IF(ISNUMBER(deployment_raw[[#This Row],[Column9]]), (deployment_raw[[#This Row],[Column9]] * deployment_raw[[#This Row],[Column5]])/1048576,"")</f>
        <v/>
      </c>
      <c r="J199" s="57" t="str">
        <f>IF(ISNUMBER(deployment_raw[[#This Row],[Column10]]), (deployment_raw[[#This Row],[Column10]] * deployment_raw[[#This Row],[Column5]]),"")</f>
        <v/>
      </c>
      <c r="K199" s="58" t="str">
        <f>IF(ISNUMBER(deployment_raw[[#This Row],[Column11]]), (deployment_raw[[#This Row],[Column11]] * deployment_raw[[#This Row],[Column5]])/1048576,"")</f>
        <v/>
      </c>
      <c r="L199" s="180" t="str">
        <f>IF(ISNUMBER(deployment_raw[[#This Row],[Column8]]),IF(deployment_raw[[#This Row],[Column5]] &lt;&gt; 0, MAX((deployment_raw[[#This Row],[Column12]] * deployment_raw[[#This Row],[Column5]]), ((deployment_raw[[#This Row],[Column8]] * deployment_raw[[#This Row],[Column5]]) * $L$2), ($H$2 * deployment_raw[[#This Row],[Column5]])), 0),"")</f>
        <v/>
      </c>
      <c r="M19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99" s="188" t="str">
        <f>IF(ISNUMBER(deployment_raw[[#This Row],[Column14]]), deployment_raw[[#This Row],[Column14]],"")</f>
        <v/>
      </c>
      <c r="O199" s="189" t="str">
        <f>IF(ISNUMBER(deployment_raw[[#This Row],[Column15]]), deployment_raw[[#This Row],[Column15]]/1048576,"")</f>
        <v/>
      </c>
      <c r="P199" s="190" t="str">
        <f>IF(ISNUMBER(deployment_raw[[#This Row],[Column12]]), (deployment_raw[[#This Row],[Column12]] * deployment_raw[[#This Row],[Column5]]),"")</f>
        <v/>
      </c>
      <c r="Q199" s="189" t="str">
        <f>IF(ISNUMBER(deployment_raw[[#This Row],[Column13]]), (deployment_raw[[#This Row],[Column13]] * deployment_raw[[#This Row],[Column5]])/1048576,"")</f>
        <v/>
      </c>
    </row>
    <row r="200" spans="1:17" ht="15.75" customHeight="1" x14ac:dyDescent="0.25">
      <c r="A200" s="37" t="str">
        <f>IF(ISNONTEXT(deployment_raw[[#This Row],[Column1]]), "", deployment_raw[[#This Row],[Column1]])</f>
        <v/>
      </c>
      <c r="B200" s="38" t="str">
        <f>IF(ISNONTEXT(deployment_raw[[#This Row],[Column2]]), "", deployment_raw[[#This Row],[Column2]])</f>
        <v/>
      </c>
      <c r="C200" s="38" t="str">
        <f>IF(ISNONTEXT(deployment_raw[[#This Row],[Column3]]), "", deployment_raw[[#This Row],[Column3]])</f>
        <v/>
      </c>
      <c r="D200" s="38" t="str">
        <f>IF(ISNONTEXT(deployment_raw[[#This Row],[Column4]]), "", deployment_raw[[#This Row],[Column4]])</f>
        <v/>
      </c>
      <c r="E200" s="39" t="str">
        <f>IF(ISNUMBER(deployment_raw[[#This Row],[Column5]]), deployment_raw[[#This Row],[Column5]],"")</f>
        <v/>
      </c>
      <c r="F200" s="174" t="str">
        <f>IF(ISNUMBER(deployment_raw[[#This Row],[Column6]]), (deployment_raw[[#This Row],[Column6]] * deployment_raw[[#This Row],[Column5]]),"")</f>
        <v/>
      </c>
      <c r="G200" s="175" t="str">
        <f>IF(ISNUMBER(deployment_raw[[#This Row],[Column7]]), (deployment_raw[[#This Row],[Column7]] * deployment_raw[[#This Row],[Column5]])/1048576,"")</f>
        <v/>
      </c>
      <c r="H200" s="175" t="str">
        <f>IF(ISNUMBER(deployment_raw[[#This Row],[Column8]]), (deployment_raw[[#This Row],[Column8]]  * deployment_raw[[#This Row],[Column5]]),"")</f>
        <v/>
      </c>
      <c r="I200" s="176" t="str">
        <f>IF(ISNUMBER(deployment_raw[[#This Row],[Column9]]), (deployment_raw[[#This Row],[Column9]] * deployment_raw[[#This Row],[Column5]])/1048576,"")</f>
        <v/>
      </c>
      <c r="J200" s="57" t="str">
        <f>IF(ISNUMBER(deployment_raw[[#This Row],[Column10]]), (deployment_raw[[#This Row],[Column10]] * deployment_raw[[#This Row],[Column5]]),"")</f>
        <v/>
      </c>
      <c r="K200" s="58" t="str">
        <f>IF(ISNUMBER(deployment_raw[[#This Row],[Column11]]), (deployment_raw[[#This Row],[Column11]] * deployment_raw[[#This Row],[Column5]])/1048576,"")</f>
        <v/>
      </c>
      <c r="L200" s="180" t="str">
        <f>IF(ISNUMBER(deployment_raw[[#This Row],[Column8]]),IF(deployment_raw[[#This Row],[Column5]] &lt;&gt; 0, MAX((deployment_raw[[#This Row],[Column12]] * deployment_raw[[#This Row],[Column5]]), ((deployment_raw[[#This Row],[Column8]] * deployment_raw[[#This Row],[Column5]]) * $L$2), ($H$2 * deployment_raw[[#This Row],[Column5]])), 0),"")</f>
        <v/>
      </c>
      <c r="M20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00" s="188" t="str">
        <f>IF(ISNUMBER(deployment_raw[[#This Row],[Column14]]), deployment_raw[[#This Row],[Column14]],"")</f>
        <v/>
      </c>
      <c r="O200" s="189" t="str">
        <f>IF(ISNUMBER(deployment_raw[[#This Row],[Column15]]), deployment_raw[[#This Row],[Column15]]/1048576,"")</f>
        <v/>
      </c>
      <c r="P200" s="190" t="str">
        <f>IF(ISNUMBER(deployment_raw[[#This Row],[Column12]]), (deployment_raw[[#This Row],[Column12]] * deployment_raw[[#This Row],[Column5]]),"")</f>
        <v/>
      </c>
      <c r="Q200" s="189" t="str">
        <f>IF(ISNUMBER(deployment_raw[[#This Row],[Column13]]), (deployment_raw[[#This Row],[Column13]] * deployment_raw[[#This Row],[Column5]])/1048576,"")</f>
        <v/>
      </c>
    </row>
    <row r="201" spans="1:17" ht="15.75" customHeight="1" x14ac:dyDescent="0.25">
      <c r="A201" s="37" t="str">
        <f>IF(ISNONTEXT(deployment_raw[[#This Row],[Column1]]), "", deployment_raw[[#This Row],[Column1]])</f>
        <v/>
      </c>
      <c r="B201" s="38" t="str">
        <f>IF(ISNONTEXT(deployment_raw[[#This Row],[Column2]]), "", deployment_raw[[#This Row],[Column2]])</f>
        <v/>
      </c>
      <c r="C201" s="38" t="str">
        <f>IF(ISNONTEXT(deployment_raw[[#This Row],[Column3]]), "", deployment_raw[[#This Row],[Column3]])</f>
        <v/>
      </c>
      <c r="D201" s="38" t="str">
        <f>IF(ISNONTEXT(deployment_raw[[#This Row],[Column4]]), "", deployment_raw[[#This Row],[Column4]])</f>
        <v/>
      </c>
      <c r="E201" s="39" t="str">
        <f>IF(ISNUMBER(deployment_raw[[#This Row],[Column5]]), deployment_raw[[#This Row],[Column5]],"")</f>
        <v/>
      </c>
      <c r="F201" s="174" t="str">
        <f>IF(ISNUMBER(deployment_raw[[#This Row],[Column6]]), (deployment_raw[[#This Row],[Column6]] * deployment_raw[[#This Row],[Column5]]),"")</f>
        <v/>
      </c>
      <c r="G201" s="175" t="str">
        <f>IF(ISNUMBER(deployment_raw[[#This Row],[Column7]]), (deployment_raw[[#This Row],[Column7]] * deployment_raw[[#This Row],[Column5]])/1048576,"")</f>
        <v/>
      </c>
      <c r="H201" s="175" t="str">
        <f>IF(ISNUMBER(deployment_raw[[#This Row],[Column8]]), (deployment_raw[[#This Row],[Column8]]  * deployment_raw[[#This Row],[Column5]]),"")</f>
        <v/>
      </c>
      <c r="I201" s="176" t="str">
        <f>IF(ISNUMBER(deployment_raw[[#This Row],[Column9]]), (deployment_raw[[#This Row],[Column9]] * deployment_raw[[#This Row],[Column5]])/1048576,"")</f>
        <v/>
      </c>
      <c r="J201" s="57" t="str">
        <f>IF(ISNUMBER(deployment_raw[[#This Row],[Column10]]), (deployment_raw[[#This Row],[Column10]] * deployment_raw[[#This Row],[Column5]]),"")</f>
        <v/>
      </c>
      <c r="K201" s="58" t="str">
        <f>IF(ISNUMBER(deployment_raw[[#This Row],[Column11]]), (deployment_raw[[#This Row],[Column11]] * deployment_raw[[#This Row],[Column5]])/1048576,"")</f>
        <v/>
      </c>
      <c r="L201" s="180" t="str">
        <f>IF(ISNUMBER(deployment_raw[[#This Row],[Column8]]),IF(deployment_raw[[#This Row],[Column5]] &lt;&gt; 0, MAX((deployment_raw[[#This Row],[Column12]] * deployment_raw[[#This Row],[Column5]]), ((deployment_raw[[#This Row],[Column8]] * deployment_raw[[#This Row],[Column5]]) * $L$2), ($H$2 * deployment_raw[[#This Row],[Column5]])), 0),"")</f>
        <v/>
      </c>
      <c r="M20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01" s="188" t="str">
        <f>IF(ISNUMBER(deployment_raw[[#This Row],[Column14]]), deployment_raw[[#This Row],[Column14]],"")</f>
        <v/>
      </c>
      <c r="O201" s="189" t="str">
        <f>IF(ISNUMBER(deployment_raw[[#This Row],[Column15]]), deployment_raw[[#This Row],[Column15]]/1048576,"")</f>
        <v/>
      </c>
      <c r="P201" s="190" t="str">
        <f>IF(ISNUMBER(deployment_raw[[#This Row],[Column12]]), (deployment_raw[[#This Row],[Column12]] * deployment_raw[[#This Row],[Column5]]),"")</f>
        <v/>
      </c>
      <c r="Q201" s="189" t="str">
        <f>IF(ISNUMBER(deployment_raw[[#This Row],[Column13]]), (deployment_raw[[#This Row],[Column13]] * deployment_raw[[#This Row],[Column5]])/1048576,"")</f>
        <v/>
      </c>
    </row>
    <row r="202" spans="1:17" ht="15.75" customHeight="1" x14ac:dyDescent="0.25">
      <c r="A202" s="37" t="str">
        <f>IF(ISNONTEXT(deployment_raw[[#This Row],[Column1]]), "", deployment_raw[[#This Row],[Column1]])</f>
        <v/>
      </c>
      <c r="B202" s="38" t="str">
        <f>IF(ISNONTEXT(deployment_raw[[#This Row],[Column2]]), "", deployment_raw[[#This Row],[Column2]])</f>
        <v/>
      </c>
      <c r="C202" s="38" t="str">
        <f>IF(ISNONTEXT(deployment_raw[[#This Row],[Column3]]), "", deployment_raw[[#This Row],[Column3]])</f>
        <v/>
      </c>
      <c r="D202" s="38" t="str">
        <f>IF(ISNONTEXT(deployment_raw[[#This Row],[Column4]]), "", deployment_raw[[#This Row],[Column4]])</f>
        <v/>
      </c>
      <c r="E202" s="39" t="str">
        <f>IF(ISNUMBER(deployment_raw[[#This Row],[Column5]]), deployment_raw[[#This Row],[Column5]],"")</f>
        <v/>
      </c>
      <c r="F202" s="174" t="str">
        <f>IF(ISNUMBER(deployment_raw[[#This Row],[Column6]]), (deployment_raw[[#This Row],[Column6]] * deployment_raw[[#This Row],[Column5]]),"")</f>
        <v/>
      </c>
      <c r="G202" s="175" t="str">
        <f>IF(ISNUMBER(deployment_raw[[#This Row],[Column7]]), (deployment_raw[[#This Row],[Column7]] * deployment_raw[[#This Row],[Column5]])/1048576,"")</f>
        <v/>
      </c>
      <c r="H202" s="175" t="str">
        <f>IF(ISNUMBER(deployment_raw[[#This Row],[Column8]]), (deployment_raw[[#This Row],[Column8]]  * deployment_raw[[#This Row],[Column5]]),"")</f>
        <v/>
      </c>
      <c r="I202" s="176" t="str">
        <f>IF(ISNUMBER(deployment_raw[[#This Row],[Column9]]), (deployment_raw[[#This Row],[Column9]] * deployment_raw[[#This Row],[Column5]])/1048576,"")</f>
        <v/>
      </c>
      <c r="J202" s="57" t="str">
        <f>IF(ISNUMBER(deployment_raw[[#This Row],[Column10]]), (deployment_raw[[#This Row],[Column10]] * deployment_raw[[#This Row],[Column5]]),"")</f>
        <v/>
      </c>
      <c r="K202" s="58" t="str">
        <f>IF(ISNUMBER(deployment_raw[[#This Row],[Column11]]), (deployment_raw[[#This Row],[Column11]] * deployment_raw[[#This Row],[Column5]])/1048576,"")</f>
        <v/>
      </c>
      <c r="L202" s="180" t="str">
        <f>IF(ISNUMBER(deployment_raw[[#This Row],[Column8]]),IF(deployment_raw[[#This Row],[Column5]] &lt;&gt; 0, MAX((deployment_raw[[#This Row],[Column12]] * deployment_raw[[#This Row],[Column5]]), ((deployment_raw[[#This Row],[Column8]] * deployment_raw[[#This Row],[Column5]]) * $L$2), ($H$2 * deployment_raw[[#This Row],[Column5]])), 0),"")</f>
        <v/>
      </c>
      <c r="M20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02" s="188" t="str">
        <f>IF(ISNUMBER(deployment_raw[[#This Row],[Column14]]), deployment_raw[[#This Row],[Column14]],"")</f>
        <v/>
      </c>
      <c r="O202" s="189" t="str">
        <f>IF(ISNUMBER(deployment_raw[[#This Row],[Column15]]), deployment_raw[[#This Row],[Column15]]/1048576,"")</f>
        <v/>
      </c>
      <c r="P202" s="190" t="str">
        <f>IF(ISNUMBER(deployment_raw[[#This Row],[Column12]]), (deployment_raw[[#This Row],[Column12]] * deployment_raw[[#This Row],[Column5]]),"")</f>
        <v/>
      </c>
      <c r="Q202" s="189" t="str">
        <f>IF(ISNUMBER(deployment_raw[[#This Row],[Column13]]), (deployment_raw[[#This Row],[Column13]] * deployment_raw[[#This Row],[Column5]])/1048576,"")</f>
        <v/>
      </c>
    </row>
    <row r="203" spans="1:17" ht="15.75" customHeight="1" x14ac:dyDescent="0.25">
      <c r="A203" s="37" t="str">
        <f>IF(ISNONTEXT(deployment_raw[[#This Row],[Column1]]), "", deployment_raw[[#This Row],[Column1]])</f>
        <v/>
      </c>
      <c r="B203" s="38" t="str">
        <f>IF(ISNONTEXT(deployment_raw[[#This Row],[Column2]]), "", deployment_raw[[#This Row],[Column2]])</f>
        <v/>
      </c>
      <c r="C203" s="38" t="str">
        <f>IF(ISNONTEXT(deployment_raw[[#This Row],[Column3]]), "", deployment_raw[[#This Row],[Column3]])</f>
        <v/>
      </c>
      <c r="D203" s="38" t="str">
        <f>IF(ISNONTEXT(deployment_raw[[#This Row],[Column4]]), "", deployment_raw[[#This Row],[Column4]])</f>
        <v/>
      </c>
      <c r="E203" s="39" t="str">
        <f>IF(ISNUMBER(deployment_raw[[#This Row],[Column5]]), deployment_raw[[#This Row],[Column5]],"")</f>
        <v/>
      </c>
      <c r="F203" s="174" t="str">
        <f>IF(ISNUMBER(deployment_raw[[#This Row],[Column6]]), (deployment_raw[[#This Row],[Column6]] * deployment_raw[[#This Row],[Column5]]),"")</f>
        <v/>
      </c>
      <c r="G203" s="175" t="str">
        <f>IF(ISNUMBER(deployment_raw[[#This Row],[Column7]]), (deployment_raw[[#This Row],[Column7]] * deployment_raw[[#This Row],[Column5]])/1048576,"")</f>
        <v/>
      </c>
      <c r="H203" s="175" t="str">
        <f>IF(ISNUMBER(deployment_raw[[#This Row],[Column8]]), (deployment_raw[[#This Row],[Column8]]  * deployment_raw[[#This Row],[Column5]]),"")</f>
        <v/>
      </c>
      <c r="I203" s="176" t="str">
        <f>IF(ISNUMBER(deployment_raw[[#This Row],[Column9]]), (deployment_raw[[#This Row],[Column9]] * deployment_raw[[#This Row],[Column5]])/1048576,"")</f>
        <v/>
      </c>
      <c r="J203" s="57" t="str">
        <f>IF(ISNUMBER(deployment_raw[[#This Row],[Column10]]), (deployment_raw[[#This Row],[Column10]] * deployment_raw[[#This Row],[Column5]]),"")</f>
        <v/>
      </c>
      <c r="K203" s="58" t="str">
        <f>IF(ISNUMBER(deployment_raw[[#This Row],[Column11]]), (deployment_raw[[#This Row],[Column11]] * deployment_raw[[#This Row],[Column5]])/1048576,"")</f>
        <v/>
      </c>
      <c r="L203" s="180" t="str">
        <f>IF(ISNUMBER(deployment_raw[[#This Row],[Column8]]),IF(deployment_raw[[#This Row],[Column5]] &lt;&gt; 0, MAX((deployment_raw[[#This Row],[Column12]] * deployment_raw[[#This Row],[Column5]]), ((deployment_raw[[#This Row],[Column8]] * deployment_raw[[#This Row],[Column5]]) * $L$2), ($H$2 * deployment_raw[[#This Row],[Column5]])), 0),"")</f>
        <v/>
      </c>
      <c r="M20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03" s="188" t="str">
        <f>IF(ISNUMBER(deployment_raw[[#This Row],[Column14]]), deployment_raw[[#This Row],[Column14]],"")</f>
        <v/>
      </c>
      <c r="O203" s="189" t="str">
        <f>IF(ISNUMBER(deployment_raw[[#This Row],[Column15]]), deployment_raw[[#This Row],[Column15]]/1048576,"")</f>
        <v/>
      </c>
      <c r="P203" s="190" t="str">
        <f>IF(ISNUMBER(deployment_raw[[#This Row],[Column12]]), (deployment_raw[[#This Row],[Column12]] * deployment_raw[[#This Row],[Column5]]),"")</f>
        <v/>
      </c>
      <c r="Q203" s="189" t="str">
        <f>IF(ISNUMBER(deployment_raw[[#This Row],[Column13]]), (deployment_raw[[#This Row],[Column13]] * deployment_raw[[#This Row],[Column5]])/1048576,"")</f>
        <v/>
      </c>
    </row>
    <row r="204" spans="1:17" ht="15.75" customHeight="1" x14ac:dyDescent="0.25">
      <c r="A204" s="37" t="str">
        <f>IF(ISNONTEXT(deployment_raw[[#This Row],[Column1]]), "", deployment_raw[[#This Row],[Column1]])</f>
        <v/>
      </c>
      <c r="B204" s="38" t="str">
        <f>IF(ISNONTEXT(deployment_raw[[#This Row],[Column2]]), "", deployment_raw[[#This Row],[Column2]])</f>
        <v/>
      </c>
      <c r="C204" s="38" t="str">
        <f>IF(ISNONTEXT(deployment_raw[[#This Row],[Column3]]), "", deployment_raw[[#This Row],[Column3]])</f>
        <v/>
      </c>
      <c r="D204" s="38" t="str">
        <f>IF(ISNONTEXT(deployment_raw[[#This Row],[Column4]]), "", deployment_raw[[#This Row],[Column4]])</f>
        <v/>
      </c>
      <c r="E204" s="39" t="str">
        <f>IF(ISNUMBER(deployment_raw[[#This Row],[Column5]]), deployment_raw[[#This Row],[Column5]],"")</f>
        <v/>
      </c>
      <c r="F204" s="174" t="str">
        <f>IF(ISNUMBER(deployment_raw[[#This Row],[Column6]]), (deployment_raw[[#This Row],[Column6]] * deployment_raw[[#This Row],[Column5]]),"")</f>
        <v/>
      </c>
      <c r="G204" s="175" t="str">
        <f>IF(ISNUMBER(deployment_raw[[#This Row],[Column7]]), (deployment_raw[[#This Row],[Column7]] * deployment_raw[[#This Row],[Column5]])/1048576,"")</f>
        <v/>
      </c>
      <c r="H204" s="175" t="str">
        <f>IF(ISNUMBER(deployment_raw[[#This Row],[Column8]]), (deployment_raw[[#This Row],[Column8]]  * deployment_raw[[#This Row],[Column5]]),"")</f>
        <v/>
      </c>
      <c r="I204" s="176" t="str">
        <f>IF(ISNUMBER(deployment_raw[[#This Row],[Column9]]), (deployment_raw[[#This Row],[Column9]] * deployment_raw[[#This Row],[Column5]])/1048576,"")</f>
        <v/>
      </c>
      <c r="J204" s="57" t="str">
        <f>IF(ISNUMBER(deployment_raw[[#This Row],[Column10]]), (deployment_raw[[#This Row],[Column10]] * deployment_raw[[#This Row],[Column5]]),"")</f>
        <v/>
      </c>
      <c r="K204" s="58" t="str">
        <f>IF(ISNUMBER(deployment_raw[[#This Row],[Column11]]), (deployment_raw[[#This Row],[Column11]] * deployment_raw[[#This Row],[Column5]])/1048576,"")</f>
        <v/>
      </c>
      <c r="L204" s="180" t="str">
        <f>IF(ISNUMBER(deployment_raw[[#This Row],[Column8]]),IF(deployment_raw[[#This Row],[Column5]] &lt;&gt; 0, MAX((deployment_raw[[#This Row],[Column12]] * deployment_raw[[#This Row],[Column5]]), ((deployment_raw[[#This Row],[Column8]] * deployment_raw[[#This Row],[Column5]]) * $L$2), ($H$2 * deployment_raw[[#This Row],[Column5]])), 0),"")</f>
        <v/>
      </c>
      <c r="M20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04" s="188" t="str">
        <f>IF(ISNUMBER(deployment_raw[[#This Row],[Column14]]), deployment_raw[[#This Row],[Column14]],"")</f>
        <v/>
      </c>
      <c r="O204" s="189" t="str">
        <f>IF(ISNUMBER(deployment_raw[[#This Row],[Column15]]), deployment_raw[[#This Row],[Column15]]/1048576,"")</f>
        <v/>
      </c>
      <c r="P204" s="190" t="str">
        <f>IF(ISNUMBER(deployment_raw[[#This Row],[Column12]]), (deployment_raw[[#This Row],[Column12]] * deployment_raw[[#This Row],[Column5]]),"")</f>
        <v/>
      </c>
      <c r="Q204" s="189" t="str">
        <f>IF(ISNUMBER(deployment_raw[[#This Row],[Column13]]), (deployment_raw[[#This Row],[Column13]] * deployment_raw[[#This Row],[Column5]])/1048576,"")</f>
        <v/>
      </c>
    </row>
    <row r="205" spans="1:17" ht="15.75" customHeight="1" x14ac:dyDescent="0.25">
      <c r="A205" s="37" t="str">
        <f>IF(ISNONTEXT(deployment_raw[[#This Row],[Column1]]), "", deployment_raw[[#This Row],[Column1]])</f>
        <v/>
      </c>
      <c r="B205" s="38" t="str">
        <f>IF(ISNONTEXT(deployment_raw[[#This Row],[Column2]]), "", deployment_raw[[#This Row],[Column2]])</f>
        <v/>
      </c>
      <c r="C205" s="38" t="str">
        <f>IF(ISNONTEXT(deployment_raw[[#This Row],[Column3]]), "", deployment_raw[[#This Row],[Column3]])</f>
        <v/>
      </c>
      <c r="D205" s="38" t="str">
        <f>IF(ISNONTEXT(deployment_raw[[#This Row],[Column4]]), "", deployment_raw[[#This Row],[Column4]])</f>
        <v/>
      </c>
      <c r="E205" s="39" t="str">
        <f>IF(ISNUMBER(deployment_raw[[#This Row],[Column5]]), deployment_raw[[#This Row],[Column5]],"")</f>
        <v/>
      </c>
      <c r="F205" s="174" t="str">
        <f>IF(ISNUMBER(deployment_raw[[#This Row],[Column6]]), (deployment_raw[[#This Row],[Column6]] * deployment_raw[[#This Row],[Column5]]),"")</f>
        <v/>
      </c>
      <c r="G205" s="175" t="str">
        <f>IF(ISNUMBER(deployment_raw[[#This Row],[Column7]]), (deployment_raw[[#This Row],[Column7]] * deployment_raw[[#This Row],[Column5]])/1048576,"")</f>
        <v/>
      </c>
      <c r="H205" s="175" t="str">
        <f>IF(ISNUMBER(deployment_raw[[#This Row],[Column8]]), (deployment_raw[[#This Row],[Column8]]  * deployment_raw[[#This Row],[Column5]]),"")</f>
        <v/>
      </c>
      <c r="I205" s="176" t="str">
        <f>IF(ISNUMBER(deployment_raw[[#This Row],[Column9]]), (deployment_raw[[#This Row],[Column9]] * deployment_raw[[#This Row],[Column5]])/1048576,"")</f>
        <v/>
      </c>
      <c r="J205" s="57" t="str">
        <f>IF(ISNUMBER(deployment_raw[[#This Row],[Column10]]), (deployment_raw[[#This Row],[Column10]] * deployment_raw[[#This Row],[Column5]]),"")</f>
        <v/>
      </c>
      <c r="K205" s="58" t="str">
        <f>IF(ISNUMBER(deployment_raw[[#This Row],[Column11]]), (deployment_raw[[#This Row],[Column11]] * deployment_raw[[#This Row],[Column5]])/1048576,"")</f>
        <v/>
      </c>
      <c r="L205" s="180" t="str">
        <f>IF(ISNUMBER(deployment_raw[[#This Row],[Column8]]),IF(deployment_raw[[#This Row],[Column5]] &lt;&gt; 0, MAX((deployment_raw[[#This Row],[Column12]] * deployment_raw[[#This Row],[Column5]]), ((deployment_raw[[#This Row],[Column8]] * deployment_raw[[#This Row],[Column5]]) * $L$2), ($H$2 * deployment_raw[[#This Row],[Column5]])), 0),"")</f>
        <v/>
      </c>
      <c r="M20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05" s="188" t="str">
        <f>IF(ISNUMBER(deployment_raw[[#This Row],[Column14]]), deployment_raw[[#This Row],[Column14]],"")</f>
        <v/>
      </c>
      <c r="O205" s="189" t="str">
        <f>IF(ISNUMBER(deployment_raw[[#This Row],[Column15]]), deployment_raw[[#This Row],[Column15]]/1048576,"")</f>
        <v/>
      </c>
      <c r="P205" s="190" t="str">
        <f>IF(ISNUMBER(deployment_raw[[#This Row],[Column12]]), (deployment_raw[[#This Row],[Column12]] * deployment_raw[[#This Row],[Column5]]),"")</f>
        <v/>
      </c>
      <c r="Q205" s="189" t="str">
        <f>IF(ISNUMBER(deployment_raw[[#This Row],[Column13]]), (deployment_raw[[#This Row],[Column13]] * deployment_raw[[#This Row],[Column5]])/1048576,"")</f>
        <v/>
      </c>
    </row>
    <row r="206" spans="1:17" ht="15.75" customHeight="1" x14ac:dyDescent="0.25">
      <c r="A206" s="37" t="str">
        <f>IF(ISNONTEXT(deployment_raw[[#This Row],[Column1]]), "", deployment_raw[[#This Row],[Column1]])</f>
        <v/>
      </c>
      <c r="B206" s="38" t="str">
        <f>IF(ISNONTEXT(deployment_raw[[#This Row],[Column2]]), "", deployment_raw[[#This Row],[Column2]])</f>
        <v/>
      </c>
      <c r="C206" s="38" t="str">
        <f>IF(ISNONTEXT(deployment_raw[[#This Row],[Column3]]), "", deployment_raw[[#This Row],[Column3]])</f>
        <v/>
      </c>
      <c r="D206" s="38" t="str">
        <f>IF(ISNONTEXT(deployment_raw[[#This Row],[Column4]]), "", deployment_raw[[#This Row],[Column4]])</f>
        <v/>
      </c>
      <c r="E206" s="39" t="str">
        <f>IF(ISNUMBER(deployment_raw[[#This Row],[Column5]]), deployment_raw[[#This Row],[Column5]],"")</f>
        <v/>
      </c>
      <c r="F206" s="174" t="str">
        <f>IF(ISNUMBER(deployment_raw[[#This Row],[Column6]]), (deployment_raw[[#This Row],[Column6]] * deployment_raw[[#This Row],[Column5]]),"")</f>
        <v/>
      </c>
      <c r="G206" s="175" t="str">
        <f>IF(ISNUMBER(deployment_raw[[#This Row],[Column7]]), (deployment_raw[[#This Row],[Column7]] * deployment_raw[[#This Row],[Column5]])/1048576,"")</f>
        <v/>
      </c>
      <c r="H206" s="175" t="str">
        <f>IF(ISNUMBER(deployment_raw[[#This Row],[Column8]]), (deployment_raw[[#This Row],[Column8]]  * deployment_raw[[#This Row],[Column5]]),"")</f>
        <v/>
      </c>
      <c r="I206" s="176" t="str">
        <f>IF(ISNUMBER(deployment_raw[[#This Row],[Column9]]), (deployment_raw[[#This Row],[Column9]] * deployment_raw[[#This Row],[Column5]])/1048576,"")</f>
        <v/>
      </c>
      <c r="J206" s="57" t="str">
        <f>IF(ISNUMBER(deployment_raw[[#This Row],[Column10]]), (deployment_raw[[#This Row],[Column10]] * deployment_raw[[#This Row],[Column5]]),"")</f>
        <v/>
      </c>
      <c r="K206" s="58" t="str">
        <f>IF(ISNUMBER(deployment_raw[[#This Row],[Column11]]), (deployment_raw[[#This Row],[Column11]] * deployment_raw[[#This Row],[Column5]])/1048576,"")</f>
        <v/>
      </c>
      <c r="L206" s="180" t="str">
        <f>IF(ISNUMBER(deployment_raw[[#This Row],[Column8]]),IF(deployment_raw[[#This Row],[Column5]] &lt;&gt; 0, MAX((deployment_raw[[#This Row],[Column12]] * deployment_raw[[#This Row],[Column5]]), ((deployment_raw[[#This Row],[Column8]] * deployment_raw[[#This Row],[Column5]]) * $L$2), ($H$2 * deployment_raw[[#This Row],[Column5]])), 0),"")</f>
        <v/>
      </c>
      <c r="M20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06" s="188" t="str">
        <f>IF(ISNUMBER(deployment_raw[[#This Row],[Column14]]), deployment_raw[[#This Row],[Column14]],"")</f>
        <v/>
      </c>
      <c r="O206" s="189" t="str">
        <f>IF(ISNUMBER(deployment_raw[[#This Row],[Column15]]), deployment_raw[[#This Row],[Column15]]/1048576,"")</f>
        <v/>
      </c>
      <c r="P206" s="190" t="str">
        <f>IF(ISNUMBER(deployment_raw[[#This Row],[Column12]]), (deployment_raw[[#This Row],[Column12]] * deployment_raw[[#This Row],[Column5]]),"")</f>
        <v/>
      </c>
      <c r="Q206" s="189" t="str">
        <f>IF(ISNUMBER(deployment_raw[[#This Row],[Column13]]), (deployment_raw[[#This Row],[Column13]] * deployment_raw[[#This Row],[Column5]])/1048576,"")</f>
        <v/>
      </c>
    </row>
    <row r="207" spans="1:17" ht="15.75" customHeight="1" x14ac:dyDescent="0.25">
      <c r="A207" s="37" t="str">
        <f>IF(ISNONTEXT(deployment_raw[[#This Row],[Column1]]), "", deployment_raw[[#This Row],[Column1]])</f>
        <v/>
      </c>
      <c r="B207" s="38" t="str">
        <f>IF(ISNONTEXT(deployment_raw[[#This Row],[Column2]]), "", deployment_raw[[#This Row],[Column2]])</f>
        <v/>
      </c>
      <c r="C207" s="38" t="str">
        <f>IF(ISNONTEXT(deployment_raw[[#This Row],[Column3]]), "", deployment_raw[[#This Row],[Column3]])</f>
        <v/>
      </c>
      <c r="D207" s="38" t="str">
        <f>IF(ISNONTEXT(deployment_raw[[#This Row],[Column4]]), "", deployment_raw[[#This Row],[Column4]])</f>
        <v/>
      </c>
      <c r="E207" s="39" t="str">
        <f>IF(ISNUMBER(deployment_raw[[#This Row],[Column5]]), deployment_raw[[#This Row],[Column5]],"")</f>
        <v/>
      </c>
      <c r="F207" s="174" t="str">
        <f>IF(ISNUMBER(deployment_raw[[#This Row],[Column6]]), (deployment_raw[[#This Row],[Column6]] * deployment_raw[[#This Row],[Column5]]),"")</f>
        <v/>
      </c>
      <c r="G207" s="175" t="str">
        <f>IF(ISNUMBER(deployment_raw[[#This Row],[Column7]]), (deployment_raw[[#This Row],[Column7]] * deployment_raw[[#This Row],[Column5]])/1048576,"")</f>
        <v/>
      </c>
      <c r="H207" s="175" t="str">
        <f>IF(ISNUMBER(deployment_raw[[#This Row],[Column8]]), (deployment_raw[[#This Row],[Column8]]  * deployment_raw[[#This Row],[Column5]]),"")</f>
        <v/>
      </c>
      <c r="I207" s="176" t="str">
        <f>IF(ISNUMBER(deployment_raw[[#This Row],[Column9]]), (deployment_raw[[#This Row],[Column9]] * deployment_raw[[#This Row],[Column5]])/1048576,"")</f>
        <v/>
      </c>
      <c r="J207" s="57" t="str">
        <f>IF(ISNUMBER(deployment_raw[[#This Row],[Column10]]), (deployment_raw[[#This Row],[Column10]] * deployment_raw[[#This Row],[Column5]]),"")</f>
        <v/>
      </c>
      <c r="K207" s="58" t="str">
        <f>IF(ISNUMBER(deployment_raw[[#This Row],[Column11]]), (deployment_raw[[#This Row],[Column11]] * deployment_raw[[#This Row],[Column5]])/1048576,"")</f>
        <v/>
      </c>
      <c r="L207" s="180" t="str">
        <f>IF(ISNUMBER(deployment_raw[[#This Row],[Column8]]),IF(deployment_raw[[#This Row],[Column5]] &lt;&gt; 0, MAX((deployment_raw[[#This Row],[Column12]] * deployment_raw[[#This Row],[Column5]]), ((deployment_raw[[#This Row],[Column8]] * deployment_raw[[#This Row],[Column5]]) * $L$2), ($H$2 * deployment_raw[[#This Row],[Column5]])), 0),"")</f>
        <v/>
      </c>
      <c r="M20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07" s="188" t="str">
        <f>IF(ISNUMBER(deployment_raw[[#This Row],[Column14]]), deployment_raw[[#This Row],[Column14]],"")</f>
        <v/>
      </c>
      <c r="O207" s="189" t="str">
        <f>IF(ISNUMBER(deployment_raw[[#This Row],[Column15]]), deployment_raw[[#This Row],[Column15]]/1048576,"")</f>
        <v/>
      </c>
      <c r="P207" s="190" t="str">
        <f>IF(ISNUMBER(deployment_raw[[#This Row],[Column12]]), (deployment_raw[[#This Row],[Column12]] * deployment_raw[[#This Row],[Column5]]),"")</f>
        <v/>
      </c>
      <c r="Q207" s="189" t="str">
        <f>IF(ISNUMBER(deployment_raw[[#This Row],[Column13]]), (deployment_raw[[#This Row],[Column13]] * deployment_raw[[#This Row],[Column5]])/1048576,"")</f>
        <v/>
      </c>
    </row>
    <row r="208" spans="1:17" ht="15.75" customHeight="1" x14ac:dyDescent="0.25">
      <c r="A208" s="37" t="str">
        <f>IF(ISNONTEXT(deployment_raw[[#This Row],[Column1]]), "", deployment_raw[[#This Row],[Column1]])</f>
        <v/>
      </c>
      <c r="B208" s="38" t="str">
        <f>IF(ISNONTEXT(deployment_raw[[#This Row],[Column2]]), "", deployment_raw[[#This Row],[Column2]])</f>
        <v/>
      </c>
      <c r="C208" s="38" t="str">
        <f>IF(ISNONTEXT(deployment_raw[[#This Row],[Column3]]), "", deployment_raw[[#This Row],[Column3]])</f>
        <v/>
      </c>
      <c r="D208" s="38" t="str">
        <f>IF(ISNONTEXT(deployment_raw[[#This Row],[Column4]]), "", deployment_raw[[#This Row],[Column4]])</f>
        <v/>
      </c>
      <c r="E208" s="39" t="str">
        <f>IF(ISNUMBER(deployment_raw[[#This Row],[Column5]]), deployment_raw[[#This Row],[Column5]],"")</f>
        <v/>
      </c>
      <c r="F208" s="174" t="str">
        <f>IF(ISNUMBER(deployment_raw[[#This Row],[Column6]]), (deployment_raw[[#This Row],[Column6]] * deployment_raw[[#This Row],[Column5]]),"")</f>
        <v/>
      </c>
      <c r="G208" s="175" t="str">
        <f>IF(ISNUMBER(deployment_raw[[#This Row],[Column7]]), (deployment_raw[[#This Row],[Column7]] * deployment_raw[[#This Row],[Column5]])/1048576,"")</f>
        <v/>
      </c>
      <c r="H208" s="175" t="str">
        <f>IF(ISNUMBER(deployment_raw[[#This Row],[Column8]]), (deployment_raw[[#This Row],[Column8]]  * deployment_raw[[#This Row],[Column5]]),"")</f>
        <v/>
      </c>
      <c r="I208" s="176" t="str">
        <f>IF(ISNUMBER(deployment_raw[[#This Row],[Column9]]), (deployment_raw[[#This Row],[Column9]] * deployment_raw[[#This Row],[Column5]])/1048576,"")</f>
        <v/>
      </c>
      <c r="J208" s="57" t="str">
        <f>IF(ISNUMBER(deployment_raw[[#This Row],[Column10]]), (deployment_raw[[#This Row],[Column10]] * deployment_raw[[#This Row],[Column5]]),"")</f>
        <v/>
      </c>
      <c r="K208" s="58" t="str">
        <f>IF(ISNUMBER(deployment_raw[[#This Row],[Column11]]), (deployment_raw[[#This Row],[Column11]] * deployment_raw[[#This Row],[Column5]])/1048576,"")</f>
        <v/>
      </c>
      <c r="L208" s="180" t="str">
        <f>IF(ISNUMBER(deployment_raw[[#This Row],[Column8]]),IF(deployment_raw[[#This Row],[Column5]] &lt;&gt; 0, MAX((deployment_raw[[#This Row],[Column12]] * deployment_raw[[#This Row],[Column5]]), ((deployment_raw[[#This Row],[Column8]] * deployment_raw[[#This Row],[Column5]]) * $L$2), ($H$2 * deployment_raw[[#This Row],[Column5]])), 0),"")</f>
        <v/>
      </c>
      <c r="M20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08" s="188" t="str">
        <f>IF(ISNUMBER(deployment_raw[[#This Row],[Column14]]), deployment_raw[[#This Row],[Column14]],"")</f>
        <v/>
      </c>
      <c r="O208" s="189" t="str">
        <f>IF(ISNUMBER(deployment_raw[[#This Row],[Column15]]), deployment_raw[[#This Row],[Column15]]/1048576,"")</f>
        <v/>
      </c>
      <c r="P208" s="190" t="str">
        <f>IF(ISNUMBER(deployment_raw[[#This Row],[Column12]]), (deployment_raw[[#This Row],[Column12]] * deployment_raw[[#This Row],[Column5]]),"")</f>
        <v/>
      </c>
      <c r="Q208" s="189" t="str">
        <f>IF(ISNUMBER(deployment_raw[[#This Row],[Column13]]), (deployment_raw[[#This Row],[Column13]] * deployment_raw[[#This Row],[Column5]])/1048576,"")</f>
        <v/>
      </c>
    </row>
    <row r="209" spans="1:17" ht="15.75" customHeight="1" x14ac:dyDescent="0.25">
      <c r="A209" s="37" t="str">
        <f>IF(ISNONTEXT(deployment_raw[[#This Row],[Column1]]), "", deployment_raw[[#This Row],[Column1]])</f>
        <v/>
      </c>
      <c r="B209" s="38" t="str">
        <f>IF(ISNONTEXT(deployment_raw[[#This Row],[Column2]]), "", deployment_raw[[#This Row],[Column2]])</f>
        <v/>
      </c>
      <c r="C209" s="38" t="str">
        <f>IF(ISNONTEXT(deployment_raw[[#This Row],[Column3]]), "", deployment_raw[[#This Row],[Column3]])</f>
        <v/>
      </c>
      <c r="D209" s="38" t="str">
        <f>IF(ISNONTEXT(deployment_raw[[#This Row],[Column4]]), "", deployment_raw[[#This Row],[Column4]])</f>
        <v/>
      </c>
      <c r="E209" s="39" t="str">
        <f>IF(ISNUMBER(deployment_raw[[#This Row],[Column5]]), deployment_raw[[#This Row],[Column5]],"")</f>
        <v/>
      </c>
      <c r="F209" s="174" t="str">
        <f>IF(ISNUMBER(deployment_raw[[#This Row],[Column6]]), (deployment_raw[[#This Row],[Column6]] * deployment_raw[[#This Row],[Column5]]),"")</f>
        <v/>
      </c>
      <c r="G209" s="175" t="str">
        <f>IF(ISNUMBER(deployment_raw[[#This Row],[Column7]]), (deployment_raw[[#This Row],[Column7]] * deployment_raw[[#This Row],[Column5]])/1048576,"")</f>
        <v/>
      </c>
      <c r="H209" s="175" t="str">
        <f>IF(ISNUMBER(deployment_raw[[#This Row],[Column8]]), (deployment_raw[[#This Row],[Column8]]  * deployment_raw[[#This Row],[Column5]]),"")</f>
        <v/>
      </c>
      <c r="I209" s="176" t="str">
        <f>IF(ISNUMBER(deployment_raw[[#This Row],[Column9]]), (deployment_raw[[#This Row],[Column9]] * deployment_raw[[#This Row],[Column5]])/1048576,"")</f>
        <v/>
      </c>
      <c r="J209" s="57" t="str">
        <f>IF(ISNUMBER(deployment_raw[[#This Row],[Column10]]), (deployment_raw[[#This Row],[Column10]] * deployment_raw[[#This Row],[Column5]]),"")</f>
        <v/>
      </c>
      <c r="K209" s="58" t="str">
        <f>IF(ISNUMBER(deployment_raw[[#This Row],[Column11]]), (deployment_raw[[#This Row],[Column11]] * deployment_raw[[#This Row],[Column5]])/1048576,"")</f>
        <v/>
      </c>
      <c r="L209" s="180" t="str">
        <f>IF(ISNUMBER(deployment_raw[[#This Row],[Column8]]),IF(deployment_raw[[#This Row],[Column5]] &lt;&gt; 0, MAX((deployment_raw[[#This Row],[Column12]] * deployment_raw[[#This Row],[Column5]]), ((deployment_raw[[#This Row],[Column8]] * deployment_raw[[#This Row],[Column5]]) * $L$2), ($H$2 * deployment_raw[[#This Row],[Column5]])), 0),"")</f>
        <v/>
      </c>
      <c r="M20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09" s="188" t="str">
        <f>IF(ISNUMBER(deployment_raw[[#This Row],[Column14]]), deployment_raw[[#This Row],[Column14]],"")</f>
        <v/>
      </c>
      <c r="O209" s="189" t="str">
        <f>IF(ISNUMBER(deployment_raw[[#This Row],[Column15]]), deployment_raw[[#This Row],[Column15]]/1048576,"")</f>
        <v/>
      </c>
      <c r="P209" s="190" t="str">
        <f>IF(ISNUMBER(deployment_raw[[#This Row],[Column12]]), (deployment_raw[[#This Row],[Column12]] * deployment_raw[[#This Row],[Column5]]),"")</f>
        <v/>
      </c>
      <c r="Q209" s="189" t="str">
        <f>IF(ISNUMBER(deployment_raw[[#This Row],[Column13]]), (deployment_raw[[#This Row],[Column13]] * deployment_raw[[#This Row],[Column5]])/1048576,"")</f>
        <v/>
      </c>
    </row>
    <row r="210" spans="1:17" ht="15.75" customHeight="1" x14ac:dyDescent="0.25">
      <c r="A210" s="37" t="str">
        <f>IF(ISNONTEXT(deployment_raw[[#This Row],[Column1]]), "", deployment_raw[[#This Row],[Column1]])</f>
        <v/>
      </c>
      <c r="B210" s="38" t="str">
        <f>IF(ISNONTEXT(deployment_raw[[#This Row],[Column2]]), "", deployment_raw[[#This Row],[Column2]])</f>
        <v/>
      </c>
      <c r="C210" s="38" t="str">
        <f>IF(ISNONTEXT(deployment_raw[[#This Row],[Column3]]), "", deployment_raw[[#This Row],[Column3]])</f>
        <v/>
      </c>
      <c r="D210" s="38" t="str">
        <f>IF(ISNONTEXT(deployment_raw[[#This Row],[Column4]]), "", deployment_raw[[#This Row],[Column4]])</f>
        <v/>
      </c>
      <c r="E210" s="39" t="str">
        <f>IF(ISNUMBER(deployment_raw[[#This Row],[Column5]]), deployment_raw[[#This Row],[Column5]],"")</f>
        <v/>
      </c>
      <c r="F210" s="174" t="str">
        <f>IF(ISNUMBER(deployment_raw[[#This Row],[Column6]]), (deployment_raw[[#This Row],[Column6]] * deployment_raw[[#This Row],[Column5]]),"")</f>
        <v/>
      </c>
      <c r="G210" s="175" t="str">
        <f>IF(ISNUMBER(deployment_raw[[#This Row],[Column7]]), (deployment_raw[[#This Row],[Column7]] * deployment_raw[[#This Row],[Column5]])/1048576,"")</f>
        <v/>
      </c>
      <c r="H210" s="175" t="str">
        <f>IF(ISNUMBER(deployment_raw[[#This Row],[Column8]]), (deployment_raw[[#This Row],[Column8]]  * deployment_raw[[#This Row],[Column5]]),"")</f>
        <v/>
      </c>
      <c r="I210" s="176" t="str">
        <f>IF(ISNUMBER(deployment_raw[[#This Row],[Column9]]), (deployment_raw[[#This Row],[Column9]] * deployment_raw[[#This Row],[Column5]])/1048576,"")</f>
        <v/>
      </c>
      <c r="J210" s="57" t="str">
        <f>IF(ISNUMBER(deployment_raw[[#This Row],[Column10]]), (deployment_raw[[#This Row],[Column10]] * deployment_raw[[#This Row],[Column5]]),"")</f>
        <v/>
      </c>
      <c r="K210" s="58" t="str">
        <f>IF(ISNUMBER(deployment_raw[[#This Row],[Column11]]), (deployment_raw[[#This Row],[Column11]] * deployment_raw[[#This Row],[Column5]])/1048576,"")</f>
        <v/>
      </c>
      <c r="L210" s="180" t="str">
        <f>IF(ISNUMBER(deployment_raw[[#This Row],[Column8]]),IF(deployment_raw[[#This Row],[Column5]] &lt;&gt; 0, MAX((deployment_raw[[#This Row],[Column12]] * deployment_raw[[#This Row],[Column5]]), ((deployment_raw[[#This Row],[Column8]] * deployment_raw[[#This Row],[Column5]]) * $L$2), ($H$2 * deployment_raw[[#This Row],[Column5]])), 0),"")</f>
        <v/>
      </c>
      <c r="M21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10" s="188" t="str">
        <f>IF(ISNUMBER(deployment_raw[[#This Row],[Column14]]), deployment_raw[[#This Row],[Column14]],"")</f>
        <v/>
      </c>
      <c r="O210" s="189" t="str">
        <f>IF(ISNUMBER(deployment_raw[[#This Row],[Column15]]), deployment_raw[[#This Row],[Column15]]/1048576,"")</f>
        <v/>
      </c>
      <c r="P210" s="190" t="str">
        <f>IF(ISNUMBER(deployment_raw[[#This Row],[Column12]]), (deployment_raw[[#This Row],[Column12]] * deployment_raw[[#This Row],[Column5]]),"")</f>
        <v/>
      </c>
      <c r="Q210" s="189" t="str">
        <f>IF(ISNUMBER(deployment_raw[[#This Row],[Column13]]), (deployment_raw[[#This Row],[Column13]] * deployment_raw[[#This Row],[Column5]])/1048576,"")</f>
        <v/>
      </c>
    </row>
    <row r="211" spans="1:17" ht="15.75" customHeight="1" x14ac:dyDescent="0.25">
      <c r="A211" s="37" t="str">
        <f>IF(ISNONTEXT(deployment_raw[[#This Row],[Column1]]), "", deployment_raw[[#This Row],[Column1]])</f>
        <v/>
      </c>
      <c r="B211" s="38" t="str">
        <f>IF(ISNONTEXT(deployment_raw[[#This Row],[Column2]]), "", deployment_raw[[#This Row],[Column2]])</f>
        <v/>
      </c>
      <c r="C211" s="38" t="str">
        <f>IF(ISNONTEXT(deployment_raw[[#This Row],[Column3]]), "", deployment_raw[[#This Row],[Column3]])</f>
        <v/>
      </c>
      <c r="D211" s="38" t="str">
        <f>IF(ISNONTEXT(deployment_raw[[#This Row],[Column4]]), "", deployment_raw[[#This Row],[Column4]])</f>
        <v/>
      </c>
      <c r="E211" s="39" t="str">
        <f>IF(ISNUMBER(deployment_raw[[#This Row],[Column5]]), deployment_raw[[#This Row],[Column5]],"")</f>
        <v/>
      </c>
      <c r="F211" s="174" t="str">
        <f>IF(ISNUMBER(deployment_raw[[#This Row],[Column6]]), (deployment_raw[[#This Row],[Column6]] * deployment_raw[[#This Row],[Column5]]),"")</f>
        <v/>
      </c>
      <c r="G211" s="175" t="str">
        <f>IF(ISNUMBER(deployment_raw[[#This Row],[Column7]]), (deployment_raw[[#This Row],[Column7]] * deployment_raw[[#This Row],[Column5]])/1048576,"")</f>
        <v/>
      </c>
      <c r="H211" s="175" t="str">
        <f>IF(ISNUMBER(deployment_raw[[#This Row],[Column8]]), (deployment_raw[[#This Row],[Column8]]  * deployment_raw[[#This Row],[Column5]]),"")</f>
        <v/>
      </c>
      <c r="I211" s="176" t="str">
        <f>IF(ISNUMBER(deployment_raw[[#This Row],[Column9]]), (deployment_raw[[#This Row],[Column9]] * deployment_raw[[#This Row],[Column5]])/1048576,"")</f>
        <v/>
      </c>
      <c r="J211" s="57" t="str">
        <f>IF(ISNUMBER(deployment_raw[[#This Row],[Column10]]), (deployment_raw[[#This Row],[Column10]] * deployment_raw[[#This Row],[Column5]]),"")</f>
        <v/>
      </c>
      <c r="K211" s="58" t="str">
        <f>IF(ISNUMBER(deployment_raw[[#This Row],[Column11]]), (deployment_raw[[#This Row],[Column11]] * deployment_raw[[#This Row],[Column5]])/1048576,"")</f>
        <v/>
      </c>
      <c r="L211" s="180" t="str">
        <f>IF(ISNUMBER(deployment_raw[[#This Row],[Column8]]),IF(deployment_raw[[#This Row],[Column5]] &lt;&gt; 0, MAX((deployment_raw[[#This Row],[Column12]] * deployment_raw[[#This Row],[Column5]]), ((deployment_raw[[#This Row],[Column8]] * deployment_raw[[#This Row],[Column5]]) * $L$2), ($H$2 * deployment_raw[[#This Row],[Column5]])), 0),"")</f>
        <v/>
      </c>
      <c r="M21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11" s="188" t="str">
        <f>IF(ISNUMBER(deployment_raw[[#This Row],[Column14]]), deployment_raw[[#This Row],[Column14]],"")</f>
        <v/>
      </c>
      <c r="O211" s="189" t="str">
        <f>IF(ISNUMBER(deployment_raw[[#This Row],[Column15]]), deployment_raw[[#This Row],[Column15]]/1048576,"")</f>
        <v/>
      </c>
      <c r="P211" s="190" t="str">
        <f>IF(ISNUMBER(deployment_raw[[#This Row],[Column12]]), (deployment_raw[[#This Row],[Column12]] * deployment_raw[[#This Row],[Column5]]),"")</f>
        <v/>
      </c>
      <c r="Q211" s="189" t="str">
        <f>IF(ISNUMBER(deployment_raw[[#This Row],[Column13]]), (deployment_raw[[#This Row],[Column13]] * deployment_raw[[#This Row],[Column5]])/1048576,"")</f>
        <v/>
      </c>
    </row>
    <row r="212" spans="1:17" ht="15.75" customHeight="1" x14ac:dyDescent="0.25">
      <c r="A212" s="37" t="str">
        <f>IF(ISNONTEXT(deployment_raw[[#This Row],[Column1]]), "", deployment_raw[[#This Row],[Column1]])</f>
        <v/>
      </c>
      <c r="B212" s="38" t="str">
        <f>IF(ISNONTEXT(deployment_raw[[#This Row],[Column2]]), "", deployment_raw[[#This Row],[Column2]])</f>
        <v/>
      </c>
      <c r="C212" s="38" t="str">
        <f>IF(ISNONTEXT(deployment_raw[[#This Row],[Column3]]), "", deployment_raw[[#This Row],[Column3]])</f>
        <v/>
      </c>
      <c r="D212" s="38" t="str">
        <f>IF(ISNONTEXT(deployment_raw[[#This Row],[Column4]]), "", deployment_raw[[#This Row],[Column4]])</f>
        <v/>
      </c>
      <c r="E212" s="39" t="str">
        <f>IF(ISNUMBER(deployment_raw[[#This Row],[Column5]]), deployment_raw[[#This Row],[Column5]],"")</f>
        <v/>
      </c>
      <c r="F212" s="174" t="str">
        <f>IF(ISNUMBER(deployment_raw[[#This Row],[Column6]]), (deployment_raw[[#This Row],[Column6]] * deployment_raw[[#This Row],[Column5]]),"")</f>
        <v/>
      </c>
      <c r="G212" s="175" t="str">
        <f>IF(ISNUMBER(deployment_raw[[#This Row],[Column7]]), (deployment_raw[[#This Row],[Column7]] * deployment_raw[[#This Row],[Column5]])/1048576,"")</f>
        <v/>
      </c>
      <c r="H212" s="175" t="str">
        <f>IF(ISNUMBER(deployment_raw[[#This Row],[Column8]]), (deployment_raw[[#This Row],[Column8]]  * deployment_raw[[#This Row],[Column5]]),"")</f>
        <v/>
      </c>
      <c r="I212" s="176" t="str">
        <f>IF(ISNUMBER(deployment_raw[[#This Row],[Column9]]), (deployment_raw[[#This Row],[Column9]] * deployment_raw[[#This Row],[Column5]])/1048576,"")</f>
        <v/>
      </c>
      <c r="J212" s="57" t="str">
        <f>IF(ISNUMBER(deployment_raw[[#This Row],[Column10]]), (deployment_raw[[#This Row],[Column10]] * deployment_raw[[#This Row],[Column5]]),"")</f>
        <v/>
      </c>
      <c r="K212" s="58" t="str">
        <f>IF(ISNUMBER(deployment_raw[[#This Row],[Column11]]), (deployment_raw[[#This Row],[Column11]] * deployment_raw[[#This Row],[Column5]])/1048576,"")</f>
        <v/>
      </c>
      <c r="L212" s="180" t="str">
        <f>IF(ISNUMBER(deployment_raw[[#This Row],[Column8]]),IF(deployment_raw[[#This Row],[Column5]] &lt;&gt; 0, MAX((deployment_raw[[#This Row],[Column12]] * deployment_raw[[#This Row],[Column5]]), ((deployment_raw[[#This Row],[Column8]] * deployment_raw[[#This Row],[Column5]]) * $L$2), ($H$2 * deployment_raw[[#This Row],[Column5]])), 0),"")</f>
        <v/>
      </c>
      <c r="M21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12" s="188" t="str">
        <f>IF(ISNUMBER(deployment_raw[[#This Row],[Column14]]), deployment_raw[[#This Row],[Column14]],"")</f>
        <v/>
      </c>
      <c r="O212" s="189" t="str">
        <f>IF(ISNUMBER(deployment_raw[[#This Row],[Column15]]), deployment_raw[[#This Row],[Column15]]/1048576,"")</f>
        <v/>
      </c>
      <c r="P212" s="190" t="str">
        <f>IF(ISNUMBER(deployment_raw[[#This Row],[Column12]]), (deployment_raw[[#This Row],[Column12]] * deployment_raw[[#This Row],[Column5]]),"")</f>
        <v/>
      </c>
      <c r="Q212" s="189" t="str">
        <f>IF(ISNUMBER(deployment_raw[[#This Row],[Column13]]), (deployment_raw[[#This Row],[Column13]] * deployment_raw[[#This Row],[Column5]])/1048576,"")</f>
        <v/>
      </c>
    </row>
    <row r="213" spans="1:17" ht="15.75" customHeight="1" x14ac:dyDescent="0.25">
      <c r="A213" s="37" t="str">
        <f>IF(ISNONTEXT(deployment_raw[[#This Row],[Column1]]), "", deployment_raw[[#This Row],[Column1]])</f>
        <v/>
      </c>
      <c r="B213" s="38" t="str">
        <f>IF(ISNONTEXT(deployment_raw[[#This Row],[Column2]]), "", deployment_raw[[#This Row],[Column2]])</f>
        <v/>
      </c>
      <c r="C213" s="38" t="str">
        <f>IF(ISNONTEXT(deployment_raw[[#This Row],[Column3]]), "", deployment_raw[[#This Row],[Column3]])</f>
        <v/>
      </c>
      <c r="D213" s="38" t="str">
        <f>IF(ISNONTEXT(deployment_raw[[#This Row],[Column4]]), "", deployment_raw[[#This Row],[Column4]])</f>
        <v/>
      </c>
      <c r="E213" s="39" t="str">
        <f>IF(ISNUMBER(deployment_raw[[#This Row],[Column5]]), deployment_raw[[#This Row],[Column5]],"")</f>
        <v/>
      </c>
      <c r="F213" s="174" t="str">
        <f>IF(ISNUMBER(deployment_raw[[#This Row],[Column6]]), (deployment_raw[[#This Row],[Column6]] * deployment_raw[[#This Row],[Column5]]),"")</f>
        <v/>
      </c>
      <c r="G213" s="175" t="str">
        <f>IF(ISNUMBER(deployment_raw[[#This Row],[Column7]]), (deployment_raw[[#This Row],[Column7]] * deployment_raw[[#This Row],[Column5]])/1048576,"")</f>
        <v/>
      </c>
      <c r="H213" s="175" t="str">
        <f>IF(ISNUMBER(deployment_raw[[#This Row],[Column8]]), (deployment_raw[[#This Row],[Column8]]  * deployment_raw[[#This Row],[Column5]]),"")</f>
        <v/>
      </c>
      <c r="I213" s="176" t="str">
        <f>IF(ISNUMBER(deployment_raw[[#This Row],[Column9]]), (deployment_raw[[#This Row],[Column9]] * deployment_raw[[#This Row],[Column5]])/1048576,"")</f>
        <v/>
      </c>
      <c r="J213" s="57" t="str">
        <f>IF(ISNUMBER(deployment_raw[[#This Row],[Column10]]), (deployment_raw[[#This Row],[Column10]] * deployment_raw[[#This Row],[Column5]]),"")</f>
        <v/>
      </c>
      <c r="K213" s="58" t="str">
        <f>IF(ISNUMBER(deployment_raw[[#This Row],[Column11]]), (deployment_raw[[#This Row],[Column11]] * deployment_raw[[#This Row],[Column5]])/1048576,"")</f>
        <v/>
      </c>
      <c r="L213" s="180" t="str">
        <f>IF(ISNUMBER(deployment_raw[[#This Row],[Column8]]),IF(deployment_raw[[#This Row],[Column5]] &lt;&gt; 0, MAX((deployment_raw[[#This Row],[Column12]] * deployment_raw[[#This Row],[Column5]]), ((deployment_raw[[#This Row],[Column8]] * deployment_raw[[#This Row],[Column5]]) * $L$2), ($H$2 * deployment_raw[[#This Row],[Column5]])), 0),"")</f>
        <v/>
      </c>
      <c r="M21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13" s="188" t="str">
        <f>IF(ISNUMBER(deployment_raw[[#This Row],[Column14]]), deployment_raw[[#This Row],[Column14]],"")</f>
        <v/>
      </c>
      <c r="O213" s="189" t="str">
        <f>IF(ISNUMBER(deployment_raw[[#This Row],[Column15]]), deployment_raw[[#This Row],[Column15]]/1048576,"")</f>
        <v/>
      </c>
      <c r="P213" s="190" t="str">
        <f>IF(ISNUMBER(deployment_raw[[#This Row],[Column12]]), (deployment_raw[[#This Row],[Column12]] * deployment_raw[[#This Row],[Column5]]),"")</f>
        <v/>
      </c>
      <c r="Q213" s="189" t="str">
        <f>IF(ISNUMBER(deployment_raw[[#This Row],[Column13]]), (deployment_raw[[#This Row],[Column13]] * deployment_raw[[#This Row],[Column5]])/1048576,"")</f>
        <v/>
      </c>
    </row>
    <row r="214" spans="1:17" ht="15.75" customHeight="1" x14ac:dyDescent="0.25">
      <c r="A214" s="37" t="str">
        <f>IF(ISNONTEXT(deployment_raw[[#This Row],[Column1]]), "", deployment_raw[[#This Row],[Column1]])</f>
        <v/>
      </c>
      <c r="B214" s="38" t="str">
        <f>IF(ISNONTEXT(deployment_raw[[#This Row],[Column2]]), "", deployment_raw[[#This Row],[Column2]])</f>
        <v/>
      </c>
      <c r="C214" s="38" t="str">
        <f>IF(ISNONTEXT(deployment_raw[[#This Row],[Column3]]), "", deployment_raw[[#This Row],[Column3]])</f>
        <v/>
      </c>
      <c r="D214" s="38" t="str">
        <f>IF(ISNONTEXT(deployment_raw[[#This Row],[Column4]]), "", deployment_raw[[#This Row],[Column4]])</f>
        <v/>
      </c>
      <c r="E214" s="39" t="str">
        <f>IF(ISNUMBER(deployment_raw[[#This Row],[Column5]]), deployment_raw[[#This Row],[Column5]],"")</f>
        <v/>
      </c>
      <c r="F214" s="174" t="str">
        <f>IF(ISNUMBER(deployment_raw[[#This Row],[Column6]]), (deployment_raw[[#This Row],[Column6]] * deployment_raw[[#This Row],[Column5]]),"")</f>
        <v/>
      </c>
      <c r="G214" s="175" t="str">
        <f>IF(ISNUMBER(deployment_raw[[#This Row],[Column7]]), (deployment_raw[[#This Row],[Column7]] * deployment_raw[[#This Row],[Column5]])/1048576,"")</f>
        <v/>
      </c>
      <c r="H214" s="175" t="str">
        <f>IF(ISNUMBER(deployment_raw[[#This Row],[Column8]]), (deployment_raw[[#This Row],[Column8]]  * deployment_raw[[#This Row],[Column5]]),"")</f>
        <v/>
      </c>
      <c r="I214" s="176" t="str">
        <f>IF(ISNUMBER(deployment_raw[[#This Row],[Column9]]), (deployment_raw[[#This Row],[Column9]] * deployment_raw[[#This Row],[Column5]])/1048576,"")</f>
        <v/>
      </c>
      <c r="J214" s="57" t="str">
        <f>IF(ISNUMBER(deployment_raw[[#This Row],[Column10]]), (deployment_raw[[#This Row],[Column10]] * deployment_raw[[#This Row],[Column5]]),"")</f>
        <v/>
      </c>
      <c r="K214" s="58" t="str">
        <f>IF(ISNUMBER(deployment_raw[[#This Row],[Column11]]), (deployment_raw[[#This Row],[Column11]] * deployment_raw[[#This Row],[Column5]])/1048576,"")</f>
        <v/>
      </c>
      <c r="L214" s="180" t="str">
        <f>IF(ISNUMBER(deployment_raw[[#This Row],[Column8]]),IF(deployment_raw[[#This Row],[Column5]] &lt;&gt; 0, MAX((deployment_raw[[#This Row],[Column12]] * deployment_raw[[#This Row],[Column5]]), ((deployment_raw[[#This Row],[Column8]] * deployment_raw[[#This Row],[Column5]]) * $L$2), ($H$2 * deployment_raw[[#This Row],[Column5]])), 0),"")</f>
        <v/>
      </c>
      <c r="M21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14" s="188" t="str">
        <f>IF(ISNUMBER(deployment_raw[[#This Row],[Column14]]), deployment_raw[[#This Row],[Column14]],"")</f>
        <v/>
      </c>
      <c r="O214" s="189" t="str">
        <f>IF(ISNUMBER(deployment_raw[[#This Row],[Column15]]), deployment_raw[[#This Row],[Column15]]/1048576,"")</f>
        <v/>
      </c>
      <c r="P214" s="190" t="str">
        <f>IF(ISNUMBER(deployment_raw[[#This Row],[Column12]]), (deployment_raw[[#This Row],[Column12]] * deployment_raw[[#This Row],[Column5]]),"")</f>
        <v/>
      </c>
      <c r="Q214" s="189" t="str">
        <f>IF(ISNUMBER(deployment_raw[[#This Row],[Column13]]), (deployment_raw[[#This Row],[Column13]] * deployment_raw[[#This Row],[Column5]])/1048576,"")</f>
        <v/>
      </c>
    </row>
    <row r="215" spans="1:17" ht="15.75" customHeight="1" x14ac:dyDescent="0.25">
      <c r="A215" s="37" t="str">
        <f>IF(ISNONTEXT(deployment_raw[[#This Row],[Column1]]), "", deployment_raw[[#This Row],[Column1]])</f>
        <v/>
      </c>
      <c r="B215" s="38" t="str">
        <f>IF(ISNONTEXT(deployment_raw[[#This Row],[Column2]]), "", deployment_raw[[#This Row],[Column2]])</f>
        <v/>
      </c>
      <c r="C215" s="38" t="str">
        <f>IF(ISNONTEXT(deployment_raw[[#This Row],[Column3]]), "", deployment_raw[[#This Row],[Column3]])</f>
        <v/>
      </c>
      <c r="D215" s="38" t="str">
        <f>IF(ISNONTEXT(deployment_raw[[#This Row],[Column4]]), "", deployment_raw[[#This Row],[Column4]])</f>
        <v/>
      </c>
      <c r="E215" s="39" t="str">
        <f>IF(ISNUMBER(deployment_raw[[#This Row],[Column5]]), deployment_raw[[#This Row],[Column5]],"")</f>
        <v/>
      </c>
      <c r="F215" s="174" t="str">
        <f>IF(ISNUMBER(deployment_raw[[#This Row],[Column6]]), (deployment_raw[[#This Row],[Column6]] * deployment_raw[[#This Row],[Column5]]),"")</f>
        <v/>
      </c>
      <c r="G215" s="175" t="str">
        <f>IF(ISNUMBER(deployment_raw[[#This Row],[Column7]]), (deployment_raw[[#This Row],[Column7]] * deployment_raw[[#This Row],[Column5]])/1048576,"")</f>
        <v/>
      </c>
      <c r="H215" s="175" t="str">
        <f>IF(ISNUMBER(deployment_raw[[#This Row],[Column8]]), (deployment_raw[[#This Row],[Column8]]  * deployment_raw[[#This Row],[Column5]]),"")</f>
        <v/>
      </c>
      <c r="I215" s="176" t="str">
        <f>IF(ISNUMBER(deployment_raw[[#This Row],[Column9]]), (deployment_raw[[#This Row],[Column9]] * deployment_raw[[#This Row],[Column5]])/1048576,"")</f>
        <v/>
      </c>
      <c r="J215" s="57" t="str">
        <f>IF(ISNUMBER(deployment_raw[[#This Row],[Column10]]), (deployment_raw[[#This Row],[Column10]] * deployment_raw[[#This Row],[Column5]]),"")</f>
        <v/>
      </c>
      <c r="K215" s="58" t="str">
        <f>IF(ISNUMBER(deployment_raw[[#This Row],[Column11]]), (deployment_raw[[#This Row],[Column11]] * deployment_raw[[#This Row],[Column5]])/1048576,"")</f>
        <v/>
      </c>
      <c r="L215" s="180" t="str">
        <f>IF(ISNUMBER(deployment_raw[[#This Row],[Column8]]),IF(deployment_raw[[#This Row],[Column5]] &lt;&gt; 0, MAX((deployment_raw[[#This Row],[Column12]] * deployment_raw[[#This Row],[Column5]]), ((deployment_raw[[#This Row],[Column8]] * deployment_raw[[#This Row],[Column5]]) * $L$2), ($H$2 * deployment_raw[[#This Row],[Column5]])), 0),"")</f>
        <v/>
      </c>
      <c r="M21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15" s="188" t="str">
        <f>IF(ISNUMBER(deployment_raw[[#This Row],[Column14]]), deployment_raw[[#This Row],[Column14]],"")</f>
        <v/>
      </c>
      <c r="O215" s="189" t="str">
        <f>IF(ISNUMBER(deployment_raw[[#This Row],[Column15]]), deployment_raw[[#This Row],[Column15]]/1048576,"")</f>
        <v/>
      </c>
      <c r="P215" s="190" t="str">
        <f>IF(ISNUMBER(deployment_raw[[#This Row],[Column12]]), (deployment_raw[[#This Row],[Column12]] * deployment_raw[[#This Row],[Column5]]),"")</f>
        <v/>
      </c>
      <c r="Q215" s="189" t="str">
        <f>IF(ISNUMBER(deployment_raw[[#This Row],[Column13]]), (deployment_raw[[#This Row],[Column13]] * deployment_raw[[#This Row],[Column5]])/1048576,"")</f>
        <v/>
      </c>
    </row>
    <row r="216" spans="1:17" ht="15.75" customHeight="1" x14ac:dyDescent="0.25">
      <c r="A216" s="37" t="str">
        <f>IF(ISNONTEXT(deployment_raw[[#This Row],[Column1]]), "", deployment_raw[[#This Row],[Column1]])</f>
        <v/>
      </c>
      <c r="B216" s="38" t="str">
        <f>IF(ISNONTEXT(deployment_raw[[#This Row],[Column2]]), "", deployment_raw[[#This Row],[Column2]])</f>
        <v/>
      </c>
      <c r="C216" s="38" t="str">
        <f>IF(ISNONTEXT(deployment_raw[[#This Row],[Column3]]), "", deployment_raw[[#This Row],[Column3]])</f>
        <v/>
      </c>
      <c r="D216" s="38" t="str">
        <f>IF(ISNONTEXT(deployment_raw[[#This Row],[Column4]]), "", deployment_raw[[#This Row],[Column4]])</f>
        <v/>
      </c>
      <c r="E216" s="39" t="str">
        <f>IF(ISNUMBER(deployment_raw[[#This Row],[Column5]]), deployment_raw[[#This Row],[Column5]],"")</f>
        <v/>
      </c>
      <c r="F216" s="174" t="str">
        <f>IF(ISNUMBER(deployment_raw[[#This Row],[Column6]]), (deployment_raw[[#This Row],[Column6]] * deployment_raw[[#This Row],[Column5]]),"")</f>
        <v/>
      </c>
      <c r="G216" s="175" t="str">
        <f>IF(ISNUMBER(deployment_raw[[#This Row],[Column7]]), (deployment_raw[[#This Row],[Column7]] * deployment_raw[[#This Row],[Column5]])/1048576,"")</f>
        <v/>
      </c>
      <c r="H216" s="175" t="str">
        <f>IF(ISNUMBER(deployment_raw[[#This Row],[Column8]]), (deployment_raw[[#This Row],[Column8]]  * deployment_raw[[#This Row],[Column5]]),"")</f>
        <v/>
      </c>
      <c r="I216" s="176" t="str">
        <f>IF(ISNUMBER(deployment_raw[[#This Row],[Column9]]), (deployment_raw[[#This Row],[Column9]] * deployment_raw[[#This Row],[Column5]])/1048576,"")</f>
        <v/>
      </c>
      <c r="J216" s="57" t="str">
        <f>IF(ISNUMBER(deployment_raw[[#This Row],[Column10]]), (deployment_raw[[#This Row],[Column10]] * deployment_raw[[#This Row],[Column5]]),"")</f>
        <v/>
      </c>
      <c r="K216" s="58" t="str">
        <f>IF(ISNUMBER(deployment_raw[[#This Row],[Column11]]), (deployment_raw[[#This Row],[Column11]] * deployment_raw[[#This Row],[Column5]])/1048576,"")</f>
        <v/>
      </c>
      <c r="L216" s="180" t="str">
        <f>IF(ISNUMBER(deployment_raw[[#This Row],[Column8]]),IF(deployment_raw[[#This Row],[Column5]] &lt;&gt; 0, MAX((deployment_raw[[#This Row],[Column12]] * deployment_raw[[#This Row],[Column5]]), ((deployment_raw[[#This Row],[Column8]] * deployment_raw[[#This Row],[Column5]]) * $L$2), ($H$2 * deployment_raw[[#This Row],[Column5]])), 0),"")</f>
        <v/>
      </c>
      <c r="M21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16" s="188" t="str">
        <f>IF(ISNUMBER(deployment_raw[[#This Row],[Column14]]), deployment_raw[[#This Row],[Column14]],"")</f>
        <v/>
      </c>
      <c r="O216" s="189" t="str">
        <f>IF(ISNUMBER(deployment_raw[[#This Row],[Column15]]), deployment_raw[[#This Row],[Column15]]/1048576,"")</f>
        <v/>
      </c>
      <c r="P216" s="190" t="str">
        <f>IF(ISNUMBER(deployment_raw[[#This Row],[Column12]]), (deployment_raw[[#This Row],[Column12]] * deployment_raw[[#This Row],[Column5]]),"")</f>
        <v/>
      </c>
      <c r="Q216" s="189" t="str">
        <f>IF(ISNUMBER(deployment_raw[[#This Row],[Column13]]), (deployment_raw[[#This Row],[Column13]] * deployment_raw[[#This Row],[Column5]])/1048576,"")</f>
        <v/>
      </c>
    </row>
    <row r="217" spans="1:17" ht="15.75" customHeight="1" x14ac:dyDescent="0.25">
      <c r="A217" s="37" t="str">
        <f>IF(ISNONTEXT(deployment_raw[[#This Row],[Column1]]), "", deployment_raw[[#This Row],[Column1]])</f>
        <v/>
      </c>
      <c r="B217" s="38" t="str">
        <f>IF(ISNONTEXT(deployment_raw[[#This Row],[Column2]]), "", deployment_raw[[#This Row],[Column2]])</f>
        <v/>
      </c>
      <c r="C217" s="38" t="str">
        <f>IF(ISNONTEXT(deployment_raw[[#This Row],[Column3]]), "", deployment_raw[[#This Row],[Column3]])</f>
        <v/>
      </c>
      <c r="D217" s="38" t="str">
        <f>IF(ISNONTEXT(deployment_raw[[#This Row],[Column4]]), "", deployment_raw[[#This Row],[Column4]])</f>
        <v/>
      </c>
      <c r="E217" s="39" t="str">
        <f>IF(ISNUMBER(deployment_raw[[#This Row],[Column5]]), deployment_raw[[#This Row],[Column5]],"")</f>
        <v/>
      </c>
      <c r="F217" s="174" t="str">
        <f>IF(ISNUMBER(deployment_raw[[#This Row],[Column6]]), (deployment_raw[[#This Row],[Column6]] * deployment_raw[[#This Row],[Column5]]),"")</f>
        <v/>
      </c>
      <c r="G217" s="175" t="str">
        <f>IF(ISNUMBER(deployment_raw[[#This Row],[Column7]]), (deployment_raw[[#This Row],[Column7]] * deployment_raw[[#This Row],[Column5]])/1048576,"")</f>
        <v/>
      </c>
      <c r="H217" s="175" t="str">
        <f>IF(ISNUMBER(deployment_raw[[#This Row],[Column8]]), (deployment_raw[[#This Row],[Column8]]  * deployment_raw[[#This Row],[Column5]]),"")</f>
        <v/>
      </c>
      <c r="I217" s="176" t="str">
        <f>IF(ISNUMBER(deployment_raw[[#This Row],[Column9]]), (deployment_raw[[#This Row],[Column9]] * deployment_raw[[#This Row],[Column5]])/1048576,"")</f>
        <v/>
      </c>
      <c r="J217" s="57" t="str">
        <f>IF(ISNUMBER(deployment_raw[[#This Row],[Column10]]), (deployment_raw[[#This Row],[Column10]] * deployment_raw[[#This Row],[Column5]]),"")</f>
        <v/>
      </c>
      <c r="K217" s="58" t="str">
        <f>IF(ISNUMBER(deployment_raw[[#This Row],[Column11]]), (deployment_raw[[#This Row],[Column11]] * deployment_raw[[#This Row],[Column5]])/1048576,"")</f>
        <v/>
      </c>
      <c r="L217" s="180" t="str">
        <f>IF(ISNUMBER(deployment_raw[[#This Row],[Column8]]),IF(deployment_raw[[#This Row],[Column5]] &lt;&gt; 0, MAX((deployment_raw[[#This Row],[Column12]] * deployment_raw[[#This Row],[Column5]]), ((deployment_raw[[#This Row],[Column8]] * deployment_raw[[#This Row],[Column5]]) * $L$2), ($H$2 * deployment_raw[[#This Row],[Column5]])), 0),"")</f>
        <v/>
      </c>
      <c r="M21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17" s="188" t="str">
        <f>IF(ISNUMBER(deployment_raw[[#This Row],[Column14]]), deployment_raw[[#This Row],[Column14]],"")</f>
        <v/>
      </c>
      <c r="O217" s="189" t="str">
        <f>IF(ISNUMBER(deployment_raw[[#This Row],[Column15]]), deployment_raw[[#This Row],[Column15]]/1048576,"")</f>
        <v/>
      </c>
      <c r="P217" s="190" t="str">
        <f>IF(ISNUMBER(deployment_raw[[#This Row],[Column12]]), (deployment_raw[[#This Row],[Column12]] * deployment_raw[[#This Row],[Column5]]),"")</f>
        <v/>
      </c>
      <c r="Q217" s="189" t="str">
        <f>IF(ISNUMBER(deployment_raw[[#This Row],[Column13]]), (deployment_raw[[#This Row],[Column13]] * deployment_raw[[#This Row],[Column5]])/1048576,"")</f>
        <v/>
      </c>
    </row>
    <row r="218" spans="1:17" ht="15.75" customHeight="1" x14ac:dyDescent="0.25">
      <c r="A218" s="37" t="str">
        <f>IF(ISNONTEXT(deployment_raw[[#This Row],[Column1]]), "", deployment_raw[[#This Row],[Column1]])</f>
        <v/>
      </c>
      <c r="B218" s="38" t="str">
        <f>IF(ISNONTEXT(deployment_raw[[#This Row],[Column2]]), "", deployment_raw[[#This Row],[Column2]])</f>
        <v/>
      </c>
      <c r="C218" s="38" t="str">
        <f>IF(ISNONTEXT(deployment_raw[[#This Row],[Column3]]), "", deployment_raw[[#This Row],[Column3]])</f>
        <v/>
      </c>
      <c r="D218" s="38" t="str">
        <f>IF(ISNONTEXT(deployment_raw[[#This Row],[Column4]]), "", deployment_raw[[#This Row],[Column4]])</f>
        <v/>
      </c>
      <c r="E218" s="39" t="str">
        <f>IF(ISNUMBER(deployment_raw[[#This Row],[Column5]]), deployment_raw[[#This Row],[Column5]],"")</f>
        <v/>
      </c>
      <c r="F218" s="174" t="str">
        <f>IF(ISNUMBER(deployment_raw[[#This Row],[Column6]]), (deployment_raw[[#This Row],[Column6]] * deployment_raw[[#This Row],[Column5]]),"")</f>
        <v/>
      </c>
      <c r="G218" s="175" t="str">
        <f>IF(ISNUMBER(deployment_raw[[#This Row],[Column7]]), (deployment_raw[[#This Row],[Column7]] * deployment_raw[[#This Row],[Column5]])/1048576,"")</f>
        <v/>
      </c>
      <c r="H218" s="175" t="str">
        <f>IF(ISNUMBER(deployment_raw[[#This Row],[Column8]]), (deployment_raw[[#This Row],[Column8]]  * deployment_raw[[#This Row],[Column5]]),"")</f>
        <v/>
      </c>
      <c r="I218" s="176" t="str">
        <f>IF(ISNUMBER(deployment_raw[[#This Row],[Column9]]), (deployment_raw[[#This Row],[Column9]] * deployment_raw[[#This Row],[Column5]])/1048576,"")</f>
        <v/>
      </c>
      <c r="J218" s="57" t="str">
        <f>IF(ISNUMBER(deployment_raw[[#This Row],[Column10]]), (deployment_raw[[#This Row],[Column10]] * deployment_raw[[#This Row],[Column5]]),"")</f>
        <v/>
      </c>
      <c r="K218" s="58" t="str">
        <f>IF(ISNUMBER(deployment_raw[[#This Row],[Column11]]), (deployment_raw[[#This Row],[Column11]] * deployment_raw[[#This Row],[Column5]])/1048576,"")</f>
        <v/>
      </c>
      <c r="L218" s="180" t="str">
        <f>IF(ISNUMBER(deployment_raw[[#This Row],[Column8]]),IF(deployment_raw[[#This Row],[Column5]] &lt;&gt; 0, MAX((deployment_raw[[#This Row],[Column12]] * deployment_raw[[#This Row],[Column5]]), ((deployment_raw[[#This Row],[Column8]] * deployment_raw[[#This Row],[Column5]]) * $L$2), ($H$2 * deployment_raw[[#This Row],[Column5]])), 0),"")</f>
        <v/>
      </c>
      <c r="M21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18" s="188" t="str">
        <f>IF(ISNUMBER(deployment_raw[[#This Row],[Column14]]), deployment_raw[[#This Row],[Column14]],"")</f>
        <v/>
      </c>
      <c r="O218" s="189" t="str">
        <f>IF(ISNUMBER(deployment_raw[[#This Row],[Column15]]), deployment_raw[[#This Row],[Column15]]/1048576,"")</f>
        <v/>
      </c>
      <c r="P218" s="190" t="str">
        <f>IF(ISNUMBER(deployment_raw[[#This Row],[Column12]]), (deployment_raw[[#This Row],[Column12]] * deployment_raw[[#This Row],[Column5]]),"")</f>
        <v/>
      </c>
      <c r="Q218" s="189" t="str">
        <f>IF(ISNUMBER(deployment_raw[[#This Row],[Column13]]), (deployment_raw[[#This Row],[Column13]] * deployment_raw[[#This Row],[Column5]])/1048576,"")</f>
        <v/>
      </c>
    </row>
    <row r="219" spans="1:17" ht="15.75" customHeight="1" x14ac:dyDescent="0.25">
      <c r="A219" s="37" t="str">
        <f>IF(ISNONTEXT(deployment_raw[[#This Row],[Column1]]), "", deployment_raw[[#This Row],[Column1]])</f>
        <v/>
      </c>
      <c r="B219" s="38" t="str">
        <f>IF(ISNONTEXT(deployment_raw[[#This Row],[Column2]]), "", deployment_raw[[#This Row],[Column2]])</f>
        <v/>
      </c>
      <c r="C219" s="38" t="str">
        <f>IF(ISNONTEXT(deployment_raw[[#This Row],[Column3]]), "", deployment_raw[[#This Row],[Column3]])</f>
        <v/>
      </c>
      <c r="D219" s="38" t="str">
        <f>IF(ISNONTEXT(deployment_raw[[#This Row],[Column4]]), "", deployment_raw[[#This Row],[Column4]])</f>
        <v/>
      </c>
      <c r="E219" s="39" t="str">
        <f>IF(ISNUMBER(deployment_raw[[#This Row],[Column5]]), deployment_raw[[#This Row],[Column5]],"")</f>
        <v/>
      </c>
      <c r="F219" s="174" t="str">
        <f>IF(ISNUMBER(deployment_raw[[#This Row],[Column6]]), (deployment_raw[[#This Row],[Column6]] * deployment_raw[[#This Row],[Column5]]),"")</f>
        <v/>
      </c>
      <c r="G219" s="175" t="str">
        <f>IF(ISNUMBER(deployment_raw[[#This Row],[Column7]]), (deployment_raw[[#This Row],[Column7]] * deployment_raw[[#This Row],[Column5]])/1048576,"")</f>
        <v/>
      </c>
      <c r="H219" s="175" t="str">
        <f>IF(ISNUMBER(deployment_raw[[#This Row],[Column8]]), (deployment_raw[[#This Row],[Column8]]  * deployment_raw[[#This Row],[Column5]]),"")</f>
        <v/>
      </c>
      <c r="I219" s="176" t="str">
        <f>IF(ISNUMBER(deployment_raw[[#This Row],[Column9]]), (deployment_raw[[#This Row],[Column9]] * deployment_raw[[#This Row],[Column5]])/1048576,"")</f>
        <v/>
      </c>
      <c r="J219" s="57" t="str">
        <f>IF(ISNUMBER(deployment_raw[[#This Row],[Column10]]), (deployment_raw[[#This Row],[Column10]] * deployment_raw[[#This Row],[Column5]]),"")</f>
        <v/>
      </c>
      <c r="K219" s="58" t="str">
        <f>IF(ISNUMBER(deployment_raw[[#This Row],[Column11]]), (deployment_raw[[#This Row],[Column11]] * deployment_raw[[#This Row],[Column5]])/1048576,"")</f>
        <v/>
      </c>
      <c r="L219" s="180" t="str">
        <f>IF(ISNUMBER(deployment_raw[[#This Row],[Column8]]),IF(deployment_raw[[#This Row],[Column5]] &lt;&gt; 0, MAX((deployment_raw[[#This Row],[Column12]] * deployment_raw[[#This Row],[Column5]]), ((deployment_raw[[#This Row],[Column8]] * deployment_raw[[#This Row],[Column5]]) * $L$2), ($H$2 * deployment_raw[[#This Row],[Column5]])), 0),"")</f>
        <v/>
      </c>
      <c r="M21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19" s="188" t="str">
        <f>IF(ISNUMBER(deployment_raw[[#This Row],[Column14]]), deployment_raw[[#This Row],[Column14]],"")</f>
        <v/>
      </c>
      <c r="O219" s="189" t="str">
        <f>IF(ISNUMBER(deployment_raw[[#This Row],[Column15]]), deployment_raw[[#This Row],[Column15]]/1048576,"")</f>
        <v/>
      </c>
      <c r="P219" s="190" t="str">
        <f>IF(ISNUMBER(deployment_raw[[#This Row],[Column12]]), (deployment_raw[[#This Row],[Column12]] * deployment_raw[[#This Row],[Column5]]),"")</f>
        <v/>
      </c>
      <c r="Q219" s="189" t="str">
        <f>IF(ISNUMBER(deployment_raw[[#This Row],[Column13]]), (deployment_raw[[#This Row],[Column13]] * deployment_raw[[#This Row],[Column5]])/1048576,"")</f>
        <v/>
      </c>
    </row>
    <row r="220" spans="1:17" ht="15.75" customHeight="1" x14ac:dyDescent="0.25">
      <c r="A220" s="37" t="str">
        <f>IF(ISNONTEXT(deployment_raw[[#This Row],[Column1]]), "", deployment_raw[[#This Row],[Column1]])</f>
        <v/>
      </c>
      <c r="B220" s="38" t="str">
        <f>IF(ISNONTEXT(deployment_raw[[#This Row],[Column2]]), "", deployment_raw[[#This Row],[Column2]])</f>
        <v/>
      </c>
      <c r="C220" s="38" t="str">
        <f>IF(ISNONTEXT(deployment_raw[[#This Row],[Column3]]), "", deployment_raw[[#This Row],[Column3]])</f>
        <v/>
      </c>
      <c r="D220" s="38" t="str">
        <f>IF(ISNONTEXT(deployment_raw[[#This Row],[Column4]]), "", deployment_raw[[#This Row],[Column4]])</f>
        <v/>
      </c>
      <c r="E220" s="39" t="str">
        <f>IF(ISNUMBER(deployment_raw[[#This Row],[Column5]]), deployment_raw[[#This Row],[Column5]],"")</f>
        <v/>
      </c>
      <c r="F220" s="174" t="str">
        <f>IF(ISNUMBER(deployment_raw[[#This Row],[Column6]]), (deployment_raw[[#This Row],[Column6]] * deployment_raw[[#This Row],[Column5]]),"")</f>
        <v/>
      </c>
      <c r="G220" s="175" t="str">
        <f>IF(ISNUMBER(deployment_raw[[#This Row],[Column7]]), (deployment_raw[[#This Row],[Column7]] * deployment_raw[[#This Row],[Column5]])/1048576,"")</f>
        <v/>
      </c>
      <c r="H220" s="175" t="str">
        <f>IF(ISNUMBER(deployment_raw[[#This Row],[Column8]]), (deployment_raw[[#This Row],[Column8]]  * deployment_raw[[#This Row],[Column5]]),"")</f>
        <v/>
      </c>
      <c r="I220" s="176" t="str">
        <f>IF(ISNUMBER(deployment_raw[[#This Row],[Column9]]), (deployment_raw[[#This Row],[Column9]] * deployment_raw[[#This Row],[Column5]])/1048576,"")</f>
        <v/>
      </c>
      <c r="J220" s="57" t="str">
        <f>IF(ISNUMBER(deployment_raw[[#This Row],[Column10]]), (deployment_raw[[#This Row],[Column10]] * deployment_raw[[#This Row],[Column5]]),"")</f>
        <v/>
      </c>
      <c r="K220" s="58" t="str">
        <f>IF(ISNUMBER(deployment_raw[[#This Row],[Column11]]), (deployment_raw[[#This Row],[Column11]] * deployment_raw[[#This Row],[Column5]])/1048576,"")</f>
        <v/>
      </c>
      <c r="L220" s="180" t="str">
        <f>IF(ISNUMBER(deployment_raw[[#This Row],[Column8]]),IF(deployment_raw[[#This Row],[Column5]] &lt;&gt; 0, MAX((deployment_raw[[#This Row],[Column12]] * deployment_raw[[#This Row],[Column5]]), ((deployment_raw[[#This Row],[Column8]] * deployment_raw[[#This Row],[Column5]]) * $L$2), ($H$2 * deployment_raw[[#This Row],[Column5]])), 0),"")</f>
        <v/>
      </c>
      <c r="M22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20" s="188" t="str">
        <f>IF(ISNUMBER(deployment_raw[[#This Row],[Column14]]), deployment_raw[[#This Row],[Column14]],"")</f>
        <v/>
      </c>
      <c r="O220" s="189" t="str">
        <f>IF(ISNUMBER(deployment_raw[[#This Row],[Column15]]), deployment_raw[[#This Row],[Column15]]/1048576,"")</f>
        <v/>
      </c>
      <c r="P220" s="190" t="str">
        <f>IF(ISNUMBER(deployment_raw[[#This Row],[Column12]]), (deployment_raw[[#This Row],[Column12]] * deployment_raw[[#This Row],[Column5]]),"")</f>
        <v/>
      </c>
      <c r="Q220" s="189" t="str">
        <f>IF(ISNUMBER(deployment_raw[[#This Row],[Column13]]), (deployment_raw[[#This Row],[Column13]] * deployment_raw[[#This Row],[Column5]])/1048576,"")</f>
        <v/>
      </c>
    </row>
    <row r="221" spans="1:17" ht="15.75" customHeight="1" x14ac:dyDescent="0.25">
      <c r="A221" s="37" t="str">
        <f>IF(ISNONTEXT(deployment_raw[[#This Row],[Column1]]), "", deployment_raw[[#This Row],[Column1]])</f>
        <v/>
      </c>
      <c r="B221" s="38" t="str">
        <f>IF(ISNONTEXT(deployment_raw[[#This Row],[Column2]]), "", deployment_raw[[#This Row],[Column2]])</f>
        <v/>
      </c>
      <c r="C221" s="38" t="str">
        <f>IF(ISNONTEXT(deployment_raw[[#This Row],[Column3]]), "", deployment_raw[[#This Row],[Column3]])</f>
        <v/>
      </c>
      <c r="D221" s="38" t="str">
        <f>IF(ISNONTEXT(deployment_raw[[#This Row],[Column4]]), "", deployment_raw[[#This Row],[Column4]])</f>
        <v/>
      </c>
      <c r="E221" s="39" t="str">
        <f>IF(ISNUMBER(deployment_raw[[#This Row],[Column5]]), deployment_raw[[#This Row],[Column5]],"")</f>
        <v/>
      </c>
      <c r="F221" s="174" t="str">
        <f>IF(ISNUMBER(deployment_raw[[#This Row],[Column6]]), (deployment_raw[[#This Row],[Column6]] * deployment_raw[[#This Row],[Column5]]),"")</f>
        <v/>
      </c>
      <c r="G221" s="175" t="str">
        <f>IF(ISNUMBER(deployment_raw[[#This Row],[Column7]]), (deployment_raw[[#This Row],[Column7]] * deployment_raw[[#This Row],[Column5]])/1048576,"")</f>
        <v/>
      </c>
      <c r="H221" s="175" t="str">
        <f>IF(ISNUMBER(deployment_raw[[#This Row],[Column8]]), (deployment_raw[[#This Row],[Column8]]  * deployment_raw[[#This Row],[Column5]]),"")</f>
        <v/>
      </c>
      <c r="I221" s="176" t="str">
        <f>IF(ISNUMBER(deployment_raw[[#This Row],[Column9]]), (deployment_raw[[#This Row],[Column9]] * deployment_raw[[#This Row],[Column5]])/1048576,"")</f>
        <v/>
      </c>
      <c r="J221" s="57" t="str">
        <f>IF(ISNUMBER(deployment_raw[[#This Row],[Column10]]), (deployment_raw[[#This Row],[Column10]] * deployment_raw[[#This Row],[Column5]]),"")</f>
        <v/>
      </c>
      <c r="K221" s="58" t="str">
        <f>IF(ISNUMBER(deployment_raw[[#This Row],[Column11]]), (deployment_raw[[#This Row],[Column11]] * deployment_raw[[#This Row],[Column5]])/1048576,"")</f>
        <v/>
      </c>
      <c r="L221" s="180" t="str">
        <f>IF(ISNUMBER(deployment_raw[[#This Row],[Column8]]),IF(deployment_raw[[#This Row],[Column5]] &lt;&gt; 0, MAX((deployment_raw[[#This Row],[Column12]] * deployment_raw[[#This Row],[Column5]]), ((deployment_raw[[#This Row],[Column8]] * deployment_raw[[#This Row],[Column5]]) * $L$2), ($H$2 * deployment_raw[[#This Row],[Column5]])), 0),"")</f>
        <v/>
      </c>
      <c r="M22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21" s="188" t="str">
        <f>IF(ISNUMBER(deployment_raw[[#This Row],[Column14]]), deployment_raw[[#This Row],[Column14]],"")</f>
        <v/>
      </c>
      <c r="O221" s="189" t="str">
        <f>IF(ISNUMBER(deployment_raw[[#This Row],[Column15]]), deployment_raw[[#This Row],[Column15]]/1048576,"")</f>
        <v/>
      </c>
      <c r="P221" s="190" t="str">
        <f>IF(ISNUMBER(deployment_raw[[#This Row],[Column12]]), (deployment_raw[[#This Row],[Column12]] * deployment_raw[[#This Row],[Column5]]),"")</f>
        <v/>
      </c>
      <c r="Q221" s="189" t="str">
        <f>IF(ISNUMBER(deployment_raw[[#This Row],[Column13]]), (deployment_raw[[#This Row],[Column13]] * deployment_raw[[#This Row],[Column5]])/1048576,"")</f>
        <v/>
      </c>
    </row>
    <row r="222" spans="1:17" ht="15.75" customHeight="1" x14ac:dyDescent="0.25">
      <c r="A222" s="37" t="str">
        <f>IF(ISNONTEXT(deployment_raw[[#This Row],[Column1]]), "", deployment_raw[[#This Row],[Column1]])</f>
        <v/>
      </c>
      <c r="B222" s="38" t="str">
        <f>IF(ISNONTEXT(deployment_raw[[#This Row],[Column2]]), "", deployment_raw[[#This Row],[Column2]])</f>
        <v/>
      </c>
      <c r="C222" s="38" t="str">
        <f>IF(ISNONTEXT(deployment_raw[[#This Row],[Column3]]), "", deployment_raw[[#This Row],[Column3]])</f>
        <v/>
      </c>
      <c r="D222" s="38" t="str">
        <f>IF(ISNONTEXT(deployment_raw[[#This Row],[Column4]]), "", deployment_raw[[#This Row],[Column4]])</f>
        <v/>
      </c>
      <c r="E222" s="39" t="str">
        <f>IF(ISNUMBER(deployment_raw[[#This Row],[Column5]]), deployment_raw[[#This Row],[Column5]],"")</f>
        <v/>
      </c>
      <c r="F222" s="174" t="str">
        <f>IF(ISNUMBER(deployment_raw[[#This Row],[Column6]]), (deployment_raw[[#This Row],[Column6]] * deployment_raw[[#This Row],[Column5]]),"")</f>
        <v/>
      </c>
      <c r="G222" s="175" t="str">
        <f>IF(ISNUMBER(deployment_raw[[#This Row],[Column7]]), (deployment_raw[[#This Row],[Column7]] * deployment_raw[[#This Row],[Column5]])/1048576,"")</f>
        <v/>
      </c>
      <c r="H222" s="175" t="str">
        <f>IF(ISNUMBER(deployment_raw[[#This Row],[Column8]]), (deployment_raw[[#This Row],[Column8]]  * deployment_raw[[#This Row],[Column5]]),"")</f>
        <v/>
      </c>
      <c r="I222" s="176" t="str">
        <f>IF(ISNUMBER(deployment_raw[[#This Row],[Column9]]), (deployment_raw[[#This Row],[Column9]] * deployment_raw[[#This Row],[Column5]])/1048576,"")</f>
        <v/>
      </c>
      <c r="J222" s="57" t="str">
        <f>IF(ISNUMBER(deployment_raw[[#This Row],[Column10]]), (deployment_raw[[#This Row],[Column10]] * deployment_raw[[#This Row],[Column5]]),"")</f>
        <v/>
      </c>
      <c r="K222" s="58" t="str">
        <f>IF(ISNUMBER(deployment_raw[[#This Row],[Column11]]), (deployment_raw[[#This Row],[Column11]] * deployment_raw[[#This Row],[Column5]])/1048576,"")</f>
        <v/>
      </c>
      <c r="L222" s="180" t="str">
        <f>IF(ISNUMBER(deployment_raw[[#This Row],[Column8]]),IF(deployment_raw[[#This Row],[Column5]] &lt;&gt; 0, MAX((deployment_raw[[#This Row],[Column12]] * deployment_raw[[#This Row],[Column5]]), ((deployment_raw[[#This Row],[Column8]] * deployment_raw[[#This Row],[Column5]]) * $L$2), ($H$2 * deployment_raw[[#This Row],[Column5]])), 0),"")</f>
        <v/>
      </c>
      <c r="M22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22" s="188" t="str">
        <f>IF(ISNUMBER(deployment_raw[[#This Row],[Column14]]), deployment_raw[[#This Row],[Column14]],"")</f>
        <v/>
      </c>
      <c r="O222" s="189" t="str">
        <f>IF(ISNUMBER(deployment_raw[[#This Row],[Column15]]), deployment_raw[[#This Row],[Column15]]/1048576,"")</f>
        <v/>
      </c>
      <c r="P222" s="190" t="str">
        <f>IF(ISNUMBER(deployment_raw[[#This Row],[Column12]]), (deployment_raw[[#This Row],[Column12]] * deployment_raw[[#This Row],[Column5]]),"")</f>
        <v/>
      </c>
      <c r="Q222" s="189" t="str">
        <f>IF(ISNUMBER(deployment_raw[[#This Row],[Column13]]), (deployment_raw[[#This Row],[Column13]] * deployment_raw[[#This Row],[Column5]])/1048576,"")</f>
        <v/>
      </c>
    </row>
    <row r="223" spans="1:17" ht="15.75" customHeight="1" x14ac:dyDescent="0.25">
      <c r="A223" s="37" t="str">
        <f>IF(ISNONTEXT(deployment_raw[[#This Row],[Column1]]), "", deployment_raw[[#This Row],[Column1]])</f>
        <v/>
      </c>
      <c r="B223" s="38" t="str">
        <f>IF(ISNONTEXT(deployment_raw[[#This Row],[Column2]]), "", deployment_raw[[#This Row],[Column2]])</f>
        <v/>
      </c>
      <c r="C223" s="38" t="str">
        <f>IF(ISNONTEXT(deployment_raw[[#This Row],[Column3]]), "", deployment_raw[[#This Row],[Column3]])</f>
        <v/>
      </c>
      <c r="D223" s="38" t="str">
        <f>IF(ISNONTEXT(deployment_raw[[#This Row],[Column4]]), "", deployment_raw[[#This Row],[Column4]])</f>
        <v/>
      </c>
      <c r="E223" s="39" t="str">
        <f>IF(ISNUMBER(deployment_raw[[#This Row],[Column5]]), deployment_raw[[#This Row],[Column5]],"")</f>
        <v/>
      </c>
      <c r="F223" s="174" t="str">
        <f>IF(ISNUMBER(deployment_raw[[#This Row],[Column6]]), (deployment_raw[[#This Row],[Column6]] * deployment_raw[[#This Row],[Column5]]),"")</f>
        <v/>
      </c>
      <c r="G223" s="175" t="str">
        <f>IF(ISNUMBER(deployment_raw[[#This Row],[Column7]]), (deployment_raw[[#This Row],[Column7]] * deployment_raw[[#This Row],[Column5]])/1048576,"")</f>
        <v/>
      </c>
      <c r="H223" s="175" t="str">
        <f>IF(ISNUMBER(deployment_raw[[#This Row],[Column8]]), (deployment_raw[[#This Row],[Column8]]  * deployment_raw[[#This Row],[Column5]]),"")</f>
        <v/>
      </c>
      <c r="I223" s="176" t="str">
        <f>IF(ISNUMBER(deployment_raw[[#This Row],[Column9]]), (deployment_raw[[#This Row],[Column9]] * deployment_raw[[#This Row],[Column5]])/1048576,"")</f>
        <v/>
      </c>
      <c r="J223" s="57" t="str">
        <f>IF(ISNUMBER(deployment_raw[[#This Row],[Column10]]), (deployment_raw[[#This Row],[Column10]] * deployment_raw[[#This Row],[Column5]]),"")</f>
        <v/>
      </c>
      <c r="K223" s="58" t="str">
        <f>IF(ISNUMBER(deployment_raw[[#This Row],[Column11]]), (deployment_raw[[#This Row],[Column11]] * deployment_raw[[#This Row],[Column5]])/1048576,"")</f>
        <v/>
      </c>
      <c r="L223" s="180" t="str">
        <f>IF(ISNUMBER(deployment_raw[[#This Row],[Column8]]),IF(deployment_raw[[#This Row],[Column5]] &lt;&gt; 0, MAX((deployment_raw[[#This Row],[Column12]] * deployment_raw[[#This Row],[Column5]]), ((deployment_raw[[#This Row],[Column8]] * deployment_raw[[#This Row],[Column5]]) * $L$2), ($H$2 * deployment_raw[[#This Row],[Column5]])), 0),"")</f>
        <v/>
      </c>
      <c r="M22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23" s="188" t="str">
        <f>IF(ISNUMBER(deployment_raw[[#This Row],[Column14]]), deployment_raw[[#This Row],[Column14]],"")</f>
        <v/>
      </c>
      <c r="O223" s="189" t="str">
        <f>IF(ISNUMBER(deployment_raw[[#This Row],[Column15]]), deployment_raw[[#This Row],[Column15]]/1048576,"")</f>
        <v/>
      </c>
      <c r="P223" s="190" t="str">
        <f>IF(ISNUMBER(deployment_raw[[#This Row],[Column12]]), (deployment_raw[[#This Row],[Column12]] * deployment_raw[[#This Row],[Column5]]),"")</f>
        <v/>
      </c>
      <c r="Q223" s="189" t="str">
        <f>IF(ISNUMBER(deployment_raw[[#This Row],[Column13]]), (deployment_raw[[#This Row],[Column13]] * deployment_raw[[#This Row],[Column5]])/1048576,"")</f>
        <v/>
      </c>
    </row>
    <row r="224" spans="1:17" ht="15.75" customHeight="1" x14ac:dyDescent="0.25">
      <c r="A224" s="37" t="str">
        <f>IF(ISNONTEXT(deployment_raw[[#This Row],[Column1]]), "", deployment_raw[[#This Row],[Column1]])</f>
        <v/>
      </c>
      <c r="B224" s="38" t="str">
        <f>IF(ISNONTEXT(deployment_raw[[#This Row],[Column2]]), "", deployment_raw[[#This Row],[Column2]])</f>
        <v/>
      </c>
      <c r="C224" s="38" t="str">
        <f>IF(ISNONTEXT(deployment_raw[[#This Row],[Column3]]), "", deployment_raw[[#This Row],[Column3]])</f>
        <v/>
      </c>
      <c r="D224" s="38" t="str">
        <f>IF(ISNONTEXT(deployment_raw[[#This Row],[Column4]]), "", deployment_raw[[#This Row],[Column4]])</f>
        <v/>
      </c>
      <c r="E224" s="39" t="str">
        <f>IF(ISNUMBER(deployment_raw[[#This Row],[Column5]]), deployment_raw[[#This Row],[Column5]],"")</f>
        <v/>
      </c>
      <c r="F224" s="174" t="str">
        <f>IF(ISNUMBER(deployment_raw[[#This Row],[Column6]]), (deployment_raw[[#This Row],[Column6]] * deployment_raw[[#This Row],[Column5]]),"")</f>
        <v/>
      </c>
      <c r="G224" s="175" t="str">
        <f>IF(ISNUMBER(deployment_raw[[#This Row],[Column7]]), (deployment_raw[[#This Row],[Column7]] * deployment_raw[[#This Row],[Column5]])/1048576,"")</f>
        <v/>
      </c>
      <c r="H224" s="175" t="str">
        <f>IF(ISNUMBER(deployment_raw[[#This Row],[Column8]]), (deployment_raw[[#This Row],[Column8]]  * deployment_raw[[#This Row],[Column5]]),"")</f>
        <v/>
      </c>
      <c r="I224" s="176" t="str">
        <f>IF(ISNUMBER(deployment_raw[[#This Row],[Column9]]), (deployment_raw[[#This Row],[Column9]] * deployment_raw[[#This Row],[Column5]])/1048576,"")</f>
        <v/>
      </c>
      <c r="J224" s="57" t="str">
        <f>IF(ISNUMBER(deployment_raw[[#This Row],[Column10]]), (deployment_raw[[#This Row],[Column10]] * deployment_raw[[#This Row],[Column5]]),"")</f>
        <v/>
      </c>
      <c r="K224" s="58" t="str">
        <f>IF(ISNUMBER(deployment_raw[[#This Row],[Column11]]), (deployment_raw[[#This Row],[Column11]] * deployment_raw[[#This Row],[Column5]])/1048576,"")</f>
        <v/>
      </c>
      <c r="L224" s="180" t="str">
        <f>IF(ISNUMBER(deployment_raw[[#This Row],[Column8]]),IF(deployment_raw[[#This Row],[Column5]] &lt;&gt; 0, MAX((deployment_raw[[#This Row],[Column12]] * deployment_raw[[#This Row],[Column5]]), ((deployment_raw[[#This Row],[Column8]] * deployment_raw[[#This Row],[Column5]]) * $L$2), ($H$2 * deployment_raw[[#This Row],[Column5]])), 0),"")</f>
        <v/>
      </c>
      <c r="M22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24" s="188" t="str">
        <f>IF(ISNUMBER(deployment_raw[[#This Row],[Column14]]), deployment_raw[[#This Row],[Column14]],"")</f>
        <v/>
      </c>
      <c r="O224" s="189" t="str">
        <f>IF(ISNUMBER(deployment_raw[[#This Row],[Column15]]), deployment_raw[[#This Row],[Column15]]/1048576,"")</f>
        <v/>
      </c>
      <c r="P224" s="190" t="str">
        <f>IF(ISNUMBER(deployment_raw[[#This Row],[Column12]]), (deployment_raw[[#This Row],[Column12]] * deployment_raw[[#This Row],[Column5]]),"")</f>
        <v/>
      </c>
      <c r="Q224" s="189" t="str">
        <f>IF(ISNUMBER(deployment_raw[[#This Row],[Column13]]), (deployment_raw[[#This Row],[Column13]] * deployment_raw[[#This Row],[Column5]])/1048576,"")</f>
        <v/>
      </c>
    </row>
    <row r="225" spans="1:17" ht="15.75" customHeight="1" x14ac:dyDescent="0.25">
      <c r="A225" s="37" t="str">
        <f>IF(ISNONTEXT(deployment_raw[[#This Row],[Column1]]), "", deployment_raw[[#This Row],[Column1]])</f>
        <v/>
      </c>
      <c r="B225" s="38" t="str">
        <f>IF(ISNONTEXT(deployment_raw[[#This Row],[Column2]]), "", deployment_raw[[#This Row],[Column2]])</f>
        <v/>
      </c>
      <c r="C225" s="38" t="str">
        <f>IF(ISNONTEXT(deployment_raw[[#This Row],[Column3]]), "", deployment_raw[[#This Row],[Column3]])</f>
        <v/>
      </c>
      <c r="D225" s="38" t="str">
        <f>IF(ISNONTEXT(deployment_raw[[#This Row],[Column4]]), "", deployment_raw[[#This Row],[Column4]])</f>
        <v/>
      </c>
      <c r="E225" s="39" t="str">
        <f>IF(ISNUMBER(deployment_raw[[#This Row],[Column5]]), deployment_raw[[#This Row],[Column5]],"")</f>
        <v/>
      </c>
      <c r="F225" s="174" t="str">
        <f>IF(ISNUMBER(deployment_raw[[#This Row],[Column6]]), (deployment_raw[[#This Row],[Column6]] * deployment_raw[[#This Row],[Column5]]),"")</f>
        <v/>
      </c>
      <c r="G225" s="175" t="str">
        <f>IF(ISNUMBER(deployment_raw[[#This Row],[Column7]]), (deployment_raw[[#This Row],[Column7]] * deployment_raw[[#This Row],[Column5]])/1048576,"")</f>
        <v/>
      </c>
      <c r="H225" s="175" t="str">
        <f>IF(ISNUMBER(deployment_raw[[#This Row],[Column8]]), (deployment_raw[[#This Row],[Column8]]  * deployment_raw[[#This Row],[Column5]]),"")</f>
        <v/>
      </c>
      <c r="I225" s="176" t="str">
        <f>IF(ISNUMBER(deployment_raw[[#This Row],[Column9]]), (deployment_raw[[#This Row],[Column9]] * deployment_raw[[#This Row],[Column5]])/1048576,"")</f>
        <v/>
      </c>
      <c r="J225" s="57" t="str">
        <f>IF(ISNUMBER(deployment_raw[[#This Row],[Column10]]), (deployment_raw[[#This Row],[Column10]] * deployment_raw[[#This Row],[Column5]]),"")</f>
        <v/>
      </c>
      <c r="K225" s="58" t="str">
        <f>IF(ISNUMBER(deployment_raw[[#This Row],[Column11]]), (deployment_raw[[#This Row],[Column11]] * deployment_raw[[#This Row],[Column5]])/1048576,"")</f>
        <v/>
      </c>
      <c r="L225" s="180" t="str">
        <f>IF(ISNUMBER(deployment_raw[[#This Row],[Column8]]),IF(deployment_raw[[#This Row],[Column5]] &lt;&gt; 0, MAX((deployment_raw[[#This Row],[Column12]] * deployment_raw[[#This Row],[Column5]]), ((deployment_raw[[#This Row],[Column8]] * deployment_raw[[#This Row],[Column5]]) * $L$2), ($H$2 * deployment_raw[[#This Row],[Column5]])), 0),"")</f>
        <v/>
      </c>
      <c r="M22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25" s="188" t="str">
        <f>IF(ISNUMBER(deployment_raw[[#This Row],[Column14]]), deployment_raw[[#This Row],[Column14]],"")</f>
        <v/>
      </c>
      <c r="O225" s="189" t="str">
        <f>IF(ISNUMBER(deployment_raw[[#This Row],[Column15]]), deployment_raw[[#This Row],[Column15]]/1048576,"")</f>
        <v/>
      </c>
      <c r="P225" s="190" t="str">
        <f>IF(ISNUMBER(deployment_raw[[#This Row],[Column12]]), (deployment_raw[[#This Row],[Column12]] * deployment_raw[[#This Row],[Column5]]),"")</f>
        <v/>
      </c>
      <c r="Q225" s="189" t="str">
        <f>IF(ISNUMBER(deployment_raw[[#This Row],[Column13]]), (deployment_raw[[#This Row],[Column13]] * deployment_raw[[#This Row],[Column5]])/1048576,"")</f>
        <v/>
      </c>
    </row>
    <row r="226" spans="1:17" ht="15.75" customHeight="1" x14ac:dyDescent="0.25">
      <c r="A226" s="37" t="str">
        <f>IF(ISNONTEXT(deployment_raw[[#This Row],[Column1]]), "", deployment_raw[[#This Row],[Column1]])</f>
        <v/>
      </c>
      <c r="B226" s="38" t="str">
        <f>IF(ISNONTEXT(deployment_raw[[#This Row],[Column2]]), "", deployment_raw[[#This Row],[Column2]])</f>
        <v/>
      </c>
      <c r="C226" s="38" t="str">
        <f>IF(ISNONTEXT(deployment_raw[[#This Row],[Column3]]), "", deployment_raw[[#This Row],[Column3]])</f>
        <v/>
      </c>
      <c r="D226" s="38" t="str">
        <f>IF(ISNONTEXT(deployment_raw[[#This Row],[Column4]]), "", deployment_raw[[#This Row],[Column4]])</f>
        <v/>
      </c>
      <c r="E226" s="39" t="str">
        <f>IF(ISNUMBER(deployment_raw[[#This Row],[Column5]]), deployment_raw[[#This Row],[Column5]],"")</f>
        <v/>
      </c>
      <c r="F226" s="174" t="str">
        <f>IF(ISNUMBER(deployment_raw[[#This Row],[Column6]]), (deployment_raw[[#This Row],[Column6]] * deployment_raw[[#This Row],[Column5]]),"")</f>
        <v/>
      </c>
      <c r="G226" s="175" t="str">
        <f>IF(ISNUMBER(deployment_raw[[#This Row],[Column7]]), (deployment_raw[[#This Row],[Column7]] * deployment_raw[[#This Row],[Column5]])/1048576,"")</f>
        <v/>
      </c>
      <c r="H226" s="175" t="str">
        <f>IF(ISNUMBER(deployment_raw[[#This Row],[Column8]]), (deployment_raw[[#This Row],[Column8]]  * deployment_raw[[#This Row],[Column5]]),"")</f>
        <v/>
      </c>
      <c r="I226" s="176" t="str">
        <f>IF(ISNUMBER(deployment_raw[[#This Row],[Column9]]), (deployment_raw[[#This Row],[Column9]] * deployment_raw[[#This Row],[Column5]])/1048576,"")</f>
        <v/>
      </c>
      <c r="J226" s="57" t="str">
        <f>IF(ISNUMBER(deployment_raw[[#This Row],[Column10]]), (deployment_raw[[#This Row],[Column10]] * deployment_raw[[#This Row],[Column5]]),"")</f>
        <v/>
      </c>
      <c r="K226" s="58" t="str">
        <f>IF(ISNUMBER(deployment_raw[[#This Row],[Column11]]), (deployment_raw[[#This Row],[Column11]] * deployment_raw[[#This Row],[Column5]])/1048576,"")</f>
        <v/>
      </c>
      <c r="L226" s="180" t="str">
        <f>IF(ISNUMBER(deployment_raw[[#This Row],[Column8]]),IF(deployment_raw[[#This Row],[Column5]] &lt;&gt; 0, MAX((deployment_raw[[#This Row],[Column12]] * deployment_raw[[#This Row],[Column5]]), ((deployment_raw[[#This Row],[Column8]] * deployment_raw[[#This Row],[Column5]]) * $L$2), ($H$2 * deployment_raw[[#This Row],[Column5]])), 0),"")</f>
        <v/>
      </c>
      <c r="M22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26" s="188" t="str">
        <f>IF(ISNUMBER(deployment_raw[[#This Row],[Column14]]), deployment_raw[[#This Row],[Column14]],"")</f>
        <v/>
      </c>
      <c r="O226" s="189" t="str">
        <f>IF(ISNUMBER(deployment_raw[[#This Row],[Column15]]), deployment_raw[[#This Row],[Column15]]/1048576,"")</f>
        <v/>
      </c>
      <c r="P226" s="190" t="str">
        <f>IF(ISNUMBER(deployment_raw[[#This Row],[Column12]]), (deployment_raw[[#This Row],[Column12]] * deployment_raw[[#This Row],[Column5]]),"")</f>
        <v/>
      </c>
      <c r="Q226" s="189" t="str">
        <f>IF(ISNUMBER(deployment_raw[[#This Row],[Column13]]), (deployment_raw[[#This Row],[Column13]] * deployment_raw[[#This Row],[Column5]])/1048576,"")</f>
        <v/>
      </c>
    </row>
    <row r="227" spans="1:17" ht="15.75" customHeight="1" x14ac:dyDescent="0.25">
      <c r="A227" s="37" t="str">
        <f>IF(ISNONTEXT(deployment_raw[[#This Row],[Column1]]), "", deployment_raw[[#This Row],[Column1]])</f>
        <v/>
      </c>
      <c r="B227" s="38" t="str">
        <f>IF(ISNONTEXT(deployment_raw[[#This Row],[Column2]]), "", deployment_raw[[#This Row],[Column2]])</f>
        <v/>
      </c>
      <c r="C227" s="38" t="str">
        <f>IF(ISNONTEXT(deployment_raw[[#This Row],[Column3]]), "", deployment_raw[[#This Row],[Column3]])</f>
        <v/>
      </c>
      <c r="D227" s="38" t="str">
        <f>IF(ISNONTEXT(deployment_raw[[#This Row],[Column4]]), "", deployment_raw[[#This Row],[Column4]])</f>
        <v/>
      </c>
      <c r="E227" s="39" t="str">
        <f>IF(ISNUMBER(deployment_raw[[#This Row],[Column5]]), deployment_raw[[#This Row],[Column5]],"")</f>
        <v/>
      </c>
      <c r="F227" s="174" t="str">
        <f>IF(ISNUMBER(deployment_raw[[#This Row],[Column6]]), (deployment_raw[[#This Row],[Column6]] * deployment_raw[[#This Row],[Column5]]),"")</f>
        <v/>
      </c>
      <c r="G227" s="175" t="str">
        <f>IF(ISNUMBER(deployment_raw[[#This Row],[Column7]]), (deployment_raw[[#This Row],[Column7]] * deployment_raw[[#This Row],[Column5]])/1048576,"")</f>
        <v/>
      </c>
      <c r="H227" s="175" t="str">
        <f>IF(ISNUMBER(deployment_raw[[#This Row],[Column8]]), (deployment_raw[[#This Row],[Column8]]  * deployment_raw[[#This Row],[Column5]]),"")</f>
        <v/>
      </c>
      <c r="I227" s="176" t="str">
        <f>IF(ISNUMBER(deployment_raw[[#This Row],[Column9]]), (deployment_raw[[#This Row],[Column9]] * deployment_raw[[#This Row],[Column5]])/1048576,"")</f>
        <v/>
      </c>
      <c r="J227" s="57" t="str">
        <f>IF(ISNUMBER(deployment_raw[[#This Row],[Column10]]), (deployment_raw[[#This Row],[Column10]] * deployment_raw[[#This Row],[Column5]]),"")</f>
        <v/>
      </c>
      <c r="K227" s="58" t="str">
        <f>IF(ISNUMBER(deployment_raw[[#This Row],[Column11]]), (deployment_raw[[#This Row],[Column11]] * deployment_raw[[#This Row],[Column5]])/1048576,"")</f>
        <v/>
      </c>
      <c r="L227" s="180" t="str">
        <f>IF(ISNUMBER(deployment_raw[[#This Row],[Column8]]),IF(deployment_raw[[#This Row],[Column5]] &lt;&gt; 0, MAX((deployment_raw[[#This Row],[Column12]] * deployment_raw[[#This Row],[Column5]]), ((deployment_raw[[#This Row],[Column8]] * deployment_raw[[#This Row],[Column5]]) * $L$2), ($H$2 * deployment_raw[[#This Row],[Column5]])), 0),"")</f>
        <v/>
      </c>
      <c r="M22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27" s="188" t="str">
        <f>IF(ISNUMBER(deployment_raw[[#This Row],[Column14]]), deployment_raw[[#This Row],[Column14]],"")</f>
        <v/>
      </c>
      <c r="O227" s="189" t="str">
        <f>IF(ISNUMBER(deployment_raw[[#This Row],[Column15]]), deployment_raw[[#This Row],[Column15]]/1048576,"")</f>
        <v/>
      </c>
      <c r="P227" s="190" t="str">
        <f>IF(ISNUMBER(deployment_raw[[#This Row],[Column12]]), (deployment_raw[[#This Row],[Column12]] * deployment_raw[[#This Row],[Column5]]),"")</f>
        <v/>
      </c>
      <c r="Q227" s="189" t="str">
        <f>IF(ISNUMBER(deployment_raw[[#This Row],[Column13]]), (deployment_raw[[#This Row],[Column13]] * deployment_raw[[#This Row],[Column5]])/1048576,"")</f>
        <v/>
      </c>
    </row>
    <row r="228" spans="1:17" ht="15.75" customHeight="1" x14ac:dyDescent="0.25">
      <c r="A228" s="37" t="str">
        <f>IF(ISNONTEXT(deployment_raw[[#This Row],[Column1]]), "", deployment_raw[[#This Row],[Column1]])</f>
        <v/>
      </c>
      <c r="B228" s="38" t="str">
        <f>IF(ISNONTEXT(deployment_raw[[#This Row],[Column2]]), "", deployment_raw[[#This Row],[Column2]])</f>
        <v/>
      </c>
      <c r="C228" s="38" t="str">
        <f>IF(ISNONTEXT(deployment_raw[[#This Row],[Column3]]), "", deployment_raw[[#This Row],[Column3]])</f>
        <v/>
      </c>
      <c r="D228" s="38" t="str">
        <f>IF(ISNONTEXT(deployment_raw[[#This Row],[Column4]]), "", deployment_raw[[#This Row],[Column4]])</f>
        <v/>
      </c>
      <c r="E228" s="39" t="str">
        <f>IF(ISNUMBER(deployment_raw[[#This Row],[Column5]]), deployment_raw[[#This Row],[Column5]],"")</f>
        <v/>
      </c>
      <c r="F228" s="174" t="str">
        <f>IF(ISNUMBER(deployment_raw[[#This Row],[Column6]]), (deployment_raw[[#This Row],[Column6]] * deployment_raw[[#This Row],[Column5]]),"")</f>
        <v/>
      </c>
      <c r="G228" s="175" t="str">
        <f>IF(ISNUMBER(deployment_raw[[#This Row],[Column7]]), (deployment_raw[[#This Row],[Column7]] * deployment_raw[[#This Row],[Column5]])/1048576,"")</f>
        <v/>
      </c>
      <c r="H228" s="175" t="str">
        <f>IF(ISNUMBER(deployment_raw[[#This Row],[Column8]]), (deployment_raw[[#This Row],[Column8]]  * deployment_raw[[#This Row],[Column5]]),"")</f>
        <v/>
      </c>
      <c r="I228" s="176" t="str">
        <f>IF(ISNUMBER(deployment_raw[[#This Row],[Column9]]), (deployment_raw[[#This Row],[Column9]] * deployment_raw[[#This Row],[Column5]])/1048576,"")</f>
        <v/>
      </c>
      <c r="J228" s="57" t="str">
        <f>IF(ISNUMBER(deployment_raw[[#This Row],[Column10]]), (deployment_raw[[#This Row],[Column10]] * deployment_raw[[#This Row],[Column5]]),"")</f>
        <v/>
      </c>
      <c r="K228" s="58" t="str">
        <f>IF(ISNUMBER(deployment_raw[[#This Row],[Column11]]), (deployment_raw[[#This Row],[Column11]] * deployment_raw[[#This Row],[Column5]])/1048576,"")</f>
        <v/>
      </c>
      <c r="L228" s="180" t="str">
        <f>IF(ISNUMBER(deployment_raw[[#This Row],[Column8]]),IF(deployment_raw[[#This Row],[Column5]] &lt;&gt; 0, MAX((deployment_raw[[#This Row],[Column12]] * deployment_raw[[#This Row],[Column5]]), ((deployment_raw[[#This Row],[Column8]] * deployment_raw[[#This Row],[Column5]]) * $L$2), ($H$2 * deployment_raw[[#This Row],[Column5]])), 0),"")</f>
        <v/>
      </c>
      <c r="M22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28" s="188" t="str">
        <f>IF(ISNUMBER(deployment_raw[[#This Row],[Column14]]), deployment_raw[[#This Row],[Column14]],"")</f>
        <v/>
      </c>
      <c r="O228" s="189" t="str">
        <f>IF(ISNUMBER(deployment_raw[[#This Row],[Column15]]), deployment_raw[[#This Row],[Column15]]/1048576,"")</f>
        <v/>
      </c>
      <c r="P228" s="190" t="str">
        <f>IF(ISNUMBER(deployment_raw[[#This Row],[Column12]]), (deployment_raw[[#This Row],[Column12]] * deployment_raw[[#This Row],[Column5]]),"")</f>
        <v/>
      </c>
      <c r="Q228" s="189" t="str">
        <f>IF(ISNUMBER(deployment_raw[[#This Row],[Column13]]), (deployment_raw[[#This Row],[Column13]] * deployment_raw[[#This Row],[Column5]])/1048576,"")</f>
        <v/>
      </c>
    </row>
    <row r="229" spans="1:17" ht="15.75" customHeight="1" x14ac:dyDescent="0.25">
      <c r="A229" s="37" t="str">
        <f>IF(ISNONTEXT(deployment_raw[[#This Row],[Column1]]), "", deployment_raw[[#This Row],[Column1]])</f>
        <v/>
      </c>
      <c r="B229" s="38" t="str">
        <f>IF(ISNONTEXT(deployment_raw[[#This Row],[Column2]]), "", deployment_raw[[#This Row],[Column2]])</f>
        <v/>
      </c>
      <c r="C229" s="38" t="str">
        <f>IF(ISNONTEXT(deployment_raw[[#This Row],[Column3]]), "", deployment_raw[[#This Row],[Column3]])</f>
        <v/>
      </c>
      <c r="D229" s="38" t="str">
        <f>IF(ISNONTEXT(deployment_raw[[#This Row],[Column4]]), "", deployment_raw[[#This Row],[Column4]])</f>
        <v/>
      </c>
      <c r="E229" s="39" t="str">
        <f>IF(ISNUMBER(deployment_raw[[#This Row],[Column5]]), deployment_raw[[#This Row],[Column5]],"")</f>
        <v/>
      </c>
      <c r="F229" s="174" t="str">
        <f>IF(ISNUMBER(deployment_raw[[#This Row],[Column6]]), (deployment_raw[[#This Row],[Column6]] * deployment_raw[[#This Row],[Column5]]),"")</f>
        <v/>
      </c>
      <c r="G229" s="175" t="str">
        <f>IF(ISNUMBER(deployment_raw[[#This Row],[Column7]]), (deployment_raw[[#This Row],[Column7]] * deployment_raw[[#This Row],[Column5]])/1048576,"")</f>
        <v/>
      </c>
      <c r="H229" s="175" t="str">
        <f>IF(ISNUMBER(deployment_raw[[#This Row],[Column8]]), (deployment_raw[[#This Row],[Column8]]  * deployment_raw[[#This Row],[Column5]]),"")</f>
        <v/>
      </c>
      <c r="I229" s="176" t="str">
        <f>IF(ISNUMBER(deployment_raw[[#This Row],[Column9]]), (deployment_raw[[#This Row],[Column9]] * deployment_raw[[#This Row],[Column5]])/1048576,"")</f>
        <v/>
      </c>
      <c r="J229" s="57" t="str">
        <f>IF(ISNUMBER(deployment_raw[[#This Row],[Column10]]), (deployment_raw[[#This Row],[Column10]] * deployment_raw[[#This Row],[Column5]]),"")</f>
        <v/>
      </c>
      <c r="K229" s="58" t="str">
        <f>IF(ISNUMBER(deployment_raw[[#This Row],[Column11]]), (deployment_raw[[#This Row],[Column11]] * deployment_raw[[#This Row],[Column5]])/1048576,"")</f>
        <v/>
      </c>
      <c r="L229" s="180" t="str">
        <f>IF(ISNUMBER(deployment_raw[[#This Row],[Column8]]),IF(deployment_raw[[#This Row],[Column5]] &lt;&gt; 0, MAX((deployment_raw[[#This Row],[Column12]] * deployment_raw[[#This Row],[Column5]]), ((deployment_raw[[#This Row],[Column8]] * deployment_raw[[#This Row],[Column5]]) * $L$2), ($H$2 * deployment_raw[[#This Row],[Column5]])), 0),"")</f>
        <v/>
      </c>
      <c r="M22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29" s="188" t="str">
        <f>IF(ISNUMBER(deployment_raw[[#This Row],[Column14]]), deployment_raw[[#This Row],[Column14]],"")</f>
        <v/>
      </c>
      <c r="O229" s="189" t="str">
        <f>IF(ISNUMBER(deployment_raw[[#This Row],[Column15]]), deployment_raw[[#This Row],[Column15]]/1048576,"")</f>
        <v/>
      </c>
      <c r="P229" s="190" t="str">
        <f>IF(ISNUMBER(deployment_raw[[#This Row],[Column12]]), (deployment_raw[[#This Row],[Column12]] * deployment_raw[[#This Row],[Column5]]),"")</f>
        <v/>
      </c>
      <c r="Q229" s="189" t="str">
        <f>IF(ISNUMBER(deployment_raw[[#This Row],[Column13]]), (deployment_raw[[#This Row],[Column13]] * deployment_raw[[#This Row],[Column5]])/1048576,"")</f>
        <v/>
      </c>
    </row>
    <row r="230" spans="1:17" ht="15.75" customHeight="1" x14ac:dyDescent="0.25">
      <c r="A230" s="37" t="str">
        <f>IF(ISNONTEXT(deployment_raw[[#This Row],[Column1]]), "", deployment_raw[[#This Row],[Column1]])</f>
        <v/>
      </c>
      <c r="B230" s="38" t="str">
        <f>IF(ISNONTEXT(deployment_raw[[#This Row],[Column2]]), "", deployment_raw[[#This Row],[Column2]])</f>
        <v/>
      </c>
      <c r="C230" s="38" t="str">
        <f>IF(ISNONTEXT(deployment_raw[[#This Row],[Column3]]), "", deployment_raw[[#This Row],[Column3]])</f>
        <v/>
      </c>
      <c r="D230" s="38" t="str">
        <f>IF(ISNONTEXT(deployment_raw[[#This Row],[Column4]]), "", deployment_raw[[#This Row],[Column4]])</f>
        <v/>
      </c>
      <c r="E230" s="39" t="str">
        <f>IF(ISNUMBER(deployment_raw[[#This Row],[Column5]]), deployment_raw[[#This Row],[Column5]],"")</f>
        <v/>
      </c>
      <c r="F230" s="174" t="str">
        <f>IF(ISNUMBER(deployment_raw[[#This Row],[Column6]]), (deployment_raw[[#This Row],[Column6]] * deployment_raw[[#This Row],[Column5]]),"")</f>
        <v/>
      </c>
      <c r="G230" s="175" t="str">
        <f>IF(ISNUMBER(deployment_raw[[#This Row],[Column7]]), (deployment_raw[[#This Row],[Column7]] * deployment_raw[[#This Row],[Column5]])/1048576,"")</f>
        <v/>
      </c>
      <c r="H230" s="175" t="str">
        <f>IF(ISNUMBER(deployment_raw[[#This Row],[Column8]]), (deployment_raw[[#This Row],[Column8]]  * deployment_raw[[#This Row],[Column5]]),"")</f>
        <v/>
      </c>
      <c r="I230" s="176" t="str">
        <f>IF(ISNUMBER(deployment_raw[[#This Row],[Column9]]), (deployment_raw[[#This Row],[Column9]] * deployment_raw[[#This Row],[Column5]])/1048576,"")</f>
        <v/>
      </c>
      <c r="J230" s="57" t="str">
        <f>IF(ISNUMBER(deployment_raw[[#This Row],[Column10]]), (deployment_raw[[#This Row],[Column10]] * deployment_raw[[#This Row],[Column5]]),"")</f>
        <v/>
      </c>
      <c r="K230" s="58" t="str">
        <f>IF(ISNUMBER(deployment_raw[[#This Row],[Column11]]), (deployment_raw[[#This Row],[Column11]] * deployment_raw[[#This Row],[Column5]])/1048576,"")</f>
        <v/>
      </c>
      <c r="L230" s="180" t="str">
        <f>IF(ISNUMBER(deployment_raw[[#This Row],[Column8]]),IF(deployment_raw[[#This Row],[Column5]] &lt;&gt; 0, MAX((deployment_raw[[#This Row],[Column12]] * deployment_raw[[#This Row],[Column5]]), ((deployment_raw[[#This Row],[Column8]] * deployment_raw[[#This Row],[Column5]]) * $L$2), ($H$2 * deployment_raw[[#This Row],[Column5]])), 0),"")</f>
        <v/>
      </c>
      <c r="M23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30" s="188" t="str">
        <f>IF(ISNUMBER(deployment_raw[[#This Row],[Column14]]), deployment_raw[[#This Row],[Column14]],"")</f>
        <v/>
      </c>
      <c r="O230" s="189" t="str">
        <f>IF(ISNUMBER(deployment_raw[[#This Row],[Column15]]), deployment_raw[[#This Row],[Column15]]/1048576,"")</f>
        <v/>
      </c>
      <c r="P230" s="190" t="str">
        <f>IF(ISNUMBER(deployment_raw[[#This Row],[Column12]]), (deployment_raw[[#This Row],[Column12]] * deployment_raw[[#This Row],[Column5]]),"")</f>
        <v/>
      </c>
      <c r="Q230" s="189" t="str">
        <f>IF(ISNUMBER(deployment_raw[[#This Row],[Column13]]), (deployment_raw[[#This Row],[Column13]] * deployment_raw[[#This Row],[Column5]])/1048576,"")</f>
        <v/>
      </c>
    </row>
    <row r="231" spans="1:17" ht="15.75" customHeight="1" x14ac:dyDescent="0.25">
      <c r="A231" s="37" t="str">
        <f>IF(ISNONTEXT(deployment_raw[[#This Row],[Column1]]), "", deployment_raw[[#This Row],[Column1]])</f>
        <v/>
      </c>
      <c r="B231" s="38" t="str">
        <f>IF(ISNONTEXT(deployment_raw[[#This Row],[Column2]]), "", deployment_raw[[#This Row],[Column2]])</f>
        <v/>
      </c>
      <c r="C231" s="38" t="str">
        <f>IF(ISNONTEXT(deployment_raw[[#This Row],[Column3]]), "", deployment_raw[[#This Row],[Column3]])</f>
        <v/>
      </c>
      <c r="D231" s="38" t="str">
        <f>IF(ISNONTEXT(deployment_raw[[#This Row],[Column4]]), "", deployment_raw[[#This Row],[Column4]])</f>
        <v/>
      </c>
      <c r="E231" s="39" t="str">
        <f>IF(ISNUMBER(deployment_raw[[#This Row],[Column5]]), deployment_raw[[#This Row],[Column5]],"")</f>
        <v/>
      </c>
      <c r="F231" s="174" t="str">
        <f>IF(ISNUMBER(deployment_raw[[#This Row],[Column6]]), (deployment_raw[[#This Row],[Column6]] * deployment_raw[[#This Row],[Column5]]),"")</f>
        <v/>
      </c>
      <c r="G231" s="175" t="str">
        <f>IF(ISNUMBER(deployment_raw[[#This Row],[Column7]]), (deployment_raw[[#This Row],[Column7]] * deployment_raw[[#This Row],[Column5]])/1048576,"")</f>
        <v/>
      </c>
      <c r="H231" s="175" t="str">
        <f>IF(ISNUMBER(deployment_raw[[#This Row],[Column8]]), (deployment_raw[[#This Row],[Column8]]  * deployment_raw[[#This Row],[Column5]]),"")</f>
        <v/>
      </c>
      <c r="I231" s="176" t="str">
        <f>IF(ISNUMBER(deployment_raw[[#This Row],[Column9]]), (deployment_raw[[#This Row],[Column9]] * deployment_raw[[#This Row],[Column5]])/1048576,"")</f>
        <v/>
      </c>
      <c r="J231" s="57" t="str">
        <f>IF(ISNUMBER(deployment_raw[[#This Row],[Column10]]), (deployment_raw[[#This Row],[Column10]] * deployment_raw[[#This Row],[Column5]]),"")</f>
        <v/>
      </c>
      <c r="K231" s="58" t="str">
        <f>IF(ISNUMBER(deployment_raw[[#This Row],[Column11]]), (deployment_raw[[#This Row],[Column11]] * deployment_raw[[#This Row],[Column5]])/1048576,"")</f>
        <v/>
      </c>
      <c r="L231" s="180" t="str">
        <f>IF(ISNUMBER(deployment_raw[[#This Row],[Column8]]),IF(deployment_raw[[#This Row],[Column5]] &lt;&gt; 0, MAX((deployment_raw[[#This Row],[Column12]] * deployment_raw[[#This Row],[Column5]]), ((deployment_raw[[#This Row],[Column8]] * deployment_raw[[#This Row],[Column5]]) * $L$2), ($H$2 * deployment_raw[[#This Row],[Column5]])), 0),"")</f>
        <v/>
      </c>
      <c r="M23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31" s="188" t="str">
        <f>IF(ISNUMBER(deployment_raw[[#This Row],[Column14]]), deployment_raw[[#This Row],[Column14]],"")</f>
        <v/>
      </c>
      <c r="O231" s="189" t="str">
        <f>IF(ISNUMBER(deployment_raw[[#This Row],[Column15]]), deployment_raw[[#This Row],[Column15]]/1048576,"")</f>
        <v/>
      </c>
      <c r="P231" s="190" t="str">
        <f>IF(ISNUMBER(deployment_raw[[#This Row],[Column12]]), (deployment_raw[[#This Row],[Column12]] * deployment_raw[[#This Row],[Column5]]),"")</f>
        <v/>
      </c>
      <c r="Q231" s="189" t="str">
        <f>IF(ISNUMBER(deployment_raw[[#This Row],[Column13]]), (deployment_raw[[#This Row],[Column13]] * deployment_raw[[#This Row],[Column5]])/1048576,"")</f>
        <v/>
      </c>
    </row>
    <row r="232" spans="1:17" ht="15.75" customHeight="1" x14ac:dyDescent="0.25">
      <c r="A232" s="37" t="str">
        <f>IF(ISNONTEXT(deployment_raw[[#This Row],[Column1]]), "", deployment_raw[[#This Row],[Column1]])</f>
        <v/>
      </c>
      <c r="B232" s="38" t="str">
        <f>IF(ISNONTEXT(deployment_raw[[#This Row],[Column2]]), "", deployment_raw[[#This Row],[Column2]])</f>
        <v/>
      </c>
      <c r="C232" s="38" t="str">
        <f>IF(ISNONTEXT(deployment_raw[[#This Row],[Column3]]), "", deployment_raw[[#This Row],[Column3]])</f>
        <v/>
      </c>
      <c r="D232" s="38" t="str">
        <f>IF(ISNONTEXT(deployment_raw[[#This Row],[Column4]]), "", deployment_raw[[#This Row],[Column4]])</f>
        <v/>
      </c>
      <c r="E232" s="39" t="str">
        <f>IF(ISNUMBER(deployment_raw[[#This Row],[Column5]]), deployment_raw[[#This Row],[Column5]],"")</f>
        <v/>
      </c>
      <c r="F232" s="174" t="str">
        <f>IF(ISNUMBER(deployment_raw[[#This Row],[Column6]]), (deployment_raw[[#This Row],[Column6]] * deployment_raw[[#This Row],[Column5]]),"")</f>
        <v/>
      </c>
      <c r="G232" s="175" t="str">
        <f>IF(ISNUMBER(deployment_raw[[#This Row],[Column7]]), (deployment_raw[[#This Row],[Column7]] * deployment_raw[[#This Row],[Column5]])/1048576,"")</f>
        <v/>
      </c>
      <c r="H232" s="175" t="str">
        <f>IF(ISNUMBER(deployment_raw[[#This Row],[Column8]]), (deployment_raw[[#This Row],[Column8]]  * deployment_raw[[#This Row],[Column5]]),"")</f>
        <v/>
      </c>
      <c r="I232" s="176" t="str">
        <f>IF(ISNUMBER(deployment_raw[[#This Row],[Column9]]), (deployment_raw[[#This Row],[Column9]] * deployment_raw[[#This Row],[Column5]])/1048576,"")</f>
        <v/>
      </c>
      <c r="J232" s="57" t="str">
        <f>IF(ISNUMBER(deployment_raw[[#This Row],[Column10]]), (deployment_raw[[#This Row],[Column10]] * deployment_raw[[#This Row],[Column5]]),"")</f>
        <v/>
      </c>
      <c r="K232" s="58" t="str">
        <f>IF(ISNUMBER(deployment_raw[[#This Row],[Column11]]), (deployment_raw[[#This Row],[Column11]] * deployment_raw[[#This Row],[Column5]])/1048576,"")</f>
        <v/>
      </c>
      <c r="L232" s="180" t="str">
        <f>IF(ISNUMBER(deployment_raw[[#This Row],[Column8]]),IF(deployment_raw[[#This Row],[Column5]] &lt;&gt; 0, MAX((deployment_raw[[#This Row],[Column12]] * deployment_raw[[#This Row],[Column5]]), ((deployment_raw[[#This Row],[Column8]] * deployment_raw[[#This Row],[Column5]]) * $L$2), ($H$2 * deployment_raw[[#This Row],[Column5]])), 0),"")</f>
        <v/>
      </c>
      <c r="M23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32" s="188" t="str">
        <f>IF(ISNUMBER(deployment_raw[[#This Row],[Column14]]), deployment_raw[[#This Row],[Column14]],"")</f>
        <v/>
      </c>
      <c r="O232" s="189" t="str">
        <f>IF(ISNUMBER(deployment_raw[[#This Row],[Column15]]), deployment_raw[[#This Row],[Column15]]/1048576,"")</f>
        <v/>
      </c>
      <c r="P232" s="190" t="str">
        <f>IF(ISNUMBER(deployment_raw[[#This Row],[Column12]]), (deployment_raw[[#This Row],[Column12]] * deployment_raw[[#This Row],[Column5]]),"")</f>
        <v/>
      </c>
      <c r="Q232" s="189" t="str">
        <f>IF(ISNUMBER(deployment_raw[[#This Row],[Column13]]), (deployment_raw[[#This Row],[Column13]] * deployment_raw[[#This Row],[Column5]])/1048576,"")</f>
        <v/>
      </c>
    </row>
    <row r="233" spans="1:17" ht="15.75" customHeight="1" x14ac:dyDescent="0.25">
      <c r="A233" s="37" t="str">
        <f>IF(ISNONTEXT(deployment_raw[[#This Row],[Column1]]), "", deployment_raw[[#This Row],[Column1]])</f>
        <v/>
      </c>
      <c r="B233" s="38" t="str">
        <f>IF(ISNONTEXT(deployment_raw[[#This Row],[Column2]]), "", deployment_raw[[#This Row],[Column2]])</f>
        <v/>
      </c>
      <c r="C233" s="38" t="str">
        <f>IF(ISNONTEXT(deployment_raw[[#This Row],[Column3]]), "", deployment_raw[[#This Row],[Column3]])</f>
        <v/>
      </c>
      <c r="D233" s="38" t="str">
        <f>IF(ISNONTEXT(deployment_raw[[#This Row],[Column4]]), "", deployment_raw[[#This Row],[Column4]])</f>
        <v/>
      </c>
      <c r="E233" s="39" t="str">
        <f>IF(ISNUMBER(deployment_raw[[#This Row],[Column5]]), deployment_raw[[#This Row],[Column5]],"")</f>
        <v/>
      </c>
      <c r="F233" s="174" t="str">
        <f>IF(ISNUMBER(deployment_raw[[#This Row],[Column6]]), (deployment_raw[[#This Row],[Column6]] * deployment_raw[[#This Row],[Column5]]),"")</f>
        <v/>
      </c>
      <c r="G233" s="175" t="str">
        <f>IF(ISNUMBER(deployment_raw[[#This Row],[Column7]]), (deployment_raw[[#This Row],[Column7]] * deployment_raw[[#This Row],[Column5]])/1048576,"")</f>
        <v/>
      </c>
      <c r="H233" s="175" t="str">
        <f>IF(ISNUMBER(deployment_raw[[#This Row],[Column8]]), (deployment_raw[[#This Row],[Column8]]  * deployment_raw[[#This Row],[Column5]]),"")</f>
        <v/>
      </c>
      <c r="I233" s="176" t="str">
        <f>IF(ISNUMBER(deployment_raw[[#This Row],[Column9]]), (deployment_raw[[#This Row],[Column9]] * deployment_raw[[#This Row],[Column5]])/1048576,"")</f>
        <v/>
      </c>
      <c r="J233" s="57" t="str">
        <f>IF(ISNUMBER(deployment_raw[[#This Row],[Column10]]), (deployment_raw[[#This Row],[Column10]] * deployment_raw[[#This Row],[Column5]]),"")</f>
        <v/>
      </c>
      <c r="K233" s="58" t="str">
        <f>IF(ISNUMBER(deployment_raw[[#This Row],[Column11]]), (deployment_raw[[#This Row],[Column11]] * deployment_raw[[#This Row],[Column5]])/1048576,"")</f>
        <v/>
      </c>
      <c r="L233" s="180" t="str">
        <f>IF(ISNUMBER(deployment_raw[[#This Row],[Column8]]),IF(deployment_raw[[#This Row],[Column5]] &lt;&gt; 0, MAX((deployment_raw[[#This Row],[Column12]] * deployment_raw[[#This Row],[Column5]]), ((deployment_raw[[#This Row],[Column8]] * deployment_raw[[#This Row],[Column5]]) * $L$2), ($H$2 * deployment_raw[[#This Row],[Column5]])), 0),"")</f>
        <v/>
      </c>
      <c r="M23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33" s="188" t="str">
        <f>IF(ISNUMBER(deployment_raw[[#This Row],[Column14]]), deployment_raw[[#This Row],[Column14]],"")</f>
        <v/>
      </c>
      <c r="O233" s="189" t="str">
        <f>IF(ISNUMBER(deployment_raw[[#This Row],[Column15]]), deployment_raw[[#This Row],[Column15]]/1048576,"")</f>
        <v/>
      </c>
      <c r="P233" s="190" t="str">
        <f>IF(ISNUMBER(deployment_raw[[#This Row],[Column12]]), (deployment_raw[[#This Row],[Column12]] * deployment_raw[[#This Row],[Column5]]),"")</f>
        <v/>
      </c>
      <c r="Q233" s="189" t="str">
        <f>IF(ISNUMBER(deployment_raw[[#This Row],[Column13]]), (deployment_raw[[#This Row],[Column13]] * deployment_raw[[#This Row],[Column5]])/1048576,"")</f>
        <v/>
      </c>
    </row>
    <row r="234" spans="1:17" ht="15.75" customHeight="1" x14ac:dyDescent="0.25">
      <c r="A234" s="37" t="str">
        <f>IF(ISNONTEXT(deployment_raw[[#This Row],[Column1]]), "", deployment_raw[[#This Row],[Column1]])</f>
        <v/>
      </c>
      <c r="B234" s="38" t="str">
        <f>IF(ISNONTEXT(deployment_raw[[#This Row],[Column2]]), "", deployment_raw[[#This Row],[Column2]])</f>
        <v/>
      </c>
      <c r="C234" s="38" t="str">
        <f>IF(ISNONTEXT(deployment_raw[[#This Row],[Column3]]), "", deployment_raw[[#This Row],[Column3]])</f>
        <v/>
      </c>
      <c r="D234" s="38" t="str">
        <f>IF(ISNONTEXT(deployment_raw[[#This Row],[Column4]]), "", deployment_raw[[#This Row],[Column4]])</f>
        <v/>
      </c>
      <c r="E234" s="39" t="str">
        <f>IF(ISNUMBER(deployment_raw[[#This Row],[Column5]]), deployment_raw[[#This Row],[Column5]],"")</f>
        <v/>
      </c>
      <c r="F234" s="174" t="str">
        <f>IF(ISNUMBER(deployment_raw[[#This Row],[Column6]]), (deployment_raw[[#This Row],[Column6]] * deployment_raw[[#This Row],[Column5]]),"")</f>
        <v/>
      </c>
      <c r="G234" s="175" t="str">
        <f>IF(ISNUMBER(deployment_raw[[#This Row],[Column7]]), (deployment_raw[[#This Row],[Column7]] * deployment_raw[[#This Row],[Column5]])/1048576,"")</f>
        <v/>
      </c>
      <c r="H234" s="175" t="str">
        <f>IF(ISNUMBER(deployment_raw[[#This Row],[Column8]]), (deployment_raw[[#This Row],[Column8]]  * deployment_raw[[#This Row],[Column5]]),"")</f>
        <v/>
      </c>
      <c r="I234" s="176" t="str">
        <f>IF(ISNUMBER(deployment_raw[[#This Row],[Column9]]), (deployment_raw[[#This Row],[Column9]] * deployment_raw[[#This Row],[Column5]])/1048576,"")</f>
        <v/>
      </c>
      <c r="J234" s="57" t="str">
        <f>IF(ISNUMBER(deployment_raw[[#This Row],[Column10]]), (deployment_raw[[#This Row],[Column10]] * deployment_raw[[#This Row],[Column5]]),"")</f>
        <v/>
      </c>
      <c r="K234" s="58" t="str">
        <f>IF(ISNUMBER(deployment_raw[[#This Row],[Column11]]), (deployment_raw[[#This Row],[Column11]] * deployment_raw[[#This Row],[Column5]])/1048576,"")</f>
        <v/>
      </c>
      <c r="L234" s="180" t="str">
        <f>IF(ISNUMBER(deployment_raw[[#This Row],[Column8]]),IF(deployment_raw[[#This Row],[Column5]] &lt;&gt; 0, MAX((deployment_raw[[#This Row],[Column12]] * deployment_raw[[#This Row],[Column5]]), ((deployment_raw[[#This Row],[Column8]] * deployment_raw[[#This Row],[Column5]]) * $L$2), ($H$2 * deployment_raw[[#This Row],[Column5]])), 0),"")</f>
        <v/>
      </c>
      <c r="M23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34" s="188" t="str">
        <f>IF(ISNUMBER(deployment_raw[[#This Row],[Column14]]), deployment_raw[[#This Row],[Column14]],"")</f>
        <v/>
      </c>
      <c r="O234" s="189" t="str">
        <f>IF(ISNUMBER(deployment_raw[[#This Row],[Column15]]), deployment_raw[[#This Row],[Column15]]/1048576,"")</f>
        <v/>
      </c>
      <c r="P234" s="190" t="str">
        <f>IF(ISNUMBER(deployment_raw[[#This Row],[Column12]]), (deployment_raw[[#This Row],[Column12]] * deployment_raw[[#This Row],[Column5]]),"")</f>
        <v/>
      </c>
      <c r="Q234" s="189" t="str">
        <f>IF(ISNUMBER(deployment_raw[[#This Row],[Column13]]), (deployment_raw[[#This Row],[Column13]] * deployment_raw[[#This Row],[Column5]])/1048576,"")</f>
        <v/>
      </c>
    </row>
    <row r="235" spans="1:17" ht="15.75" customHeight="1" x14ac:dyDescent="0.25">
      <c r="A235" s="37" t="str">
        <f>IF(ISNONTEXT(deployment_raw[[#This Row],[Column1]]), "", deployment_raw[[#This Row],[Column1]])</f>
        <v/>
      </c>
      <c r="B235" s="38" t="str">
        <f>IF(ISNONTEXT(deployment_raw[[#This Row],[Column2]]), "", deployment_raw[[#This Row],[Column2]])</f>
        <v/>
      </c>
      <c r="C235" s="38" t="str">
        <f>IF(ISNONTEXT(deployment_raw[[#This Row],[Column3]]), "", deployment_raw[[#This Row],[Column3]])</f>
        <v/>
      </c>
      <c r="D235" s="38" t="str">
        <f>IF(ISNONTEXT(deployment_raw[[#This Row],[Column4]]), "", deployment_raw[[#This Row],[Column4]])</f>
        <v/>
      </c>
      <c r="E235" s="39" t="str">
        <f>IF(ISNUMBER(deployment_raw[[#This Row],[Column5]]), deployment_raw[[#This Row],[Column5]],"")</f>
        <v/>
      </c>
      <c r="F235" s="174" t="str">
        <f>IF(ISNUMBER(deployment_raw[[#This Row],[Column6]]), (deployment_raw[[#This Row],[Column6]] * deployment_raw[[#This Row],[Column5]]),"")</f>
        <v/>
      </c>
      <c r="G235" s="175" t="str">
        <f>IF(ISNUMBER(deployment_raw[[#This Row],[Column7]]), (deployment_raw[[#This Row],[Column7]] * deployment_raw[[#This Row],[Column5]])/1048576,"")</f>
        <v/>
      </c>
      <c r="H235" s="175" t="str">
        <f>IF(ISNUMBER(deployment_raw[[#This Row],[Column8]]), (deployment_raw[[#This Row],[Column8]]  * deployment_raw[[#This Row],[Column5]]),"")</f>
        <v/>
      </c>
      <c r="I235" s="176" t="str">
        <f>IF(ISNUMBER(deployment_raw[[#This Row],[Column9]]), (deployment_raw[[#This Row],[Column9]] * deployment_raw[[#This Row],[Column5]])/1048576,"")</f>
        <v/>
      </c>
      <c r="J235" s="57" t="str">
        <f>IF(ISNUMBER(deployment_raw[[#This Row],[Column10]]), (deployment_raw[[#This Row],[Column10]] * deployment_raw[[#This Row],[Column5]]),"")</f>
        <v/>
      </c>
      <c r="K235" s="58" t="str">
        <f>IF(ISNUMBER(deployment_raw[[#This Row],[Column11]]), (deployment_raw[[#This Row],[Column11]] * deployment_raw[[#This Row],[Column5]])/1048576,"")</f>
        <v/>
      </c>
      <c r="L235" s="180" t="str">
        <f>IF(ISNUMBER(deployment_raw[[#This Row],[Column8]]),IF(deployment_raw[[#This Row],[Column5]] &lt;&gt; 0, MAX((deployment_raw[[#This Row],[Column12]] * deployment_raw[[#This Row],[Column5]]), ((deployment_raw[[#This Row],[Column8]] * deployment_raw[[#This Row],[Column5]]) * $L$2), ($H$2 * deployment_raw[[#This Row],[Column5]])), 0),"")</f>
        <v/>
      </c>
      <c r="M23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35" s="188" t="str">
        <f>IF(ISNUMBER(deployment_raw[[#This Row],[Column14]]), deployment_raw[[#This Row],[Column14]],"")</f>
        <v/>
      </c>
      <c r="O235" s="189" t="str">
        <f>IF(ISNUMBER(deployment_raw[[#This Row],[Column15]]), deployment_raw[[#This Row],[Column15]]/1048576,"")</f>
        <v/>
      </c>
      <c r="P235" s="190" t="str">
        <f>IF(ISNUMBER(deployment_raw[[#This Row],[Column12]]), (deployment_raw[[#This Row],[Column12]] * deployment_raw[[#This Row],[Column5]]),"")</f>
        <v/>
      </c>
      <c r="Q235" s="189" t="str">
        <f>IF(ISNUMBER(deployment_raw[[#This Row],[Column13]]), (deployment_raw[[#This Row],[Column13]] * deployment_raw[[#This Row],[Column5]])/1048576,"")</f>
        <v/>
      </c>
    </row>
    <row r="236" spans="1:17" ht="15.75" customHeight="1" x14ac:dyDescent="0.25">
      <c r="A236" s="37" t="str">
        <f>IF(ISNONTEXT(deployment_raw[[#This Row],[Column1]]), "", deployment_raw[[#This Row],[Column1]])</f>
        <v/>
      </c>
      <c r="B236" s="38" t="str">
        <f>IF(ISNONTEXT(deployment_raw[[#This Row],[Column2]]), "", deployment_raw[[#This Row],[Column2]])</f>
        <v/>
      </c>
      <c r="C236" s="38" t="str">
        <f>IF(ISNONTEXT(deployment_raw[[#This Row],[Column3]]), "", deployment_raw[[#This Row],[Column3]])</f>
        <v/>
      </c>
      <c r="D236" s="38" t="str">
        <f>IF(ISNONTEXT(deployment_raw[[#This Row],[Column4]]), "", deployment_raw[[#This Row],[Column4]])</f>
        <v/>
      </c>
      <c r="E236" s="39" t="str">
        <f>IF(ISNUMBER(deployment_raw[[#This Row],[Column5]]), deployment_raw[[#This Row],[Column5]],"")</f>
        <v/>
      </c>
      <c r="F236" s="174" t="str">
        <f>IF(ISNUMBER(deployment_raw[[#This Row],[Column6]]), (deployment_raw[[#This Row],[Column6]] * deployment_raw[[#This Row],[Column5]]),"")</f>
        <v/>
      </c>
      <c r="G236" s="175" t="str">
        <f>IF(ISNUMBER(deployment_raw[[#This Row],[Column7]]), (deployment_raw[[#This Row],[Column7]] * deployment_raw[[#This Row],[Column5]])/1048576,"")</f>
        <v/>
      </c>
      <c r="H236" s="175" t="str">
        <f>IF(ISNUMBER(deployment_raw[[#This Row],[Column8]]), (deployment_raw[[#This Row],[Column8]]  * deployment_raw[[#This Row],[Column5]]),"")</f>
        <v/>
      </c>
      <c r="I236" s="176" t="str">
        <f>IF(ISNUMBER(deployment_raw[[#This Row],[Column9]]), (deployment_raw[[#This Row],[Column9]] * deployment_raw[[#This Row],[Column5]])/1048576,"")</f>
        <v/>
      </c>
      <c r="J236" s="57" t="str">
        <f>IF(ISNUMBER(deployment_raw[[#This Row],[Column10]]), (deployment_raw[[#This Row],[Column10]] * deployment_raw[[#This Row],[Column5]]),"")</f>
        <v/>
      </c>
      <c r="K236" s="58" t="str">
        <f>IF(ISNUMBER(deployment_raw[[#This Row],[Column11]]), (deployment_raw[[#This Row],[Column11]] * deployment_raw[[#This Row],[Column5]])/1048576,"")</f>
        <v/>
      </c>
      <c r="L236" s="180" t="str">
        <f>IF(ISNUMBER(deployment_raw[[#This Row],[Column8]]),IF(deployment_raw[[#This Row],[Column5]] &lt;&gt; 0, MAX((deployment_raw[[#This Row],[Column12]] * deployment_raw[[#This Row],[Column5]]), ((deployment_raw[[#This Row],[Column8]] * deployment_raw[[#This Row],[Column5]]) * $L$2), ($H$2 * deployment_raw[[#This Row],[Column5]])), 0),"")</f>
        <v/>
      </c>
      <c r="M23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36" s="188" t="str">
        <f>IF(ISNUMBER(deployment_raw[[#This Row],[Column14]]), deployment_raw[[#This Row],[Column14]],"")</f>
        <v/>
      </c>
      <c r="O236" s="189" t="str">
        <f>IF(ISNUMBER(deployment_raw[[#This Row],[Column15]]), deployment_raw[[#This Row],[Column15]]/1048576,"")</f>
        <v/>
      </c>
      <c r="P236" s="190" t="str">
        <f>IF(ISNUMBER(deployment_raw[[#This Row],[Column12]]), (deployment_raw[[#This Row],[Column12]] * deployment_raw[[#This Row],[Column5]]),"")</f>
        <v/>
      </c>
      <c r="Q236" s="189" t="str">
        <f>IF(ISNUMBER(deployment_raw[[#This Row],[Column13]]), (deployment_raw[[#This Row],[Column13]] * deployment_raw[[#This Row],[Column5]])/1048576,"")</f>
        <v/>
      </c>
    </row>
    <row r="237" spans="1:17" ht="15.75" customHeight="1" x14ac:dyDescent="0.25">
      <c r="A237" s="37" t="str">
        <f>IF(ISNONTEXT(deployment_raw[[#This Row],[Column1]]), "", deployment_raw[[#This Row],[Column1]])</f>
        <v/>
      </c>
      <c r="B237" s="38" t="str">
        <f>IF(ISNONTEXT(deployment_raw[[#This Row],[Column2]]), "", deployment_raw[[#This Row],[Column2]])</f>
        <v/>
      </c>
      <c r="C237" s="38" t="str">
        <f>IF(ISNONTEXT(deployment_raw[[#This Row],[Column3]]), "", deployment_raw[[#This Row],[Column3]])</f>
        <v/>
      </c>
      <c r="D237" s="38" t="str">
        <f>IF(ISNONTEXT(deployment_raw[[#This Row],[Column4]]), "", deployment_raw[[#This Row],[Column4]])</f>
        <v/>
      </c>
      <c r="E237" s="39" t="str">
        <f>IF(ISNUMBER(deployment_raw[[#This Row],[Column5]]), deployment_raw[[#This Row],[Column5]],"")</f>
        <v/>
      </c>
      <c r="F237" s="174" t="str">
        <f>IF(ISNUMBER(deployment_raw[[#This Row],[Column6]]), (deployment_raw[[#This Row],[Column6]] * deployment_raw[[#This Row],[Column5]]),"")</f>
        <v/>
      </c>
      <c r="G237" s="175" t="str">
        <f>IF(ISNUMBER(deployment_raw[[#This Row],[Column7]]), (deployment_raw[[#This Row],[Column7]] * deployment_raw[[#This Row],[Column5]])/1048576,"")</f>
        <v/>
      </c>
      <c r="H237" s="175" t="str">
        <f>IF(ISNUMBER(deployment_raw[[#This Row],[Column8]]), (deployment_raw[[#This Row],[Column8]]  * deployment_raw[[#This Row],[Column5]]),"")</f>
        <v/>
      </c>
      <c r="I237" s="176" t="str">
        <f>IF(ISNUMBER(deployment_raw[[#This Row],[Column9]]), (deployment_raw[[#This Row],[Column9]] * deployment_raw[[#This Row],[Column5]])/1048576,"")</f>
        <v/>
      </c>
      <c r="J237" s="57" t="str">
        <f>IF(ISNUMBER(deployment_raw[[#This Row],[Column10]]), (deployment_raw[[#This Row],[Column10]] * deployment_raw[[#This Row],[Column5]]),"")</f>
        <v/>
      </c>
      <c r="K237" s="58" t="str">
        <f>IF(ISNUMBER(deployment_raw[[#This Row],[Column11]]), (deployment_raw[[#This Row],[Column11]] * deployment_raw[[#This Row],[Column5]])/1048576,"")</f>
        <v/>
      </c>
      <c r="L237" s="180" t="str">
        <f>IF(ISNUMBER(deployment_raw[[#This Row],[Column8]]),IF(deployment_raw[[#This Row],[Column5]] &lt;&gt; 0, MAX((deployment_raw[[#This Row],[Column12]] * deployment_raw[[#This Row],[Column5]]), ((deployment_raw[[#This Row],[Column8]] * deployment_raw[[#This Row],[Column5]]) * $L$2), ($H$2 * deployment_raw[[#This Row],[Column5]])), 0),"")</f>
        <v/>
      </c>
      <c r="M23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37" s="188" t="str">
        <f>IF(ISNUMBER(deployment_raw[[#This Row],[Column14]]), deployment_raw[[#This Row],[Column14]],"")</f>
        <v/>
      </c>
      <c r="O237" s="189" t="str">
        <f>IF(ISNUMBER(deployment_raw[[#This Row],[Column15]]), deployment_raw[[#This Row],[Column15]]/1048576,"")</f>
        <v/>
      </c>
      <c r="P237" s="190" t="str">
        <f>IF(ISNUMBER(deployment_raw[[#This Row],[Column12]]), (deployment_raw[[#This Row],[Column12]] * deployment_raw[[#This Row],[Column5]]),"")</f>
        <v/>
      </c>
      <c r="Q237" s="189" t="str">
        <f>IF(ISNUMBER(deployment_raw[[#This Row],[Column13]]), (deployment_raw[[#This Row],[Column13]] * deployment_raw[[#This Row],[Column5]])/1048576,"")</f>
        <v/>
      </c>
    </row>
    <row r="238" spans="1:17" ht="15.75" customHeight="1" x14ac:dyDescent="0.25">
      <c r="A238" s="37" t="str">
        <f>IF(ISNONTEXT(deployment_raw[[#This Row],[Column1]]), "", deployment_raw[[#This Row],[Column1]])</f>
        <v/>
      </c>
      <c r="B238" s="38" t="str">
        <f>IF(ISNONTEXT(deployment_raw[[#This Row],[Column2]]), "", deployment_raw[[#This Row],[Column2]])</f>
        <v/>
      </c>
      <c r="C238" s="38" t="str">
        <f>IF(ISNONTEXT(deployment_raw[[#This Row],[Column3]]), "", deployment_raw[[#This Row],[Column3]])</f>
        <v/>
      </c>
      <c r="D238" s="38" t="str">
        <f>IF(ISNONTEXT(deployment_raw[[#This Row],[Column4]]), "", deployment_raw[[#This Row],[Column4]])</f>
        <v/>
      </c>
      <c r="E238" s="39" t="str">
        <f>IF(ISNUMBER(deployment_raw[[#This Row],[Column5]]), deployment_raw[[#This Row],[Column5]],"")</f>
        <v/>
      </c>
      <c r="F238" s="174" t="str">
        <f>IF(ISNUMBER(deployment_raw[[#This Row],[Column6]]), (deployment_raw[[#This Row],[Column6]] * deployment_raw[[#This Row],[Column5]]),"")</f>
        <v/>
      </c>
      <c r="G238" s="175" t="str">
        <f>IF(ISNUMBER(deployment_raw[[#This Row],[Column7]]), (deployment_raw[[#This Row],[Column7]] * deployment_raw[[#This Row],[Column5]])/1048576,"")</f>
        <v/>
      </c>
      <c r="H238" s="175" t="str">
        <f>IF(ISNUMBER(deployment_raw[[#This Row],[Column8]]), (deployment_raw[[#This Row],[Column8]]  * deployment_raw[[#This Row],[Column5]]),"")</f>
        <v/>
      </c>
      <c r="I238" s="176" t="str">
        <f>IF(ISNUMBER(deployment_raw[[#This Row],[Column9]]), (deployment_raw[[#This Row],[Column9]] * deployment_raw[[#This Row],[Column5]])/1048576,"")</f>
        <v/>
      </c>
      <c r="J238" s="57" t="str">
        <f>IF(ISNUMBER(deployment_raw[[#This Row],[Column10]]), (deployment_raw[[#This Row],[Column10]] * deployment_raw[[#This Row],[Column5]]),"")</f>
        <v/>
      </c>
      <c r="K238" s="58" t="str">
        <f>IF(ISNUMBER(deployment_raw[[#This Row],[Column11]]), (deployment_raw[[#This Row],[Column11]] * deployment_raw[[#This Row],[Column5]])/1048576,"")</f>
        <v/>
      </c>
      <c r="L238" s="180" t="str">
        <f>IF(ISNUMBER(deployment_raw[[#This Row],[Column8]]),IF(deployment_raw[[#This Row],[Column5]] &lt;&gt; 0, MAX((deployment_raw[[#This Row],[Column12]] * deployment_raw[[#This Row],[Column5]]), ((deployment_raw[[#This Row],[Column8]] * deployment_raw[[#This Row],[Column5]]) * $L$2), ($H$2 * deployment_raw[[#This Row],[Column5]])), 0),"")</f>
        <v/>
      </c>
      <c r="M23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38" s="188" t="str">
        <f>IF(ISNUMBER(deployment_raw[[#This Row],[Column14]]), deployment_raw[[#This Row],[Column14]],"")</f>
        <v/>
      </c>
      <c r="O238" s="189" t="str">
        <f>IF(ISNUMBER(deployment_raw[[#This Row],[Column15]]), deployment_raw[[#This Row],[Column15]]/1048576,"")</f>
        <v/>
      </c>
      <c r="P238" s="190" t="str">
        <f>IF(ISNUMBER(deployment_raw[[#This Row],[Column12]]), (deployment_raw[[#This Row],[Column12]] * deployment_raw[[#This Row],[Column5]]),"")</f>
        <v/>
      </c>
      <c r="Q238" s="189" t="str">
        <f>IF(ISNUMBER(deployment_raw[[#This Row],[Column13]]), (deployment_raw[[#This Row],[Column13]] * deployment_raw[[#This Row],[Column5]])/1048576,"")</f>
        <v/>
      </c>
    </row>
    <row r="239" spans="1:17" ht="15.75" customHeight="1" x14ac:dyDescent="0.25">
      <c r="A239" s="37" t="str">
        <f>IF(ISNONTEXT(deployment_raw[[#This Row],[Column1]]), "", deployment_raw[[#This Row],[Column1]])</f>
        <v/>
      </c>
      <c r="B239" s="38" t="str">
        <f>IF(ISNONTEXT(deployment_raw[[#This Row],[Column2]]), "", deployment_raw[[#This Row],[Column2]])</f>
        <v/>
      </c>
      <c r="C239" s="38" t="str">
        <f>IF(ISNONTEXT(deployment_raw[[#This Row],[Column3]]), "", deployment_raw[[#This Row],[Column3]])</f>
        <v/>
      </c>
      <c r="D239" s="38" t="str">
        <f>IF(ISNONTEXT(deployment_raw[[#This Row],[Column4]]), "", deployment_raw[[#This Row],[Column4]])</f>
        <v/>
      </c>
      <c r="E239" s="39" t="str">
        <f>IF(ISNUMBER(deployment_raw[[#This Row],[Column5]]), deployment_raw[[#This Row],[Column5]],"")</f>
        <v/>
      </c>
      <c r="F239" s="174" t="str">
        <f>IF(ISNUMBER(deployment_raw[[#This Row],[Column6]]), (deployment_raw[[#This Row],[Column6]] * deployment_raw[[#This Row],[Column5]]),"")</f>
        <v/>
      </c>
      <c r="G239" s="175" t="str">
        <f>IF(ISNUMBER(deployment_raw[[#This Row],[Column7]]), (deployment_raw[[#This Row],[Column7]] * deployment_raw[[#This Row],[Column5]])/1048576,"")</f>
        <v/>
      </c>
      <c r="H239" s="175" t="str">
        <f>IF(ISNUMBER(deployment_raw[[#This Row],[Column8]]), (deployment_raw[[#This Row],[Column8]]  * deployment_raw[[#This Row],[Column5]]),"")</f>
        <v/>
      </c>
      <c r="I239" s="176" t="str">
        <f>IF(ISNUMBER(deployment_raw[[#This Row],[Column9]]), (deployment_raw[[#This Row],[Column9]] * deployment_raw[[#This Row],[Column5]])/1048576,"")</f>
        <v/>
      </c>
      <c r="J239" s="57" t="str">
        <f>IF(ISNUMBER(deployment_raw[[#This Row],[Column10]]), (deployment_raw[[#This Row],[Column10]] * deployment_raw[[#This Row],[Column5]]),"")</f>
        <v/>
      </c>
      <c r="K239" s="58" t="str">
        <f>IF(ISNUMBER(deployment_raw[[#This Row],[Column11]]), (deployment_raw[[#This Row],[Column11]] * deployment_raw[[#This Row],[Column5]])/1048576,"")</f>
        <v/>
      </c>
      <c r="L239" s="180" t="str">
        <f>IF(ISNUMBER(deployment_raw[[#This Row],[Column8]]),IF(deployment_raw[[#This Row],[Column5]] &lt;&gt; 0, MAX((deployment_raw[[#This Row],[Column12]] * deployment_raw[[#This Row],[Column5]]), ((deployment_raw[[#This Row],[Column8]] * deployment_raw[[#This Row],[Column5]]) * $L$2), ($H$2 * deployment_raw[[#This Row],[Column5]])), 0),"")</f>
        <v/>
      </c>
      <c r="M23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39" s="188" t="str">
        <f>IF(ISNUMBER(deployment_raw[[#This Row],[Column14]]), deployment_raw[[#This Row],[Column14]],"")</f>
        <v/>
      </c>
      <c r="O239" s="189" t="str">
        <f>IF(ISNUMBER(deployment_raw[[#This Row],[Column15]]), deployment_raw[[#This Row],[Column15]]/1048576,"")</f>
        <v/>
      </c>
      <c r="P239" s="190" t="str">
        <f>IF(ISNUMBER(deployment_raw[[#This Row],[Column12]]), (deployment_raw[[#This Row],[Column12]] * deployment_raw[[#This Row],[Column5]]),"")</f>
        <v/>
      </c>
      <c r="Q239" s="189" t="str">
        <f>IF(ISNUMBER(deployment_raw[[#This Row],[Column13]]), (deployment_raw[[#This Row],[Column13]] * deployment_raw[[#This Row],[Column5]])/1048576,"")</f>
        <v/>
      </c>
    </row>
    <row r="240" spans="1:17" ht="15.75" customHeight="1" x14ac:dyDescent="0.25">
      <c r="A240" s="37" t="str">
        <f>IF(ISNONTEXT(deployment_raw[[#This Row],[Column1]]), "", deployment_raw[[#This Row],[Column1]])</f>
        <v/>
      </c>
      <c r="B240" s="38" t="str">
        <f>IF(ISNONTEXT(deployment_raw[[#This Row],[Column2]]), "", deployment_raw[[#This Row],[Column2]])</f>
        <v/>
      </c>
      <c r="C240" s="38" t="str">
        <f>IF(ISNONTEXT(deployment_raw[[#This Row],[Column3]]), "", deployment_raw[[#This Row],[Column3]])</f>
        <v/>
      </c>
      <c r="D240" s="38" t="str">
        <f>IF(ISNONTEXT(deployment_raw[[#This Row],[Column4]]), "", deployment_raw[[#This Row],[Column4]])</f>
        <v/>
      </c>
      <c r="E240" s="39" t="str">
        <f>IF(ISNUMBER(deployment_raw[[#This Row],[Column5]]), deployment_raw[[#This Row],[Column5]],"")</f>
        <v/>
      </c>
      <c r="F240" s="174" t="str">
        <f>IF(ISNUMBER(deployment_raw[[#This Row],[Column6]]), (deployment_raw[[#This Row],[Column6]] * deployment_raw[[#This Row],[Column5]]),"")</f>
        <v/>
      </c>
      <c r="G240" s="175" t="str">
        <f>IF(ISNUMBER(deployment_raw[[#This Row],[Column7]]), (deployment_raw[[#This Row],[Column7]] * deployment_raw[[#This Row],[Column5]])/1048576,"")</f>
        <v/>
      </c>
      <c r="H240" s="175" t="str">
        <f>IF(ISNUMBER(deployment_raw[[#This Row],[Column8]]), (deployment_raw[[#This Row],[Column8]]  * deployment_raw[[#This Row],[Column5]]),"")</f>
        <v/>
      </c>
      <c r="I240" s="176" t="str">
        <f>IF(ISNUMBER(deployment_raw[[#This Row],[Column9]]), (deployment_raw[[#This Row],[Column9]] * deployment_raw[[#This Row],[Column5]])/1048576,"")</f>
        <v/>
      </c>
      <c r="J240" s="57" t="str">
        <f>IF(ISNUMBER(deployment_raw[[#This Row],[Column10]]), (deployment_raw[[#This Row],[Column10]] * deployment_raw[[#This Row],[Column5]]),"")</f>
        <v/>
      </c>
      <c r="K240" s="58" t="str">
        <f>IF(ISNUMBER(deployment_raw[[#This Row],[Column11]]), (deployment_raw[[#This Row],[Column11]] * deployment_raw[[#This Row],[Column5]])/1048576,"")</f>
        <v/>
      </c>
      <c r="L240" s="180" t="str">
        <f>IF(ISNUMBER(deployment_raw[[#This Row],[Column8]]),IF(deployment_raw[[#This Row],[Column5]] &lt;&gt; 0, MAX((deployment_raw[[#This Row],[Column12]] * deployment_raw[[#This Row],[Column5]]), ((deployment_raw[[#This Row],[Column8]] * deployment_raw[[#This Row],[Column5]]) * $L$2), ($H$2 * deployment_raw[[#This Row],[Column5]])), 0),"")</f>
        <v/>
      </c>
      <c r="M24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40" s="188" t="str">
        <f>IF(ISNUMBER(deployment_raw[[#This Row],[Column14]]), deployment_raw[[#This Row],[Column14]],"")</f>
        <v/>
      </c>
      <c r="O240" s="189" t="str">
        <f>IF(ISNUMBER(deployment_raw[[#This Row],[Column15]]), deployment_raw[[#This Row],[Column15]]/1048576,"")</f>
        <v/>
      </c>
      <c r="P240" s="190" t="str">
        <f>IF(ISNUMBER(deployment_raw[[#This Row],[Column12]]), (deployment_raw[[#This Row],[Column12]] * deployment_raw[[#This Row],[Column5]]),"")</f>
        <v/>
      </c>
      <c r="Q240" s="189" t="str">
        <f>IF(ISNUMBER(deployment_raw[[#This Row],[Column13]]), (deployment_raw[[#This Row],[Column13]] * deployment_raw[[#This Row],[Column5]])/1048576,"")</f>
        <v/>
      </c>
    </row>
    <row r="241" spans="1:17" ht="15.75" customHeight="1" x14ac:dyDescent="0.25">
      <c r="A241" s="37" t="str">
        <f>IF(ISNONTEXT(deployment_raw[[#This Row],[Column1]]), "", deployment_raw[[#This Row],[Column1]])</f>
        <v/>
      </c>
      <c r="B241" s="38" t="str">
        <f>IF(ISNONTEXT(deployment_raw[[#This Row],[Column2]]), "", deployment_raw[[#This Row],[Column2]])</f>
        <v/>
      </c>
      <c r="C241" s="38" t="str">
        <f>IF(ISNONTEXT(deployment_raw[[#This Row],[Column3]]), "", deployment_raw[[#This Row],[Column3]])</f>
        <v/>
      </c>
      <c r="D241" s="38" t="str">
        <f>IF(ISNONTEXT(deployment_raw[[#This Row],[Column4]]), "", deployment_raw[[#This Row],[Column4]])</f>
        <v/>
      </c>
      <c r="E241" s="39" t="str">
        <f>IF(ISNUMBER(deployment_raw[[#This Row],[Column5]]), deployment_raw[[#This Row],[Column5]],"")</f>
        <v/>
      </c>
      <c r="F241" s="174" t="str">
        <f>IF(ISNUMBER(deployment_raw[[#This Row],[Column6]]), (deployment_raw[[#This Row],[Column6]] * deployment_raw[[#This Row],[Column5]]),"")</f>
        <v/>
      </c>
      <c r="G241" s="175" t="str">
        <f>IF(ISNUMBER(deployment_raw[[#This Row],[Column7]]), (deployment_raw[[#This Row],[Column7]] * deployment_raw[[#This Row],[Column5]])/1048576,"")</f>
        <v/>
      </c>
      <c r="H241" s="175" t="str">
        <f>IF(ISNUMBER(deployment_raw[[#This Row],[Column8]]), (deployment_raw[[#This Row],[Column8]]  * deployment_raw[[#This Row],[Column5]]),"")</f>
        <v/>
      </c>
      <c r="I241" s="176" t="str">
        <f>IF(ISNUMBER(deployment_raw[[#This Row],[Column9]]), (deployment_raw[[#This Row],[Column9]] * deployment_raw[[#This Row],[Column5]])/1048576,"")</f>
        <v/>
      </c>
      <c r="J241" s="57" t="str">
        <f>IF(ISNUMBER(deployment_raw[[#This Row],[Column10]]), (deployment_raw[[#This Row],[Column10]] * deployment_raw[[#This Row],[Column5]]),"")</f>
        <v/>
      </c>
      <c r="K241" s="58" t="str">
        <f>IF(ISNUMBER(deployment_raw[[#This Row],[Column11]]), (deployment_raw[[#This Row],[Column11]] * deployment_raw[[#This Row],[Column5]])/1048576,"")</f>
        <v/>
      </c>
      <c r="L241" s="180" t="str">
        <f>IF(ISNUMBER(deployment_raw[[#This Row],[Column8]]),IF(deployment_raw[[#This Row],[Column5]] &lt;&gt; 0, MAX((deployment_raw[[#This Row],[Column12]] * deployment_raw[[#This Row],[Column5]]), ((deployment_raw[[#This Row],[Column8]] * deployment_raw[[#This Row],[Column5]]) * $L$2), ($H$2 * deployment_raw[[#This Row],[Column5]])), 0),"")</f>
        <v/>
      </c>
      <c r="M24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41" s="188" t="str">
        <f>IF(ISNUMBER(deployment_raw[[#This Row],[Column14]]), deployment_raw[[#This Row],[Column14]],"")</f>
        <v/>
      </c>
      <c r="O241" s="189" t="str">
        <f>IF(ISNUMBER(deployment_raw[[#This Row],[Column15]]), deployment_raw[[#This Row],[Column15]]/1048576,"")</f>
        <v/>
      </c>
      <c r="P241" s="190" t="str">
        <f>IF(ISNUMBER(deployment_raw[[#This Row],[Column12]]), (deployment_raw[[#This Row],[Column12]] * deployment_raw[[#This Row],[Column5]]),"")</f>
        <v/>
      </c>
      <c r="Q241" s="189" t="str">
        <f>IF(ISNUMBER(deployment_raw[[#This Row],[Column13]]), (deployment_raw[[#This Row],[Column13]] * deployment_raw[[#This Row],[Column5]])/1048576,"")</f>
        <v/>
      </c>
    </row>
    <row r="242" spans="1:17" ht="15.75" customHeight="1" x14ac:dyDescent="0.25">
      <c r="A242" s="37" t="str">
        <f>IF(ISNONTEXT(deployment_raw[[#This Row],[Column1]]), "", deployment_raw[[#This Row],[Column1]])</f>
        <v/>
      </c>
      <c r="B242" s="38" t="str">
        <f>IF(ISNONTEXT(deployment_raw[[#This Row],[Column2]]), "", deployment_raw[[#This Row],[Column2]])</f>
        <v/>
      </c>
      <c r="C242" s="38" t="str">
        <f>IF(ISNONTEXT(deployment_raw[[#This Row],[Column3]]), "", deployment_raw[[#This Row],[Column3]])</f>
        <v/>
      </c>
      <c r="D242" s="38" t="str">
        <f>IF(ISNONTEXT(deployment_raw[[#This Row],[Column4]]), "", deployment_raw[[#This Row],[Column4]])</f>
        <v/>
      </c>
      <c r="E242" s="39" t="str">
        <f>IF(ISNUMBER(deployment_raw[[#This Row],[Column5]]), deployment_raw[[#This Row],[Column5]],"")</f>
        <v/>
      </c>
      <c r="F242" s="174" t="str">
        <f>IF(ISNUMBER(deployment_raw[[#This Row],[Column6]]), (deployment_raw[[#This Row],[Column6]] * deployment_raw[[#This Row],[Column5]]),"")</f>
        <v/>
      </c>
      <c r="G242" s="175" t="str">
        <f>IF(ISNUMBER(deployment_raw[[#This Row],[Column7]]), (deployment_raw[[#This Row],[Column7]] * deployment_raw[[#This Row],[Column5]])/1048576,"")</f>
        <v/>
      </c>
      <c r="H242" s="175" t="str">
        <f>IF(ISNUMBER(deployment_raw[[#This Row],[Column8]]), (deployment_raw[[#This Row],[Column8]]  * deployment_raw[[#This Row],[Column5]]),"")</f>
        <v/>
      </c>
      <c r="I242" s="176" t="str">
        <f>IF(ISNUMBER(deployment_raw[[#This Row],[Column9]]), (deployment_raw[[#This Row],[Column9]] * deployment_raw[[#This Row],[Column5]])/1048576,"")</f>
        <v/>
      </c>
      <c r="J242" s="57" t="str">
        <f>IF(ISNUMBER(deployment_raw[[#This Row],[Column10]]), (deployment_raw[[#This Row],[Column10]] * deployment_raw[[#This Row],[Column5]]),"")</f>
        <v/>
      </c>
      <c r="K242" s="58" t="str">
        <f>IF(ISNUMBER(deployment_raw[[#This Row],[Column11]]), (deployment_raw[[#This Row],[Column11]] * deployment_raw[[#This Row],[Column5]])/1048576,"")</f>
        <v/>
      </c>
      <c r="L242" s="180" t="str">
        <f>IF(ISNUMBER(deployment_raw[[#This Row],[Column8]]),IF(deployment_raw[[#This Row],[Column5]] &lt;&gt; 0, MAX((deployment_raw[[#This Row],[Column12]] * deployment_raw[[#This Row],[Column5]]), ((deployment_raw[[#This Row],[Column8]] * deployment_raw[[#This Row],[Column5]]) * $L$2), ($H$2 * deployment_raw[[#This Row],[Column5]])), 0),"")</f>
        <v/>
      </c>
      <c r="M24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42" s="188" t="str">
        <f>IF(ISNUMBER(deployment_raw[[#This Row],[Column14]]), deployment_raw[[#This Row],[Column14]],"")</f>
        <v/>
      </c>
      <c r="O242" s="189" t="str">
        <f>IF(ISNUMBER(deployment_raw[[#This Row],[Column15]]), deployment_raw[[#This Row],[Column15]]/1048576,"")</f>
        <v/>
      </c>
      <c r="P242" s="190" t="str">
        <f>IF(ISNUMBER(deployment_raw[[#This Row],[Column12]]), (deployment_raw[[#This Row],[Column12]] * deployment_raw[[#This Row],[Column5]]),"")</f>
        <v/>
      </c>
      <c r="Q242" s="189" t="str">
        <f>IF(ISNUMBER(deployment_raw[[#This Row],[Column13]]), (deployment_raw[[#This Row],[Column13]] * deployment_raw[[#This Row],[Column5]])/1048576,"")</f>
        <v/>
      </c>
    </row>
    <row r="243" spans="1:17" ht="15.75" customHeight="1" x14ac:dyDescent="0.25">
      <c r="A243" s="37" t="str">
        <f>IF(ISNONTEXT(deployment_raw[[#This Row],[Column1]]), "", deployment_raw[[#This Row],[Column1]])</f>
        <v/>
      </c>
      <c r="B243" s="38" t="str">
        <f>IF(ISNONTEXT(deployment_raw[[#This Row],[Column2]]), "", deployment_raw[[#This Row],[Column2]])</f>
        <v/>
      </c>
      <c r="C243" s="38" t="str">
        <f>IF(ISNONTEXT(deployment_raw[[#This Row],[Column3]]), "", deployment_raw[[#This Row],[Column3]])</f>
        <v/>
      </c>
      <c r="D243" s="38" t="str">
        <f>IF(ISNONTEXT(deployment_raw[[#This Row],[Column4]]), "", deployment_raw[[#This Row],[Column4]])</f>
        <v/>
      </c>
      <c r="E243" s="39" t="str">
        <f>IF(ISNUMBER(deployment_raw[[#This Row],[Column5]]), deployment_raw[[#This Row],[Column5]],"")</f>
        <v/>
      </c>
      <c r="F243" s="174" t="str">
        <f>IF(ISNUMBER(deployment_raw[[#This Row],[Column6]]), (deployment_raw[[#This Row],[Column6]] * deployment_raw[[#This Row],[Column5]]),"")</f>
        <v/>
      </c>
      <c r="G243" s="175" t="str">
        <f>IF(ISNUMBER(deployment_raw[[#This Row],[Column7]]), (deployment_raw[[#This Row],[Column7]] * deployment_raw[[#This Row],[Column5]])/1048576,"")</f>
        <v/>
      </c>
      <c r="H243" s="175" t="str">
        <f>IF(ISNUMBER(deployment_raw[[#This Row],[Column8]]), (deployment_raw[[#This Row],[Column8]]  * deployment_raw[[#This Row],[Column5]]),"")</f>
        <v/>
      </c>
      <c r="I243" s="176" t="str">
        <f>IF(ISNUMBER(deployment_raw[[#This Row],[Column9]]), (deployment_raw[[#This Row],[Column9]] * deployment_raw[[#This Row],[Column5]])/1048576,"")</f>
        <v/>
      </c>
      <c r="J243" s="57" t="str">
        <f>IF(ISNUMBER(deployment_raw[[#This Row],[Column10]]), (deployment_raw[[#This Row],[Column10]] * deployment_raw[[#This Row],[Column5]]),"")</f>
        <v/>
      </c>
      <c r="K243" s="58" t="str">
        <f>IF(ISNUMBER(deployment_raw[[#This Row],[Column11]]), (deployment_raw[[#This Row],[Column11]] * deployment_raw[[#This Row],[Column5]])/1048576,"")</f>
        <v/>
      </c>
      <c r="L243" s="180" t="str">
        <f>IF(ISNUMBER(deployment_raw[[#This Row],[Column8]]),IF(deployment_raw[[#This Row],[Column5]] &lt;&gt; 0, MAX((deployment_raw[[#This Row],[Column12]] * deployment_raw[[#This Row],[Column5]]), ((deployment_raw[[#This Row],[Column8]] * deployment_raw[[#This Row],[Column5]]) * $L$2), ($H$2 * deployment_raw[[#This Row],[Column5]])), 0),"")</f>
        <v/>
      </c>
      <c r="M24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43" s="188" t="str">
        <f>IF(ISNUMBER(deployment_raw[[#This Row],[Column14]]), deployment_raw[[#This Row],[Column14]],"")</f>
        <v/>
      </c>
      <c r="O243" s="189" t="str">
        <f>IF(ISNUMBER(deployment_raw[[#This Row],[Column15]]), deployment_raw[[#This Row],[Column15]]/1048576,"")</f>
        <v/>
      </c>
      <c r="P243" s="190" t="str">
        <f>IF(ISNUMBER(deployment_raw[[#This Row],[Column12]]), (deployment_raw[[#This Row],[Column12]] * deployment_raw[[#This Row],[Column5]]),"")</f>
        <v/>
      </c>
      <c r="Q243" s="189" t="str">
        <f>IF(ISNUMBER(deployment_raw[[#This Row],[Column13]]), (deployment_raw[[#This Row],[Column13]] * deployment_raw[[#This Row],[Column5]])/1048576,"")</f>
        <v/>
      </c>
    </row>
    <row r="244" spans="1:17" ht="15.75" customHeight="1" x14ac:dyDescent="0.25">
      <c r="A244" s="37" t="str">
        <f>IF(ISNONTEXT(deployment_raw[[#This Row],[Column1]]), "", deployment_raw[[#This Row],[Column1]])</f>
        <v/>
      </c>
      <c r="B244" s="38" t="str">
        <f>IF(ISNONTEXT(deployment_raw[[#This Row],[Column2]]), "", deployment_raw[[#This Row],[Column2]])</f>
        <v/>
      </c>
      <c r="C244" s="38" t="str">
        <f>IF(ISNONTEXT(deployment_raw[[#This Row],[Column3]]), "", deployment_raw[[#This Row],[Column3]])</f>
        <v/>
      </c>
      <c r="D244" s="38" t="str">
        <f>IF(ISNONTEXT(deployment_raw[[#This Row],[Column4]]), "", deployment_raw[[#This Row],[Column4]])</f>
        <v/>
      </c>
      <c r="E244" s="39" t="str">
        <f>IF(ISNUMBER(deployment_raw[[#This Row],[Column5]]), deployment_raw[[#This Row],[Column5]],"")</f>
        <v/>
      </c>
      <c r="F244" s="174" t="str">
        <f>IF(ISNUMBER(deployment_raw[[#This Row],[Column6]]), (deployment_raw[[#This Row],[Column6]] * deployment_raw[[#This Row],[Column5]]),"")</f>
        <v/>
      </c>
      <c r="G244" s="175" t="str">
        <f>IF(ISNUMBER(deployment_raw[[#This Row],[Column7]]), (deployment_raw[[#This Row],[Column7]] * deployment_raw[[#This Row],[Column5]])/1048576,"")</f>
        <v/>
      </c>
      <c r="H244" s="175" t="str">
        <f>IF(ISNUMBER(deployment_raw[[#This Row],[Column8]]), (deployment_raw[[#This Row],[Column8]]  * deployment_raw[[#This Row],[Column5]]),"")</f>
        <v/>
      </c>
      <c r="I244" s="176" t="str">
        <f>IF(ISNUMBER(deployment_raw[[#This Row],[Column9]]), (deployment_raw[[#This Row],[Column9]] * deployment_raw[[#This Row],[Column5]])/1048576,"")</f>
        <v/>
      </c>
      <c r="J244" s="57" t="str">
        <f>IF(ISNUMBER(deployment_raw[[#This Row],[Column10]]), (deployment_raw[[#This Row],[Column10]] * deployment_raw[[#This Row],[Column5]]),"")</f>
        <v/>
      </c>
      <c r="K244" s="58" t="str">
        <f>IF(ISNUMBER(deployment_raw[[#This Row],[Column11]]), (deployment_raw[[#This Row],[Column11]] * deployment_raw[[#This Row],[Column5]])/1048576,"")</f>
        <v/>
      </c>
      <c r="L244" s="180" t="str">
        <f>IF(ISNUMBER(deployment_raw[[#This Row],[Column8]]),IF(deployment_raw[[#This Row],[Column5]] &lt;&gt; 0, MAX((deployment_raw[[#This Row],[Column12]] * deployment_raw[[#This Row],[Column5]]), ((deployment_raw[[#This Row],[Column8]] * deployment_raw[[#This Row],[Column5]]) * $L$2), ($H$2 * deployment_raw[[#This Row],[Column5]])), 0),"")</f>
        <v/>
      </c>
      <c r="M24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44" s="188" t="str">
        <f>IF(ISNUMBER(deployment_raw[[#This Row],[Column14]]), deployment_raw[[#This Row],[Column14]],"")</f>
        <v/>
      </c>
      <c r="O244" s="189" t="str">
        <f>IF(ISNUMBER(deployment_raw[[#This Row],[Column15]]), deployment_raw[[#This Row],[Column15]]/1048576,"")</f>
        <v/>
      </c>
      <c r="P244" s="190" t="str">
        <f>IF(ISNUMBER(deployment_raw[[#This Row],[Column12]]), (deployment_raw[[#This Row],[Column12]] * deployment_raw[[#This Row],[Column5]]),"")</f>
        <v/>
      </c>
      <c r="Q244" s="189" t="str">
        <f>IF(ISNUMBER(deployment_raw[[#This Row],[Column13]]), (deployment_raw[[#This Row],[Column13]] * deployment_raw[[#This Row],[Column5]])/1048576,"")</f>
        <v/>
      </c>
    </row>
    <row r="245" spans="1:17" ht="15.75" customHeight="1" x14ac:dyDescent="0.25">
      <c r="A245" s="37" t="str">
        <f>IF(ISNONTEXT(deployment_raw[[#This Row],[Column1]]), "", deployment_raw[[#This Row],[Column1]])</f>
        <v/>
      </c>
      <c r="B245" s="38" t="str">
        <f>IF(ISNONTEXT(deployment_raw[[#This Row],[Column2]]), "", deployment_raw[[#This Row],[Column2]])</f>
        <v/>
      </c>
      <c r="C245" s="38" t="str">
        <f>IF(ISNONTEXT(deployment_raw[[#This Row],[Column3]]), "", deployment_raw[[#This Row],[Column3]])</f>
        <v/>
      </c>
      <c r="D245" s="38" t="str">
        <f>IF(ISNONTEXT(deployment_raw[[#This Row],[Column4]]), "", deployment_raw[[#This Row],[Column4]])</f>
        <v/>
      </c>
      <c r="E245" s="39" t="str">
        <f>IF(ISNUMBER(deployment_raw[[#This Row],[Column5]]), deployment_raw[[#This Row],[Column5]],"")</f>
        <v/>
      </c>
      <c r="F245" s="174" t="str">
        <f>IF(ISNUMBER(deployment_raw[[#This Row],[Column6]]), (deployment_raw[[#This Row],[Column6]] * deployment_raw[[#This Row],[Column5]]),"")</f>
        <v/>
      </c>
      <c r="G245" s="175" t="str">
        <f>IF(ISNUMBER(deployment_raw[[#This Row],[Column7]]), (deployment_raw[[#This Row],[Column7]] * deployment_raw[[#This Row],[Column5]])/1048576,"")</f>
        <v/>
      </c>
      <c r="H245" s="175" t="str">
        <f>IF(ISNUMBER(deployment_raw[[#This Row],[Column8]]), (deployment_raw[[#This Row],[Column8]]  * deployment_raw[[#This Row],[Column5]]),"")</f>
        <v/>
      </c>
      <c r="I245" s="176" t="str">
        <f>IF(ISNUMBER(deployment_raw[[#This Row],[Column9]]), (deployment_raw[[#This Row],[Column9]] * deployment_raw[[#This Row],[Column5]])/1048576,"")</f>
        <v/>
      </c>
      <c r="J245" s="57" t="str">
        <f>IF(ISNUMBER(deployment_raw[[#This Row],[Column10]]), (deployment_raw[[#This Row],[Column10]] * deployment_raw[[#This Row],[Column5]]),"")</f>
        <v/>
      </c>
      <c r="K245" s="58" t="str">
        <f>IF(ISNUMBER(deployment_raw[[#This Row],[Column11]]), (deployment_raw[[#This Row],[Column11]] * deployment_raw[[#This Row],[Column5]])/1048576,"")</f>
        <v/>
      </c>
      <c r="L245" s="180" t="str">
        <f>IF(ISNUMBER(deployment_raw[[#This Row],[Column8]]),IF(deployment_raw[[#This Row],[Column5]] &lt;&gt; 0, MAX((deployment_raw[[#This Row],[Column12]] * deployment_raw[[#This Row],[Column5]]), ((deployment_raw[[#This Row],[Column8]] * deployment_raw[[#This Row],[Column5]]) * $L$2), ($H$2 * deployment_raw[[#This Row],[Column5]])), 0),"")</f>
        <v/>
      </c>
      <c r="M24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45" s="188" t="str">
        <f>IF(ISNUMBER(deployment_raw[[#This Row],[Column14]]), deployment_raw[[#This Row],[Column14]],"")</f>
        <v/>
      </c>
      <c r="O245" s="189" t="str">
        <f>IF(ISNUMBER(deployment_raw[[#This Row],[Column15]]), deployment_raw[[#This Row],[Column15]]/1048576,"")</f>
        <v/>
      </c>
      <c r="P245" s="190" t="str">
        <f>IF(ISNUMBER(deployment_raw[[#This Row],[Column12]]), (deployment_raw[[#This Row],[Column12]] * deployment_raw[[#This Row],[Column5]]),"")</f>
        <v/>
      </c>
      <c r="Q245" s="189" t="str">
        <f>IF(ISNUMBER(deployment_raw[[#This Row],[Column13]]), (deployment_raw[[#This Row],[Column13]] * deployment_raw[[#This Row],[Column5]])/1048576,"")</f>
        <v/>
      </c>
    </row>
    <row r="246" spans="1:17" ht="15.75" customHeight="1" x14ac:dyDescent="0.25">
      <c r="A246" s="37" t="str">
        <f>IF(ISNONTEXT(deployment_raw[[#This Row],[Column1]]), "", deployment_raw[[#This Row],[Column1]])</f>
        <v/>
      </c>
      <c r="B246" s="38" t="str">
        <f>IF(ISNONTEXT(deployment_raw[[#This Row],[Column2]]), "", deployment_raw[[#This Row],[Column2]])</f>
        <v/>
      </c>
      <c r="C246" s="38" t="str">
        <f>IF(ISNONTEXT(deployment_raw[[#This Row],[Column3]]), "", deployment_raw[[#This Row],[Column3]])</f>
        <v/>
      </c>
      <c r="D246" s="38" t="str">
        <f>IF(ISNONTEXT(deployment_raw[[#This Row],[Column4]]), "", deployment_raw[[#This Row],[Column4]])</f>
        <v/>
      </c>
      <c r="E246" s="39" t="str">
        <f>IF(ISNUMBER(deployment_raw[[#This Row],[Column5]]), deployment_raw[[#This Row],[Column5]],"")</f>
        <v/>
      </c>
      <c r="F246" s="174" t="str">
        <f>IF(ISNUMBER(deployment_raw[[#This Row],[Column6]]), (deployment_raw[[#This Row],[Column6]] * deployment_raw[[#This Row],[Column5]]),"")</f>
        <v/>
      </c>
      <c r="G246" s="175" t="str">
        <f>IF(ISNUMBER(deployment_raw[[#This Row],[Column7]]), (deployment_raw[[#This Row],[Column7]] * deployment_raw[[#This Row],[Column5]])/1048576,"")</f>
        <v/>
      </c>
      <c r="H246" s="175" t="str">
        <f>IF(ISNUMBER(deployment_raw[[#This Row],[Column8]]), (deployment_raw[[#This Row],[Column8]]  * deployment_raw[[#This Row],[Column5]]),"")</f>
        <v/>
      </c>
      <c r="I246" s="176" t="str">
        <f>IF(ISNUMBER(deployment_raw[[#This Row],[Column9]]), (deployment_raw[[#This Row],[Column9]] * deployment_raw[[#This Row],[Column5]])/1048576,"")</f>
        <v/>
      </c>
      <c r="J246" s="57" t="str">
        <f>IF(ISNUMBER(deployment_raw[[#This Row],[Column10]]), (deployment_raw[[#This Row],[Column10]] * deployment_raw[[#This Row],[Column5]]),"")</f>
        <v/>
      </c>
      <c r="K246" s="58" t="str">
        <f>IF(ISNUMBER(deployment_raw[[#This Row],[Column11]]), (deployment_raw[[#This Row],[Column11]] * deployment_raw[[#This Row],[Column5]])/1048576,"")</f>
        <v/>
      </c>
      <c r="L246" s="180" t="str">
        <f>IF(ISNUMBER(deployment_raw[[#This Row],[Column8]]),IF(deployment_raw[[#This Row],[Column5]] &lt;&gt; 0, MAX((deployment_raw[[#This Row],[Column12]] * deployment_raw[[#This Row],[Column5]]), ((deployment_raw[[#This Row],[Column8]] * deployment_raw[[#This Row],[Column5]]) * $L$2), ($H$2 * deployment_raw[[#This Row],[Column5]])), 0),"")</f>
        <v/>
      </c>
      <c r="M24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46" s="188" t="str">
        <f>IF(ISNUMBER(deployment_raw[[#This Row],[Column14]]), deployment_raw[[#This Row],[Column14]],"")</f>
        <v/>
      </c>
      <c r="O246" s="189" t="str">
        <f>IF(ISNUMBER(deployment_raw[[#This Row],[Column15]]), deployment_raw[[#This Row],[Column15]]/1048576,"")</f>
        <v/>
      </c>
      <c r="P246" s="190" t="str">
        <f>IF(ISNUMBER(deployment_raw[[#This Row],[Column12]]), (deployment_raw[[#This Row],[Column12]] * deployment_raw[[#This Row],[Column5]]),"")</f>
        <v/>
      </c>
      <c r="Q246" s="189" t="str">
        <f>IF(ISNUMBER(deployment_raw[[#This Row],[Column13]]), (deployment_raw[[#This Row],[Column13]] * deployment_raw[[#This Row],[Column5]])/1048576,"")</f>
        <v/>
      </c>
    </row>
    <row r="247" spans="1:17" ht="15.75" customHeight="1" x14ac:dyDescent="0.25">
      <c r="A247" s="37" t="str">
        <f>IF(ISNONTEXT(deployment_raw[[#This Row],[Column1]]), "", deployment_raw[[#This Row],[Column1]])</f>
        <v/>
      </c>
      <c r="B247" s="38" t="str">
        <f>IF(ISNONTEXT(deployment_raw[[#This Row],[Column2]]), "", deployment_raw[[#This Row],[Column2]])</f>
        <v/>
      </c>
      <c r="C247" s="38" t="str">
        <f>IF(ISNONTEXT(deployment_raw[[#This Row],[Column3]]), "", deployment_raw[[#This Row],[Column3]])</f>
        <v/>
      </c>
      <c r="D247" s="38" t="str">
        <f>IF(ISNONTEXT(deployment_raw[[#This Row],[Column4]]), "", deployment_raw[[#This Row],[Column4]])</f>
        <v/>
      </c>
      <c r="E247" s="39" t="str">
        <f>IF(ISNUMBER(deployment_raw[[#This Row],[Column5]]), deployment_raw[[#This Row],[Column5]],"")</f>
        <v/>
      </c>
      <c r="F247" s="174" t="str">
        <f>IF(ISNUMBER(deployment_raw[[#This Row],[Column6]]), (deployment_raw[[#This Row],[Column6]] * deployment_raw[[#This Row],[Column5]]),"")</f>
        <v/>
      </c>
      <c r="G247" s="175" t="str">
        <f>IF(ISNUMBER(deployment_raw[[#This Row],[Column7]]), (deployment_raw[[#This Row],[Column7]] * deployment_raw[[#This Row],[Column5]])/1048576,"")</f>
        <v/>
      </c>
      <c r="H247" s="175" t="str">
        <f>IF(ISNUMBER(deployment_raw[[#This Row],[Column8]]), (deployment_raw[[#This Row],[Column8]]  * deployment_raw[[#This Row],[Column5]]),"")</f>
        <v/>
      </c>
      <c r="I247" s="176" t="str">
        <f>IF(ISNUMBER(deployment_raw[[#This Row],[Column9]]), (deployment_raw[[#This Row],[Column9]] * deployment_raw[[#This Row],[Column5]])/1048576,"")</f>
        <v/>
      </c>
      <c r="J247" s="57" t="str">
        <f>IF(ISNUMBER(deployment_raw[[#This Row],[Column10]]), (deployment_raw[[#This Row],[Column10]] * deployment_raw[[#This Row],[Column5]]),"")</f>
        <v/>
      </c>
      <c r="K247" s="58" t="str">
        <f>IF(ISNUMBER(deployment_raw[[#This Row],[Column11]]), (deployment_raw[[#This Row],[Column11]] * deployment_raw[[#This Row],[Column5]])/1048576,"")</f>
        <v/>
      </c>
      <c r="L247" s="180" t="str">
        <f>IF(ISNUMBER(deployment_raw[[#This Row],[Column8]]),IF(deployment_raw[[#This Row],[Column5]] &lt;&gt; 0, MAX((deployment_raw[[#This Row],[Column12]] * deployment_raw[[#This Row],[Column5]]), ((deployment_raw[[#This Row],[Column8]] * deployment_raw[[#This Row],[Column5]]) * $L$2), ($H$2 * deployment_raw[[#This Row],[Column5]])), 0),"")</f>
        <v/>
      </c>
      <c r="M24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47" s="188" t="str">
        <f>IF(ISNUMBER(deployment_raw[[#This Row],[Column14]]), deployment_raw[[#This Row],[Column14]],"")</f>
        <v/>
      </c>
      <c r="O247" s="189" t="str">
        <f>IF(ISNUMBER(deployment_raw[[#This Row],[Column15]]), deployment_raw[[#This Row],[Column15]]/1048576,"")</f>
        <v/>
      </c>
      <c r="P247" s="190" t="str">
        <f>IF(ISNUMBER(deployment_raw[[#This Row],[Column12]]), (deployment_raw[[#This Row],[Column12]] * deployment_raw[[#This Row],[Column5]]),"")</f>
        <v/>
      </c>
      <c r="Q247" s="189" t="str">
        <f>IF(ISNUMBER(deployment_raw[[#This Row],[Column13]]), (deployment_raw[[#This Row],[Column13]] * deployment_raw[[#This Row],[Column5]])/1048576,"")</f>
        <v/>
      </c>
    </row>
    <row r="248" spans="1:17" ht="15.75" customHeight="1" x14ac:dyDescent="0.25">
      <c r="A248" s="37" t="str">
        <f>IF(ISNONTEXT(deployment_raw[[#This Row],[Column1]]), "", deployment_raw[[#This Row],[Column1]])</f>
        <v/>
      </c>
      <c r="B248" s="38" t="str">
        <f>IF(ISNONTEXT(deployment_raw[[#This Row],[Column2]]), "", deployment_raw[[#This Row],[Column2]])</f>
        <v/>
      </c>
      <c r="C248" s="38" t="str">
        <f>IF(ISNONTEXT(deployment_raw[[#This Row],[Column3]]), "", deployment_raw[[#This Row],[Column3]])</f>
        <v/>
      </c>
      <c r="D248" s="38" t="str">
        <f>IF(ISNONTEXT(deployment_raw[[#This Row],[Column4]]), "", deployment_raw[[#This Row],[Column4]])</f>
        <v/>
      </c>
      <c r="E248" s="39" t="str">
        <f>IF(ISNUMBER(deployment_raw[[#This Row],[Column5]]), deployment_raw[[#This Row],[Column5]],"")</f>
        <v/>
      </c>
      <c r="F248" s="174" t="str">
        <f>IF(ISNUMBER(deployment_raw[[#This Row],[Column6]]), (deployment_raw[[#This Row],[Column6]] * deployment_raw[[#This Row],[Column5]]),"")</f>
        <v/>
      </c>
      <c r="G248" s="175" t="str">
        <f>IF(ISNUMBER(deployment_raw[[#This Row],[Column7]]), (deployment_raw[[#This Row],[Column7]] * deployment_raw[[#This Row],[Column5]])/1048576,"")</f>
        <v/>
      </c>
      <c r="H248" s="175" t="str">
        <f>IF(ISNUMBER(deployment_raw[[#This Row],[Column8]]), (deployment_raw[[#This Row],[Column8]]  * deployment_raw[[#This Row],[Column5]]),"")</f>
        <v/>
      </c>
      <c r="I248" s="176" t="str">
        <f>IF(ISNUMBER(deployment_raw[[#This Row],[Column9]]), (deployment_raw[[#This Row],[Column9]] * deployment_raw[[#This Row],[Column5]])/1048576,"")</f>
        <v/>
      </c>
      <c r="J248" s="57" t="str">
        <f>IF(ISNUMBER(deployment_raw[[#This Row],[Column10]]), (deployment_raw[[#This Row],[Column10]] * deployment_raw[[#This Row],[Column5]]),"")</f>
        <v/>
      </c>
      <c r="K248" s="58" t="str">
        <f>IF(ISNUMBER(deployment_raw[[#This Row],[Column11]]), (deployment_raw[[#This Row],[Column11]] * deployment_raw[[#This Row],[Column5]])/1048576,"")</f>
        <v/>
      </c>
      <c r="L248" s="180" t="str">
        <f>IF(ISNUMBER(deployment_raw[[#This Row],[Column8]]),IF(deployment_raw[[#This Row],[Column5]] &lt;&gt; 0, MAX((deployment_raw[[#This Row],[Column12]] * deployment_raw[[#This Row],[Column5]]), ((deployment_raw[[#This Row],[Column8]] * deployment_raw[[#This Row],[Column5]]) * $L$2), ($H$2 * deployment_raw[[#This Row],[Column5]])), 0),"")</f>
        <v/>
      </c>
      <c r="M24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48" s="188" t="str">
        <f>IF(ISNUMBER(deployment_raw[[#This Row],[Column14]]), deployment_raw[[#This Row],[Column14]],"")</f>
        <v/>
      </c>
      <c r="O248" s="189" t="str">
        <f>IF(ISNUMBER(deployment_raw[[#This Row],[Column15]]), deployment_raw[[#This Row],[Column15]]/1048576,"")</f>
        <v/>
      </c>
      <c r="P248" s="190" t="str">
        <f>IF(ISNUMBER(deployment_raw[[#This Row],[Column12]]), (deployment_raw[[#This Row],[Column12]] * deployment_raw[[#This Row],[Column5]]),"")</f>
        <v/>
      </c>
      <c r="Q248" s="189" t="str">
        <f>IF(ISNUMBER(deployment_raw[[#This Row],[Column13]]), (deployment_raw[[#This Row],[Column13]] * deployment_raw[[#This Row],[Column5]])/1048576,"")</f>
        <v/>
      </c>
    </row>
    <row r="249" spans="1:17" ht="15.75" customHeight="1" x14ac:dyDescent="0.25">
      <c r="A249" s="37" t="str">
        <f>IF(ISNONTEXT(deployment_raw[[#This Row],[Column1]]), "", deployment_raw[[#This Row],[Column1]])</f>
        <v/>
      </c>
      <c r="B249" s="38" t="str">
        <f>IF(ISNONTEXT(deployment_raw[[#This Row],[Column2]]), "", deployment_raw[[#This Row],[Column2]])</f>
        <v/>
      </c>
      <c r="C249" s="38" t="str">
        <f>IF(ISNONTEXT(deployment_raw[[#This Row],[Column3]]), "", deployment_raw[[#This Row],[Column3]])</f>
        <v/>
      </c>
      <c r="D249" s="38" t="str">
        <f>IF(ISNONTEXT(deployment_raw[[#This Row],[Column4]]), "", deployment_raw[[#This Row],[Column4]])</f>
        <v/>
      </c>
      <c r="E249" s="39" t="str">
        <f>IF(ISNUMBER(deployment_raw[[#This Row],[Column5]]), deployment_raw[[#This Row],[Column5]],"")</f>
        <v/>
      </c>
      <c r="F249" s="174" t="str">
        <f>IF(ISNUMBER(deployment_raw[[#This Row],[Column6]]), (deployment_raw[[#This Row],[Column6]] * deployment_raw[[#This Row],[Column5]]),"")</f>
        <v/>
      </c>
      <c r="G249" s="175" t="str">
        <f>IF(ISNUMBER(deployment_raw[[#This Row],[Column7]]), (deployment_raw[[#This Row],[Column7]] * deployment_raw[[#This Row],[Column5]])/1048576,"")</f>
        <v/>
      </c>
      <c r="H249" s="175" t="str">
        <f>IF(ISNUMBER(deployment_raw[[#This Row],[Column8]]), (deployment_raw[[#This Row],[Column8]]  * deployment_raw[[#This Row],[Column5]]),"")</f>
        <v/>
      </c>
      <c r="I249" s="176" t="str">
        <f>IF(ISNUMBER(deployment_raw[[#This Row],[Column9]]), (deployment_raw[[#This Row],[Column9]] * deployment_raw[[#This Row],[Column5]])/1048576,"")</f>
        <v/>
      </c>
      <c r="J249" s="57" t="str">
        <f>IF(ISNUMBER(deployment_raw[[#This Row],[Column10]]), (deployment_raw[[#This Row],[Column10]] * deployment_raw[[#This Row],[Column5]]),"")</f>
        <v/>
      </c>
      <c r="K249" s="58" t="str">
        <f>IF(ISNUMBER(deployment_raw[[#This Row],[Column11]]), (deployment_raw[[#This Row],[Column11]] * deployment_raw[[#This Row],[Column5]])/1048576,"")</f>
        <v/>
      </c>
      <c r="L249" s="180" t="str">
        <f>IF(ISNUMBER(deployment_raw[[#This Row],[Column8]]),IF(deployment_raw[[#This Row],[Column5]] &lt;&gt; 0, MAX((deployment_raw[[#This Row],[Column12]] * deployment_raw[[#This Row],[Column5]]), ((deployment_raw[[#This Row],[Column8]] * deployment_raw[[#This Row],[Column5]]) * $L$2), ($H$2 * deployment_raw[[#This Row],[Column5]])), 0),"")</f>
        <v/>
      </c>
      <c r="M24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49" s="188" t="str">
        <f>IF(ISNUMBER(deployment_raw[[#This Row],[Column14]]), deployment_raw[[#This Row],[Column14]],"")</f>
        <v/>
      </c>
      <c r="O249" s="189" t="str">
        <f>IF(ISNUMBER(deployment_raw[[#This Row],[Column15]]), deployment_raw[[#This Row],[Column15]]/1048576,"")</f>
        <v/>
      </c>
      <c r="P249" s="190" t="str">
        <f>IF(ISNUMBER(deployment_raw[[#This Row],[Column12]]), (deployment_raw[[#This Row],[Column12]] * deployment_raw[[#This Row],[Column5]]),"")</f>
        <v/>
      </c>
      <c r="Q249" s="189" t="str">
        <f>IF(ISNUMBER(deployment_raw[[#This Row],[Column13]]), (deployment_raw[[#This Row],[Column13]] * deployment_raw[[#This Row],[Column5]])/1048576,"")</f>
        <v/>
      </c>
    </row>
    <row r="250" spans="1:17" ht="15.75" customHeight="1" x14ac:dyDescent="0.25">
      <c r="A250" s="37" t="str">
        <f>IF(ISNONTEXT(deployment_raw[[#This Row],[Column1]]), "", deployment_raw[[#This Row],[Column1]])</f>
        <v/>
      </c>
      <c r="B250" s="38" t="str">
        <f>IF(ISNONTEXT(deployment_raw[[#This Row],[Column2]]), "", deployment_raw[[#This Row],[Column2]])</f>
        <v/>
      </c>
      <c r="C250" s="38" t="str">
        <f>IF(ISNONTEXT(deployment_raw[[#This Row],[Column3]]), "", deployment_raw[[#This Row],[Column3]])</f>
        <v/>
      </c>
      <c r="D250" s="38" t="str">
        <f>IF(ISNONTEXT(deployment_raw[[#This Row],[Column4]]), "", deployment_raw[[#This Row],[Column4]])</f>
        <v/>
      </c>
      <c r="E250" s="39" t="str">
        <f>IF(ISNUMBER(deployment_raw[[#This Row],[Column5]]), deployment_raw[[#This Row],[Column5]],"")</f>
        <v/>
      </c>
      <c r="F250" s="174" t="str">
        <f>IF(ISNUMBER(deployment_raw[[#This Row],[Column6]]), (deployment_raw[[#This Row],[Column6]] * deployment_raw[[#This Row],[Column5]]),"")</f>
        <v/>
      </c>
      <c r="G250" s="175" t="str">
        <f>IF(ISNUMBER(deployment_raw[[#This Row],[Column7]]), (deployment_raw[[#This Row],[Column7]] * deployment_raw[[#This Row],[Column5]])/1048576,"")</f>
        <v/>
      </c>
      <c r="H250" s="175" t="str">
        <f>IF(ISNUMBER(deployment_raw[[#This Row],[Column8]]), (deployment_raw[[#This Row],[Column8]]  * deployment_raw[[#This Row],[Column5]]),"")</f>
        <v/>
      </c>
      <c r="I250" s="176" t="str">
        <f>IF(ISNUMBER(deployment_raw[[#This Row],[Column9]]), (deployment_raw[[#This Row],[Column9]] * deployment_raw[[#This Row],[Column5]])/1048576,"")</f>
        <v/>
      </c>
      <c r="J250" s="57" t="str">
        <f>IF(ISNUMBER(deployment_raw[[#This Row],[Column10]]), (deployment_raw[[#This Row],[Column10]] * deployment_raw[[#This Row],[Column5]]),"")</f>
        <v/>
      </c>
      <c r="K250" s="58" t="str">
        <f>IF(ISNUMBER(deployment_raw[[#This Row],[Column11]]), (deployment_raw[[#This Row],[Column11]] * deployment_raw[[#This Row],[Column5]])/1048576,"")</f>
        <v/>
      </c>
      <c r="L250" s="180" t="str">
        <f>IF(ISNUMBER(deployment_raw[[#This Row],[Column8]]),IF(deployment_raw[[#This Row],[Column5]] &lt;&gt; 0, MAX((deployment_raw[[#This Row],[Column12]] * deployment_raw[[#This Row],[Column5]]), ((deployment_raw[[#This Row],[Column8]] * deployment_raw[[#This Row],[Column5]]) * $L$2), ($H$2 * deployment_raw[[#This Row],[Column5]])), 0),"")</f>
        <v/>
      </c>
      <c r="M25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50" s="188" t="str">
        <f>IF(ISNUMBER(deployment_raw[[#This Row],[Column14]]), deployment_raw[[#This Row],[Column14]],"")</f>
        <v/>
      </c>
      <c r="O250" s="189" t="str">
        <f>IF(ISNUMBER(deployment_raw[[#This Row],[Column15]]), deployment_raw[[#This Row],[Column15]]/1048576,"")</f>
        <v/>
      </c>
      <c r="P250" s="190" t="str">
        <f>IF(ISNUMBER(deployment_raw[[#This Row],[Column12]]), (deployment_raw[[#This Row],[Column12]] * deployment_raw[[#This Row],[Column5]]),"")</f>
        <v/>
      </c>
      <c r="Q250" s="189" t="str">
        <f>IF(ISNUMBER(deployment_raw[[#This Row],[Column13]]), (deployment_raw[[#This Row],[Column13]] * deployment_raw[[#This Row],[Column5]])/1048576,"")</f>
        <v/>
      </c>
    </row>
    <row r="251" spans="1:17" ht="15.75" customHeight="1" x14ac:dyDescent="0.25">
      <c r="A251" s="37" t="str">
        <f>IF(ISNONTEXT(deployment_raw[[#This Row],[Column1]]), "", deployment_raw[[#This Row],[Column1]])</f>
        <v/>
      </c>
      <c r="B251" s="38" t="str">
        <f>IF(ISNONTEXT(deployment_raw[[#This Row],[Column2]]), "", deployment_raw[[#This Row],[Column2]])</f>
        <v/>
      </c>
      <c r="C251" s="38" t="str">
        <f>IF(ISNONTEXT(deployment_raw[[#This Row],[Column3]]), "", deployment_raw[[#This Row],[Column3]])</f>
        <v/>
      </c>
      <c r="D251" s="38" t="str">
        <f>IF(ISNONTEXT(deployment_raw[[#This Row],[Column4]]), "", deployment_raw[[#This Row],[Column4]])</f>
        <v/>
      </c>
      <c r="E251" s="39" t="str">
        <f>IF(ISNUMBER(deployment_raw[[#This Row],[Column5]]), deployment_raw[[#This Row],[Column5]],"")</f>
        <v/>
      </c>
      <c r="F251" s="174" t="str">
        <f>IF(ISNUMBER(deployment_raw[[#This Row],[Column6]]), (deployment_raw[[#This Row],[Column6]] * deployment_raw[[#This Row],[Column5]]),"")</f>
        <v/>
      </c>
      <c r="G251" s="175" t="str">
        <f>IF(ISNUMBER(deployment_raw[[#This Row],[Column7]]), (deployment_raw[[#This Row],[Column7]] * deployment_raw[[#This Row],[Column5]])/1048576,"")</f>
        <v/>
      </c>
      <c r="H251" s="175" t="str">
        <f>IF(ISNUMBER(deployment_raw[[#This Row],[Column8]]), (deployment_raw[[#This Row],[Column8]]  * deployment_raw[[#This Row],[Column5]]),"")</f>
        <v/>
      </c>
      <c r="I251" s="176" t="str">
        <f>IF(ISNUMBER(deployment_raw[[#This Row],[Column9]]), (deployment_raw[[#This Row],[Column9]] * deployment_raw[[#This Row],[Column5]])/1048576,"")</f>
        <v/>
      </c>
      <c r="J251" s="57" t="str">
        <f>IF(ISNUMBER(deployment_raw[[#This Row],[Column10]]), (deployment_raw[[#This Row],[Column10]] * deployment_raw[[#This Row],[Column5]]),"")</f>
        <v/>
      </c>
      <c r="K251" s="58" t="str">
        <f>IF(ISNUMBER(deployment_raw[[#This Row],[Column11]]), (deployment_raw[[#This Row],[Column11]] * deployment_raw[[#This Row],[Column5]])/1048576,"")</f>
        <v/>
      </c>
      <c r="L251" s="180" t="str">
        <f>IF(ISNUMBER(deployment_raw[[#This Row],[Column8]]),IF(deployment_raw[[#This Row],[Column5]] &lt;&gt; 0, MAX((deployment_raw[[#This Row],[Column12]] * deployment_raw[[#This Row],[Column5]]), ((deployment_raw[[#This Row],[Column8]] * deployment_raw[[#This Row],[Column5]]) * $L$2), ($H$2 * deployment_raw[[#This Row],[Column5]])), 0),"")</f>
        <v/>
      </c>
      <c r="M25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51" s="188" t="str">
        <f>IF(ISNUMBER(deployment_raw[[#This Row],[Column14]]), deployment_raw[[#This Row],[Column14]],"")</f>
        <v/>
      </c>
      <c r="O251" s="189" t="str">
        <f>IF(ISNUMBER(deployment_raw[[#This Row],[Column15]]), deployment_raw[[#This Row],[Column15]]/1048576,"")</f>
        <v/>
      </c>
      <c r="P251" s="190" t="str">
        <f>IF(ISNUMBER(deployment_raw[[#This Row],[Column12]]), (deployment_raw[[#This Row],[Column12]] * deployment_raw[[#This Row],[Column5]]),"")</f>
        <v/>
      </c>
      <c r="Q251" s="189" t="str">
        <f>IF(ISNUMBER(deployment_raw[[#This Row],[Column13]]), (deployment_raw[[#This Row],[Column13]] * deployment_raw[[#This Row],[Column5]])/1048576,"")</f>
        <v/>
      </c>
    </row>
    <row r="252" spans="1:17" ht="15.75" customHeight="1" x14ac:dyDescent="0.25">
      <c r="A252" s="37" t="str">
        <f>IF(ISNONTEXT(deployment_raw[[#This Row],[Column1]]), "", deployment_raw[[#This Row],[Column1]])</f>
        <v/>
      </c>
      <c r="B252" s="38" t="str">
        <f>IF(ISNONTEXT(deployment_raw[[#This Row],[Column2]]), "", deployment_raw[[#This Row],[Column2]])</f>
        <v/>
      </c>
      <c r="C252" s="38" t="str">
        <f>IF(ISNONTEXT(deployment_raw[[#This Row],[Column3]]), "", deployment_raw[[#This Row],[Column3]])</f>
        <v/>
      </c>
      <c r="D252" s="38" t="str">
        <f>IF(ISNONTEXT(deployment_raw[[#This Row],[Column4]]), "", deployment_raw[[#This Row],[Column4]])</f>
        <v/>
      </c>
      <c r="E252" s="39" t="str">
        <f>IF(ISNUMBER(deployment_raw[[#This Row],[Column5]]), deployment_raw[[#This Row],[Column5]],"")</f>
        <v/>
      </c>
      <c r="F252" s="174" t="str">
        <f>IF(ISNUMBER(deployment_raw[[#This Row],[Column6]]), (deployment_raw[[#This Row],[Column6]] * deployment_raw[[#This Row],[Column5]]),"")</f>
        <v/>
      </c>
      <c r="G252" s="175" t="str">
        <f>IF(ISNUMBER(deployment_raw[[#This Row],[Column7]]), (deployment_raw[[#This Row],[Column7]] * deployment_raw[[#This Row],[Column5]])/1048576,"")</f>
        <v/>
      </c>
      <c r="H252" s="175" t="str">
        <f>IF(ISNUMBER(deployment_raw[[#This Row],[Column8]]), (deployment_raw[[#This Row],[Column8]]  * deployment_raw[[#This Row],[Column5]]),"")</f>
        <v/>
      </c>
      <c r="I252" s="176" t="str">
        <f>IF(ISNUMBER(deployment_raw[[#This Row],[Column9]]), (deployment_raw[[#This Row],[Column9]] * deployment_raw[[#This Row],[Column5]])/1048576,"")</f>
        <v/>
      </c>
      <c r="J252" s="57" t="str">
        <f>IF(ISNUMBER(deployment_raw[[#This Row],[Column10]]), (deployment_raw[[#This Row],[Column10]] * deployment_raw[[#This Row],[Column5]]),"")</f>
        <v/>
      </c>
      <c r="K252" s="58" t="str">
        <f>IF(ISNUMBER(deployment_raw[[#This Row],[Column11]]), (deployment_raw[[#This Row],[Column11]] * deployment_raw[[#This Row],[Column5]])/1048576,"")</f>
        <v/>
      </c>
      <c r="L252" s="180" t="str">
        <f>IF(ISNUMBER(deployment_raw[[#This Row],[Column8]]),IF(deployment_raw[[#This Row],[Column5]] &lt;&gt; 0, MAX((deployment_raw[[#This Row],[Column12]] * deployment_raw[[#This Row],[Column5]]), ((deployment_raw[[#This Row],[Column8]] * deployment_raw[[#This Row],[Column5]]) * $L$2), ($H$2 * deployment_raw[[#This Row],[Column5]])), 0),"")</f>
        <v/>
      </c>
      <c r="M25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52" s="188" t="str">
        <f>IF(ISNUMBER(deployment_raw[[#This Row],[Column14]]), deployment_raw[[#This Row],[Column14]],"")</f>
        <v/>
      </c>
      <c r="O252" s="189" t="str">
        <f>IF(ISNUMBER(deployment_raw[[#This Row],[Column15]]), deployment_raw[[#This Row],[Column15]]/1048576,"")</f>
        <v/>
      </c>
      <c r="P252" s="190" t="str">
        <f>IF(ISNUMBER(deployment_raw[[#This Row],[Column12]]), (deployment_raw[[#This Row],[Column12]] * deployment_raw[[#This Row],[Column5]]),"")</f>
        <v/>
      </c>
      <c r="Q252" s="189" t="str">
        <f>IF(ISNUMBER(deployment_raw[[#This Row],[Column13]]), (deployment_raw[[#This Row],[Column13]] * deployment_raw[[#This Row],[Column5]])/1048576,"")</f>
        <v/>
      </c>
    </row>
    <row r="253" spans="1:17" ht="15.75" customHeight="1" x14ac:dyDescent="0.25">
      <c r="A253" s="37" t="str">
        <f>IF(ISNONTEXT(deployment_raw[[#This Row],[Column1]]), "", deployment_raw[[#This Row],[Column1]])</f>
        <v/>
      </c>
      <c r="B253" s="38" t="str">
        <f>IF(ISNONTEXT(deployment_raw[[#This Row],[Column2]]), "", deployment_raw[[#This Row],[Column2]])</f>
        <v/>
      </c>
      <c r="C253" s="38" t="str">
        <f>IF(ISNONTEXT(deployment_raw[[#This Row],[Column3]]), "", deployment_raw[[#This Row],[Column3]])</f>
        <v/>
      </c>
      <c r="D253" s="38" t="str">
        <f>IF(ISNONTEXT(deployment_raw[[#This Row],[Column4]]), "", deployment_raw[[#This Row],[Column4]])</f>
        <v/>
      </c>
      <c r="E253" s="39" t="str">
        <f>IF(ISNUMBER(deployment_raw[[#This Row],[Column5]]), deployment_raw[[#This Row],[Column5]],"")</f>
        <v/>
      </c>
      <c r="F253" s="174" t="str">
        <f>IF(ISNUMBER(deployment_raw[[#This Row],[Column6]]), (deployment_raw[[#This Row],[Column6]] * deployment_raw[[#This Row],[Column5]]),"")</f>
        <v/>
      </c>
      <c r="G253" s="175" t="str">
        <f>IF(ISNUMBER(deployment_raw[[#This Row],[Column7]]), (deployment_raw[[#This Row],[Column7]] * deployment_raw[[#This Row],[Column5]])/1048576,"")</f>
        <v/>
      </c>
      <c r="H253" s="175" t="str">
        <f>IF(ISNUMBER(deployment_raw[[#This Row],[Column8]]), (deployment_raw[[#This Row],[Column8]]  * deployment_raw[[#This Row],[Column5]]),"")</f>
        <v/>
      </c>
      <c r="I253" s="176" t="str">
        <f>IF(ISNUMBER(deployment_raw[[#This Row],[Column9]]), (deployment_raw[[#This Row],[Column9]] * deployment_raw[[#This Row],[Column5]])/1048576,"")</f>
        <v/>
      </c>
      <c r="J253" s="57" t="str">
        <f>IF(ISNUMBER(deployment_raw[[#This Row],[Column10]]), (deployment_raw[[#This Row],[Column10]] * deployment_raw[[#This Row],[Column5]]),"")</f>
        <v/>
      </c>
      <c r="K253" s="58" t="str">
        <f>IF(ISNUMBER(deployment_raw[[#This Row],[Column11]]), (deployment_raw[[#This Row],[Column11]] * deployment_raw[[#This Row],[Column5]])/1048576,"")</f>
        <v/>
      </c>
      <c r="L253" s="180" t="str">
        <f>IF(ISNUMBER(deployment_raw[[#This Row],[Column8]]),IF(deployment_raw[[#This Row],[Column5]] &lt;&gt; 0, MAX((deployment_raw[[#This Row],[Column12]] * deployment_raw[[#This Row],[Column5]]), ((deployment_raw[[#This Row],[Column8]] * deployment_raw[[#This Row],[Column5]]) * $L$2), ($H$2 * deployment_raw[[#This Row],[Column5]])), 0),"")</f>
        <v/>
      </c>
      <c r="M25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53" s="188" t="str">
        <f>IF(ISNUMBER(deployment_raw[[#This Row],[Column14]]), deployment_raw[[#This Row],[Column14]],"")</f>
        <v/>
      </c>
      <c r="O253" s="189" t="str">
        <f>IF(ISNUMBER(deployment_raw[[#This Row],[Column15]]), deployment_raw[[#This Row],[Column15]]/1048576,"")</f>
        <v/>
      </c>
      <c r="P253" s="190" t="str">
        <f>IF(ISNUMBER(deployment_raw[[#This Row],[Column12]]), (deployment_raw[[#This Row],[Column12]] * deployment_raw[[#This Row],[Column5]]),"")</f>
        <v/>
      </c>
      <c r="Q253" s="189" t="str">
        <f>IF(ISNUMBER(deployment_raw[[#This Row],[Column13]]), (deployment_raw[[#This Row],[Column13]] * deployment_raw[[#This Row],[Column5]])/1048576,"")</f>
        <v/>
      </c>
    </row>
    <row r="254" spans="1:17" ht="15.75" customHeight="1" x14ac:dyDescent="0.25">
      <c r="A254" s="37" t="str">
        <f>IF(ISNONTEXT(deployment_raw[[#This Row],[Column1]]), "", deployment_raw[[#This Row],[Column1]])</f>
        <v/>
      </c>
      <c r="B254" s="38" t="str">
        <f>IF(ISNONTEXT(deployment_raw[[#This Row],[Column2]]), "", deployment_raw[[#This Row],[Column2]])</f>
        <v/>
      </c>
      <c r="C254" s="38" t="str">
        <f>IF(ISNONTEXT(deployment_raw[[#This Row],[Column3]]), "", deployment_raw[[#This Row],[Column3]])</f>
        <v/>
      </c>
      <c r="D254" s="38" t="str">
        <f>IF(ISNONTEXT(deployment_raw[[#This Row],[Column4]]), "", deployment_raw[[#This Row],[Column4]])</f>
        <v/>
      </c>
      <c r="E254" s="39" t="str">
        <f>IF(ISNUMBER(deployment_raw[[#This Row],[Column5]]), deployment_raw[[#This Row],[Column5]],"")</f>
        <v/>
      </c>
      <c r="F254" s="174" t="str">
        <f>IF(ISNUMBER(deployment_raw[[#This Row],[Column6]]), (deployment_raw[[#This Row],[Column6]] * deployment_raw[[#This Row],[Column5]]),"")</f>
        <v/>
      </c>
      <c r="G254" s="175" t="str">
        <f>IF(ISNUMBER(deployment_raw[[#This Row],[Column7]]), (deployment_raw[[#This Row],[Column7]] * deployment_raw[[#This Row],[Column5]])/1048576,"")</f>
        <v/>
      </c>
      <c r="H254" s="175" t="str">
        <f>IF(ISNUMBER(deployment_raw[[#This Row],[Column8]]), (deployment_raw[[#This Row],[Column8]]  * deployment_raw[[#This Row],[Column5]]),"")</f>
        <v/>
      </c>
      <c r="I254" s="176" t="str">
        <f>IF(ISNUMBER(deployment_raw[[#This Row],[Column9]]), (deployment_raw[[#This Row],[Column9]] * deployment_raw[[#This Row],[Column5]])/1048576,"")</f>
        <v/>
      </c>
      <c r="J254" s="57" t="str">
        <f>IF(ISNUMBER(deployment_raw[[#This Row],[Column10]]), (deployment_raw[[#This Row],[Column10]] * deployment_raw[[#This Row],[Column5]]),"")</f>
        <v/>
      </c>
      <c r="K254" s="58" t="str">
        <f>IF(ISNUMBER(deployment_raw[[#This Row],[Column11]]), (deployment_raw[[#This Row],[Column11]] * deployment_raw[[#This Row],[Column5]])/1048576,"")</f>
        <v/>
      </c>
      <c r="L254" s="180" t="str">
        <f>IF(ISNUMBER(deployment_raw[[#This Row],[Column8]]),IF(deployment_raw[[#This Row],[Column5]] &lt;&gt; 0, MAX((deployment_raw[[#This Row],[Column12]] * deployment_raw[[#This Row],[Column5]]), ((deployment_raw[[#This Row],[Column8]] * deployment_raw[[#This Row],[Column5]]) * $L$2), ($H$2 * deployment_raw[[#This Row],[Column5]])), 0),"")</f>
        <v/>
      </c>
      <c r="M25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54" s="188" t="str">
        <f>IF(ISNUMBER(deployment_raw[[#This Row],[Column14]]), deployment_raw[[#This Row],[Column14]],"")</f>
        <v/>
      </c>
      <c r="O254" s="189" t="str">
        <f>IF(ISNUMBER(deployment_raw[[#This Row],[Column15]]), deployment_raw[[#This Row],[Column15]]/1048576,"")</f>
        <v/>
      </c>
      <c r="P254" s="190" t="str">
        <f>IF(ISNUMBER(deployment_raw[[#This Row],[Column12]]), (deployment_raw[[#This Row],[Column12]] * deployment_raw[[#This Row],[Column5]]),"")</f>
        <v/>
      </c>
      <c r="Q254" s="189" t="str">
        <f>IF(ISNUMBER(deployment_raw[[#This Row],[Column13]]), (deployment_raw[[#This Row],[Column13]] * deployment_raw[[#This Row],[Column5]])/1048576,"")</f>
        <v/>
      </c>
    </row>
    <row r="255" spans="1:17" ht="15.75" customHeight="1" x14ac:dyDescent="0.25">
      <c r="A255" s="37" t="str">
        <f>IF(ISNONTEXT(deployment_raw[[#This Row],[Column1]]), "", deployment_raw[[#This Row],[Column1]])</f>
        <v/>
      </c>
      <c r="B255" s="38" t="str">
        <f>IF(ISNONTEXT(deployment_raw[[#This Row],[Column2]]), "", deployment_raw[[#This Row],[Column2]])</f>
        <v/>
      </c>
      <c r="C255" s="38" t="str">
        <f>IF(ISNONTEXT(deployment_raw[[#This Row],[Column3]]), "", deployment_raw[[#This Row],[Column3]])</f>
        <v/>
      </c>
      <c r="D255" s="38" t="str">
        <f>IF(ISNONTEXT(deployment_raw[[#This Row],[Column4]]), "", deployment_raw[[#This Row],[Column4]])</f>
        <v/>
      </c>
      <c r="E255" s="39" t="str">
        <f>IF(ISNUMBER(deployment_raw[[#This Row],[Column5]]), deployment_raw[[#This Row],[Column5]],"")</f>
        <v/>
      </c>
      <c r="F255" s="174" t="str">
        <f>IF(ISNUMBER(deployment_raw[[#This Row],[Column6]]), (deployment_raw[[#This Row],[Column6]] * deployment_raw[[#This Row],[Column5]]),"")</f>
        <v/>
      </c>
      <c r="G255" s="175" t="str">
        <f>IF(ISNUMBER(deployment_raw[[#This Row],[Column7]]), (deployment_raw[[#This Row],[Column7]] * deployment_raw[[#This Row],[Column5]])/1048576,"")</f>
        <v/>
      </c>
      <c r="H255" s="175" t="str">
        <f>IF(ISNUMBER(deployment_raw[[#This Row],[Column8]]), (deployment_raw[[#This Row],[Column8]]  * deployment_raw[[#This Row],[Column5]]),"")</f>
        <v/>
      </c>
      <c r="I255" s="176" t="str">
        <f>IF(ISNUMBER(deployment_raw[[#This Row],[Column9]]), (deployment_raw[[#This Row],[Column9]] * deployment_raw[[#This Row],[Column5]])/1048576,"")</f>
        <v/>
      </c>
      <c r="J255" s="57" t="str">
        <f>IF(ISNUMBER(deployment_raw[[#This Row],[Column10]]), (deployment_raw[[#This Row],[Column10]] * deployment_raw[[#This Row],[Column5]]),"")</f>
        <v/>
      </c>
      <c r="K255" s="58" t="str">
        <f>IF(ISNUMBER(deployment_raw[[#This Row],[Column11]]), (deployment_raw[[#This Row],[Column11]] * deployment_raw[[#This Row],[Column5]])/1048576,"")</f>
        <v/>
      </c>
      <c r="L255" s="180" t="str">
        <f>IF(ISNUMBER(deployment_raw[[#This Row],[Column8]]),IF(deployment_raw[[#This Row],[Column5]] &lt;&gt; 0, MAX((deployment_raw[[#This Row],[Column12]] * deployment_raw[[#This Row],[Column5]]), ((deployment_raw[[#This Row],[Column8]] * deployment_raw[[#This Row],[Column5]]) * $L$2), ($H$2 * deployment_raw[[#This Row],[Column5]])), 0),"")</f>
        <v/>
      </c>
      <c r="M25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55" s="188" t="str">
        <f>IF(ISNUMBER(deployment_raw[[#This Row],[Column14]]), deployment_raw[[#This Row],[Column14]],"")</f>
        <v/>
      </c>
      <c r="O255" s="189" t="str">
        <f>IF(ISNUMBER(deployment_raw[[#This Row],[Column15]]), deployment_raw[[#This Row],[Column15]]/1048576,"")</f>
        <v/>
      </c>
      <c r="P255" s="190" t="str">
        <f>IF(ISNUMBER(deployment_raw[[#This Row],[Column12]]), (deployment_raw[[#This Row],[Column12]] * deployment_raw[[#This Row],[Column5]]),"")</f>
        <v/>
      </c>
      <c r="Q255" s="189" t="str">
        <f>IF(ISNUMBER(deployment_raw[[#This Row],[Column13]]), (deployment_raw[[#This Row],[Column13]] * deployment_raw[[#This Row],[Column5]])/1048576,"")</f>
        <v/>
      </c>
    </row>
    <row r="256" spans="1:17" ht="15.75" customHeight="1" x14ac:dyDescent="0.25">
      <c r="A256" s="37" t="str">
        <f>IF(ISNONTEXT(deployment_raw[[#This Row],[Column1]]), "", deployment_raw[[#This Row],[Column1]])</f>
        <v/>
      </c>
      <c r="B256" s="38" t="str">
        <f>IF(ISNONTEXT(deployment_raw[[#This Row],[Column2]]), "", deployment_raw[[#This Row],[Column2]])</f>
        <v/>
      </c>
      <c r="C256" s="38" t="str">
        <f>IF(ISNONTEXT(deployment_raw[[#This Row],[Column3]]), "", deployment_raw[[#This Row],[Column3]])</f>
        <v/>
      </c>
      <c r="D256" s="38" t="str">
        <f>IF(ISNONTEXT(deployment_raw[[#This Row],[Column4]]), "", deployment_raw[[#This Row],[Column4]])</f>
        <v/>
      </c>
      <c r="E256" s="39" t="str">
        <f>IF(ISNUMBER(deployment_raw[[#This Row],[Column5]]), deployment_raw[[#This Row],[Column5]],"")</f>
        <v/>
      </c>
      <c r="F256" s="174" t="str">
        <f>IF(ISNUMBER(deployment_raw[[#This Row],[Column6]]), (deployment_raw[[#This Row],[Column6]] * deployment_raw[[#This Row],[Column5]]),"")</f>
        <v/>
      </c>
      <c r="G256" s="175" t="str">
        <f>IF(ISNUMBER(deployment_raw[[#This Row],[Column7]]), (deployment_raw[[#This Row],[Column7]] * deployment_raw[[#This Row],[Column5]])/1048576,"")</f>
        <v/>
      </c>
      <c r="H256" s="175" t="str">
        <f>IF(ISNUMBER(deployment_raw[[#This Row],[Column8]]), (deployment_raw[[#This Row],[Column8]]  * deployment_raw[[#This Row],[Column5]]),"")</f>
        <v/>
      </c>
      <c r="I256" s="176" t="str">
        <f>IF(ISNUMBER(deployment_raw[[#This Row],[Column9]]), (deployment_raw[[#This Row],[Column9]] * deployment_raw[[#This Row],[Column5]])/1048576,"")</f>
        <v/>
      </c>
      <c r="J256" s="57" t="str">
        <f>IF(ISNUMBER(deployment_raw[[#This Row],[Column10]]), (deployment_raw[[#This Row],[Column10]] * deployment_raw[[#This Row],[Column5]]),"")</f>
        <v/>
      </c>
      <c r="K256" s="58" t="str">
        <f>IF(ISNUMBER(deployment_raw[[#This Row],[Column11]]), (deployment_raw[[#This Row],[Column11]] * deployment_raw[[#This Row],[Column5]])/1048576,"")</f>
        <v/>
      </c>
      <c r="L256" s="180" t="str">
        <f>IF(ISNUMBER(deployment_raw[[#This Row],[Column8]]),IF(deployment_raw[[#This Row],[Column5]] &lt;&gt; 0, MAX((deployment_raw[[#This Row],[Column12]] * deployment_raw[[#This Row],[Column5]]), ((deployment_raw[[#This Row],[Column8]] * deployment_raw[[#This Row],[Column5]]) * $L$2), ($H$2 * deployment_raw[[#This Row],[Column5]])), 0),"")</f>
        <v/>
      </c>
      <c r="M25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56" s="188" t="str">
        <f>IF(ISNUMBER(deployment_raw[[#This Row],[Column14]]), deployment_raw[[#This Row],[Column14]],"")</f>
        <v/>
      </c>
      <c r="O256" s="189" t="str">
        <f>IF(ISNUMBER(deployment_raw[[#This Row],[Column15]]), deployment_raw[[#This Row],[Column15]]/1048576,"")</f>
        <v/>
      </c>
      <c r="P256" s="190" t="str">
        <f>IF(ISNUMBER(deployment_raw[[#This Row],[Column12]]), (deployment_raw[[#This Row],[Column12]] * deployment_raw[[#This Row],[Column5]]),"")</f>
        <v/>
      </c>
      <c r="Q256" s="189" t="str">
        <f>IF(ISNUMBER(deployment_raw[[#This Row],[Column13]]), (deployment_raw[[#This Row],[Column13]] * deployment_raw[[#This Row],[Column5]])/1048576,"")</f>
        <v/>
      </c>
    </row>
    <row r="257" spans="1:17" ht="15.75" customHeight="1" x14ac:dyDescent="0.25">
      <c r="A257" s="37" t="str">
        <f>IF(ISNONTEXT(deployment_raw[[#This Row],[Column1]]), "", deployment_raw[[#This Row],[Column1]])</f>
        <v/>
      </c>
      <c r="B257" s="38" t="str">
        <f>IF(ISNONTEXT(deployment_raw[[#This Row],[Column2]]), "", deployment_raw[[#This Row],[Column2]])</f>
        <v/>
      </c>
      <c r="C257" s="38" t="str">
        <f>IF(ISNONTEXT(deployment_raw[[#This Row],[Column3]]), "", deployment_raw[[#This Row],[Column3]])</f>
        <v/>
      </c>
      <c r="D257" s="38" t="str">
        <f>IF(ISNONTEXT(deployment_raw[[#This Row],[Column4]]), "", deployment_raw[[#This Row],[Column4]])</f>
        <v/>
      </c>
      <c r="E257" s="39" t="str">
        <f>IF(ISNUMBER(deployment_raw[[#This Row],[Column5]]), deployment_raw[[#This Row],[Column5]],"")</f>
        <v/>
      </c>
      <c r="F257" s="174" t="str">
        <f>IF(ISNUMBER(deployment_raw[[#This Row],[Column6]]), (deployment_raw[[#This Row],[Column6]] * deployment_raw[[#This Row],[Column5]]),"")</f>
        <v/>
      </c>
      <c r="G257" s="175" t="str">
        <f>IF(ISNUMBER(deployment_raw[[#This Row],[Column7]]), (deployment_raw[[#This Row],[Column7]] * deployment_raw[[#This Row],[Column5]])/1048576,"")</f>
        <v/>
      </c>
      <c r="H257" s="175" t="str">
        <f>IF(ISNUMBER(deployment_raw[[#This Row],[Column8]]), (deployment_raw[[#This Row],[Column8]]  * deployment_raw[[#This Row],[Column5]]),"")</f>
        <v/>
      </c>
      <c r="I257" s="176" t="str">
        <f>IF(ISNUMBER(deployment_raw[[#This Row],[Column9]]), (deployment_raw[[#This Row],[Column9]] * deployment_raw[[#This Row],[Column5]])/1048576,"")</f>
        <v/>
      </c>
      <c r="J257" s="57" t="str">
        <f>IF(ISNUMBER(deployment_raw[[#This Row],[Column10]]), (deployment_raw[[#This Row],[Column10]] * deployment_raw[[#This Row],[Column5]]),"")</f>
        <v/>
      </c>
      <c r="K257" s="58" t="str">
        <f>IF(ISNUMBER(deployment_raw[[#This Row],[Column11]]), (deployment_raw[[#This Row],[Column11]] * deployment_raw[[#This Row],[Column5]])/1048576,"")</f>
        <v/>
      </c>
      <c r="L257" s="180" t="str">
        <f>IF(ISNUMBER(deployment_raw[[#This Row],[Column8]]),IF(deployment_raw[[#This Row],[Column5]] &lt;&gt; 0, MAX((deployment_raw[[#This Row],[Column12]] * deployment_raw[[#This Row],[Column5]]), ((deployment_raw[[#This Row],[Column8]] * deployment_raw[[#This Row],[Column5]]) * $L$2), ($H$2 * deployment_raw[[#This Row],[Column5]])), 0),"")</f>
        <v/>
      </c>
      <c r="M25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57" s="188" t="str">
        <f>IF(ISNUMBER(deployment_raw[[#This Row],[Column14]]), deployment_raw[[#This Row],[Column14]],"")</f>
        <v/>
      </c>
      <c r="O257" s="189" t="str">
        <f>IF(ISNUMBER(deployment_raw[[#This Row],[Column15]]), deployment_raw[[#This Row],[Column15]]/1048576,"")</f>
        <v/>
      </c>
      <c r="P257" s="190" t="str">
        <f>IF(ISNUMBER(deployment_raw[[#This Row],[Column12]]), (deployment_raw[[#This Row],[Column12]] * deployment_raw[[#This Row],[Column5]]),"")</f>
        <v/>
      </c>
      <c r="Q257" s="189" t="str">
        <f>IF(ISNUMBER(deployment_raw[[#This Row],[Column13]]), (deployment_raw[[#This Row],[Column13]] * deployment_raw[[#This Row],[Column5]])/1048576,"")</f>
        <v/>
      </c>
    </row>
    <row r="258" spans="1:17" ht="15.75" customHeight="1" x14ac:dyDescent="0.25">
      <c r="A258" s="37" t="str">
        <f>IF(ISNONTEXT(deployment_raw[[#This Row],[Column1]]), "", deployment_raw[[#This Row],[Column1]])</f>
        <v/>
      </c>
      <c r="B258" s="38" t="str">
        <f>IF(ISNONTEXT(deployment_raw[[#This Row],[Column2]]), "", deployment_raw[[#This Row],[Column2]])</f>
        <v/>
      </c>
      <c r="C258" s="38" t="str">
        <f>IF(ISNONTEXT(deployment_raw[[#This Row],[Column3]]), "", deployment_raw[[#This Row],[Column3]])</f>
        <v/>
      </c>
      <c r="D258" s="38" t="str">
        <f>IF(ISNONTEXT(deployment_raw[[#This Row],[Column4]]), "", deployment_raw[[#This Row],[Column4]])</f>
        <v/>
      </c>
      <c r="E258" s="39" t="str">
        <f>IF(ISNUMBER(deployment_raw[[#This Row],[Column5]]), deployment_raw[[#This Row],[Column5]],"")</f>
        <v/>
      </c>
      <c r="F258" s="174" t="str">
        <f>IF(ISNUMBER(deployment_raw[[#This Row],[Column6]]), (deployment_raw[[#This Row],[Column6]] * deployment_raw[[#This Row],[Column5]]),"")</f>
        <v/>
      </c>
      <c r="G258" s="175" t="str">
        <f>IF(ISNUMBER(deployment_raw[[#This Row],[Column7]]), (deployment_raw[[#This Row],[Column7]] * deployment_raw[[#This Row],[Column5]])/1048576,"")</f>
        <v/>
      </c>
      <c r="H258" s="175" t="str">
        <f>IF(ISNUMBER(deployment_raw[[#This Row],[Column8]]), (deployment_raw[[#This Row],[Column8]]  * deployment_raw[[#This Row],[Column5]]),"")</f>
        <v/>
      </c>
      <c r="I258" s="176" t="str">
        <f>IF(ISNUMBER(deployment_raw[[#This Row],[Column9]]), (deployment_raw[[#This Row],[Column9]] * deployment_raw[[#This Row],[Column5]])/1048576,"")</f>
        <v/>
      </c>
      <c r="J258" s="57" t="str">
        <f>IF(ISNUMBER(deployment_raw[[#This Row],[Column10]]), (deployment_raw[[#This Row],[Column10]] * deployment_raw[[#This Row],[Column5]]),"")</f>
        <v/>
      </c>
      <c r="K258" s="58" t="str">
        <f>IF(ISNUMBER(deployment_raw[[#This Row],[Column11]]), (deployment_raw[[#This Row],[Column11]] * deployment_raw[[#This Row],[Column5]])/1048576,"")</f>
        <v/>
      </c>
      <c r="L258" s="180" t="str">
        <f>IF(ISNUMBER(deployment_raw[[#This Row],[Column8]]),IF(deployment_raw[[#This Row],[Column5]] &lt;&gt; 0, MAX((deployment_raw[[#This Row],[Column12]] * deployment_raw[[#This Row],[Column5]]), ((deployment_raw[[#This Row],[Column8]] * deployment_raw[[#This Row],[Column5]]) * $L$2), ($H$2 * deployment_raw[[#This Row],[Column5]])), 0),"")</f>
        <v/>
      </c>
      <c r="M25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58" s="188" t="str">
        <f>IF(ISNUMBER(deployment_raw[[#This Row],[Column14]]), deployment_raw[[#This Row],[Column14]],"")</f>
        <v/>
      </c>
      <c r="O258" s="189" t="str">
        <f>IF(ISNUMBER(deployment_raw[[#This Row],[Column15]]), deployment_raw[[#This Row],[Column15]]/1048576,"")</f>
        <v/>
      </c>
      <c r="P258" s="190" t="str">
        <f>IF(ISNUMBER(deployment_raw[[#This Row],[Column12]]), (deployment_raw[[#This Row],[Column12]] * deployment_raw[[#This Row],[Column5]]),"")</f>
        <v/>
      </c>
      <c r="Q258" s="189" t="str">
        <f>IF(ISNUMBER(deployment_raw[[#This Row],[Column13]]), (deployment_raw[[#This Row],[Column13]] * deployment_raw[[#This Row],[Column5]])/1048576,"")</f>
        <v/>
      </c>
    </row>
    <row r="259" spans="1:17" ht="15.75" customHeight="1" x14ac:dyDescent="0.25">
      <c r="A259" s="37" t="str">
        <f>IF(ISNONTEXT(deployment_raw[[#This Row],[Column1]]), "", deployment_raw[[#This Row],[Column1]])</f>
        <v/>
      </c>
      <c r="B259" s="38" t="str">
        <f>IF(ISNONTEXT(deployment_raw[[#This Row],[Column2]]), "", deployment_raw[[#This Row],[Column2]])</f>
        <v/>
      </c>
      <c r="C259" s="38" t="str">
        <f>IF(ISNONTEXT(deployment_raw[[#This Row],[Column3]]), "", deployment_raw[[#This Row],[Column3]])</f>
        <v/>
      </c>
      <c r="D259" s="38" t="str">
        <f>IF(ISNONTEXT(deployment_raw[[#This Row],[Column4]]), "", deployment_raw[[#This Row],[Column4]])</f>
        <v/>
      </c>
      <c r="E259" s="39" t="str">
        <f>IF(ISNUMBER(deployment_raw[[#This Row],[Column5]]), deployment_raw[[#This Row],[Column5]],"")</f>
        <v/>
      </c>
      <c r="F259" s="174" t="str">
        <f>IF(ISNUMBER(deployment_raw[[#This Row],[Column6]]), (deployment_raw[[#This Row],[Column6]] * deployment_raw[[#This Row],[Column5]]),"")</f>
        <v/>
      </c>
      <c r="G259" s="175" t="str">
        <f>IF(ISNUMBER(deployment_raw[[#This Row],[Column7]]), (deployment_raw[[#This Row],[Column7]] * deployment_raw[[#This Row],[Column5]])/1048576,"")</f>
        <v/>
      </c>
      <c r="H259" s="175" t="str">
        <f>IF(ISNUMBER(deployment_raw[[#This Row],[Column8]]), (deployment_raw[[#This Row],[Column8]]  * deployment_raw[[#This Row],[Column5]]),"")</f>
        <v/>
      </c>
      <c r="I259" s="176" t="str">
        <f>IF(ISNUMBER(deployment_raw[[#This Row],[Column9]]), (deployment_raw[[#This Row],[Column9]] * deployment_raw[[#This Row],[Column5]])/1048576,"")</f>
        <v/>
      </c>
      <c r="J259" s="57" t="str">
        <f>IF(ISNUMBER(deployment_raw[[#This Row],[Column10]]), (deployment_raw[[#This Row],[Column10]] * deployment_raw[[#This Row],[Column5]]),"")</f>
        <v/>
      </c>
      <c r="K259" s="58" t="str">
        <f>IF(ISNUMBER(deployment_raw[[#This Row],[Column11]]), (deployment_raw[[#This Row],[Column11]] * deployment_raw[[#This Row],[Column5]])/1048576,"")</f>
        <v/>
      </c>
      <c r="L259" s="180" t="str">
        <f>IF(ISNUMBER(deployment_raw[[#This Row],[Column8]]),IF(deployment_raw[[#This Row],[Column5]] &lt;&gt; 0, MAX((deployment_raw[[#This Row],[Column12]] * deployment_raw[[#This Row],[Column5]]), ((deployment_raw[[#This Row],[Column8]] * deployment_raw[[#This Row],[Column5]]) * $L$2), ($H$2 * deployment_raw[[#This Row],[Column5]])), 0),"")</f>
        <v/>
      </c>
      <c r="M25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59" s="188" t="str">
        <f>IF(ISNUMBER(deployment_raw[[#This Row],[Column14]]), deployment_raw[[#This Row],[Column14]],"")</f>
        <v/>
      </c>
      <c r="O259" s="189" t="str">
        <f>IF(ISNUMBER(deployment_raw[[#This Row],[Column15]]), deployment_raw[[#This Row],[Column15]]/1048576,"")</f>
        <v/>
      </c>
      <c r="P259" s="190" t="str">
        <f>IF(ISNUMBER(deployment_raw[[#This Row],[Column12]]), (deployment_raw[[#This Row],[Column12]] * deployment_raw[[#This Row],[Column5]]),"")</f>
        <v/>
      </c>
      <c r="Q259" s="189" t="str">
        <f>IF(ISNUMBER(deployment_raw[[#This Row],[Column13]]), (deployment_raw[[#This Row],[Column13]] * deployment_raw[[#This Row],[Column5]])/1048576,"")</f>
        <v/>
      </c>
    </row>
    <row r="260" spans="1:17" ht="15.75" customHeight="1" x14ac:dyDescent="0.25">
      <c r="A260" s="37" t="str">
        <f>IF(ISNONTEXT(deployment_raw[[#This Row],[Column1]]), "", deployment_raw[[#This Row],[Column1]])</f>
        <v/>
      </c>
      <c r="B260" s="38" t="str">
        <f>IF(ISNONTEXT(deployment_raw[[#This Row],[Column2]]), "", deployment_raw[[#This Row],[Column2]])</f>
        <v/>
      </c>
      <c r="C260" s="38" t="str">
        <f>IF(ISNONTEXT(deployment_raw[[#This Row],[Column3]]), "", deployment_raw[[#This Row],[Column3]])</f>
        <v/>
      </c>
      <c r="D260" s="38" t="str">
        <f>IF(ISNONTEXT(deployment_raw[[#This Row],[Column4]]), "", deployment_raw[[#This Row],[Column4]])</f>
        <v/>
      </c>
      <c r="E260" s="39" t="str">
        <f>IF(ISNUMBER(deployment_raw[[#This Row],[Column5]]), deployment_raw[[#This Row],[Column5]],"")</f>
        <v/>
      </c>
      <c r="F260" s="174" t="str">
        <f>IF(ISNUMBER(deployment_raw[[#This Row],[Column6]]), (deployment_raw[[#This Row],[Column6]] * deployment_raw[[#This Row],[Column5]]),"")</f>
        <v/>
      </c>
      <c r="G260" s="175" t="str">
        <f>IF(ISNUMBER(deployment_raw[[#This Row],[Column7]]), (deployment_raw[[#This Row],[Column7]] * deployment_raw[[#This Row],[Column5]])/1048576,"")</f>
        <v/>
      </c>
      <c r="H260" s="175" t="str">
        <f>IF(ISNUMBER(deployment_raw[[#This Row],[Column8]]), (deployment_raw[[#This Row],[Column8]]  * deployment_raw[[#This Row],[Column5]]),"")</f>
        <v/>
      </c>
      <c r="I260" s="176" t="str">
        <f>IF(ISNUMBER(deployment_raw[[#This Row],[Column9]]), (deployment_raw[[#This Row],[Column9]] * deployment_raw[[#This Row],[Column5]])/1048576,"")</f>
        <v/>
      </c>
      <c r="J260" s="57" t="str">
        <f>IF(ISNUMBER(deployment_raw[[#This Row],[Column10]]), (deployment_raw[[#This Row],[Column10]] * deployment_raw[[#This Row],[Column5]]),"")</f>
        <v/>
      </c>
      <c r="K260" s="58" t="str">
        <f>IF(ISNUMBER(deployment_raw[[#This Row],[Column11]]), (deployment_raw[[#This Row],[Column11]] * deployment_raw[[#This Row],[Column5]])/1048576,"")</f>
        <v/>
      </c>
      <c r="L260" s="180" t="str">
        <f>IF(ISNUMBER(deployment_raw[[#This Row],[Column8]]),IF(deployment_raw[[#This Row],[Column5]] &lt;&gt; 0, MAX((deployment_raw[[#This Row],[Column12]] * deployment_raw[[#This Row],[Column5]]), ((deployment_raw[[#This Row],[Column8]] * deployment_raw[[#This Row],[Column5]]) * $L$2), ($H$2 * deployment_raw[[#This Row],[Column5]])), 0),"")</f>
        <v/>
      </c>
      <c r="M26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60" s="188" t="str">
        <f>IF(ISNUMBER(deployment_raw[[#This Row],[Column14]]), deployment_raw[[#This Row],[Column14]],"")</f>
        <v/>
      </c>
      <c r="O260" s="189" t="str">
        <f>IF(ISNUMBER(deployment_raw[[#This Row],[Column15]]), deployment_raw[[#This Row],[Column15]]/1048576,"")</f>
        <v/>
      </c>
      <c r="P260" s="190" t="str">
        <f>IF(ISNUMBER(deployment_raw[[#This Row],[Column12]]), (deployment_raw[[#This Row],[Column12]] * deployment_raw[[#This Row],[Column5]]),"")</f>
        <v/>
      </c>
      <c r="Q260" s="189" t="str">
        <f>IF(ISNUMBER(deployment_raw[[#This Row],[Column13]]), (deployment_raw[[#This Row],[Column13]] * deployment_raw[[#This Row],[Column5]])/1048576,"")</f>
        <v/>
      </c>
    </row>
    <row r="261" spans="1:17" ht="15.75" customHeight="1" x14ac:dyDescent="0.25">
      <c r="A261" s="37" t="str">
        <f>IF(ISNONTEXT(deployment_raw[[#This Row],[Column1]]), "", deployment_raw[[#This Row],[Column1]])</f>
        <v/>
      </c>
      <c r="B261" s="38" t="str">
        <f>IF(ISNONTEXT(deployment_raw[[#This Row],[Column2]]), "", deployment_raw[[#This Row],[Column2]])</f>
        <v/>
      </c>
      <c r="C261" s="38" t="str">
        <f>IF(ISNONTEXT(deployment_raw[[#This Row],[Column3]]), "", deployment_raw[[#This Row],[Column3]])</f>
        <v/>
      </c>
      <c r="D261" s="38" t="str">
        <f>IF(ISNONTEXT(deployment_raw[[#This Row],[Column4]]), "", deployment_raw[[#This Row],[Column4]])</f>
        <v/>
      </c>
      <c r="E261" s="39" t="str">
        <f>IF(ISNUMBER(deployment_raw[[#This Row],[Column5]]), deployment_raw[[#This Row],[Column5]],"")</f>
        <v/>
      </c>
      <c r="F261" s="174" t="str">
        <f>IF(ISNUMBER(deployment_raw[[#This Row],[Column6]]), (deployment_raw[[#This Row],[Column6]] * deployment_raw[[#This Row],[Column5]]),"")</f>
        <v/>
      </c>
      <c r="G261" s="175" t="str">
        <f>IF(ISNUMBER(deployment_raw[[#This Row],[Column7]]), (deployment_raw[[#This Row],[Column7]] * deployment_raw[[#This Row],[Column5]])/1048576,"")</f>
        <v/>
      </c>
      <c r="H261" s="175" t="str">
        <f>IF(ISNUMBER(deployment_raw[[#This Row],[Column8]]), (deployment_raw[[#This Row],[Column8]]  * deployment_raw[[#This Row],[Column5]]),"")</f>
        <v/>
      </c>
      <c r="I261" s="176" t="str">
        <f>IF(ISNUMBER(deployment_raw[[#This Row],[Column9]]), (deployment_raw[[#This Row],[Column9]] * deployment_raw[[#This Row],[Column5]])/1048576,"")</f>
        <v/>
      </c>
      <c r="J261" s="57" t="str">
        <f>IF(ISNUMBER(deployment_raw[[#This Row],[Column10]]), (deployment_raw[[#This Row],[Column10]] * deployment_raw[[#This Row],[Column5]]),"")</f>
        <v/>
      </c>
      <c r="K261" s="58" t="str">
        <f>IF(ISNUMBER(deployment_raw[[#This Row],[Column11]]), (deployment_raw[[#This Row],[Column11]] * deployment_raw[[#This Row],[Column5]])/1048576,"")</f>
        <v/>
      </c>
      <c r="L261" s="180" t="str">
        <f>IF(ISNUMBER(deployment_raw[[#This Row],[Column8]]),IF(deployment_raw[[#This Row],[Column5]] &lt;&gt; 0, MAX((deployment_raw[[#This Row],[Column12]] * deployment_raw[[#This Row],[Column5]]), ((deployment_raw[[#This Row],[Column8]] * deployment_raw[[#This Row],[Column5]]) * $L$2), ($H$2 * deployment_raw[[#This Row],[Column5]])), 0),"")</f>
        <v/>
      </c>
      <c r="M26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61" s="188" t="str">
        <f>IF(ISNUMBER(deployment_raw[[#This Row],[Column14]]), deployment_raw[[#This Row],[Column14]],"")</f>
        <v/>
      </c>
      <c r="O261" s="189" t="str">
        <f>IF(ISNUMBER(deployment_raw[[#This Row],[Column15]]), deployment_raw[[#This Row],[Column15]]/1048576,"")</f>
        <v/>
      </c>
      <c r="P261" s="190" t="str">
        <f>IF(ISNUMBER(deployment_raw[[#This Row],[Column12]]), (deployment_raw[[#This Row],[Column12]] * deployment_raw[[#This Row],[Column5]]),"")</f>
        <v/>
      </c>
      <c r="Q261" s="189" t="str">
        <f>IF(ISNUMBER(deployment_raw[[#This Row],[Column13]]), (deployment_raw[[#This Row],[Column13]] * deployment_raw[[#This Row],[Column5]])/1048576,"")</f>
        <v/>
      </c>
    </row>
    <row r="262" spans="1:17" ht="15.75" customHeight="1" x14ac:dyDescent="0.25">
      <c r="A262" s="37" t="str">
        <f>IF(ISNONTEXT(deployment_raw[[#This Row],[Column1]]), "", deployment_raw[[#This Row],[Column1]])</f>
        <v/>
      </c>
      <c r="B262" s="38" t="str">
        <f>IF(ISNONTEXT(deployment_raw[[#This Row],[Column2]]), "", deployment_raw[[#This Row],[Column2]])</f>
        <v/>
      </c>
      <c r="C262" s="38" t="str">
        <f>IF(ISNONTEXT(deployment_raw[[#This Row],[Column3]]), "", deployment_raw[[#This Row],[Column3]])</f>
        <v/>
      </c>
      <c r="D262" s="38" t="str">
        <f>IF(ISNONTEXT(deployment_raw[[#This Row],[Column4]]), "", deployment_raw[[#This Row],[Column4]])</f>
        <v/>
      </c>
      <c r="E262" s="39" t="str">
        <f>IF(ISNUMBER(deployment_raw[[#This Row],[Column5]]), deployment_raw[[#This Row],[Column5]],"")</f>
        <v/>
      </c>
      <c r="F262" s="174" t="str">
        <f>IF(ISNUMBER(deployment_raw[[#This Row],[Column6]]), (deployment_raw[[#This Row],[Column6]] * deployment_raw[[#This Row],[Column5]]),"")</f>
        <v/>
      </c>
      <c r="G262" s="175" t="str">
        <f>IF(ISNUMBER(deployment_raw[[#This Row],[Column7]]), (deployment_raw[[#This Row],[Column7]] * deployment_raw[[#This Row],[Column5]])/1048576,"")</f>
        <v/>
      </c>
      <c r="H262" s="175" t="str">
        <f>IF(ISNUMBER(deployment_raw[[#This Row],[Column8]]), (deployment_raw[[#This Row],[Column8]]  * deployment_raw[[#This Row],[Column5]]),"")</f>
        <v/>
      </c>
      <c r="I262" s="176" t="str">
        <f>IF(ISNUMBER(deployment_raw[[#This Row],[Column9]]), (deployment_raw[[#This Row],[Column9]] * deployment_raw[[#This Row],[Column5]])/1048576,"")</f>
        <v/>
      </c>
      <c r="J262" s="57" t="str">
        <f>IF(ISNUMBER(deployment_raw[[#This Row],[Column10]]), (deployment_raw[[#This Row],[Column10]] * deployment_raw[[#This Row],[Column5]]),"")</f>
        <v/>
      </c>
      <c r="K262" s="58" t="str">
        <f>IF(ISNUMBER(deployment_raw[[#This Row],[Column11]]), (deployment_raw[[#This Row],[Column11]] * deployment_raw[[#This Row],[Column5]])/1048576,"")</f>
        <v/>
      </c>
      <c r="L262" s="180" t="str">
        <f>IF(ISNUMBER(deployment_raw[[#This Row],[Column8]]),IF(deployment_raw[[#This Row],[Column5]] &lt;&gt; 0, MAX((deployment_raw[[#This Row],[Column12]] * deployment_raw[[#This Row],[Column5]]), ((deployment_raw[[#This Row],[Column8]] * deployment_raw[[#This Row],[Column5]]) * $L$2), ($H$2 * deployment_raw[[#This Row],[Column5]])), 0),"")</f>
        <v/>
      </c>
      <c r="M26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62" s="188" t="str">
        <f>IF(ISNUMBER(deployment_raw[[#This Row],[Column14]]), deployment_raw[[#This Row],[Column14]],"")</f>
        <v/>
      </c>
      <c r="O262" s="189" t="str">
        <f>IF(ISNUMBER(deployment_raw[[#This Row],[Column15]]), deployment_raw[[#This Row],[Column15]]/1048576,"")</f>
        <v/>
      </c>
      <c r="P262" s="190" t="str">
        <f>IF(ISNUMBER(deployment_raw[[#This Row],[Column12]]), (deployment_raw[[#This Row],[Column12]] * deployment_raw[[#This Row],[Column5]]),"")</f>
        <v/>
      </c>
      <c r="Q262" s="189" t="str">
        <f>IF(ISNUMBER(deployment_raw[[#This Row],[Column13]]), (deployment_raw[[#This Row],[Column13]] * deployment_raw[[#This Row],[Column5]])/1048576,"")</f>
        <v/>
      </c>
    </row>
    <row r="263" spans="1:17" ht="15.75" customHeight="1" x14ac:dyDescent="0.25">
      <c r="A263" s="37" t="str">
        <f>IF(ISNONTEXT(deployment_raw[[#This Row],[Column1]]), "", deployment_raw[[#This Row],[Column1]])</f>
        <v/>
      </c>
      <c r="B263" s="38" t="str">
        <f>IF(ISNONTEXT(deployment_raw[[#This Row],[Column2]]), "", deployment_raw[[#This Row],[Column2]])</f>
        <v/>
      </c>
      <c r="C263" s="38" t="str">
        <f>IF(ISNONTEXT(deployment_raw[[#This Row],[Column3]]), "", deployment_raw[[#This Row],[Column3]])</f>
        <v/>
      </c>
      <c r="D263" s="38" t="str">
        <f>IF(ISNONTEXT(deployment_raw[[#This Row],[Column4]]), "", deployment_raw[[#This Row],[Column4]])</f>
        <v/>
      </c>
      <c r="E263" s="39" t="str">
        <f>IF(ISNUMBER(deployment_raw[[#This Row],[Column5]]), deployment_raw[[#This Row],[Column5]],"")</f>
        <v/>
      </c>
      <c r="F263" s="174" t="str">
        <f>IF(ISNUMBER(deployment_raw[[#This Row],[Column6]]), (deployment_raw[[#This Row],[Column6]] * deployment_raw[[#This Row],[Column5]]),"")</f>
        <v/>
      </c>
      <c r="G263" s="175" t="str">
        <f>IF(ISNUMBER(deployment_raw[[#This Row],[Column7]]), (deployment_raw[[#This Row],[Column7]] * deployment_raw[[#This Row],[Column5]])/1048576,"")</f>
        <v/>
      </c>
      <c r="H263" s="175" t="str">
        <f>IF(ISNUMBER(deployment_raw[[#This Row],[Column8]]), (deployment_raw[[#This Row],[Column8]]  * deployment_raw[[#This Row],[Column5]]),"")</f>
        <v/>
      </c>
      <c r="I263" s="176" t="str">
        <f>IF(ISNUMBER(deployment_raw[[#This Row],[Column9]]), (deployment_raw[[#This Row],[Column9]] * deployment_raw[[#This Row],[Column5]])/1048576,"")</f>
        <v/>
      </c>
      <c r="J263" s="57" t="str">
        <f>IF(ISNUMBER(deployment_raw[[#This Row],[Column10]]), (deployment_raw[[#This Row],[Column10]] * deployment_raw[[#This Row],[Column5]]),"")</f>
        <v/>
      </c>
      <c r="K263" s="58" t="str">
        <f>IF(ISNUMBER(deployment_raw[[#This Row],[Column11]]), (deployment_raw[[#This Row],[Column11]] * deployment_raw[[#This Row],[Column5]])/1048576,"")</f>
        <v/>
      </c>
      <c r="L263" s="180" t="str">
        <f>IF(ISNUMBER(deployment_raw[[#This Row],[Column8]]),IF(deployment_raw[[#This Row],[Column5]] &lt;&gt; 0, MAX((deployment_raw[[#This Row],[Column12]] * deployment_raw[[#This Row],[Column5]]), ((deployment_raw[[#This Row],[Column8]] * deployment_raw[[#This Row],[Column5]]) * $L$2), ($H$2 * deployment_raw[[#This Row],[Column5]])), 0),"")</f>
        <v/>
      </c>
      <c r="M26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63" s="188" t="str">
        <f>IF(ISNUMBER(deployment_raw[[#This Row],[Column14]]), deployment_raw[[#This Row],[Column14]],"")</f>
        <v/>
      </c>
      <c r="O263" s="189" t="str">
        <f>IF(ISNUMBER(deployment_raw[[#This Row],[Column15]]), deployment_raw[[#This Row],[Column15]]/1048576,"")</f>
        <v/>
      </c>
      <c r="P263" s="190" t="str">
        <f>IF(ISNUMBER(deployment_raw[[#This Row],[Column12]]), (deployment_raw[[#This Row],[Column12]] * deployment_raw[[#This Row],[Column5]]),"")</f>
        <v/>
      </c>
      <c r="Q263" s="189" t="str">
        <f>IF(ISNUMBER(deployment_raw[[#This Row],[Column13]]), (deployment_raw[[#This Row],[Column13]] * deployment_raw[[#This Row],[Column5]])/1048576,"")</f>
        <v/>
      </c>
    </row>
    <row r="264" spans="1:17" ht="15.75" customHeight="1" x14ac:dyDescent="0.25">
      <c r="A264" s="37" t="str">
        <f>IF(ISNONTEXT(deployment_raw[[#This Row],[Column1]]), "", deployment_raw[[#This Row],[Column1]])</f>
        <v/>
      </c>
      <c r="B264" s="38" t="str">
        <f>IF(ISNONTEXT(deployment_raw[[#This Row],[Column2]]), "", deployment_raw[[#This Row],[Column2]])</f>
        <v/>
      </c>
      <c r="C264" s="38" t="str">
        <f>IF(ISNONTEXT(deployment_raw[[#This Row],[Column3]]), "", deployment_raw[[#This Row],[Column3]])</f>
        <v/>
      </c>
      <c r="D264" s="38" t="str">
        <f>IF(ISNONTEXT(deployment_raw[[#This Row],[Column4]]), "", deployment_raw[[#This Row],[Column4]])</f>
        <v/>
      </c>
      <c r="E264" s="39" t="str">
        <f>IF(ISNUMBER(deployment_raw[[#This Row],[Column5]]), deployment_raw[[#This Row],[Column5]],"")</f>
        <v/>
      </c>
      <c r="F264" s="174" t="str">
        <f>IF(ISNUMBER(deployment_raw[[#This Row],[Column6]]), (deployment_raw[[#This Row],[Column6]] * deployment_raw[[#This Row],[Column5]]),"")</f>
        <v/>
      </c>
      <c r="G264" s="175" t="str">
        <f>IF(ISNUMBER(deployment_raw[[#This Row],[Column7]]), (deployment_raw[[#This Row],[Column7]] * deployment_raw[[#This Row],[Column5]])/1048576,"")</f>
        <v/>
      </c>
      <c r="H264" s="175" t="str">
        <f>IF(ISNUMBER(deployment_raw[[#This Row],[Column8]]), (deployment_raw[[#This Row],[Column8]]  * deployment_raw[[#This Row],[Column5]]),"")</f>
        <v/>
      </c>
      <c r="I264" s="176" t="str">
        <f>IF(ISNUMBER(deployment_raw[[#This Row],[Column9]]), (deployment_raw[[#This Row],[Column9]] * deployment_raw[[#This Row],[Column5]])/1048576,"")</f>
        <v/>
      </c>
      <c r="J264" s="57" t="str">
        <f>IF(ISNUMBER(deployment_raw[[#This Row],[Column10]]), (deployment_raw[[#This Row],[Column10]] * deployment_raw[[#This Row],[Column5]]),"")</f>
        <v/>
      </c>
      <c r="K264" s="58" t="str">
        <f>IF(ISNUMBER(deployment_raw[[#This Row],[Column11]]), (deployment_raw[[#This Row],[Column11]] * deployment_raw[[#This Row],[Column5]])/1048576,"")</f>
        <v/>
      </c>
      <c r="L264" s="180" t="str">
        <f>IF(ISNUMBER(deployment_raw[[#This Row],[Column8]]),IF(deployment_raw[[#This Row],[Column5]] &lt;&gt; 0, MAX((deployment_raw[[#This Row],[Column12]] * deployment_raw[[#This Row],[Column5]]), ((deployment_raw[[#This Row],[Column8]] * deployment_raw[[#This Row],[Column5]]) * $L$2), ($H$2 * deployment_raw[[#This Row],[Column5]])), 0),"")</f>
        <v/>
      </c>
      <c r="M26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64" s="188" t="str">
        <f>IF(ISNUMBER(deployment_raw[[#This Row],[Column14]]), deployment_raw[[#This Row],[Column14]],"")</f>
        <v/>
      </c>
      <c r="O264" s="189" t="str">
        <f>IF(ISNUMBER(deployment_raw[[#This Row],[Column15]]), deployment_raw[[#This Row],[Column15]]/1048576,"")</f>
        <v/>
      </c>
      <c r="P264" s="190" t="str">
        <f>IF(ISNUMBER(deployment_raw[[#This Row],[Column12]]), (deployment_raw[[#This Row],[Column12]] * deployment_raw[[#This Row],[Column5]]),"")</f>
        <v/>
      </c>
      <c r="Q264" s="189" t="str">
        <f>IF(ISNUMBER(deployment_raw[[#This Row],[Column13]]), (deployment_raw[[#This Row],[Column13]] * deployment_raw[[#This Row],[Column5]])/1048576,"")</f>
        <v/>
      </c>
    </row>
    <row r="265" spans="1:17" ht="15.75" customHeight="1" x14ac:dyDescent="0.25">
      <c r="A265" s="37" t="str">
        <f>IF(ISNONTEXT(deployment_raw[[#This Row],[Column1]]), "", deployment_raw[[#This Row],[Column1]])</f>
        <v/>
      </c>
      <c r="B265" s="38" t="str">
        <f>IF(ISNONTEXT(deployment_raw[[#This Row],[Column2]]), "", deployment_raw[[#This Row],[Column2]])</f>
        <v/>
      </c>
      <c r="C265" s="38" t="str">
        <f>IF(ISNONTEXT(deployment_raw[[#This Row],[Column3]]), "", deployment_raw[[#This Row],[Column3]])</f>
        <v/>
      </c>
      <c r="D265" s="38" t="str">
        <f>IF(ISNONTEXT(deployment_raw[[#This Row],[Column4]]), "", deployment_raw[[#This Row],[Column4]])</f>
        <v/>
      </c>
      <c r="E265" s="39" t="str">
        <f>IF(ISNUMBER(deployment_raw[[#This Row],[Column5]]), deployment_raw[[#This Row],[Column5]],"")</f>
        <v/>
      </c>
      <c r="F265" s="174" t="str">
        <f>IF(ISNUMBER(deployment_raw[[#This Row],[Column6]]), (deployment_raw[[#This Row],[Column6]] * deployment_raw[[#This Row],[Column5]]),"")</f>
        <v/>
      </c>
      <c r="G265" s="175" t="str">
        <f>IF(ISNUMBER(deployment_raw[[#This Row],[Column7]]), (deployment_raw[[#This Row],[Column7]] * deployment_raw[[#This Row],[Column5]])/1048576,"")</f>
        <v/>
      </c>
      <c r="H265" s="175" t="str">
        <f>IF(ISNUMBER(deployment_raw[[#This Row],[Column8]]), (deployment_raw[[#This Row],[Column8]]  * deployment_raw[[#This Row],[Column5]]),"")</f>
        <v/>
      </c>
      <c r="I265" s="176" t="str">
        <f>IF(ISNUMBER(deployment_raw[[#This Row],[Column9]]), (deployment_raw[[#This Row],[Column9]] * deployment_raw[[#This Row],[Column5]])/1048576,"")</f>
        <v/>
      </c>
      <c r="J265" s="57" t="str">
        <f>IF(ISNUMBER(deployment_raw[[#This Row],[Column10]]), (deployment_raw[[#This Row],[Column10]] * deployment_raw[[#This Row],[Column5]]),"")</f>
        <v/>
      </c>
      <c r="K265" s="58" t="str">
        <f>IF(ISNUMBER(deployment_raw[[#This Row],[Column11]]), (deployment_raw[[#This Row],[Column11]] * deployment_raw[[#This Row],[Column5]])/1048576,"")</f>
        <v/>
      </c>
      <c r="L265" s="180" t="str">
        <f>IF(ISNUMBER(deployment_raw[[#This Row],[Column8]]),IF(deployment_raw[[#This Row],[Column5]] &lt;&gt; 0, MAX((deployment_raw[[#This Row],[Column12]] * deployment_raw[[#This Row],[Column5]]), ((deployment_raw[[#This Row],[Column8]] * deployment_raw[[#This Row],[Column5]]) * $L$2), ($H$2 * deployment_raw[[#This Row],[Column5]])), 0),"")</f>
        <v/>
      </c>
      <c r="M26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65" s="188" t="str">
        <f>IF(ISNUMBER(deployment_raw[[#This Row],[Column14]]), deployment_raw[[#This Row],[Column14]],"")</f>
        <v/>
      </c>
      <c r="O265" s="189" t="str">
        <f>IF(ISNUMBER(deployment_raw[[#This Row],[Column15]]), deployment_raw[[#This Row],[Column15]]/1048576,"")</f>
        <v/>
      </c>
      <c r="P265" s="190" t="str">
        <f>IF(ISNUMBER(deployment_raw[[#This Row],[Column12]]), (deployment_raw[[#This Row],[Column12]] * deployment_raw[[#This Row],[Column5]]),"")</f>
        <v/>
      </c>
      <c r="Q265" s="189" t="str">
        <f>IF(ISNUMBER(deployment_raw[[#This Row],[Column13]]), (deployment_raw[[#This Row],[Column13]] * deployment_raw[[#This Row],[Column5]])/1048576,"")</f>
        <v/>
      </c>
    </row>
    <row r="266" spans="1:17" ht="15.75" customHeight="1" x14ac:dyDescent="0.25">
      <c r="A266" s="37" t="str">
        <f>IF(ISNONTEXT(deployment_raw[[#This Row],[Column1]]), "", deployment_raw[[#This Row],[Column1]])</f>
        <v/>
      </c>
      <c r="B266" s="38" t="str">
        <f>IF(ISNONTEXT(deployment_raw[[#This Row],[Column2]]), "", deployment_raw[[#This Row],[Column2]])</f>
        <v/>
      </c>
      <c r="C266" s="38" t="str">
        <f>IF(ISNONTEXT(deployment_raw[[#This Row],[Column3]]), "", deployment_raw[[#This Row],[Column3]])</f>
        <v/>
      </c>
      <c r="D266" s="38" t="str">
        <f>IF(ISNONTEXT(deployment_raw[[#This Row],[Column4]]), "", deployment_raw[[#This Row],[Column4]])</f>
        <v/>
      </c>
      <c r="E266" s="39" t="str">
        <f>IF(ISNUMBER(deployment_raw[[#This Row],[Column5]]), deployment_raw[[#This Row],[Column5]],"")</f>
        <v/>
      </c>
      <c r="F266" s="174" t="str">
        <f>IF(ISNUMBER(deployment_raw[[#This Row],[Column6]]), (deployment_raw[[#This Row],[Column6]] * deployment_raw[[#This Row],[Column5]]),"")</f>
        <v/>
      </c>
      <c r="G266" s="175" t="str">
        <f>IF(ISNUMBER(deployment_raw[[#This Row],[Column7]]), (deployment_raw[[#This Row],[Column7]] * deployment_raw[[#This Row],[Column5]])/1048576,"")</f>
        <v/>
      </c>
      <c r="H266" s="175" t="str">
        <f>IF(ISNUMBER(deployment_raw[[#This Row],[Column8]]), (deployment_raw[[#This Row],[Column8]]  * deployment_raw[[#This Row],[Column5]]),"")</f>
        <v/>
      </c>
      <c r="I266" s="176" t="str">
        <f>IF(ISNUMBER(deployment_raw[[#This Row],[Column9]]), (deployment_raw[[#This Row],[Column9]] * deployment_raw[[#This Row],[Column5]])/1048576,"")</f>
        <v/>
      </c>
      <c r="J266" s="57" t="str">
        <f>IF(ISNUMBER(deployment_raw[[#This Row],[Column10]]), (deployment_raw[[#This Row],[Column10]] * deployment_raw[[#This Row],[Column5]]),"")</f>
        <v/>
      </c>
      <c r="K266" s="58" t="str">
        <f>IF(ISNUMBER(deployment_raw[[#This Row],[Column11]]), (deployment_raw[[#This Row],[Column11]] * deployment_raw[[#This Row],[Column5]])/1048576,"")</f>
        <v/>
      </c>
      <c r="L266" s="180" t="str">
        <f>IF(ISNUMBER(deployment_raw[[#This Row],[Column8]]),IF(deployment_raw[[#This Row],[Column5]] &lt;&gt; 0, MAX((deployment_raw[[#This Row],[Column12]] * deployment_raw[[#This Row],[Column5]]), ((deployment_raw[[#This Row],[Column8]] * deployment_raw[[#This Row],[Column5]]) * $L$2), ($H$2 * deployment_raw[[#This Row],[Column5]])), 0),"")</f>
        <v/>
      </c>
      <c r="M26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66" s="188" t="str">
        <f>IF(ISNUMBER(deployment_raw[[#This Row],[Column14]]), deployment_raw[[#This Row],[Column14]],"")</f>
        <v/>
      </c>
      <c r="O266" s="189" t="str">
        <f>IF(ISNUMBER(deployment_raw[[#This Row],[Column15]]), deployment_raw[[#This Row],[Column15]]/1048576,"")</f>
        <v/>
      </c>
      <c r="P266" s="190" t="str">
        <f>IF(ISNUMBER(deployment_raw[[#This Row],[Column12]]), (deployment_raw[[#This Row],[Column12]] * deployment_raw[[#This Row],[Column5]]),"")</f>
        <v/>
      </c>
      <c r="Q266" s="189" t="str">
        <f>IF(ISNUMBER(deployment_raw[[#This Row],[Column13]]), (deployment_raw[[#This Row],[Column13]] * deployment_raw[[#This Row],[Column5]])/1048576,"")</f>
        <v/>
      </c>
    </row>
    <row r="267" spans="1:17" ht="15.75" customHeight="1" x14ac:dyDescent="0.25">
      <c r="A267" s="37" t="str">
        <f>IF(ISNONTEXT(deployment_raw[[#This Row],[Column1]]), "", deployment_raw[[#This Row],[Column1]])</f>
        <v/>
      </c>
      <c r="B267" s="38" t="str">
        <f>IF(ISNONTEXT(deployment_raw[[#This Row],[Column2]]), "", deployment_raw[[#This Row],[Column2]])</f>
        <v/>
      </c>
      <c r="C267" s="38" t="str">
        <f>IF(ISNONTEXT(deployment_raw[[#This Row],[Column3]]), "", deployment_raw[[#This Row],[Column3]])</f>
        <v/>
      </c>
      <c r="D267" s="38" t="str">
        <f>IF(ISNONTEXT(deployment_raw[[#This Row],[Column4]]), "", deployment_raw[[#This Row],[Column4]])</f>
        <v/>
      </c>
      <c r="E267" s="39" t="str">
        <f>IF(ISNUMBER(deployment_raw[[#This Row],[Column5]]), deployment_raw[[#This Row],[Column5]],"")</f>
        <v/>
      </c>
      <c r="F267" s="174" t="str">
        <f>IF(ISNUMBER(deployment_raw[[#This Row],[Column6]]), (deployment_raw[[#This Row],[Column6]] * deployment_raw[[#This Row],[Column5]]),"")</f>
        <v/>
      </c>
      <c r="G267" s="175" t="str">
        <f>IF(ISNUMBER(deployment_raw[[#This Row],[Column7]]), (deployment_raw[[#This Row],[Column7]] * deployment_raw[[#This Row],[Column5]])/1048576,"")</f>
        <v/>
      </c>
      <c r="H267" s="175" t="str">
        <f>IF(ISNUMBER(deployment_raw[[#This Row],[Column8]]), (deployment_raw[[#This Row],[Column8]]  * deployment_raw[[#This Row],[Column5]]),"")</f>
        <v/>
      </c>
      <c r="I267" s="176" t="str">
        <f>IF(ISNUMBER(deployment_raw[[#This Row],[Column9]]), (deployment_raw[[#This Row],[Column9]] * deployment_raw[[#This Row],[Column5]])/1048576,"")</f>
        <v/>
      </c>
      <c r="J267" s="57" t="str">
        <f>IF(ISNUMBER(deployment_raw[[#This Row],[Column10]]), (deployment_raw[[#This Row],[Column10]] * deployment_raw[[#This Row],[Column5]]),"")</f>
        <v/>
      </c>
      <c r="K267" s="58" t="str">
        <f>IF(ISNUMBER(deployment_raw[[#This Row],[Column11]]), (deployment_raw[[#This Row],[Column11]] * deployment_raw[[#This Row],[Column5]])/1048576,"")</f>
        <v/>
      </c>
      <c r="L267" s="180" t="str">
        <f>IF(ISNUMBER(deployment_raw[[#This Row],[Column8]]),IF(deployment_raw[[#This Row],[Column5]] &lt;&gt; 0, MAX((deployment_raw[[#This Row],[Column12]] * deployment_raw[[#This Row],[Column5]]), ((deployment_raw[[#This Row],[Column8]] * deployment_raw[[#This Row],[Column5]]) * $L$2), ($H$2 * deployment_raw[[#This Row],[Column5]])), 0),"")</f>
        <v/>
      </c>
      <c r="M26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67" s="188" t="str">
        <f>IF(ISNUMBER(deployment_raw[[#This Row],[Column14]]), deployment_raw[[#This Row],[Column14]],"")</f>
        <v/>
      </c>
      <c r="O267" s="189" t="str">
        <f>IF(ISNUMBER(deployment_raw[[#This Row],[Column15]]), deployment_raw[[#This Row],[Column15]]/1048576,"")</f>
        <v/>
      </c>
      <c r="P267" s="190" t="str">
        <f>IF(ISNUMBER(deployment_raw[[#This Row],[Column12]]), (deployment_raw[[#This Row],[Column12]] * deployment_raw[[#This Row],[Column5]]),"")</f>
        <v/>
      </c>
      <c r="Q267" s="189" t="str">
        <f>IF(ISNUMBER(deployment_raw[[#This Row],[Column13]]), (deployment_raw[[#This Row],[Column13]] * deployment_raw[[#This Row],[Column5]])/1048576,"")</f>
        <v/>
      </c>
    </row>
    <row r="268" spans="1:17" ht="15.75" customHeight="1" x14ac:dyDescent="0.25">
      <c r="A268" s="37" t="str">
        <f>IF(ISNONTEXT(deployment_raw[[#This Row],[Column1]]), "", deployment_raw[[#This Row],[Column1]])</f>
        <v/>
      </c>
      <c r="B268" s="38" t="str">
        <f>IF(ISNONTEXT(deployment_raw[[#This Row],[Column2]]), "", deployment_raw[[#This Row],[Column2]])</f>
        <v/>
      </c>
      <c r="C268" s="38" t="str">
        <f>IF(ISNONTEXT(deployment_raw[[#This Row],[Column3]]), "", deployment_raw[[#This Row],[Column3]])</f>
        <v/>
      </c>
      <c r="D268" s="38" t="str">
        <f>IF(ISNONTEXT(deployment_raw[[#This Row],[Column4]]), "", deployment_raw[[#This Row],[Column4]])</f>
        <v/>
      </c>
      <c r="E268" s="39" t="str">
        <f>IF(ISNUMBER(deployment_raw[[#This Row],[Column5]]), deployment_raw[[#This Row],[Column5]],"")</f>
        <v/>
      </c>
      <c r="F268" s="174" t="str">
        <f>IF(ISNUMBER(deployment_raw[[#This Row],[Column6]]), (deployment_raw[[#This Row],[Column6]] * deployment_raw[[#This Row],[Column5]]),"")</f>
        <v/>
      </c>
      <c r="G268" s="175" t="str">
        <f>IF(ISNUMBER(deployment_raw[[#This Row],[Column7]]), (deployment_raw[[#This Row],[Column7]] * deployment_raw[[#This Row],[Column5]])/1048576,"")</f>
        <v/>
      </c>
      <c r="H268" s="175" t="str">
        <f>IF(ISNUMBER(deployment_raw[[#This Row],[Column8]]), (deployment_raw[[#This Row],[Column8]]  * deployment_raw[[#This Row],[Column5]]),"")</f>
        <v/>
      </c>
      <c r="I268" s="176" t="str">
        <f>IF(ISNUMBER(deployment_raw[[#This Row],[Column9]]), (deployment_raw[[#This Row],[Column9]] * deployment_raw[[#This Row],[Column5]])/1048576,"")</f>
        <v/>
      </c>
      <c r="J268" s="57" t="str">
        <f>IF(ISNUMBER(deployment_raw[[#This Row],[Column10]]), (deployment_raw[[#This Row],[Column10]] * deployment_raw[[#This Row],[Column5]]),"")</f>
        <v/>
      </c>
      <c r="K268" s="58" t="str">
        <f>IF(ISNUMBER(deployment_raw[[#This Row],[Column11]]), (deployment_raw[[#This Row],[Column11]] * deployment_raw[[#This Row],[Column5]])/1048576,"")</f>
        <v/>
      </c>
      <c r="L268" s="180" t="str">
        <f>IF(ISNUMBER(deployment_raw[[#This Row],[Column8]]),IF(deployment_raw[[#This Row],[Column5]] &lt;&gt; 0, MAX((deployment_raw[[#This Row],[Column12]] * deployment_raw[[#This Row],[Column5]]), ((deployment_raw[[#This Row],[Column8]] * deployment_raw[[#This Row],[Column5]]) * $L$2), ($H$2 * deployment_raw[[#This Row],[Column5]])), 0),"")</f>
        <v/>
      </c>
      <c r="M26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68" s="188" t="str">
        <f>IF(ISNUMBER(deployment_raw[[#This Row],[Column14]]), deployment_raw[[#This Row],[Column14]],"")</f>
        <v/>
      </c>
      <c r="O268" s="189" t="str">
        <f>IF(ISNUMBER(deployment_raw[[#This Row],[Column15]]), deployment_raw[[#This Row],[Column15]]/1048576,"")</f>
        <v/>
      </c>
      <c r="P268" s="190" t="str">
        <f>IF(ISNUMBER(deployment_raw[[#This Row],[Column12]]), (deployment_raw[[#This Row],[Column12]] * deployment_raw[[#This Row],[Column5]]),"")</f>
        <v/>
      </c>
      <c r="Q268" s="189" t="str">
        <f>IF(ISNUMBER(deployment_raw[[#This Row],[Column13]]), (deployment_raw[[#This Row],[Column13]] * deployment_raw[[#This Row],[Column5]])/1048576,"")</f>
        <v/>
      </c>
    </row>
    <row r="269" spans="1:17" ht="15.75" customHeight="1" x14ac:dyDescent="0.25">
      <c r="A269" s="37" t="str">
        <f>IF(ISNONTEXT(deployment_raw[[#This Row],[Column1]]), "", deployment_raw[[#This Row],[Column1]])</f>
        <v/>
      </c>
      <c r="B269" s="38" t="str">
        <f>IF(ISNONTEXT(deployment_raw[[#This Row],[Column2]]), "", deployment_raw[[#This Row],[Column2]])</f>
        <v/>
      </c>
      <c r="C269" s="38" t="str">
        <f>IF(ISNONTEXT(deployment_raw[[#This Row],[Column3]]), "", deployment_raw[[#This Row],[Column3]])</f>
        <v/>
      </c>
      <c r="D269" s="38" t="str">
        <f>IF(ISNONTEXT(deployment_raw[[#This Row],[Column4]]), "", deployment_raw[[#This Row],[Column4]])</f>
        <v/>
      </c>
      <c r="E269" s="39" t="str">
        <f>IF(ISNUMBER(deployment_raw[[#This Row],[Column5]]), deployment_raw[[#This Row],[Column5]],"")</f>
        <v/>
      </c>
      <c r="F269" s="174" t="str">
        <f>IF(ISNUMBER(deployment_raw[[#This Row],[Column6]]), (deployment_raw[[#This Row],[Column6]] * deployment_raw[[#This Row],[Column5]]),"")</f>
        <v/>
      </c>
      <c r="G269" s="175" t="str">
        <f>IF(ISNUMBER(deployment_raw[[#This Row],[Column7]]), (deployment_raw[[#This Row],[Column7]] * deployment_raw[[#This Row],[Column5]])/1048576,"")</f>
        <v/>
      </c>
      <c r="H269" s="175" t="str">
        <f>IF(ISNUMBER(deployment_raw[[#This Row],[Column8]]), (deployment_raw[[#This Row],[Column8]]  * deployment_raw[[#This Row],[Column5]]),"")</f>
        <v/>
      </c>
      <c r="I269" s="176" t="str">
        <f>IF(ISNUMBER(deployment_raw[[#This Row],[Column9]]), (deployment_raw[[#This Row],[Column9]] * deployment_raw[[#This Row],[Column5]])/1048576,"")</f>
        <v/>
      </c>
      <c r="J269" s="57" t="str">
        <f>IF(ISNUMBER(deployment_raw[[#This Row],[Column10]]), (deployment_raw[[#This Row],[Column10]] * deployment_raw[[#This Row],[Column5]]),"")</f>
        <v/>
      </c>
      <c r="K269" s="58" t="str">
        <f>IF(ISNUMBER(deployment_raw[[#This Row],[Column11]]), (deployment_raw[[#This Row],[Column11]] * deployment_raw[[#This Row],[Column5]])/1048576,"")</f>
        <v/>
      </c>
      <c r="L269" s="180" t="str">
        <f>IF(ISNUMBER(deployment_raw[[#This Row],[Column8]]),IF(deployment_raw[[#This Row],[Column5]] &lt;&gt; 0, MAX((deployment_raw[[#This Row],[Column12]] * deployment_raw[[#This Row],[Column5]]), ((deployment_raw[[#This Row],[Column8]] * deployment_raw[[#This Row],[Column5]]) * $L$2), ($H$2 * deployment_raw[[#This Row],[Column5]])), 0),"")</f>
        <v/>
      </c>
      <c r="M26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69" s="188" t="str">
        <f>IF(ISNUMBER(deployment_raw[[#This Row],[Column14]]), deployment_raw[[#This Row],[Column14]],"")</f>
        <v/>
      </c>
      <c r="O269" s="189" t="str">
        <f>IF(ISNUMBER(deployment_raw[[#This Row],[Column15]]), deployment_raw[[#This Row],[Column15]]/1048576,"")</f>
        <v/>
      </c>
      <c r="P269" s="190" t="str">
        <f>IF(ISNUMBER(deployment_raw[[#This Row],[Column12]]), (deployment_raw[[#This Row],[Column12]] * deployment_raw[[#This Row],[Column5]]),"")</f>
        <v/>
      </c>
      <c r="Q269" s="189" t="str">
        <f>IF(ISNUMBER(deployment_raw[[#This Row],[Column13]]), (deployment_raw[[#This Row],[Column13]] * deployment_raw[[#This Row],[Column5]])/1048576,"")</f>
        <v/>
      </c>
    </row>
    <row r="270" spans="1:17" ht="15.75" customHeight="1" x14ac:dyDescent="0.25">
      <c r="A270" s="37" t="str">
        <f>IF(ISNONTEXT(deployment_raw[[#This Row],[Column1]]), "", deployment_raw[[#This Row],[Column1]])</f>
        <v/>
      </c>
      <c r="B270" s="38" t="str">
        <f>IF(ISNONTEXT(deployment_raw[[#This Row],[Column2]]), "", deployment_raw[[#This Row],[Column2]])</f>
        <v/>
      </c>
      <c r="C270" s="38" t="str">
        <f>IF(ISNONTEXT(deployment_raw[[#This Row],[Column3]]), "", deployment_raw[[#This Row],[Column3]])</f>
        <v/>
      </c>
      <c r="D270" s="38" t="str">
        <f>IF(ISNONTEXT(deployment_raw[[#This Row],[Column4]]), "", deployment_raw[[#This Row],[Column4]])</f>
        <v/>
      </c>
      <c r="E270" s="39" t="str">
        <f>IF(ISNUMBER(deployment_raw[[#This Row],[Column5]]), deployment_raw[[#This Row],[Column5]],"")</f>
        <v/>
      </c>
      <c r="F270" s="174" t="str">
        <f>IF(ISNUMBER(deployment_raw[[#This Row],[Column6]]), (deployment_raw[[#This Row],[Column6]] * deployment_raw[[#This Row],[Column5]]),"")</f>
        <v/>
      </c>
      <c r="G270" s="175" t="str">
        <f>IF(ISNUMBER(deployment_raw[[#This Row],[Column7]]), (deployment_raw[[#This Row],[Column7]] * deployment_raw[[#This Row],[Column5]])/1048576,"")</f>
        <v/>
      </c>
      <c r="H270" s="175" t="str">
        <f>IF(ISNUMBER(deployment_raw[[#This Row],[Column8]]), (deployment_raw[[#This Row],[Column8]]  * deployment_raw[[#This Row],[Column5]]),"")</f>
        <v/>
      </c>
      <c r="I270" s="176" t="str">
        <f>IF(ISNUMBER(deployment_raw[[#This Row],[Column9]]), (deployment_raw[[#This Row],[Column9]] * deployment_raw[[#This Row],[Column5]])/1048576,"")</f>
        <v/>
      </c>
      <c r="J270" s="57" t="str">
        <f>IF(ISNUMBER(deployment_raw[[#This Row],[Column10]]), (deployment_raw[[#This Row],[Column10]] * deployment_raw[[#This Row],[Column5]]),"")</f>
        <v/>
      </c>
      <c r="K270" s="58" t="str">
        <f>IF(ISNUMBER(deployment_raw[[#This Row],[Column11]]), (deployment_raw[[#This Row],[Column11]] * deployment_raw[[#This Row],[Column5]])/1048576,"")</f>
        <v/>
      </c>
      <c r="L270" s="180" t="str">
        <f>IF(ISNUMBER(deployment_raw[[#This Row],[Column8]]),IF(deployment_raw[[#This Row],[Column5]] &lt;&gt; 0, MAX((deployment_raw[[#This Row],[Column12]] * deployment_raw[[#This Row],[Column5]]), ((deployment_raw[[#This Row],[Column8]] * deployment_raw[[#This Row],[Column5]]) * $L$2), ($H$2 * deployment_raw[[#This Row],[Column5]])), 0),"")</f>
        <v/>
      </c>
      <c r="M27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70" s="188" t="str">
        <f>IF(ISNUMBER(deployment_raw[[#This Row],[Column14]]), deployment_raw[[#This Row],[Column14]],"")</f>
        <v/>
      </c>
      <c r="O270" s="189" t="str">
        <f>IF(ISNUMBER(deployment_raw[[#This Row],[Column15]]), deployment_raw[[#This Row],[Column15]]/1048576,"")</f>
        <v/>
      </c>
      <c r="P270" s="190" t="str">
        <f>IF(ISNUMBER(deployment_raw[[#This Row],[Column12]]), (deployment_raw[[#This Row],[Column12]] * deployment_raw[[#This Row],[Column5]]),"")</f>
        <v/>
      </c>
      <c r="Q270" s="189" t="str">
        <f>IF(ISNUMBER(deployment_raw[[#This Row],[Column13]]), (deployment_raw[[#This Row],[Column13]] * deployment_raw[[#This Row],[Column5]])/1048576,"")</f>
        <v/>
      </c>
    </row>
    <row r="271" spans="1:17" ht="15.75" customHeight="1" x14ac:dyDescent="0.25">
      <c r="A271" s="37" t="str">
        <f>IF(ISNONTEXT(deployment_raw[[#This Row],[Column1]]), "", deployment_raw[[#This Row],[Column1]])</f>
        <v/>
      </c>
      <c r="B271" s="38" t="str">
        <f>IF(ISNONTEXT(deployment_raw[[#This Row],[Column2]]), "", deployment_raw[[#This Row],[Column2]])</f>
        <v/>
      </c>
      <c r="C271" s="38" t="str">
        <f>IF(ISNONTEXT(deployment_raw[[#This Row],[Column3]]), "", deployment_raw[[#This Row],[Column3]])</f>
        <v/>
      </c>
      <c r="D271" s="38" t="str">
        <f>IF(ISNONTEXT(deployment_raw[[#This Row],[Column4]]), "", deployment_raw[[#This Row],[Column4]])</f>
        <v/>
      </c>
      <c r="E271" s="39" t="str">
        <f>IF(ISNUMBER(deployment_raw[[#This Row],[Column5]]), deployment_raw[[#This Row],[Column5]],"")</f>
        <v/>
      </c>
      <c r="F271" s="174" t="str">
        <f>IF(ISNUMBER(deployment_raw[[#This Row],[Column6]]), (deployment_raw[[#This Row],[Column6]] * deployment_raw[[#This Row],[Column5]]),"")</f>
        <v/>
      </c>
      <c r="G271" s="175" t="str">
        <f>IF(ISNUMBER(deployment_raw[[#This Row],[Column7]]), (deployment_raw[[#This Row],[Column7]] * deployment_raw[[#This Row],[Column5]])/1048576,"")</f>
        <v/>
      </c>
      <c r="H271" s="175" t="str">
        <f>IF(ISNUMBER(deployment_raw[[#This Row],[Column8]]), (deployment_raw[[#This Row],[Column8]]  * deployment_raw[[#This Row],[Column5]]),"")</f>
        <v/>
      </c>
      <c r="I271" s="176" t="str">
        <f>IF(ISNUMBER(deployment_raw[[#This Row],[Column9]]), (deployment_raw[[#This Row],[Column9]] * deployment_raw[[#This Row],[Column5]])/1048576,"")</f>
        <v/>
      </c>
      <c r="J271" s="57" t="str">
        <f>IF(ISNUMBER(deployment_raw[[#This Row],[Column10]]), (deployment_raw[[#This Row],[Column10]] * deployment_raw[[#This Row],[Column5]]),"")</f>
        <v/>
      </c>
      <c r="K271" s="58" t="str">
        <f>IF(ISNUMBER(deployment_raw[[#This Row],[Column11]]), (deployment_raw[[#This Row],[Column11]] * deployment_raw[[#This Row],[Column5]])/1048576,"")</f>
        <v/>
      </c>
      <c r="L271" s="180" t="str">
        <f>IF(ISNUMBER(deployment_raw[[#This Row],[Column8]]),IF(deployment_raw[[#This Row],[Column5]] &lt;&gt; 0, MAX((deployment_raw[[#This Row],[Column12]] * deployment_raw[[#This Row],[Column5]]), ((deployment_raw[[#This Row],[Column8]] * deployment_raw[[#This Row],[Column5]]) * $L$2), ($H$2 * deployment_raw[[#This Row],[Column5]])), 0),"")</f>
        <v/>
      </c>
      <c r="M27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71" s="188" t="str">
        <f>IF(ISNUMBER(deployment_raw[[#This Row],[Column14]]), deployment_raw[[#This Row],[Column14]],"")</f>
        <v/>
      </c>
      <c r="O271" s="189" t="str">
        <f>IF(ISNUMBER(deployment_raw[[#This Row],[Column15]]), deployment_raw[[#This Row],[Column15]]/1048576,"")</f>
        <v/>
      </c>
      <c r="P271" s="190" t="str">
        <f>IF(ISNUMBER(deployment_raw[[#This Row],[Column12]]), (deployment_raw[[#This Row],[Column12]] * deployment_raw[[#This Row],[Column5]]),"")</f>
        <v/>
      </c>
      <c r="Q271" s="189" t="str">
        <f>IF(ISNUMBER(deployment_raw[[#This Row],[Column13]]), (deployment_raw[[#This Row],[Column13]] * deployment_raw[[#This Row],[Column5]])/1048576,"")</f>
        <v/>
      </c>
    </row>
    <row r="272" spans="1:17" ht="15.75" customHeight="1" x14ac:dyDescent="0.25">
      <c r="A272" s="37" t="str">
        <f>IF(ISNONTEXT(deployment_raw[[#This Row],[Column1]]), "", deployment_raw[[#This Row],[Column1]])</f>
        <v/>
      </c>
      <c r="B272" s="38" t="str">
        <f>IF(ISNONTEXT(deployment_raw[[#This Row],[Column2]]), "", deployment_raw[[#This Row],[Column2]])</f>
        <v/>
      </c>
      <c r="C272" s="38" t="str">
        <f>IF(ISNONTEXT(deployment_raw[[#This Row],[Column3]]), "", deployment_raw[[#This Row],[Column3]])</f>
        <v/>
      </c>
      <c r="D272" s="38" t="str">
        <f>IF(ISNONTEXT(deployment_raw[[#This Row],[Column4]]), "", deployment_raw[[#This Row],[Column4]])</f>
        <v/>
      </c>
      <c r="E272" s="39" t="str">
        <f>IF(ISNUMBER(deployment_raw[[#This Row],[Column5]]), deployment_raw[[#This Row],[Column5]],"")</f>
        <v/>
      </c>
      <c r="F272" s="174" t="str">
        <f>IF(ISNUMBER(deployment_raw[[#This Row],[Column6]]), (deployment_raw[[#This Row],[Column6]] * deployment_raw[[#This Row],[Column5]]),"")</f>
        <v/>
      </c>
      <c r="G272" s="175" t="str">
        <f>IF(ISNUMBER(deployment_raw[[#This Row],[Column7]]), (deployment_raw[[#This Row],[Column7]] * deployment_raw[[#This Row],[Column5]])/1048576,"")</f>
        <v/>
      </c>
      <c r="H272" s="175" t="str">
        <f>IF(ISNUMBER(deployment_raw[[#This Row],[Column8]]), (deployment_raw[[#This Row],[Column8]]  * deployment_raw[[#This Row],[Column5]]),"")</f>
        <v/>
      </c>
      <c r="I272" s="176" t="str">
        <f>IF(ISNUMBER(deployment_raw[[#This Row],[Column9]]), (deployment_raw[[#This Row],[Column9]] * deployment_raw[[#This Row],[Column5]])/1048576,"")</f>
        <v/>
      </c>
      <c r="J272" s="57" t="str">
        <f>IF(ISNUMBER(deployment_raw[[#This Row],[Column10]]), (deployment_raw[[#This Row],[Column10]] * deployment_raw[[#This Row],[Column5]]),"")</f>
        <v/>
      </c>
      <c r="K272" s="58" t="str">
        <f>IF(ISNUMBER(deployment_raw[[#This Row],[Column11]]), (deployment_raw[[#This Row],[Column11]] * deployment_raw[[#This Row],[Column5]])/1048576,"")</f>
        <v/>
      </c>
      <c r="L272" s="180" t="str">
        <f>IF(ISNUMBER(deployment_raw[[#This Row],[Column8]]),IF(deployment_raw[[#This Row],[Column5]] &lt;&gt; 0, MAX((deployment_raw[[#This Row],[Column12]] * deployment_raw[[#This Row],[Column5]]), ((deployment_raw[[#This Row],[Column8]] * deployment_raw[[#This Row],[Column5]]) * $L$2), ($H$2 * deployment_raw[[#This Row],[Column5]])), 0),"")</f>
        <v/>
      </c>
      <c r="M27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72" s="188" t="str">
        <f>IF(ISNUMBER(deployment_raw[[#This Row],[Column14]]), deployment_raw[[#This Row],[Column14]],"")</f>
        <v/>
      </c>
      <c r="O272" s="189" t="str">
        <f>IF(ISNUMBER(deployment_raw[[#This Row],[Column15]]), deployment_raw[[#This Row],[Column15]]/1048576,"")</f>
        <v/>
      </c>
      <c r="P272" s="190" t="str">
        <f>IF(ISNUMBER(deployment_raw[[#This Row],[Column12]]), (deployment_raw[[#This Row],[Column12]] * deployment_raw[[#This Row],[Column5]]),"")</f>
        <v/>
      </c>
      <c r="Q272" s="189" t="str">
        <f>IF(ISNUMBER(deployment_raw[[#This Row],[Column13]]), (deployment_raw[[#This Row],[Column13]] * deployment_raw[[#This Row],[Column5]])/1048576,"")</f>
        <v/>
      </c>
    </row>
    <row r="273" spans="1:17" ht="15.75" customHeight="1" x14ac:dyDescent="0.25">
      <c r="A273" s="37" t="str">
        <f>IF(ISNONTEXT(deployment_raw[[#This Row],[Column1]]), "", deployment_raw[[#This Row],[Column1]])</f>
        <v/>
      </c>
      <c r="B273" s="38" t="str">
        <f>IF(ISNONTEXT(deployment_raw[[#This Row],[Column2]]), "", deployment_raw[[#This Row],[Column2]])</f>
        <v/>
      </c>
      <c r="C273" s="38" t="str">
        <f>IF(ISNONTEXT(deployment_raw[[#This Row],[Column3]]), "", deployment_raw[[#This Row],[Column3]])</f>
        <v/>
      </c>
      <c r="D273" s="38" t="str">
        <f>IF(ISNONTEXT(deployment_raw[[#This Row],[Column4]]), "", deployment_raw[[#This Row],[Column4]])</f>
        <v/>
      </c>
      <c r="E273" s="39" t="str">
        <f>IF(ISNUMBER(deployment_raw[[#This Row],[Column5]]), deployment_raw[[#This Row],[Column5]],"")</f>
        <v/>
      </c>
      <c r="F273" s="174" t="str">
        <f>IF(ISNUMBER(deployment_raw[[#This Row],[Column6]]), (deployment_raw[[#This Row],[Column6]] * deployment_raw[[#This Row],[Column5]]),"")</f>
        <v/>
      </c>
      <c r="G273" s="175" t="str">
        <f>IF(ISNUMBER(deployment_raw[[#This Row],[Column7]]), (deployment_raw[[#This Row],[Column7]] * deployment_raw[[#This Row],[Column5]])/1048576,"")</f>
        <v/>
      </c>
      <c r="H273" s="175" t="str">
        <f>IF(ISNUMBER(deployment_raw[[#This Row],[Column8]]), (deployment_raw[[#This Row],[Column8]]  * deployment_raw[[#This Row],[Column5]]),"")</f>
        <v/>
      </c>
      <c r="I273" s="176" t="str">
        <f>IF(ISNUMBER(deployment_raw[[#This Row],[Column9]]), (deployment_raw[[#This Row],[Column9]] * deployment_raw[[#This Row],[Column5]])/1048576,"")</f>
        <v/>
      </c>
      <c r="J273" s="57" t="str">
        <f>IF(ISNUMBER(deployment_raw[[#This Row],[Column10]]), (deployment_raw[[#This Row],[Column10]] * deployment_raw[[#This Row],[Column5]]),"")</f>
        <v/>
      </c>
      <c r="K273" s="58" t="str">
        <f>IF(ISNUMBER(deployment_raw[[#This Row],[Column11]]), (deployment_raw[[#This Row],[Column11]] * deployment_raw[[#This Row],[Column5]])/1048576,"")</f>
        <v/>
      </c>
      <c r="L273" s="180" t="str">
        <f>IF(ISNUMBER(deployment_raw[[#This Row],[Column8]]),IF(deployment_raw[[#This Row],[Column5]] &lt;&gt; 0, MAX((deployment_raw[[#This Row],[Column12]] * deployment_raw[[#This Row],[Column5]]), ((deployment_raw[[#This Row],[Column8]] * deployment_raw[[#This Row],[Column5]]) * $L$2), ($H$2 * deployment_raw[[#This Row],[Column5]])), 0),"")</f>
        <v/>
      </c>
      <c r="M27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73" s="188" t="str">
        <f>IF(ISNUMBER(deployment_raw[[#This Row],[Column14]]), deployment_raw[[#This Row],[Column14]],"")</f>
        <v/>
      </c>
      <c r="O273" s="189" t="str">
        <f>IF(ISNUMBER(deployment_raw[[#This Row],[Column15]]), deployment_raw[[#This Row],[Column15]]/1048576,"")</f>
        <v/>
      </c>
      <c r="P273" s="190" t="str">
        <f>IF(ISNUMBER(deployment_raw[[#This Row],[Column12]]), (deployment_raw[[#This Row],[Column12]] * deployment_raw[[#This Row],[Column5]]),"")</f>
        <v/>
      </c>
      <c r="Q273" s="189" t="str">
        <f>IF(ISNUMBER(deployment_raw[[#This Row],[Column13]]), (deployment_raw[[#This Row],[Column13]] * deployment_raw[[#This Row],[Column5]])/1048576,"")</f>
        <v/>
      </c>
    </row>
    <row r="274" spans="1:17" ht="15.75" customHeight="1" x14ac:dyDescent="0.25">
      <c r="A274" s="37" t="str">
        <f>IF(ISNONTEXT(deployment_raw[[#This Row],[Column1]]), "", deployment_raw[[#This Row],[Column1]])</f>
        <v/>
      </c>
      <c r="B274" s="38" t="str">
        <f>IF(ISNONTEXT(deployment_raw[[#This Row],[Column2]]), "", deployment_raw[[#This Row],[Column2]])</f>
        <v/>
      </c>
      <c r="C274" s="38" t="str">
        <f>IF(ISNONTEXT(deployment_raw[[#This Row],[Column3]]), "", deployment_raw[[#This Row],[Column3]])</f>
        <v/>
      </c>
      <c r="D274" s="38" t="str">
        <f>IF(ISNONTEXT(deployment_raw[[#This Row],[Column4]]), "", deployment_raw[[#This Row],[Column4]])</f>
        <v/>
      </c>
      <c r="E274" s="39" t="str">
        <f>IF(ISNUMBER(deployment_raw[[#This Row],[Column5]]), deployment_raw[[#This Row],[Column5]],"")</f>
        <v/>
      </c>
      <c r="F274" s="174" t="str">
        <f>IF(ISNUMBER(deployment_raw[[#This Row],[Column6]]), (deployment_raw[[#This Row],[Column6]] * deployment_raw[[#This Row],[Column5]]),"")</f>
        <v/>
      </c>
      <c r="G274" s="175" t="str">
        <f>IF(ISNUMBER(deployment_raw[[#This Row],[Column7]]), (deployment_raw[[#This Row],[Column7]] * deployment_raw[[#This Row],[Column5]])/1048576,"")</f>
        <v/>
      </c>
      <c r="H274" s="175" t="str">
        <f>IF(ISNUMBER(deployment_raw[[#This Row],[Column8]]), (deployment_raw[[#This Row],[Column8]]  * deployment_raw[[#This Row],[Column5]]),"")</f>
        <v/>
      </c>
      <c r="I274" s="176" t="str">
        <f>IF(ISNUMBER(deployment_raw[[#This Row],[Column9]]), (deployment_raw[[#This Row],[Column9]] * deployment_raw[[#This Row],[Column5]])/1048576,"")</f>
        <v/>
      </c>
      <c r="J274" s="57" t="str">
        <f>IF(ISNUMBER(deployment_raw[[#This Row],[Column10]]), (deployment_raw[[#This Row],[Column10]] * deployment_raw[[#This Row],[Column5]]),"")</f>
        <v/>
      </c>
      <c r="K274" s="58" t="str">
        <f>IF(ISNUMBER(deployment_raw[[#This Row],[Column11]]), (deployment_raw[[#This Row],[Column11]] * deployment_raw[[#This Row],[Column5]])/1048576,"")</f>
        <v/>
      </c>
      <c r="L274" s="180" t="str">
        <f>IF(ISNUMBER(deployment_raw[[#This Row],[Column8]]),IF(deployment_raw[[#This Row],[Column5]] &lt;&gt; 0, MAX((deployment_raw[[#This Row],[Column12]] * deployment_raw[[#This Row],[Column5]]), ((deployment_raw[[#This Row],[Column8]] * deployment_raw[[#This Row],[Column5]]) * $L$2), ($H$2 * deployment_raw[[#This Row],[Column5]])), 0),"")</f>
        <v/>
      </c>
      <c r="M27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74" s="188" t="str">
        <f>IF(ISNUMBER(deployment_raw[[#This Row],[Column14]]), deployment_raw[[#This Row],[Column14]],"")</f>
        <v/>
      </c>
      <c r="O274" s="189" t="str">
        <f>IF(ISNUMBER(deployment_raw[[#This Row],[Column15]]), deployment_raw[[#This Row],[Column15]]/1048576,"")</f>
        <v/>
      </c>
      <c r="P274" s="190" t="str">
        <f>IF(ISNUMBER(deployment_raw[[#This Row],[Column12]]), (deployment_raw[[#This Row],[Column12]] * deployment_raw[[#This Row],[Column5]]),"")</f>
        <v/>
      </c>
      <c r="Q274" s="189" t="str">
        <f>IF(ISNUMBER(deployment_raw[[#This Row],[Column13]]), (deployment_raw[[#This Row],[Column13]] * deployment_raw[[#This Row],[Column5]])/1048576,"")</f>
        <v/>
      </c>
    </row>
    <row r="275" spans="1:17" ht="15.75" customHeight="1" x14ac:dyDescent="0.25">
      <c r="A275" s="37" t="str">
        <f>IF(ISNONTEXT(deployment_raw[[#This Row],[Column1]]), "", deployment_raw[[#This Row],[Column1]])</f>
        <v/>
      </c>
      <c r="B275" s="38" t="str">
        <f>IF(ISNONTEXT(deployment_raw[[#This Row],[Column2]]), "", deployment_raw[[#This Row],[Column2]])</f>
        <v/>
      </c>
      <c r="C275" s="38" t="str">
        <f>IF(ISNONTEXT(deployment_raw[[#This Row],[Column3]]), "", deployment_raw[[#This Row],[Column3]])</f>
        <v/>
      </c>
      <c r="D275" s="38" t="str">
        <f>IF(ISNONTEXT(deployment_raw[[#This Row],[Column4]]), "", deployment_raw[[#This Row],[Column4]])</f>
        <v/>
      </c>
      <c r="E275" s="39" t="str">
        <f>IF(ISNUMBER(deployment_raw[[#This Row],[Column5]]), deployment_raw[[#This Row],[Column5]],"")</f>
        <v/>
      </c>
      <c r="F275" s="174" t="str">
        <f>IF(ISNUMBER(deployment_raw[[#This Row],[Column6]]), (deployment_raw[[#This Row],[Column6]] * deployment_raw[[#This Row],[Column5]]),"")</f>
        <v/>
      </c>
      <c r="G275" s="175" t="str">
        <f>IF(ISNUMBER(deployment_raw[[#This Row],[Column7]]), (deployment_raw[[#This Row],[Column7]] * deployment_raw[[#This Row],[Column5]])/1048576,"")</f>
        <v/>
      </c>
      <c r="H275" s="175" t="str">
        <f>IF(ISNUMBER(deployment_raw[[#This Row],[Column8]]), (deployment_raw[[#This Row],[Column8]]  * deployment_raw[[#This Row],[Column5]]),"")</f>
        <v/>
      </c>
      <c r="I275" s="176" t="str">
        <f>IF(ISNUMBER(deployment_raw[[#This Row],[Column9]]), (deployment_raw[[#This Row],[Column9]] * deployment_raw[[#This Row],[Column5]])/1048576,"")</f>
        <v/>
      </c>
      <c r="J275" s="57" t="str">
        <f>IF(ISNUMBER(deployment_raw[[#This Row],[Column10]]), (deployment_raw[[#This Row],[Column10]] * deployment_raw[[#This Row],[Column5]]),"")</f>
        <v/>
      </c>
      <c r="K275" s="58" t="str">
        <f>IF(ISNUMBER(deployment_raw[[#This Row],[Column11]]), (deployment_raw[[#This Row],[Column11]] * deployment_raw[[#This Row],[Column5]])/1048576,"")</f>
        <v/>
      </c>
      <c r="L275" s="180" t="str">
        <f>IF(ISNUMBER(deployment_raw[[#This Row],[Column8]]),IF(deployment_raw[[#This Row],[Column5]] &lt;&gt; 0, MAX((deployment_raw[[#This Row],[Column12]] * deployment_raw[[#This Row],[Column5]]), ((deployment_raw[[#This Row],[Column8]] * deployment_raw[[#This Row],[Column5]]) * $L$2), ($H$2 * deployment_raw[[#This Row],[Column5]])), 0),"")</f>
        <v/>
      </c>
      <c r="M27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75" s="188" t="str">
        <f>IF(ISNUMBER(deployment_raw[[#This Row],[Column14]]), deployment_raw[[#This Row],[Column14]],"")</f>
        <v/>
      </c>
      <c r="O275" s="189" t="str">
        <f>IF(ISNUMBER(deployment_raw[[#This Row],[Column15]]), deployment_raw[[#This Row],[Column15]]/1048576,"")</f>
        <v/>
      </c>
      <c r="P275" s="190" t="str">
        <f>IF(ISNUMBER(deployment_raw[[#This Row],[Column12]]), (deployment_raw[[#This Row],[Column12]] * deployment_raw[[#This Row],[Column5]]),"")</f>
        <v/>
      </c>
      <c r="Q275" s="189" t="str">
        <f>IF(ISNUMBER(deployment_raw[[#This Row],[Column13]]), (deployment_raw[[#This Row],[Column13]] * deployment_raw[[#This Row],[Column5]])/1048576,"")</f>
        <v/>
      </c>
    </row>
    <row r="276" spans="1:17" ht="15.75" customHeight="1" x14ac:dyDescent="0.25">
      <c r="A276" s="37" t="str">
        <f>IF(ISNONTEXT(deployment_raw[[#This Row],[Column1]]), "", deployment_raw[[#This Row],[Column1]])</f>
        <v/>
      </c>
      <c r="B276" s="38" t="str">
        <f>IF(ISNONTEXT(deployment_raw[[#This Row],[Column2]]), "", deployment_raw[[#This Row],[Column2]])</f>
        <v/>
      </c>
      <c r="C276" s="38" t="str">
        <f>IF(ISNONTEXT(deployment_raw[[#This Row],[Column3]]), "", deployment_raw[[#This Row],[Column3]])</f>
        <v/>
      </c>
      <c r="D276" s="38" t="str">
        <f>IF(ISNONTEXT(deployment_raw[[#This Row],[Column4]]), "", deployment_raw[[#This Row],[Column4]])</f>
        <v/>
      </c>
      <c r="E276" s="39" t="str">
        <f>IF(ISNUMBER(deployment_raw[[#This Row],[Column5]]), deployment_raw[[#This Row],[Column5]],"")</f>
        <v/>
      </c>
      <c r="F276" s="174" t="str">
        <f>IF(ISNUMBER(deployment_raw[[#This Row],[Column6]]), (deployment_raw[[#This Row],[Column6]] * deployment_raw[[#This Row],[Column5]]),"")</f>
        <v/>
      </c>
      <c r="G276" s="175" t="str">
        <f>IF(ISNUMBER(deployment_raw[[#This Row],[Column7]]), (deployment_raw[[#This Row],[Column7]] * deployment_raw[[#This Row],[Column5]])/1048576,"")</f>
        <v/>
      </c>
      <c r="H276" s="175" t="str">
        <f>IF(ISNUMBER(deployment_raw[[#This Row],[Column8]]), (deployment_raw[[#This Row],[Column8]]  * deployment_raw[[#This Row],[Column5]]),"")</f>
        <v/>
      </c>
      <c r="I276" s="176" t="str">
        <f>IF(ISNUMBER(deployment_raw[[#This Row],[Column9]]), (deployment_raw[[#This Row],[Column9]] * deployment_raw[[#This Row],[Column5]])/1048576,"")</f>
        <v/>
      </c>
      <c r="J276" s="57" t="str">
        <f>IF(ISNUMBER(deployment_raw[[#This Row],[Column10]]), (deployment_raw[[#This Row],[Column10]] * deployment_raw[[#This Row],[Column5]]),"")</f>
        <v/>
      </c>
      <c r="K276" s="58" t="str">
        <f>IF(ISNUMBER(deployment_raw[[#This Row],[Column11]]), (deployment_raw[[#This Row],[Column11]] * deployment_raw[[#This Row],[Column5]])/1048576,"")</f>
        <v/>
      </c>
      <c r="L276" s="180" t="str">
        <f>IF(ISNUMBER(deployment_raw[[#This Row],[Column8]]),IF(deployment_raw[[#This Row],[Column5]] &lt;&gt; 0, MAX((deployment_raw[[#This Row],[Column12]] * deployment_raw[[#This Row],[Column5]]), ((deployment_raw[[#This Row],[Column8]] * deployment_raw[[#This Row],[Column5]]) * $L$2), ($H$2 * deployment_raw[[#This Row],[Column5]])), 0),"")</f>
        <v/>
      </c>
      <c r="M27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76" s="188" t="str">
        <f>IF(ISNUMBER(deployment_raw[[#This Row],[Column14]]), deployment_raw[[#This Row],[Column14]],"")</f>
        <v/>
      </c>
      <c r="O276" s="189" t="str">
        <f>IF(ISNUMBER(deployment_raw[[#This Row],[Column15]]), deployment_raw[[#This Row],[Column15]]/1048576,"")</f>
        <v/>
      </c>
      <c r="P276" s="190" t="str">
        <f>IF(ISNUMBER(deployment_raw[[#This Row],[Column12]]), (deployment_raw[[#This Row],[Column12]] * deployment_raw[[#This Row],[Column5]]),"")</f>
        <v/>
      </c>
      <c r="Q276" s="189" t="str">
        <f>IF(ISNUMBER(deployment_raw[[#This Row],[Column13]]), (deployment_raw[[#This Row],[Column13]] * deployment_raw[[#This Row],[Column5]])/1048576,"")</f>
        <v/>
      </c>
    </row>
    <row r="277" spans="1:17" ht="15.75" customHeight="1" x14ac:dyDescent="0.25">
      <c r="A277" s="37" t="str">
        <f>IF(ISNONTEXT(deployment_raw[[#This Row],[Column1]]), "", deployment_raw[[#This Row],[Column1]])</f>
        <v/>
      </c>
      <c r="B277" s="38" t="str">
        <f>IF(ISNONTEXT(deployment_raw[[#This Row],[Column2]]), "", deployment_raw[[#This Row],[Column2]])</f>
        <v/>
      </c>
      <c r="C277" s="38" t="str">
        <f>IF(ISNONTEXT(deployment_raw[[#This Row],[Column3]]), "", deployment_raw[[#This Row],[Column3]])</f>
        <v/>
      </c>
      <c r="D277" s="38" t="str">
        <f>IF(ISNONTEXT(deployment_raw[[#This Row],[Column4]]), "", deployment_raw[[#This Row],[Column4]])</f>
        <v/>
      </c>
      <c r="E277" s="39" t="str">
        <f>IF(ISNUMBER(deployment_raw[[#This Row],[Column5]]), deployment_raw[[#This Row],[Column5]],"")</f>
        <v/>
      </c>
      <c r="F277" s="174" t="str">
        <f>IF(ISNUMBER(deployment_raw[[#This Row],[Column6]]), (deployment_raw[[#This Row],[Column6]] * deployment_raw[[#This Row],[Column5]]),"")</f>
        <v/>
      </c>
      <c r="G277" s="175" t="str">
        <f>IF(ISNUMBER(deployment_raw[[#This Row],[Column7]]), (deployment_raw[[#This Row],[Column7]] * deployment_raw[[#This Row],[Column5]])/1048576,"")</f>
        <v/>
      </c>
      <c r="H277" s="175" t="str">
        <f>IF(ISNUMBER(deployment_raw[[#This Row],[Column8]]), (deployment_raw[[#This Row],[Column8]]  * deployment_raw[[#This Row],[Column5]]),"")</f>
        <v/>
      </c>
      <c r="I277" s="176" t="str">
        <f>IF(ISNUMBER(deployment_raw[[#This Row],[Column9]]), (deployment_raw[[#This Row],[Column9]] * deployment_raw[[#This Row],[Column5]])/1048576,"")</f>
        <v/>
      </c>
      <c r="J277" s="57" t="str">
        <f>IF(ISNUMBER(deployment_raw[[#This Row],[Column10]]), (deployment_raw[[#This Row],[Column10]] * deployment_raw[[#This Row],[Column5]]),"")</f>
        <v/>
      </c>
      <c r="K277" s="58" t="str">
        <f>IF(ISNUMBER(deployment_raw[[#This Row],[Column11]]), (deployment_raw[[#This Row],[Column11]] * deployment_raw[[#This Row],[Column5]])/1048576,"")</f>
        <v/>
      </c>
      <c r="L277" s="180" t="str">
        <f>IF(ISNUMBER(deployment_raw[[#This Row],[Column8]]),IF(deployment_raw[[#This Row],[Column5]] &lt;&gt; 0, MAX((deployment_raw[[#This Row],[Column12]] * deployment_raw[[#This Row],[Column5]]), ((deployment_raw[[#This Row],[Column8]] * deployment_raw[[#This Row],[Column5]]) * $L$2), ($H$2 * deployment_raw[[#This Row],[Column5]])), 0),"")</f>
        <v/>
      </c>
      <c r="M27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77" s="188" t="str">
        <f>IF(ISNUMBER(deployment_raw[[#This Row],[Column14]]), deployment_raw[[#This Row],[Column14]],"")</f>
        <v/>
      </c>
      <c r="O277" s="189" t="str">
        <f>IF(ISNUMBER(deployment_raw[[#This Row],[Column15]]), deployment_raw[[#This Row],[Column15]]/1048576,"")</f>
        <v/>
      </c>
      <c r="P277" s="190" t="str">
        <f>IF(ISNUMBER(deployment_raw[[#This Row],[Column12]]), (deployment_raw[[#This Row],[Column12]] * deployment_raw[[#This Row],[Column5]]),"")</f>
        <v/>
      </c>
      <c r="Q277" s="189" t="str">
        <f>IF(ISNUMBER(deployment_raw[[#This Row],[Column13]]), (deployment_raw[[#This Row],[Column13]] * deployment_raw[[#This Row],[Column5]])/1048576,"")</f>
        <v/>
      </c>
    </row>
    <row r="278" spans="1:17" ht="15.75" customHeight="1" x14ac:dyDescent="0.25">
      <c r="A278" s="37" t="str">
        <f>IF(ISNONTEXT(deployment_raw[[#This Row],[Column1]]), "", deployment_raw[[#This Row],[Column1]])</f>
        <v/>
      </c>
      <c r="B278" s="38" t="str">
        <f>IF(ISNONTEXT(deployment_raw[[#This Row],[Column2]]), "", deployment_raw[[#This Row],[Column2]])</f>
        <v/>
      </c>
      <c r="C278" s="38" t="str">
        <f>IF(ISNONTEXT(deployment_raw[[#This Row],[Column3]]), "", deployment_raw[[#This Row],[Column3]])</f>
        <v/>
      </c>
      <c r="D278" s="38" t="str">
        <f>IF(ISNONTEXT(deployment_raw[[#This Row],[Column4]]), "", deployment_raw[[#This Row],[Column4]])</f>
        <v/>
      </c>
      <c r="E278" s="39" t="str">
        <f>IF(ISNUMBER(deployment_raw[[#This Row],[Column5]]), deployment_raw[[#This Row],[Column5]],"")</f>
        <v/>
      </c>
      <c r="F278" s="174" t="str">
        <f>IF(ISNUMBER(deployment_raw[[#This Row],[Column6]]), (deployment_raw[[#This Row],[Column6]] * deployment_raw[[#This Row],[Column5]]),"")</f>
        <v/>
      </c>
      <c r="G278" s="175" t="str">
        <f>IF(ISNUMBER(deployment_raw[[#This Row],[Column7]]), (deployment_raw[[#This Row],[Column7]] * deployment_raw[[#This Row],[Column5]])/1048576,"")</f>
        <v/>
      </c>
      <c r="H278" s="175" t="str">
        <f>IF(ISNUMBER(deployment_raw[[#This Row],[Column8]]), (deployment_raw[[#This Row],[Column8]]  * deployment_raw[[#This Row],[Column5]]),"")</f>
        <v/>
      </c>
      <c r="I278" s="176" t="str">
        <f>IF(ISNUMBER(deployment_raw[[#This Row],[Column9]]), (deployment_raw[[#This Row],[Column9]] * deployment_raw[[#This Row],[Column5]])/1048576,"")</f>
        <v/>
      </c>
      <c r="J278" s="57" t="str">
        <f>IF(ISNUMBER(deployment_raw[[#This Row],[Column10]]), (deployment_raw[[#This Row],[Column10]] * deployment_raw[[#This Row],[Column5]]),"")</f>
        <v/>
      </c>
      <c r="K278" s="58" t="str">
        <f>IF(ISNUMBER(deployment_raw[[#This Row],[Column11]]), (deployment_raw[[#This Row],[Column11]] * deployment_raw[[#This Row],[Column5]])/1048576,"")</f>
        <v/>
      </c>
      <c r="L278" s="180" t="str">
        <f>IF(ISNUMBER(deployment_raw[[#This Row],[Column8]]),IF(deployment_raw[[#This Row],[Column5]] &lt;&gt; 0, MAX((deployment_raw[[#This Row],[Column12]] * deployment_raw[[#This Row],[Column5]]), ((deployment_raw[[#This Row],[Column8]] * deployment_raw[[#This Row],[Column5]]) * $L$2), ($H$2 * deployment_raw[[#This Row],[Column5]])), 0),"")</f>
        <v/>
      </c>
      <c r="M27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78" s="188" t="str">
        <f>IF(ISNUMBER(deployment_raw[[#This Row],[Column14]]), deployment_raw[[#This Row],[Column14]],"")</f>
        <v/>
      </c>
      <c r="O278" s="189" t="str">
        <f>IF(ISNUMBER(deployment_raw[[#This Row],[Column15]]), deployment_raw[[#This Row],[Column15]]/1048576,"")</f>
        <v/>
      </c>
      <c r="P278" s="190" t="str">
        <f>IF(ISNUMBER(deployment_raw[[#This Row],[Column12]]), (deployment_raw[[#This Row],[Column12]] * deployment_raw[[#This Row],[Column5]]),"")</f>
        <v/>
      </c>
      <c r="Q278" s="189" t="str">
        <f>IF(ISNUMBER(deployment_raw[[#This Row],[Column13]]), (deployment_raw[[#This Row],[Column13]] * deployment_raw[[#This Row],[Column5]])/1048576,"")</f>
        <v/>
      </c>
    </row>
    <row r="279" spans="1:17" ht="15.75" customHeight="1" x14ac:dyDescent="0.25">
      <c r="A279" s="37" t="str">
        <f>IF(ISNONTEXT(deployment_raw[[#This Row],[Column1]]), "", deployment_raw[[#This Row],[Column1]])</f>
        <v/>
      </c>
      <c r="B279" s="38" t="str">
        <f>IF(ISNONTEXT(deployment_raw[[#This Row],[Column2]]), "", deployment_raw[[#This Row],[Column2]])</f>
        <v/>
      </c>
      <c r="C279" s="38" t="str">
        <f>IF(ISNONTEXT(deployment_raw[[#This Row],[Column3]]), "", deployment_raw[[#This Row],[Column3]])</f>
        <v/>
      </c>
      <c r="D279" s="38" t="str">
        <f>IF(ISNONTEXT(deployment_raw[[#This Row],[Column4]]), "", deployment_raw[[#This Row],[Column4]])</f>
        <v/>
      </c>
      <c r="E279" s="39" t="str">
        <f>IF(ISNUMBER(deployment_raw[[#This Row],[Column5]]), deployment_raw[[#This Row],[Column5]],"")</f>
        <v/>
      </c>
      <c r="F279" s="174" t="str">
        <f>IF(ISNUMBER(deployment_raw[[#This Row],[Column6]]), (deployment_raw[[#This Row],[Column6]] * deployment_raw[[#This Row],[Column5]]),"")</f>
        <v/>
      </c>
      <c r="G279" s="175" t="str">
        <f>IF(ISNUMBER(deployment_raw[[#This Row],[Column7]]), (deployment_raw[[#This Row],[Column7]] * deployment_raw[[#This Row],[Column5]])/1048576,"")</f>
        <v/>
      </c>
      <c r="H279" s="175" t="str">
        <f>IF(ISNUMBER(deployment_raw[[#This Row],[Column8]]), (deployment_raw[[#This Row],[Column8]]  * deployment_raw[[#This Row],[Column5]]),"")</f>
        <v/>
      </c>
      <c r="I279" s="176" t="str">
        <f>IF(ISNUMBER(deployment_raw[[#This Row],[Column9]]), (deployment_raw[[#This Row],[Column9]] * deployment_raw[[#This Row],[Column5]])/1048576,"")</f>
        <v/>
      </c>
      <c r="J279" s="57" t="str">
        <f>IF(ISNUMBER(deployment_raw[[#This Row],[Column10]]), (deployment_raw[[#This Row],[Column10]] * deployment_raw[[#This Row],[Column5]]),"")</f>
        <v/>
      </c>
      <c r="K279" s="58" t="str">
        <f>IF(ISNUMBER(deployment_raw[[#This Row],[Column11]]), (deployment_raw[[#This Row],[Column11]] * deployment_raw[[#This Row],[Column5]])/1048576,"")</f>
        <v/>
      </c>
      <c r="L279" s="180" t="str">
        <f>IF(ISNUMBER(deployment_raw[[#This Row],[Column8]]),IF(deployment_raw[[#This Row],[Column5]] &lt;&gt; 0, MAX((deployment_raw[[#This Row],[Column12]] * deployment_raw[[#This Row],[Column5]]), ((deployment_raw[[#This Row],[Column8]] * deployment_raw[[#This Row],[Column5]]) * $L$2), ($H$2 * deployment_raw[[#This Row],[Column5]])), 0),"")</f>
        <v/>
      </c>
      <c r="M27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79" s="188" t="str">
        <f>IF(ISNUMBER(deployment_raw[[#This Row],[Column14]]), deployment_raw[[#This Row],[Column14]],"")</f>
        <v/>
      </c>
      <c r="O279" s="189" t="str">
        <f>IF(ISNUMBER(deployment_raw[[#This Row],[Column15]]), deployment_raw[[#This Row],[Column15]]/1048576,"")</f>
        <v/>
      </c>
      <c r="P279" s="190" t="str">
        <f>IF(ISNUMBER(deployment_raw[[#This Row],[Column12]]), (deployment_raw[[#This Row],[Column12]] * deployment_raw[[#This Row],[Column5]]),"")</f>
        <v/>
      </c>
      <c r="Q279" s="189" t="str">
        <f>IF(ISNUMBER(deployment_raw[[#This Row],[Column13]]), (deployment_raw[[#This Row],[Column13]] * deployment_raw[[#This Row],[Column5]])/1048576,"")</f>
        <v/>
      </c>
    </row>
    <row r="280" spans="1:17" ht="15.75" customHeight="1" x14ac:dyDescent="0.25">
      <c r="A280" s="37" t="str">
        <f>IF(ISNONTEXT(deployment_raw[[#This Row],[Column1]]), "", deployment_raw[[#This Row],[Column1]])</f>
        <v/>
      </c>
      <c r="B280" s="38" t="str">
        <f>IF(ISNONTEXT(deployment_raw[[#This Row],[Column2]]), "", deployment_raw[[#This Row],[Column2]])</f>
        <v/>
      </c>
      <c r="C280" s="38" t="str">
        <f>IF(ISNONTEXT(deployment_raw[[#This Row],[Column3]]), "", deployment_raw[[#This Row],[Column3]])</f>
        <v/>
      </c>
      <c r="D280" s="38" t="str">
        <f>IF(ISNONTEXT(deployment_raw[[#This Row],[Column4]]), "", deployment_raw[[#This Row],[Column4]])</f>
        <v/>
      </c>
      <c r="E280" s="39" t="str">
        <f>IF(ISNUMBER(deployment_raw[[#This Row],[Column5]]), deployment_raw[[#This Row],[Column5]],"")</f>
        <v/>
      </c>
      <c r="F280" s="174" t="str">
        <f>IF(ISNUMBER(deployment_raw[[#This Row],[Column6]]), (deployment_raw[[#This Row],[Column6]] * deployment_raw[[#This Row],[Column5]]),"")</f>
        <v/>
      </c>
      <c r="G280" s="175" t="str">
        <f>IF(ISNUMBER(deployment_raw[[#This Row],[Column7]]), (deployment_raw[[#This Row],[Column7]] * deployment_raw[[#This Row],[Column5]])/1048576,"")</f>
        <v/>
      </c>
      <c r="H280" s="175" t="str">
        <f>IF(ISNUMBER(deployment_raw[[#This Row],[Column8]]), (deployment_raw[[#This Row],[Column8]]  * deployment_raw[[#This Row],[Column5]]),"")</f>
        <v/>
      </c>
      <c r="I280" s="176" t="str">
        <f>IF(ISNUMBER(deployment_raw[[#This Row],[Column9]]), (deployment_raw[[#This Row],[Column9]] * deployment_raw[[#This Row],[Column5]])/1048576,"")</f>
        <v/>
      </c>
      <c r="J280" s="57" t="str">
        <f>IF(ISNUMBER(deployment_raw[[#This Row],[Column10]]), (deployment_raw[[#This Row],[Column10]] * deployment_raw[[#This Row],[Column5]]),"")</f>
        <v/>
      </c>
      <c r="K280" s="58" t="str">
        <f>IF(ISNUMBER(deployment_raw[[#This Row],[Column11]]), (deployment_raw[[#This Row],[Column11]] * deployment_raw[[#This Row],[Column5]])/1048576,"")</f>
        <v/>
      </c>
      <c r="L280" s="180" t="str">
        <f>IF(ISNUMBER(deployment_raw[[#This Row],[Column8]]),IF(deployment_raw[[#This Row],[Column5]] &lt;&gt; 0, MAX((deployment_raw[[#This Row],[Column12]] * deployment_raw[[#This Row],[Column5]]), ((deployment_raw[[#This Row],[Column8]] * deployment_raw[[#This Row],[Column5]]) * $L$2), ($H$2 * deployment_raw[[#This Row],[Column5]])), 0),"")</f>
        <v/>
      </c>
      <c r="M28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80" s="188" t="str">
        <f>IF(ISNUMBER(deployment_raw[[#This Row],[Column14]]), deployment_raw[[#This Row],[Column14]],"")</f>
        <v/>
      </c>
      <c r="O280" s="189" t="str">
        <f>IF(ISNUMBER(deployment_raw[[#This Row],[Column15]]), deployment_raw[[#This Row],[Column15]]/1048576,"")</f>
        <v/>
      </c>
      <c r="P280" s="190" t="str">
        <f>IF(ISNUMBER(deployment_raw[[#This Row],[Column12]]), (deployment_raw[[#This Row],[Column12]] * deployment_raw[[#This Row],[Column5]]),"")</f>
        <v/>
      </c>
      <c r="Q280" s="189" t="str">
        <f>IF(ISNUMBER(deployment_raw[[#This Row],[Column13]]), (deployment_raw[[#This Row],[Column13]] * deployment_raw[[#This Row],[Column5]])/1048576,"")</f>
        <v/>
      </c>
    </row>
    <row r="281" spans="1:17" ht="15.75" customHeight="1" x14ac:dyDescent="0.25">
      <c r="A281" s="37" t="str">
        <f>IF(ISNONTEXT(deployment_raw[[#This Row],[Column1]]), "", deployment_raw[[#This Row],[Column1]])</f>
        <v/>
      </c>
      <c r="B281" s="38" t="str">
        <f>IF(ISNONTEXT(deployment_raw[[#This Row],[Column2]]), "", deployment_raw[[#This Row],[Column2]])</f>
        <v/>
      </c>
      <c r="C281" s="38" t="str">
        <f>IF(ISNONTEXT(deployment_raw[[#This Row],[Column3]]), "", deployment_raw[[#This Row],[Column3]])</f>
        <v/>
      </c>
      <c r="D281" s="38" t="str">
        <f>IF(ISNONTEXT(deployment_raw[[#This Row],[Column4]]), "", deployment_raw[[#This Row],[Column4]])</f>
        <v/>
      </c>
      <c r="E281" s="39" t="str">
        <f>IF(ISNUMBER(deployment_raw[[#This Row],[Column5]]), deployment_raw[[#This Row],[Column5]],"")</f>
        <v/>
      </c>
      <c r="F281" s="174" t="str">
        <f>IF(ISNUMBER(deployment_raw[[#This Row],[Column6]]), (deployment_raw[[#This Row],[Column6]] * deployment_raw[[#This Row],[Column5]]),"")</f>
        <v/>
      </c>
      <c r="G281" s="175" t="str">
        <f>IF(ISNUMBER(deployment_raw[[#This Row],[Column7]]), (deployment_raw[[#This Row],[Column7]] * deployment_raw[[#This Row],[Column5]])/1048576,"")</f>
        <v/>
      </c>
      <c r="H281" s="175" t="str">
        <f>IF(ISNUMBER(deployment_raw[[#This Row],[Column8]]), (deployment_raw[[#This Row],[Column8]]  * deployment_raw[[#This Row],[Column5]]),"")</f>
        <v/>
      </c>
      <c r="I281" s="176" t="str">
        <f>IF(ISNUMBER(deployment_raw[[#This Row],[Column9]]), (deployment_raw[[#This Row],[Column9]] * deployment_raw[[#This Row],[Column5]])/1048576,"")</f>
        <v/>
      </c>
      <c r="J281" s="57" t="str">
        <f>IF(ISNUMBER(deployment_raw[[#This Row],[Column10]]), (deployment_raw[[#This Row],[Column10]] * deployment_raw[[#This Row],[Column5]]),"")</f>
        <v/>
      </c>
      <c r="K281" s="58" t="str">
        <f>IF(ISNUMBER(deployment_raw[[#This Row],[Column11]]), (deployment_raw[[#This Row],[Column11]] * deployment_raw[[#This Row],[Column5]])/1048576,"")</f>
        <v/>
      </c>
      <c r="L281" s="180" t="str">
        <f>IF(ISNUMBER(deployment_raw[[#This Row],[Column8]]),IF(deployment_raw[[#This Row],[Column5]] &lt;&gt; 0, MAX((deployment_raw[[#This Row],[Column12]] * deployment_raw[[#This Row],[Column5]]), ((deployment_raw[[#This Row],[Column8]] * deployment_raw[[#This Row],[Column5]]) * $L$2), ($H$2 * deployment_raw[[#This Row],[Column5]])), 0),"")</f>
        <v/>
      </c>
      <c r="M28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81" s="188" t="str">
        <f>IF(ISNUMBER(deployment_raw[[#This Row],[Column14]]), deployment_raw[[#This Row],[Column14]],"")</f>
        <v/>
      </c>
      <c r="O281" s="189" t="str">
        <f>IF(ISNUMBER(deployment_raw[[#This Row],[Column15]]), deployment_raw[[#This Row],[Column15]]/1048576,"")</f>
        <v/>
      </c>
      <c r="P281" s="190" t="str">
        <f>IF(ISNUMBER(deployment_raw[[#This Row],[Column12]]), (deployment_raw[[#This Row],[Column12]] * deployment_raw[[#This Row],[Column5]]),"")</f>
        <v/>
      </c>
      <c r="Q281" s="189" t="str">
        <f>IF(ISNUMBER(deployment_raw[[#This Row],[Column13]]), (deployment_raw[[#This Row],[Column13]] * deployment_raw[[#This Row],[Column5]])/1048576,"")</f>
        <v/>
      </c>
    </row>
    <row r="282" spans="1:17" ht="15.75" customHeight="1" x14ac:dyDescent="0.25">
      <c r="A282" s="37" t="str">
        <f>IF(ISNONTEXT(deployment_raw[[#This Row],[Column1]]), "", deployment_raw[[#This Row],[Column1]])</f>
        <v/>
      </c>
      <c r="B282" s="38" t="str">
        <f>IF(ISNONTEXT(deployment_raw[[#This Row],[Column2]]), "", deployment_raw[[#This Row],[Column2]])</f>
        <v/>
      </c>
      <c r="C282" s="38" t="str">
        <f>IF(ISNONTEXT(deployment_raw[[#This Row],[Column3]]), "", deployment_raw[[#This Row],[Column3]])</f>
        <v/>
      </c>
      <c r="D282" s="38" t="str">
        <f>IF(ISNONTEXT(deployment_raw[[#This Row],[Column4]]), "", deployment_raw[[#This Row],[Column4]])</f>
        <v/>
      </c>
      <c r="E282" s="39" t="str">
        <f>IF(ISNUMBER(deployment_raw[[#This Row],[Column5]]), deployment_raw[[#This Row],[Column5]],"")</f>
        <v/>
      </c>
      <c r="F282" s="174" t="str">
        <f>IF(ISNUMBER(deployment_raw[[#This Row],[Column6]]), (deployment_raw[[#This Row],[Column6]] * deployment_raw[[#This Row],[Column5]]),"")</f>
        <v/>
      </c>
      <c r="G282" s="175" t="str">
        <f>IF(ISNUMBER(deployment_raw[[#This Row],[Column7]]), (deployment_raw[[#This Row],[Column7]] * deployment_raw[[#This Row],[Column5]])/1048576,"")</f>
        <v/>
      </c>
      <c r="H282" s="175" t="str">
        <f>IF(ISNUMBER(deployment_raw[[#This Row],[Column8]]), (deployment_raw[[#This Row],[Column8]]  * deployment_raw[[#This Row],[Column5]]),"")</f>
        <v/>
      </c>
      <c r="I282" s="176" t="str">
        <f>IF(ISNUMBER(deployment_raw[[#This Row],[Column9]]), (deployment_raw[[#This Row],[Column9]] * deployment_raw[[#This Row],[Column5]])/1048576,"")</f>
        <v/>
      </c>
      <c r="J282" s="57" t="str">
        <f>IF(ISNUMBER(deployment_raw[[#This Row],[Column10]]), (deployment_raw[[#This Row],[Column10]] * deployment_raw[[#This Row],[Column5]]),"")</f>
        <v/>
      </c>
      <c r="K282" s="58" t="str">
        <f>IF(ISNUMBER(deployment_raw[[#This Row],[Column11]]), (deployment_raw[[#This Row],[Column11]] * deployment_raw[[#This Row],[Column5]])/1048576,"")</f>
        <v/>
      </c>
      <c r="L282" s="180" t="str">
        <f>IF(ISNUMBER(deployment_raw[[#This Row],[Column8]]),IF(deployment_raw[[#This Row],[Column5]] &lt;&gt; 0, MAX((deployment_raw[[#This Row],[Column12]] * deployment_raw[[#This Row],[Column5]]), ((deployment_raw[[#This Row],[Column8]] * deployment_raw[[#This Row],[Column5]]) * $L$2), ($H$2 * deployment_raw[[#This Row],[Column5]])), 0),"")</f>
        <v/>
      </c>
      <c r="M28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82" s="188" t="str">
        <f>IF(ISNUMBER(deployment_raw[[#This Row],[Column14]]), deployment_raw[[#This Row],[Column14]],"")</f>
        <v/>
      </c>
      <c r="O282" s="189" t="str">
        <f>IF(ISNUMBER(deployment_raw[[#This Row],[Column15]]), deployment_raw[[#This Row],[Column15]]/1048576,"")</f>
        <v/>
      </c>
      <c r="P282" s="190" t="str">
        <f>IF(ISNUMBER(deployment_raw[[#This Row],[Column12]]), (deployment_raw[[#This Row],[Column12]] * deployment_raw[[#This Row],[Column5]]),"")</f>
        <v/>
      </c>
      <c r="Q282" s="189" t="str">
        <f>IF(ISNUMBER(deployment_raw[[#This Row],[Column13]]), (deployment_raw[[#This Row],[Column13]] * deployment_raw[[#This Row],[Column5]])/1048576,"")</f>
        <v/>
      </c>
    </row>
    <row r="283" spans="1:17" ht="15.75" customHeight="1" x14ac:dyDescent="0.25">
      <c r="A283" s="37" t="str">
        <f>IF(ISNONTEXT(deployment_raw[[#This Row],[Column1]]), "", deployment_raw[[#This Row],[Column1]])</f>
        <v/>
      </c>
      <c r="B283" s="38" t="str">
        <f>IF(ISNONTEXT(deployment_raw[[#This Row],[Column2]]), "", deployment_raw[[#This Row],[Column2]])</f>
        <v/>
      </c>
      <c r="C283" s="38" t="str">
        <f>IF(ISNONTEXT(deployment_raw[[#This Row],[Column3]]), "", deployment_raw[[#This Row],[Column3]])</f>
        <v/>
      </c>
      <c r="D283" s="38" t="str">
        <f>IF(ISNONTEXT(deployment_raw[[#This Row],[Column4]]), "", deployment_raw[[#This Row],[Column4]])</f>
        <v/>
      </c>
      <c r="E283" s="39" t="str">
        <f>IF(ISNUMBER(deployment_raw[[#This Row],[Column5]]), deployment_raw[[#This Row],[Column5]],"")</f>
        <v/>
      </c>
      <c r="F283" s="174" t="str">
        <f>IF(ISNUMBER(deployment_raw[[#This Row],[Column6]]), (deployment_raw[[#This Row],[Column6]] * deployment_raw[[#This Row],[Column5]]),"")</f>
        <v/>
      </c>
      <c r="G283" s="175" t="str">
        <f>IF(ISNUMBER(deployment_raw[[#This Row],[Column7]]), (deployment_raw[[#This Row],[Column7]] * deployment_raw[[#This Row],[Column5]])/1048576,"")</f>
        <v/>
      </c>
      <c r="H283" s="175" t="str">
        <f>IF(ISNUMBER(deployment_raw[[#This Row],[Column8]]), (deployment_raw[[#This Row],[Column8]]  * deployment_raw[[#This Row],[Column5]]),"")</f>
        <v/>
      </c>
      <c r="I283" s="176" t="str">
        <f>IF(ISNUMBER(deployment_raw[[#This Row],[Column9]]), (deployment_raw[[#This Row],[Column9]] * deployment_raw[[#This Row],[Column5]])/1048576,"")</f>
        <v/>
      </c>
      <c r="J283" s="57" t="str">
        <f>IF(ISNUMBER(deployment_raw[[#This Row],[Column10]]), (deployment_raw[[#This Row],[Column10]] * deployment_raw[[#This Row],[Column5]]),"")</f>
        <v/>
      </c>
      <c r="K283" s="58" t="str">
        <f>IF(ISNUMBER(deployment_raw[[#This Row],[Column11]]), (deployment_raw[[#This Row],[Column11]] * deployment_raw[[#This Row],[Column5]])/1048576,"")</f>
        <v/>
      </c>
      <c r="L283" s="180" t="str">
        <f>IF(ISNUMBER(deployment_raw[[#This Row],[Column8]]),IF(deployment_raw[[#This Row],[Column5]] &lt;&gt; 0, MAX((deployment_raw[[#This Row],[Column12]] * deployment_raw[[#This Row],[Column5]]), ((deployment_raw[[#This Row],[Column8]] * deployment_raw[[#This Row],[Column5]]) * $L$2), ($H$2 * deployment_raw[[#This Row],[Column5]])), 0),"")</f>
        <v/>
      </c>
      <c r="M28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83" s="188" t="str">
        <f>IF(ISNUMBER(deployment_raw[[#This Row],[Column14]]), deployment_raw[[#This Row],[Column14]],"")</f>
        <v/>
      </c>
      <c r="O283" s="189" t="str">
        <f>IF(ISNUMBER(deployment_raw[[#This Row],[Column15]]), deployment_raw[[#This Row],[Column15]]/1048576,"")</f>
        <v/>
      </c>
      <c r="P283" s="190" t="str">
        <f>IF(ISNUMBER(deployment_raw[[#This Row],[Column12]]), (deployment_raw[[#This Row],[Column12]] * deployment_raw[[#This Row],[Column5]]),"")</f>
        <v/>
      </c>
      <c r="Q283" s="189" t="str">
        <f>IF(ISNUMBER(deployment_raw[[#This Row],[Column13]]), (deployment_raw[[#This Row],[Column13]] * deployment_raw[[#This Row],[Column5]])/1048576,"")</f>
        <v/>
      </c>
    </row>
    <row r="284" spans="1:17" ht="15.75" customHeight="1" x14ac:dyDescent="0.25">
      <c r="A284" s="37" t="str">
        <f>IF(ISNONTEXT(deployment_raw[[#This Row],[Column1]]), "", deployment_raw[[#This Row],[Column1]])</f>
        <v/>
      </c>
      <c r="B284" s="38" t="str">
        <f>IF(ISNONTEXT(deployment_raw[[#This Row],[Column2]]), "", deployment_raw[[#This Row],[Column2]])</f>
        <v/>
      </c>
      <c r="C284" s="38" t="str">
        <f>IF(ISNONTEXT(deployment_raw[[#This Row],[Column3]]), "", deployment_raw[[#This Row],[Column3]])</f>
        <v/>
      </c>
      <c r="D284" s="38" t="str">
        <f>IF(ISNONTEXT(deployment_raw[[#This Row],[Column4]]), "", deployment_raw[[#This Row],[Column4]])</f>
        <v/>
      </c>
      <c r="E284" s="39" t="str">
        <f>IF(ISNUMBER(deployment_raw[[#This Row],[Column5]]), deployment_raw[[#This Row],[Column5]],"")</f>
        <v/>
      </c>
      <c r="F284" s="174" t="str">
        <f>IF(ISNUMBER(deployment_raw[[#This Row],[Column6]]), (deployment_raw[[#This Row],[Column6]] * deployment_raw[[#This Row],[Column5]]),"")</f>
        <v/>
      </c>
      <c r="G284" s="175" t="str">
        <f>IF(ISNUMBER(deployment_raw[[#This Row],[Column7]]), (deployment_raw[[#This Row],[Column7]] * deployment_raw[[#This Row],[Column5]])/1048576,"")</f>
        <v/>
      </c>
      <c r="H284" s="175" t="str">
        <f>IF(ISNUMBER(deployment_raw[[#This Row],[Column8]]), (deployment_raw[[#This Row],[Column8]]  * deployment_raw[[#This Row],[Column5]]),"")</f>
        <v/>
      </c>
      <c r="I284" s="176" t="str">
        <f>IF(ISNUMBER(deployment_raw[[#This Row],[Column9]]), (deployment_raw[[#This Row],[Column9]] * deployment_raw[[#This Row],[Column5]])/1048576,"")</f>
        <v/>
      </c>
      <c r="J284" s="57" t="str">
        <f>IF(ISNUMBER(deployment_raw[[#This Row],[Column10]]), (deployment_raw[[#This Row],[Column10]] * deployment_raw[[#This Row],[Column5]]),"")</f>
        <v/>
      </c>
      <c r="K284" s="58" t="str">
        <f>IF(ISNUMBER(deployment_raw[[#This Row],[Column11]]), (deployment_raw[[#This Row],[Column11]] * deployment_raw[[#This Row],[Column5]])/1048576,"")</f>
        <v/>
      </c>
      <c r="L284" s="180" t="str">
        <f>IF(ISNUMBER(deployment_raw[[#This Row],[Column8]]),IF(deployment_raw[[#This Row],[Column5]] &lt;&gt; 0, MAX((deployment_raw[[#This Row],[Column12]] * deployment_raw[[#This Row],[Column5]]), ((deployment_raw[[#This Row],[Column8]] * deployment_raw[[#This Row],[Column5]]) * $L$2), ($H$2 * deployment_raw[[#This Row],[Column5]])), 0),"")</f>
        <v/>
      </c>
      <c r="M28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84" s="188" t="str">
        <f>IF(ISNUMBER(deployment_raw[[#This Row],[Column14]]), deployment_raw[[#This Row],[Column14]],"")</f>
        <v/>
      </c>
      <c r="O284" s="189" t="str">
        <f>IF(ISNUMBER(deployment_raw[[#This Row],[Column15]]), deployment_raw[[#This Row],[Column15]]/1048576,"")</f>
        <v/>
      </c>
      <c r="P284" s="190" t="str">
        <f>IF(ISNUMBER(deployment_raw[[#This Row],[Column12]]), (deployment_raw[[#This Row],[Column12]] * deployment_raw[[#This Row],[Column5]]),"")</f>
        <v/>
      </c>
      <c r="Q284" s="189" t="str">
        <f>IF(ISNUMBER(deployment_raw[[#This Row],[Column13]]), (deployment_raw[[#This Row],[Column13]] * deployment_raw[[#This Row],[Column5]])/1048576,"")</f>
        <v/>
      </c>
    </row>
    <row r="285" spans="1:17" ht="15.75" customHeight="1" x14ac:dyDescent="0.25">
      <c r="A285" s="37" t="str">
        <f>IF(ISNONTEXT(deployment_raw[[#This Row],[Column1]]), "", deployment_raw[[#This Row],[Column1]])</f>
        <v/>
      </c>
      <c r="B285" s="38" t="str">
        <f>IF(ISNONTEXT(deployment_raw[[#This Row],[Column2]]), "", deployment_raw[[#This Row],[Column2]])</f>
        <v/>
      </c>
      <c r="C285" s="38" t="str">
        <f>IF(ISNONTEXT(deployment_raw[[#This Row],[Column3]]), "", deployment_raw[[#This Row],[Column3]])</f>
        <v/>
      </c>
      <c r="D285" s="38" t="str">
        <f>IF(ISNONTEXT(deployment_raw[[#This Row],[Column4]]), "", deployment_raw[[#This Row],[Column4]])</f>
        <v/>
      </c>
      <c r="E285" s="39" t="str">
        <f>IF(ISNUMBER(deployment_raw[[#This Row],[Column5]]), deployment_raw[[#This Row],[Column5]],"")</f>
        <v/>
      </c>
      <c r="F285" s="174" t="str">
        <f>IF(ISNUMBER(deployment_raw[[#This Row],[Column6]]), (deployment_raw[[#This Row],[Column6]] * deployment_raw[[#This Row],[Column5]]),"")</f>
        <v/>
      </c>
      <c r="G285" s="175" t="str">
        <f>IF(ISNUMBER(deployment_raw[[#This Row],[Column7]]), (deployment_raw[[#This Row],[Column7]] * deployment_raw[[#This Row],[Column5]])/1048576,"")</f>
        <v/>
      </c>
      <c r="H285" s="175" t="str">
        <f>IF(ISNUMBER(deployment_raw[[#This Row],[Column8]]), (deployment_raw[[#This Row],[Column8]]  * deployment_raw[[#This Row],[Column5]]),"")</f>
        <v/>
      </c>
      <c r="I285" s="176" t="str">
        <f>IF(ISNUMBER(deployment_raw[[#This Row],[Column9]]), (deployment_raw[[#This Row],[Column9]] * deployment_raw[[#This Row],[Column5]])/1048576,"")</f>
        <v/>
      </c>
      <c r="J285" s="57" t="str">
        <f>IF(ISNUMBER(deployment_raw[[#This Row],[Column10]]), (deployment_raw[[#This Row],[Column10]] * deployment_raw[[#This Row],[Column5]]),"")</f>
        <v/>
      </c>
      <c r="K285" s="58" t="str">
        <f>IF(ISNUMBER(deployment_raw[[#This Row],[Column11]]), (deployment_raw[[#This Row],[Column11]] * deployment_raw[[#This Row],[Column5]])/1048576,"")</f>
        <v/>
      </c>
      <c r="L285" s="180" t="str">
        <f>IF(ISNUMBER(deployment_raw[[#This Row],[Column8]]),IF(deployment_raw[[#This Row],[Column5]] &lt;&gt; 0, MAX((deployment_raw[[#This Row],[Column12]] * deployment_raw[[#This Row],[Column5]]), ((deployment_raw[[#This Row],[Column8]] * deployment_raw[[#This Row],[Column5]]) * $L$2), ($H$2 * deployment_raw[[#This Row],[Column5]])), 0),"")</f>
        <v/>
      </c>
      <c r="M28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85" s="188" t="str">
        <f>IF(ISNUMBER(deployment_raw[[#This Row],[Column14]]), deployment_raw[[#This Row],[Column14]],"")</f>
        <v/>
      </c>
      <c r="O285" s="189" t="str">
        <f>IF(ISNUMBER(deployment_raw[[#This Row],[Column15]]), deployment_raw[[#This Row],[Column15]]/1048576,"")</f>
        <v/>
      </c>
      <c r="P285" s="190" t="str">
        <f>IF(ISNUMBER(deployment_raw[[#This Row],[Column12]]), (deployment_raw[[#This Row],[Column12]] * deployment_raw[[#This Row],[Column5]]),"")</f>
        <v/>
      </c>
      <c r="Q285" s="189" t="str">
        <f>IF(ISNUMBER(deployment_raw[[#This Row],[Column13]]), (deployment_raw[[#This Row],[Column13]] * deployment_raw[[#This Row],[Column5]])/1048576,"")</f>
        <v/>
      </c>
    </row>
    <row r="286" spans="1:17" ht="15.75" customHeight="1" x14ac:dyDescent="0.25">
      <c r="A286" s="37" t="str">
        <f>IF(ISNONTEXT(deployment_raw[[#This Row],[Column1]]), "", deployment_raw[[#This Row],[Column1]])</f>
        <v/>
      </c>
      <c r="B286" s="38" t="str">
        <f>IF(ISNONTEXT(deployment_raw[[#This Row],[Column2]]), "", deployment_raw[[#This Row],[Column2]])</f>
        <v/>
      </c>
      <c r="C286" s="38" t="str">
        <f>IF(ISNONTEXT(deployment_raw[[#This Row],[Column3]]), "", deployment_raw[[#This Row],[Column3]])</f>
        <v/>
      </c>
      <c r="D286" s="38" t="str">
        <f>IF(ISNONTEXT(deployment_raw[[#This Row],[Column4]]), "", deployment_raw[[#This Row],[Column4]])</f>
        <v/>
      </c>
      <c r="E286" s="39" t="str">
        <f>IF(ISNUMBER(deployment_raw[[#This Row],[Column5]]), deployment_raw[[#This Row],[Column5]],"")</f>
        <v/>
      </c>
      <c r="F286" s="174" t="str">
        <f>IF(ISNUMBER(deployment_raw[[#This Row],[Column6]]), (deployment_raw[[#This Row],[Column6]] * deployment_raw[[#This Row],[Column5]]),"")</f>
        <v/>
      </c>
      <c r="G286" s="175" t="str">
        <f>IF(ISNUMBER(deployment_raw[[#This Row],[Column7]]), (deployment_raw[[#This Row],[Column7]] * deployment_raw[[#This Row],[Column5]])/1048576,"")</f>
        <v/>
      </c>
      <c r="H286" s="175" t="str">
        <f>IF(ISNUMBER(deployment_raw[[#This Row],[Column8]]), (deployment_raw[[#This Row],[Column8]]  * deployment_raw[[#This Row],[Column5]]),"")</f>
        <v/>
      </c>
      <c r="I286" s="176" t="str">
        <f>IF(ISNUMBER(deployment_raw[[#This Row],[Column9]]), (deployment_raw[[#This Row],[Column9]] * deployment_raw[[#This Row],[Column5]])/1048576,"")</f>
        <v/>
      </c>
      <c r="J286" s="57" t="str">
        <f>IF(ISNUMBER(deployment_raw[[#This Row],[Column10]]), (deployment_raw[[#This Row],[Column10]] * deployment_raw[[#This Row],[Column5]]),"")</f>
        <v/>
      </c>
      <c r="K286" s="58" t="str">
        <f>IF(ISNUMBER(deployment_raw[[#This Row],[Column11]]), (deployment_raw[[#This Row],[Column11]] * deployment_raw[[#This Row],[Column5]])/1048576,"")</f>
        <v/>
      </c>
      <c r="L286" s="180" t="str">
        <f>IF(ISNUMBER(deployment_raw[[#This Row],[Column8]]),IF(deployment_raw[[#This Row],[Column5]] &lt;&gt; 0, MAX((deployment_raw[[#This Row],[Column12]] * deployment_raw[[#This Row],[Column5]]), ((deployment_raw[[#This Row],[Column8]] * deployment_raw[[#This Row],[Column5]]) * $L$2), ($H$2 * deployment_raw[[#This Row],[Column5]])), 0),"")</f>
        <v/>
      </c>
      <c r="M28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86" s="188" t="str">
        <f>IF(ISNUMBER(deployment_raw[[#This Row],[Column14]]), deployment_raw[[#This Row],[Column14]],"")</f>
        <v/>
      </c>
      <c r="O286" s="189" t="str">
        <f>IF(ISNUMBER(deployment_raw[[#This Row],[Column15]]), deployment_raw[[#This Row],[Column15]]/1048576,"")</f>
        <v/>
      </c>
      <c r="P286" s="190" t="str">
        <f>IF(ISNUMBER(deployment_raw[[#This Row],[Column12]]), (deployment_raw[[#This Row],[Column12]] * deployment_raw[[#This Row],[Column5]]),"")</f>
        <v/>
      </c>
      <c r="Q286" s="189" t="str">
        <f>IF(ISNUMBER(deployment_raw[[#This Row],[Column13]]), (deployment_raw[[#This Row],[Column13]] * deployment_raw[[#This Row],[Column5]])/1048576,"")</f>
        <v/>
      </c>
    </row>
    <row r="287" spans="1:17" ht="15.75" customHeight="1" x14ac:dyDescent="0.25">
      <c r="A287" s="37" t="str">
        <f>IF(ISNONTEXT(deployment_raw[[#This Row],[Column1]]), "", deployment_raw[[#This Row],[Column1]])</f>
        <v/>
      </c>
      <c r="B287" s="38" t="str">
        <f>IF(ISNONTEXT(deployment_raw[[#This Row],[Column2]]), "", deployment_raw[[#This Row],[Column2]])</f>
        <v/>
      </c>
      <c r="C287" s="38" t="str">
        <f>IF(ISNONTEXT(deployment_raw[[#This Row],[Column3]]), "", deployment_raw[[#This Row],[Column3]])</f>
        <v/>
      </c>
      <c r="D287" s="38" t="str">
        <f>IF(ISNONTEXT(deployment_raw[[#This Row],[Column4]]), "", deployment_raw[[#This Row],[Column4]])</f>
        <v/>
      </c>
      <c r="E287" s="39" t="str">
        <f>IF(ISNUMBER(deployment_raw[[#This Row],[Column5]]), deployment_raw[[#This Row],[Column5]],"")</f>
        <v/>
      </c>
      <c r="F287" s="174" t="str">
        <f>IF(ISNUMBER(deployment_raw[[#This Row],[Column6]]), (deployment_raw[[#This Row],[Column6]] * deployment_raw[[#This Row],[Column5]]),"")</f>
        <v/>
      </c>
      <c r="G287" s="175" t="str">
        <f>IF(ISNUMBER(deployment_raw[[#This Row],[Column7]]), (deployment_raw[[#This Row],[Column7]] * deployment_raw[[#This Row],[Column5]])/1048576,"")</f>
        <v/>
      </c>
      <c r="H287" s="175" t="str">
        <f>IF(ISNUMBER(deployment_raw[[#This Row],[Column8]]), (deployment_raw[[#This Row],[Column8]]  * deployment_raw[[#This Row],[Column5]]),"")</f>
        <v/>
      </c>
      <c r="I287" s="176" t="str">
        <f>IF(ISNUMBER(deployment_raw[[#This Row],[Column9]]), (deployment_raw[[#This Row],[Column9]] * deployment_raw[[#This Row],[Column5]])/1048576,"")</f>
        <v/>
      </c>
      <c r="J287" s="57" t="str">
        <f>IF(ISNUMBER(deployment_raw[[#This Row],[Column10]]), (deployment_raw[[#This Row],[Column10]] * deployment_raw[[#This Row],[Column5]]),"")</f>
        <v/>
      </c>
      <c r="K287" s="58" t="str">
        <f>IF(ISNUMBER(deployment_raw[[#This Row],[Column11]]), (deployment_raw[[#This Row],[Column11]] * deployment_raw[[#This Row],[Column5]])/1048576,"")</f>
        <v/>
      </c>
      <c r="L287" s="180" t="str">
        <f>IF(ISNUMBER(deployment_raw[[#This Row],[Column8]]),IF(deployment_raw[[#This Row],[Column5]] &lt;&gt; 0, MAX((deployment_raw[[#This Row],[Column12]] * deployment_raw[[#This Row],[Column5]]), ((deployment_raw[[#This Row],[Column8]] * deployment_raw[[#This Row],[Column5]]) * $L$2), ($H$2 * deployment_raw[[#This Row],[Column5]])), 0),"")</f>
        <v/>
      </c>
      <c r="M28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87" s="188" t="str">
        <f>IF(ISNUMBER(deployment_raw[[#This Row],[Column14]]), deployment_raw[[#This Row],[Column14]],"")</f>
        <v/>
      </c>
      <c r="O287" s="189" t="str">
        <f>IF(ISNUMBER(deployment_raw[[#This Row],[Column15]]), deployment_raw[[#This Row],[Column15]]/1048576,"")</f>
        <v/>
      </c>
      <c r="P287" s="190" t="str">
        <f>IF(ISNUMBER(deployment_raw[[#This Row],[Column12]]), (deployment_raw[[#This Row],[Column12]] * deployment_raw[[#This Row],[Column5]]),"")</f>
        <v/>
      </c>
      <c r="Q287" s="189" t="str">
        <f>IF(ISNUMBER(deployment_raw[[#This Row],[Column13]]), (deployment_raw[[#This Row],[Column13]] * deployment_raw[[#This Row],[Column5]])/1048576,"")</f>
        <v/>
      </c>
    </row>
    <row r="288" spans="1:17" ht="15.75" customHeight="1" x14ac:dyDescent="0.25">
      <c r="A288" s="37" t="str">
        <f>IF(ISNONTEXT(deployment_raw[[#This Row],[Column1]]), "", deployment_raw[[#This Row],[Column1]])</f>
        <v/>
      </c>
      <c r="B288" s="38" t="str">
        <f>IF(ISNONTEXT(deployment_raw[[#This Row],[Column2]]), "", deployment_raw[[#This Row],[Column2]])</f>
        <v/>
      </c>
      <c r="C288" s="38" t="str">
        <f>IF(ISNONTEXT(deployment_raw[[#This Row],[Column3]]), "", deployment_raw[[#This Row],[Column3]])</f>
        <v/>
      </c>
      <c r="D288" s="38" t="str">
        <f>IF(ISNONTEXT(deployment_raw[[#This Row],[Column4]]), "", deployment_raw[[#This Row],[Column4]])</f>
        <v/>
      </c>
      <c r="E288" s="39" t="str">
        <f>IF(ISNUMBER(deployment_raw[[#This Row],[Column5]]), deployment_raw[[#This Row],[Column5]],"")</f>
        <v/>
      </c>
      <c r="F288" s="174" t="str">
        <f>IF(ISNUMBER(deployment_raw[[#This Row],[Column6]]), (deployment_raw[[#This Row],[Column6]] * deployment_raw[[#This Row],[Column5]]),"")</f>
        <v/>
      </c>
      <c r="G288" s="175" t="str">
        <f>IF(ISNUMBER(deployment_raw[[#This Row],[Column7]]), (deployment_raw[[#This Row],[Column7]] * deployment_raw[[#This Row],[Column5]])/1048576,"")</f>
        <v/>
      </c>
      <c r="H288" s="175" t="str">
        <f>IF(ISNUMBER(deployment_raw[[#This Row],[Column8]]), (deployment_raw[[#This Row],[Column8]]  * deployment_raw[[#This Row],[Column5]]),"")</f>
        <v/>
      </c>
      <c r="I288" s="176" t="str">
        <f>IF(ISNUMBER(deployment_raw[[#This Row],[Column9]]), (deployment_raw[[#This Row],[Column9]] * deployment_raw[[#This Row],[Column5]])/1048576,"")</f>
        <v/>
      </c>
      <c r="J288" s="57" t="str">
        <f>IF(ISNUMBER(deployment_raw[[#This Row],[Column10]]), (deployment_raw[[#This Row],[Column10]] * deployment_raw[[#This Row],[Column5]]),"")</f>
        <v/>
      </c>
      <c r="K288" s="58" t="str">
        <f>IF(ISNUMBER(deployment_raw[[#This Row],[Column11]]), (deployment_raw[[#This Row],[Column11]] * deployment_raw[[#This Row],[Column5]])/1048576,"")</f>
        <v/>
      </c>
      <c r="L288" s="180" t="str">
        <f>IF(ISNUMBER(deployment_raw[[#This Row],[Column8]]),IF(deployment_raw[[#This Row],[Column5]] &lt;&gt; 0, MAX((deployment_raw[[#This Row],[Column12]] * deployment_raw[[#This Row],[Column5]]), ((deployment_raw[[#This Row],[Column8]] * deployment_raw[[#This Row],[Column5]]) * $L$2), ($H$2 * deployment_raw[[#This Row],[Column5]])), 0),"")</f>
        <v/>
      </c>
      <c r="M28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88" s="188" t="str">
        <f>IF(ISNUMBER(deployment_raw[[#This Row],[Column14]]), deployment_raw[[#This Row],[Column14]],"")</f>
        <v/>
      </c>
      <c r="O288" s="189" t="str">
        <f>IF(ISNUMBER(deployment_raw[[#This Row],[Column15]]), deployment_raw[[#This Row],[Column15]]/1048576,"")</f>
        <v/>
      </c>
      <c r="P288" s="190" t="str">
        <f>IF(ISNUMBER(deployment_raw[[#This Row],[Column12]]), (deployment_raw[[#This Row],[Column12]] * deployment_raw[[#This Row],[Column5]]),"")</f>
        <v/>
      </c>
      <c r="Q288" s="189" t="str">
        <f>IF(ISNUMBER(deployment_raw[[#This Row],[Column13]]), (deployment_raw[[#This Row],[Column13]] * deployment_raw[[#This Row],[Column5]])/1048576,"")</f>
        <v/>
      </c>
    </row>
    <row r="289" spans="1:17" ht="15.75" customHeight="1" x14ac:dyDescent="0.25">
      <c r="A289" s="37" t="str">
        <f>IF(ISNONTEXT(deployment_raw[[#This Row],[Column1]]), "", deployment_raw[[#This Row],[Column1]])</f>
        <v/>
      </c>
      <c r="B289" s="38" t="str">
        <f>IF(ISNONTEXT(deployment_raw[[#This Row],[Column2]]), "", deployment_raw[[#This Row],[Column2]])</f>
        <v/>
      </c>
      <c r="C289" s="38" t="str">
        <f>IF(ISNONTEXT(deployment_raw[[#This Row],[Column3]]), "", deployment_raw[[#This Row],[Column3]])</f>
        <v/>
      </c>
      <c r="D289" s="38" t="str">
        <f>IF(ISNONTEXT(deployment_raw[[#This Row],[Column4]]), "", deployment_raw[[#This Row],[Column4]])</f>
        <v/>
      </c>
      <c r="E289" s="39" t="str">
        <f>IF(ISNUMBER(deployment_raw[[#This Row],[Column5]]), deployment_raw[[#This Row],[Column5]],"")</f>
        <v/>
      </c>
      <c r="F289" s="174" t="str">
        <f>IF(ISNUMBER(deployment_raw[[#This Row],[Column6]]), (deployment_raw[[#This Row],[Column6]] * deployment_raw[[#This Row],[Column5]]),"")</f>
        <v/>
      </c>
      <c r="G289" s="175" t="str">
        <f>IF(ISNUMBER(deployment_raw[[#This Row],[Column7]]), (deployment_raw[[#This Row],[Column7]] * deployment_raw[[#This Row],[Column5]])/1048576,"")</f>
        <v/>
      </c>
      <c r="H289" s="175" t="str">
        <f>IF(ISNUMBER(deployment_raw[[#This Row],[Column8]]), (deployment_raw[[#This Row],[Column8]]  * deployment_raw[[#This Row],[Column5]]),"")</f>
        <v/>
      </c>
      <c r="I289" s="176" t="str">
        <f>IF(ISNUMBER(deployment_raw[[#This Row],[Column9]]), (deployment_raw[[#This Row],[Column9]] * deployment_raw[[#This Row],[Column5]])/1048576,"")</f>
        <v/>
      </c>
      <c r="J289" s="57" t="str">
        <f>IF(ISNUMBER(deployment_raw[[#This Row],[Column10]]), (deployment_raw[[#This Row],[Column10]] * deployment_raw[[#This Row],[Column5]]),"")</f>
        <v/>
      </c>
      <c r="K289" s="58" t="str">
        <f>IF(ISNUMBER(deployment_raw[[#This Row],[Column11]]), (deployment_raw[[#This Row],[Column11]] * deployment_raw[[#This Row],[Column5]])/1048576,"")</f>
        <v/>
      </c>
      <c r="L289" s="180" t="str">
        <f>IF(ISNUMBER(deployment_raw[[#This Row],[Column8]]),IF(deployment_raw[[#This Row],[Column5]] &lt;&gt; 0, MAX((deployment_raw[[#This Row],[Column12]] * deployment_raw[[#This Row],[Column5]]), ((deployment_raw[[#This Row],[Column8]] * deployment_raw[[#This Row],[Column5]]) * $L$2), ($H$2 * deployment_raw[[#This Row],[Column5]])), 0),"")</f>
        <v/>
      </c>
      <c r="M28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89" s="188" t="str">
        <f>IF(ISNUMBER(deployment_raw[[#This Row],[Column14]]), deployment_raw[[#This Row],[Column14]],"")</f>
        <v/>
      </c>
      <c r="O289" s="189" t="str">
        <f>IF(ISNUMBER(deployment_raw[[#This Row],[Column15]]), deployment_raw[[#This Row],[Column15]]/1048576,"")</f>
        <v/>
      </c>
      <c r="P289" s="190" t="str">
        <f>IF(ISNUMBER(deployment_raw[[#This Row],[Column12]]), (deployment_raw[[#This Row],[Column12]] * deployment_raw[[#This Row],[Column5]]),"")</f>
        <v/>
      </c>
      <c r="Q289" s="189" t="str">
        <f>IF(ISNUMBER(deployment_raw[[#This Row],[Column13]]), (deployment_raw[[#This Row],[Column13]] * deployment_raw[[#This Row],[Column5]])/1048576,"")</f>
        <v/>
      </c>
    </row>
    <row r="290" spans="1:17" ht="15.75" customHeight="1" x14ac:dyDescent="0.25">
      <c r="A290" s="37" t="str">
        <f>IF(ISNONTEXT(deployment_raw[[#This Row],[Column1]]), "", deployment_raw[[#This Row],[Column1]])</f>
        <v/>
      </c>
      <c r="B290" s="38" t="str">
        <f>IF(ISNONTEXT(deployment_raw[[#This Row],[Column2]]), "", deployment_raw[[#This Row],[Column2]])</f>
        <v/>
      </c>
      <c r="C290" s="38" t="str">
        <f>IF(ISNONTEXT(deployment_raw[[#This Row],[Column3]]), "", deployment_raw[[#This Row],[Column3]])</f>
        <v/>
      </c>
      <c r="D290" s="38" t="str">
        <f>IF(ISNONTEXT(deployment_raw[[#This Row],[Column4]]), "", deployment_raw[[#This Row],[Column4]])</f>
        <v/>
      </c>
      <c r="E290" s="39" t="str">
        <f>IF(ISNUMBER(deployment_raw[[#This Row],[Column5]]), deployment_raw[[#This Row],[Column5]],"")</f>
        <v/>
      </c>
      <c r="F290" s="174" t="str">
        <f>IF(ISNUMBER(deployment_raw[[#This Row],[Column6]]), (deployment_raw[[#This Row],[Column6]] * deployment_raw[[#This Row],[Column5]]),"")</f>
        <v/>
      </c>
      <c r="G290" s="175" t="str">
        <f>IF(ISNUMBER(deployment_raw[[#This Row],[Column7]]), (deployment_raw[[#This Row],[Column7]] * deployment_raw[[#This Row],[Column5]])/1048576,"")</f>
        <v/>
      </c>
      <c r="H290" s="175" t="str">
        <f>IF(ISNUMBER(deployment_raw[[#This Row],[Column8]]), (deployment_raw[[#This Row],[Column8]]  * deployment_raw[[#This Row],[Column5]]),"")</f>
        <v/>
      </c>
      <c r="I290" s="176" t="str">
        <f>IF(ISNUMBER(deployment_raw[[#This Row],[Column9]]), (deployment_raw[[#This Row],[Column9]] * deployment_raw[[#This Row],[Column5]])/1048576,"")</f>
        <v/>
      </c>
      <c r="J290" s="57" t="str">
        <f>IF(ISNUMBER(deployment_raw[[#This Row],[Column10]]), (deployment_raw[[#This Row],[Column10]] * deployment_raw[[#This Row],[Column5]]),"")</f>
        <v/>
      </c>
      <c r="K290" s="58" t="str">
        <f>IF(ISNUMBER(deployment_raw[[#This Row],[Column11]]), (deployment_raw[[#This Row],[Column11]] * deployment_raw[[#This Row],[Column5]])/1048576,"")</f>
        <v/>
      </c>
      <c r="L290" s="180" t="str">
        <f>IF(ISNUMBER(deployment_raw[[#This Row],[Column8]]),IF(deployment_raw[[#This Row],[Column5]] &lt;&gt; 0, MAX((deployment_raw[[#This Row],[Column12]] * deployment_raw[[#This Row],[Column5]]), ((deployment_raw[[#This Row],[Column8]] * deployment_raw[[#This Row],[Column5]]) * $L$2), ($H$2 * deployment_raw[[#This Row],[Column5]])), 0),"")</f>
        <v/>
      </c>
      <c r="M29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90" s="188" t="str">
        <f>IF(ISNUMBER(deployment_raw[[#This Row],[Column14]]), deployment_raw[[#This Row],[Column14]],"")</f>
        <v/>
      </c>
      <c r="O290" s="189" t="str">
        <f>IF(ISNUMBER(deployment_raw[[#This Row],[Column15]]), deployment_raw[[#This Row],[Column15]]/1048576,"")</f>
        <v/>
      </c>
      <c r="P290" s="190" t="str">
        <f>IF(ISNUMBER(deployment_raw[[#This Row],[Column12]]), (deployment_raw[[#This Row],[Column12]] * deployment_raw[[#This Row],[Column5]]),"")</f>
        <v/>
      </c>
      <c r="Q290" s="189" t="str">
        <f>IF(ISNUMBER(deployment_raw[[#This Row],[Column13]]), (deployment_raw[[#This Row],[Column13]] * deployment_raw[[#This Row],[Column5]])/1048576,"")</f>
        <v/>
      </c>
    </row>
    <row r="291" spans="1:17" ht="15.75" customHeight="1" x14ac:dyDescent="0.25">
      <c r="A291" s="37" t="str">
        <f>IF(ISNONTEXT(deployment_raw[[#This Row],[Column1]]), "", deployment_raw[[#This Row],[Column1]])</f>
        <v/>
      </c>
      <c r="B291" s="38" t="str">
        <f>IF(ISNONTEXT(deployment_raw[[#This Row],[Column2]]), "", deployment_raw[[#This Row],[Column2]])</f>
        <v/>
      </c>
      <c r="C291" s="38" t="str">
        <f>IF(ISNONTEXT(deployment_raw[[#This Row],[Column3]]), "", deployment_raw[[#This Row],[Column3]])</f>
        <v/>
      </c>
      <c r="D291" s="38" t="str">
        <f>IF(ISNONTEXT(deployment_raw[[#This Row],[Column4]]), "", deployment_raw[[#This Row],[Column4]])</f>
        <v/>
      </c>
      <c r="E291" s="39" t="str">
        <f>IF(ISNUMBER(deployment_raw[[#This Row],[Column5]]), deployment_raw[[#This Row],[Column5]],"")</f>
        <v/>
      </c>
      <c r="F291" s="174" t="str">
        <f>IF(ISNUMBER(deployment_raw[[#This Row],[Column6]]), (deployment_raw[[#This Row],[Column6]] * deployment_raw[[#This Row],[Column5]]),"")</f>
        <v/>
      </c>
      <c r="G291" s="175" t="str">
        <f>IF(ISNUMBER(deployment_raw[[#This Row],[Column7]]), (deployment_raw[[#This Row],[Column7]] * deployment_raw[[#This Row],[Column5]])/1048576,"")</f>
        <v/>
      </c>
      <c r="H291" s="175" t="str">
        <f>IF(ISNUMBER(deployment_raw[[#This Row],[Column8]]), (deployment_raw[[#This Row],[Column8]]  * deployment_raw[[#This Row],[Column5]]),"")</f>
        <v/>
      </c>
      <c r="I291" s="176" t="str">
        <f>IF(ISNUMBER(deployment_raw[[#This Row],[Column9]]), (deployment_raw[[#This Row],[Column9]] * deployment_raw[[#This Row],[Column5]])/1048576,"")</f>
        <v/>
      </c>
      <c r="J291" s="57" t="str">
        <f>IF(ISNUMBER(deployment_raw[[#This Row],[Column10]]), (deployment_raw[[#This Row],[Column10]] * deployment_raw[[#This Row],[Column5]]),"")</f>
        <v/>
      </c>
      <c r="K291" s="58" t="str">
        <f>IF(ISNUMBER(deployment_raw[[#This Row],[Column11]]), (deployment_raw[[#This Row],[Column11]] * deployment_raw[[#This Row],[Column5]])/1048576,"")</f>
        <v/>
      </c>
      <c r="L291" s="180" t="str">
        <f>IF(ISNUMBER(deployment_raw[[#This Row],[Column8]]),IF(deployment_raw[[#This Row],[Column5]] &lt;&gt; 0, MAX((deployment_raw[[#This Row],[Column12]] * deployment_raw[[#This Row],[Column5]]), ((deployment_raw[[#This Row],[Column8]] * deployment_raw[[#This Row],[Column5]]) * $L$2), ($H$2 * deployment_raw[[#This Row],[Column5]])), 0),"")</f>
        <v/>
      </c>
      <c r="M29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91" s="188" t="str">
        <f>IF(ISNUMBER(deployment_raw[[#This Row],[Column14]]), deployment_raw[[#This Row],[Column14]],"")</f>
        <v/>
      </c>
      <c r="O291" s="189" t="str">
        <f>IF(ISNUMBER(deployment_raw[[#This Row],[Column15]]), deployment_raw[[#This Row],[Column15]]/1048576,"")</f>
        <v/>
      </c>
      <c r="P291" s="190" t="str">
        <f>IF(ISNUMBER(deployment_raw[[#This Row],[Column12]]), (deployment_raw[[#This Row],[Column12]] * deployment_raw[[#This Row],[Column5]]),"")</f>
        <v/>
      </c>
      <c r="Q291" s="189" t="str">
        <f>IF(ISNUMBER(deployment_raw[[#This Row],[Column13]]), (deployment_raw[[#This Row],[Column13]] * deployment_raw[[#This Row],[Column5]])/1048576,"")</f>
        <v/>
      </c>
    </row>
    <row r="292" spans="1:17" ht="15.75" customHeight="1" x14ac:dyDescent="0.25">
      <c r="A292" s="37" t="str">
        <f>IF(ISNONTEXT(deployment_raw[[#This Row],[Column1]]), "", deployment_raw[[#This Row],[Column1]])</f>
        <v/>
      </c>
      <c r="B292" s="38" t="str">
        <f>IF(ISNONTEXT(deployment_raw[[#This Row],[Column2]]), "", deployment_raw[[#This Row],[Column2]])</f>
        <v/>
      </c>
      <c r="C292" s="38" t="str">
        <f>IF(ISNONTEXT(deployment_raw[[#This Row],[Column3]]), "", deployment_raw[[#This Row],[Column3]])</f>
        <v/>
      </c>
      <c r="D292" s="38" t="str">
        <f>IF(ISNONTEXT(deployment_raw[[#This Row],[Column4]]), "", deployment_raw[[#This Row],[Column4]])</f>
        <v/>
      </c>
      <c r="E292" s="39" t="str">
        <f>IF(ISNUMBER(deployment_raw[[#This Row],[Column5]]), deployment_raw[[#This Row],[Column5]],"")</f>
        <v/>
      </c>
      <c r="F292" s="174" t="str">
        <f>IF(ISNUMBER(deployment_raw[[#This Row],[Column6]]), (deployment_raw[[#This Row],[Column6]] * deployment_raw[[#This Row],[Column5]]),"")</f>
        <v/>
      </c>
      <c r="G292" s="175" t="str">
        <f>IF(ISNUMBER(deployment_raw[[#This Row],[Column7]]), (deployment_raw[[#This Row],[Column7]] * deployment_raw[[#This Row],[Column5]])/1048576,"")</f>
        <v/>
      </c>
      <c r="H292" s="175" t="str">
        <f>IF(ISNUMBER(deployment_raw[[#This Row],[Column8]]), (deployment_raw[[#This Row],[Column8]]  * deployment_raw[[#This Row],[Column5]]),"")</f>
        <v/>
      </c>
      <c r="I292" s="176" t="str">
        <f>IF(ISNUMBER(deployment_raw[[#This Row],[Column9]]), (deployment_raw[[#This Row],[Column9]] * deployment_raw[[#This Row],[Column5]])/1048576,"")</f>
        <v/>
      </c>
      <c r="J292" s="57" t="str">
        <f>IF(ISNUMBER(deployment_raw[[#This Row],[Column10]]), (deployment_raw[[#This Row],[Column10]] * deployment_raw[[#This Row],[Column5]]),"")</f>
        <v/>
      </c>
      <c r="K292" s="58" t="str">
        <f>IF(ISNUMBER(deployment_raw[[#This Row],[Column11]]), (deployment_raw[[#This Row],[Column11]] * deployment_raw[[#This Row],[Column5]])/1048576,"")</f>
        <v/>
      </c>
      <c r="L292" s="180" t="str">
        <f>IF(ISNUMBER(deployment_raw[[#This Row],[Column8]]),IF(deployment_raw[[#This Row],[Column5]] &lt;&gt; 0, MAX((deployment_raw[[#This Row],[Column12]] * deployment_raw[[#This Row],[Column5]]), ((deployment_raw[[#This Row],[Column8]] * deployment_raw[[#This Row],[Column5]]) * $L$2), ($H$2 * deployment_raw[[#This Row],[Column5]])), 0),"")</f>
        <v/>
      </c>
      <c r="M29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92" s="188" t="str">
        <f>IF(ISNUMBER(deployment_raw[[#This Row],[Column14]]), deployment_raw[[#This Row],[Column14]],"")</f>
        <v/>
      </c>
      <c r="O292" s="189" t="str">
        <f>IF(ISNUMBER(deployment_raw[[#This Row],[Column15]]), deployment_raw[[#This Row],[Column15]]/1048576,"")</f>
        <v/>
      </c>
      <c r="P292" s="190" t="str">
        <f>IF(ISNUMBER(deployment_raw[[#This Row],[Column12]]), (deployment_raw[[#This Row],[Column12]] * deployment_raw[[#This Row],[Column5]]),"")</f>
        <v/>
      </c>
      <c r="Q292" s="189" t="str">
        <f>IF(ISNUMBER(deployment_raw[[#This Row],[Column13]]), (deployment_raw[[#This Row],[Column13]] * deployment_raw[[#This Row],[Column5]])/1048576,"")</f>
        <v/>
      </c>
    </row>
    <row r="293" spans="1:17" ht="15.75" customHeight="1" x14ac:dyDescent="0.25">
      <c r="A293" s="37" t="str">
        <f>IF(ISNONTEXT(deployment_raw[[#This Row],[Column1]]), "", deployment_raw[[#This Row],[Column1]])</f>
        <v/>
      </c>
      <c r="B293" s="38" t="str">
        <f>IF(ISNONTEXT(deployment_raw[[#This Row],[Column2]]), "", deployment_raw[[#This Row],[Column2]])</f>
        <v/>
      </c>
      <c r="C293" s="38" t="str">
        <f>IF(ISNONTEXT(deployment_raw[[#This Row],[Column3]]), "", deployment_raw[[#This Row],[Column3]])</f>
        <v/>
      </c>
      <c r="D293" s="38" t="str">
        <f>IF(ISNONTEXT(deployment_raw[[#This Row],[Column4]]), "", deployment_raw[[#This Row],[Column4]])</f>
        <v/>
      </c>
      <c r="E293" s="39" t="str">
        <f>IF(ISNUMBER(deployment_raw[[#This Row],[Column5]]), deployment_raw[[#This Row],[Column5]],"")</f>
        <v/>
      </c>
      <c r="F293" s="174" t="str">
        <f>IF(ISNUMBER(deployment_raw[[#This Row],[Column6]]), (deployment_raw[[#This Row],[Column6]] * deployment_raw[[#This Row],[Column5]]),"")</f>
        <v/>
      </c>
      <c r="G293" s="175" t="str">
        <f>IF(ISNUMBER(deployment_raw[[#This Row],[Column7]]), (deployment_raw[[#This Row],[Column7]] * deployment_raw[[#This Row],[Column5]])/1048576,"")</f>
        <v/>
      </c>
      <c r="H293" s="175" t="str">
        <f>IF(ISNUMBER(deployment_raw[[#This Row],[Column8]]), (deployment_raw[[#This Row],[Column8]]  * deployment_raw[[#This Row],[Column5]]),"")</f>
        <v/>
      </c>
      <c r="I293" s="176" t="str">
        <f>IF(ISNUMBER(deployment_raw[[#This Row],[Column9]]), (deployment_raw[[#This Row],[Column9]] * deployment_raw[[#This Row],[Column5]])/1048576,"")</f>
        <v/>
      </c>
      <c r="J293" s="57" t="str">
        <f>IF(ISNUMBER(deployment_raw[[#This Row],[Column10]]), (deployment_raw[[#This Row],[Column10]] * deployment_raw[[#This Row],[Column5]]),"")</f>
        <v/>
      </c>
      <c r="K293" s="58" t="str">
        <f>IF(ISNUMBER(deployment_raw[[#This Row],[Column11]]), (deployment_raw[[#This Row],[Column11]] * deployment_raw[[#This Row],[Column5]])/1048576,"")</f>
        <v/>
      </c>
      <c r="L293" s="180" t="str">
        <f>IF(ISNUMBER(deployment_raw[[#This Row],[Column8]]),IF(deployment_raw[[#This Row],[Column5]] &lt;&gt; 0, MAX((deployment_raw[[#This Row],[Column12]] * deployment_raw[[#This Row],[Column5]]), ((deployment_raw[[#This Row],[Column8]] * deployment_raw[[#This Row],[Column5]]) * $L$2), ($H$2 * deployment_raw[[#This Row],[Column5]])), 0),"")</f>
        <v/>
      </c>
      <c r="M29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93" s="188" t="str">
        <f>IF(ISNUMBER(deployment_raw[[#This Row],[Column14]]), deployment_raw[[#This Row],[Column14]],"")</f>
        <v/>
      </c>
      <c r="O293" s="189" t="str">
        <f>IF(ISNUMBER(deployment_raw[[#This Row],[Column15]]), deployment_raw[[#This Row],[Column15]]/1048576,"")</f>
        <v/>
      </c>
      <c r="P293" s="190" t="str">
        <f>IF(ISNUMBER(deployment_raw[[#This Row],[Column12]]), (deployment_raw[[#This Row],[Column12]] * deployment_raw[[#This Row],[Column5]]),"")</f>
        <v/>
      </c>
      <c r="Q293" s="189" t="str">
        <f>IF(ISNUMBER(deployment_raw[[#This Row],[Column13]]), (deployment_raw[[#This Row],[Column13]] * deployment_raw[[#This Row],[Column5]])/1048576,"")</f>
        <v/>
      </c>
    </row>
    <row r="294" spans="1:17" ht="15.75" customHeight="1" x14ac:dyDescent="0.25">
      <c r="A294" s="37" t="str">
        <f>IF(ISNONTEXT(deployment_raw[[#This Row],[Column1]]), "", deployment_raw[[#This Row],[Column1]])</f>
        <v/>
      </c>
      <c r="B294" s="38" t="str">
        <f>IF(ISNONTEXT(deployment_raw[[#This Row],[Column2]]), "", deployment_raw[[#This Row],[Column2]])</f>
        <v/>
      </c>
      <c r="C294" s="38" t="str">
        <f>IF(ISNONTEXT(deployment_raw[[#This Row],[Column3]]), "", deployment_raw[[#This Row],[Column3]])</f>
        <v/>
      </c>
      <c r="D294" s="38" t="str">
        <f>IF(ISNONTEXT(deployment_raw[[#This Row],[Column4]]), "", deployment_raw[[#This Row],[Column4]])</f>
        <v/>
      </c>
      <c r="E294" s="39" t="str">
        <f>IF(ISNUMBER(deployment_raw[[#This Row],[Column5]]), deployment_raw[[#This Row],[Column5]],"")</f>
        <v/>
      </c>
      <c r="F294" s="174" t="str">
        <f>IF(ISNUMBER(deployment_raw[[#This Row],[Column6]]), (deployment_raw[[#This Row],[Column6]] * deployment_raw[[#This Row],[Column5]]),"")</f>
        <v/>
      </c>
      <c r="G294" s="175" t="str">
        <f>IF(ISNUMBER(deployment_raw[[#This Row],[Column7]]), (deployment_raw[[#This Row],[Column7]] * deployment_raw[[#This Row],[Column5]])/1048576,"")</f>
        <v/>
      </c>
      <c r="H294" s="175" t="str">
        <f>IF(ISNUMBER(deployment_raw[[#This Row],[Column8]]), (deployment_raw[[#This Row],[Column8]]  * deployment_raw[[#This Row],[Column5]]),"")</f>
        <v/>
      </c>
      <c r="I294" s="176" t="str">
        <f>IF(ISNUMBER(deployment_raw[[#This Row],[Column9]]), (deployment_raw[[#This Row],[Column9]] * deployment_raw[[#This Row],[Column5]])/1048576,"")</f>
        <v/>
      </c>
      <c r="J294" s="57" t="str">
        <f>IF(ISNUMBER(deployment_raw[[#This Row],[Column10]]), (deployment_raw[[#This Row],[Column10]] * deployment_raw[[#This Row],[Column5]]),"")</f>
        <v/>
      </c>
      <c r="K294" s="58" t="str">
        <f>IF(ISNUMBER(deployment_raw[[#This Row],[Column11]]), (deployment_raw[[#This Row],[Column11]] * deployment_raw[[#This Row],[Column5]])/1048576,"")</f>
        <v/>
      </c>
      <c r="L294" s="180" t="str">
        <f>IF(ISNUMBER(deployment_raw[[#This Row],[Column8]]),IF(deployment_raw[[#This Row],[Column5]] &lt;&gt; 0, MAX((deployment_raw[[#This Row],[Column12]] * deployment_raw[[#This Row],[Column5]]), ((deployment_raw[[#This Row],[Column8]] * deployment_raw[[#This Row],[Column5]]) * $L$2), ($H$2 * deployment_raw[[#This Row],[Column5]])), 0),"")</f>
        <v/>
      </c>
      <c r="M29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94" s="188" t="str">
        <f>IF(ISNUMBER(deployment_raw[[#This Row],[Column14]]), deployment_raw[[#This Row],[Column14]],"")</f>
        <v/>
      </c>
      <c r="O294" s="189" t="str">
        <f>IF(ISNUMBER(deployment_raw[[#This Row],[Column15]]), deployment_raw[[#This Row],[Column15]]/1048576,"")</f>
        <v/>
      </c>
      <c r="P294" s="190" t="str">
        <f>IF(ISNUMBER(deployment_raw[[#This Row],[Column12]]), (deployment_raw[[#This Row],[Column12]] * deployment_raw[[#This Row],[Column5]]),"")</f>
        <v/>
      </c>
      <c r="Q294" s="189" t="str">
        <f>IF(ISNUMBER(deployment_raw[[#This Row],[Column13]]), (deployment_raw[[#This Row],[Column13]] * deployment_raw[[#This Row],[Column5]])/1048576,"")</f>
        <v/>
      </c>
    </row>
    <row r="295" spans="1:17" ht="15.75" customHeight="1" x14ac:dyDescent="0.25">
      <c r="A295" s="37" t="str">
        <f>IF(ISNONTEXT(deployment_raw[[#This Row],[Column1]]), "", deployment_raw[[#This Row],[Column1]])</f>
        <v/>
      </c>
      <c r="B295" s="38" t="str">
        <f>IF(ISNONTEXT(deployment_raw[[#This Row],[Column2]]), "", deployment_raw[[#This Row],[Column2]])</f>
        <v/>
      </c>
      <c r="C295" s="38" t="str">
        <f>IF(ISNONTEXT(deployment_raw[[#This Row],[Column3]]), "", deployment_raw[[#This Row],[Column3]])</f>
        <v/>
      </c>
      <c r="D295" s="38" t="str">
        <f>IF(ISNONTEXT(deployment_raw[[#This Row],[Column4]]), "", deployment_raw[[#This Row],[Column4]])</f>
        <v/>
      </c>
      <c r="E295" s="39" t="str">
        <f>IF(ISNUMBER(deployment_raw[[#This Row],[Column5]]), deployment_raw[[#This Row],[Column5]],"")</f>
        <v/>
      </c>
      <c r="F295" s="174" t="str">
        <f>IF(ISNUMBER(deployment_raw[[#This Row],[Column6]]), (deployment_raw[[#This Row],[Column6]] * deployment_raw[[#This Row],[Column5]]),"")</f>
        <v/>
      </c>
      <c r="G295" s="175" t="str">
        <f>IF(ISNUMBER(deployment_raw[[#This Row],[Column7]]), (deployment_raw[[#This Row],[Column7]] * deployment_raw[[#This Row],[Column5]])/1048576,"")</f>
        <v/>
      </c>
      <c r="H295" s="175" t="str">
        <f>IF(ISNUMBER(deployment_raw[[#This Row],[Column8]]), (deployment_raw[[#This Row],[Column8]]  * deployment_raw[[#This Row],[Column5]]),"")</f>
        <v/>
      </c>
      <c r="I295" s="176" t="str">
        <f>IF(ISNUMBER(deployment_raw[[#This Row],[Column9]]), (deployment_raw[[#This Row],[Column9]] * deployment_raw[[#This Row],[Column5]])/1048576,"")</f>
        <v/>
      </c>
      <c r="J295" s="57" t="str">
        <f>IF(ISNUMBER(deployment_raw[[#This Row],[Column10]]), (deployment_raw[[#This Row],[Column10]] * deployment_raw[[#This Row],[Column5]]),"")</f>
        <v/>
      </c>
      <c r="K295" s="58" t="str">
        <f>IF(ISNUMBER(deployment_raw[[#This Row],[Column11]]), (deployment_raw[[#This Row],[Column11]] * deployment_raw[[#This Row],[Column5]])/1048576,"")</f>
        <v/>
      </c>
      <c r="L295" s="180" t="str">
        <f>IF(ISNUMBER(deployment_raw[[#This Row],[Column8]]),IF(deployment_raw[[#This Row],[Column5]] &lt;&gt; 0, MAX((deployment_raw[[#This Row],[Column12]] * deployment_raw[[#This Row],[Column5]]), ((deployment_raw[[#This Row],[Column8]] * deployment_raw[[#This Row],[Column5]]) * $L$2), ($H$2 * deployment_raw[[#This Row],[Column5]])), 0),"")</f>
        <v/>
      </c>
      <c r="M29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95" s="188" t="str">
        <f>IF(ISNUMBER(deployment_raw[[#This Row],[Column14]]), deployment_raw[[#This Row],[Column14]],"")</f>
        <v/>
      </c>
      <c r="O295" s="189" t="str">
        <f>IF(ISNUMBER(deployment_raw[[#This Row],[Column15]]), deployment_raw[[#This Row],[Column15]]/1048576,"")</f>
        <v/>
      </c>
      <c r="P295" s="190" t="str">
        <f>IF(ISNUMBER(deployment_raw[[#This Row],[Column12]]), (deployment_raw[[#This Row],[Column12]] * deployment_raw[[#This Row],[Column5]]),"")</f>
        <v/>
      </c>
      <c r="Q295" s="189" t="str">
        <f>IF(ISNUMBER(deployment_raw[[#This Row],[Column13]]), (deployment_raw[[#This Row],[Column13]] * deployment_raw[[#This Row],[Column5]])/1048576,"")</f>
        <v/>
      </c>
    </row>
    <row r="296" spans="1:17" ht="15.75" customHeight="1" x14ac:dyDescent="0.25">
      <c r="A296" s="37" t="str">
        <f>IF(ISNONTEXT(deployment_raw[[#This Row],[Column1]]), "", deployment_raw[[#This Row],[Column1]])</f>
        <v/>
      </c>
      <c r="B296" s="38" t="str">
        <f>IF(ISNONTEXT(deployment_raw[[#This Row],[Column2]]), "", deployment_raw[[#This Row],[Column2]])</f>
        <v/>
      </c>
      <c r="C296" s="38" t="str">
        <f>IF(ISNONTEXT(deployment_raw[[#This Row],[Column3]]), "", deployment_raw[[#This Row],[Column3]])</f>
        <v/>
      </c>
      <c r="D296" s="38" t="str">
        <f>IF(ISNONTEXT(deployment_raw[[#This Row],[Column4]]), "", deployment_raw[[#This Row],[Column4]])</f>
        <v/>
      </c>
      <c r="E296" s="39" t="str">
        <f>IF(ISNUMBER(deployment_raw[[#This Row],[Column5]]), deployment_raw[[#This Row],[Column5]],"")</f>
        <v/>
      </c>
      <c r="F296" s="174" t="str">
        <f>IF(ISNUMBER(deployment_raw[[#This Row],[Column6]]), (deployment_raw[[#This Row],[Column6]] * deployment_raw[[#This Row],[Column5]]),"")</f>
        <v/>
      </c>
      <c r="G296" s="175" t="str">
        <f>IF(ISNUMBER(deployment_raw[[#This Row],[Column7]]), (deployment_raw[[#This Row],[Column7]] * deployment_raw[[#This Row],[Column5]])/1048576,"")</f>
        <v/>
      </c>
      <c r="H296" s="175" t="str">
        <f>IF(ISNUMBER(deployment_raw[[#This Row],[Column8]]), (deployment_raw[[#This Row],[Column8]]  * deployment_raw[[#This Row],[Column5]]),"")</f>
        <v/>
      </c>
      <c r="I296" s="176" t="str">
        <f>IF(ISNUMBER(deployment_raw[[#This Row],[Column9]]), (deployment_raw[[#This Row],[Column9]] * deployment_raw[[#This Row],[Column5]])/1048576,"")</f>
        <v/>
      </c>
      <c r="J296" s="57" t="str">
        <f>IF(ISNUMBER(deployment_raw[[#This Row],[Column10]]), (deployment_raw[[#This Row],[Column10]] * deployment_raw[[#This Row],[Column5]]),"")</f>
        <v/>
      </c>
      <c r="K296" s="58" t="str">
        <f>IF(ISNUMBER(deployment_raw[[#This Row],[Column11]]), (deployment_raw[[#This Row],[Column11]] * deployment_raw[[#This Row],[Column5]])/1048576,"")</f>
        <v/>
      </c>
      <c r="L296" s="180" t="str">
        <f>IF(ISNUMBER(deployment_raw[[#This Row],[Column8]]),IF(deployment_raw[[#This Row],[Column5]] &lt;&gt; 0, MAX((deployment_raw[[#This Row],[Column12]] * deployment_raw[[#This Row],[Column5]]), ((deployment_raw[[#This Row],[Column8]] * deployment_raw[[#This Row],[Column5]]) * $L$2), ($H$2 * deployment_raw[[#This Row],[Column5]])), 0),"")</f>
        <v/>
      </c>
      <c r="M29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96" s="188" t="str">
        <f>IF(ISNUMBER(deployment_raw[[#This Row],[Column14]]), deployment_raw[[#This Row],[Column14]],"")</f>
        <v/>
      </c>
      <c r="O296" s="189" t="str">
        <f>IF(ISNUMBER(deployment_raw[[#This Row],[Column15]]), deployment_raw[[#This Row],[Column15]]/1048576,"")</f>
        <v/>
      </c>
      <c r="P296" s="190" t="str">
        <f>IF(ISNUMBER(deployment_raw[[#This Row],[Column12]]), (deployment_raw[[#This Row],[Column12]] * deployment_raw[[#This Row],[Column5]]),"")</f>
        <v/>
      </c>
      <c r="Q296" s="189" t="str">
        <f>IF(ISNUMBER(deployment_raw[[#This Row],[Column13]]), (deployment_raw[[#This Row],[Column13]] * deployment_raw[[#This Row],[Column5]])/1048576,"")</f>
        <v/>
      </c>
    </row>
    <row r="297" spans="1:17" ht="15.75" customHeight="1" x14ac:dyDescent="0.25">
      <c r="A297" s="37" t="str">
        <f>IF(ISNONTEXT(deployment_raw[[#This Row],[Column1]]), "", deployment_raw[[#This Row],[Column1]])</f>
        <v/>
      </c>
      <c r="B297" s="38" t="str">
        <f>IF(ISNONTEXT(deployment_raw[[#This Row],[Column2]]), "", deployment_raw[[#This Row],[Column2]])</f>
        <v/>
      </c>
      <c r="C297" s="38" t="str">
        <f>IF(ISNONTEXT(deployment_raw[[#This Row],[Column3]]), "", deployment_raw[[#This Row],[Column3]])</f>
        <v/>
      </c>
      <c r="D297" s="38" t="str">
        <f>IF(ISNONTEXT(deployment_raw[[#This Row],[Column4]]), "", deployment_raw[[#This Row],[Column4]])</f>
        <v/>
      </c>
      <c r="E297" s="39" t="str">
        <f>IF(ISNUMBER(deployment_raw[[#This Row],[Column5]]), deployment_raw[[#This Row],[Column5]],"")</f>
        <v/>
      </c>
      <c r="F297" s="174" t="str">
        <f>IF(ISNUMBER(deployment_raw[[#This Row],[Column6]]), (deployment_raw[[#This Row],[Column6]] * deployment_raw[[#This Row],[Column5]]),"")</f>
        <v/>
      </c>
      <c r="G297" s="175" t="str">
        <f>IF(ISNUMBER(deployment_raw[[#This Row],[Column7]]), (deployment_raw[[#This Row],[Column7]] * deployment_raw[[#This Row],[Column5]])/1048576,"")</f>
        <v/>
      </c>
      <c r="H297" s="175" t="str">
        <f>IF(ISNUMBER(deployment_raw[[#This Row],[Column8]]), (deployment_raw[[#This Row],[Column8]]  * deployment_raw[[#This Row],[Column5]]),"")</f>
        <v/>
      </c>
      <c r="I297" s="176" t="str">
        <f>IF(ISNUMBER(deployment_raw[[#This Row],[Column9]]), (deployment_raw[[#This Row],[Column9]] * deployment_raw[[#This Row],[Column5]])/1048576,"")</f>
        <v/>
      </c>
      <c r="J297" s="57" t="str">
        <f>IF(ISNUMBER(deployment_raw[[#This Row],[Column10]]), (deployment_raw[[#This Row],[Column10]] * deployment_raw[[#This Row],[Column5]]),"")</f>
        <v/>
      </c>
      <c r="K297" s="58" t="str">
        <f>IF(ISNUMBER(deployment_raw[[#This Row],[Column11]]), (deployment_raw[[#This Row],[Column11]] * deployment_raw[[#This Row],[Column5]])/1048576,"")</f>
        <v/>
      </c>
      <c r="L297" s="180" t="str">
        <f>IF(ISNUMBER(deployment_raw[[#This Row],[Column8]]),IF(deployment_raw[[#This Row],[Column5]] &lt;&gt; 0, MAX((deployment_raw[[#This Row],[Column12]] * deployment_raw[[#This Row],[Column5]]), ((deployment_raw[[#This Row],[Column8]] * deployment_raw[[#This Row],[Column5]]) * $L$2), ($H$2 * deployment_raw[[#This Row],[Column5]])), 0),"")</f>
        <v/>
      </c>
      <c r="M29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97" s="188" t="str">
        <f>IF(ISNUMBER(deployment_raw[[#This Row],[Column14]]), deployment_raw[[#This Row],[Column14]],"")</f>
        <v/>
      </c>
      <c r="O297" s="189" t="str">
        <f>IF(ISNUMBER(deployment_raw[[#This Row],[Column15]]), deployment_raw[[#This Row],[Column15]]/1048576,"")</f>
        <v/>
      </c>
      <c r="P297" s="190" t="str">
        <f>IF(ISNUMBER(deployment_raw[[#This Row],[Column12]]), (deployment_raw[[#This Row],[Column12]] * deployment_raw[[#This Row],[Column5]]),"")</f>
        <v/>
      </c>
      <c r="Q297" s="189" t="str">
        <f>IF(ISNUMBER(deployment_raw[[#This Row],[Column13]]), (deployment_raw[[#This Row],[Column13]] * deployment_raw[[#This Row],[Column5]])/1048576,"")</f>
        <v/>
      </c>
    </row>
    <row r="298" spans="1:17" ht="15.75" customHeight="1" x14ac:dyDescent="0.25">
      <c r="A298" s="37" t="str">
        <f>IF(ISNONTEXT(deployment_raw[[#This Row],[Column1]]), "", deployment_raw[[#This Row],[Column1]])</f>
        <v/>
      </c>
      <c r="B298" s="38" t="str">
        <f>IF(ISNONTEXT(deployment_raw[[#This Row],[Column2]]), "", deployment_raw[[#This Row],[Column2]])</f>
        <v/>
      </c>
      <c r="C298" s="38" t="str">
        <f>IF(ISNONTEXT(deployment_raw[[#This Row],[Column3]]), "", deployment_raw[[#This Row],[Column3]])</f>
        <v/>
      </c>
      <c r="D298" s="38" t="str">
        <f>IF(ISNONTEXT(deployment_raw[[#This Row],[Column4]]), "", deployment_raw[[#This Row],[Column4]])</f>
        <v/>
      </c>
      <c r="E298" s="39" t="str">
        <f>IF(ISNUMBER(deployment_raw[[#This Row],[Column5]]), deployment_raw[[#This Row],[Column5]],"")</f>
        <v/>
      </c>
      <c r="F298" s="174" t="str">
        <f>IF(ISNUMBER(deployment_raw[[#This Row],[Column6]]), (deployment_raw[[#This Row],[Column6]] * deployment_raw[[#This Row],[Column5]]),"")</f>
        <v/>
      </c>
      <c r="G298" s="175" t="str">
        <f>IF(ISNUMBER(deployment_raw[[#This Row],[Column7]]), (deployment_raw[[#This Row],[Column7]] * deployment_raw[[#This Row],[Column5]])/1048576,"")</f>
        <v/>
      </c>
      <c r="H298" s="175" t="str">
        <f>IF(ISNUMBER(deployment_raw[[#This Row],[Column8]]), (deployment_raw[[#This Row],[Column8]]  * deployment_raw[[#This Row],[Column5]]),"")</f>
        <v/>
      </c>
      <c r="I298" s="176" t="str">
        <f>IF(ISNUMBER(deployment_raw[[#This Row],[Column9]]), (deployment_raw[[#This Row],[Column9]] * deployment_raw[[#This Row],[Column5]])/1048576,"")</f>
        <v/>
      </c>
      <c r="J298" s="57" t="str">
        <f>IF(ISNUMBER(deployment_raw[[#This Row],[Column10]]), (deployment_raw[[#This Row],[Column10]] * deployment_raw[[#This Row],[Column5]]),"")</f>
        <v/>
      </c>
      <c r="K298" s="58" t="str">
        <f>IF(ISNUMBER(deployment_raw[[#This Row],[Column11]]), (deployment_raw[[#This Row],[Column11]] * deployment_raw[[#This Row],[Column5]])/1048576,"")</f>
        <v/>
      </c>
      <c r="L298" s="180" t="str">
        <f>IF(ISNUMBER(deployment_raw[[#This Row],[Column8]]),IF(deployment_raw[[#This Row],[Column5]] &lt;&gt; 0, MAX((deployment_raw[[#This Row],[Column12]] * deployment_raw[[#This Row],[Column5]]), ((deployment_raw[[#This Row],[Column8]] * deployment_raw[[#This Row],[Column5]]) * $L$2), ($H$2 * deployment_raw[[#This Row],[Column5]])), 0),"")</f>
        <v/>
      </c>
      <c r="M29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98" s="188" t="str">
        <f>IF(ISNUMBER(deployment_raw[[#This Row],[Column14]]), deployment_raw[[#This Row],[Column14]],"")</f>
        <v/>
      </c>
      <c r="O298" s="189" t="str">
        <f>IF(ISNUMBER(deployment_raw[[#This Row],[Column15]]), deployment_raw[[#This Row],[Column15]]/1048576,"")</f>
        <v/>
      </c>
      <c r="P298" s="190" t="str">
        <f>IF(ISNUMBER(deployment_raw[[#This Row],[Column12]]), (deployment_raw[[#This Row],[Column12]] * deployment_raw[[#This Row],[Column5]]),"")</f>
        <v/>
      </c>
      <c r="Q298" s="189" t="str">
        <f>IF(ISNUMBER(deployment_raw[[#This Row],[Column13]]), (deployment_raw[[#This Row],[Column13]] * deployment_raw[[#This Row],[Column5]])/1048576,"")</f>
        <v/>
      </c>
    </row>
    <row r="299" spans="1:17" ht="15.75" customHeight="1" x14ac:dyDescent="0.25">
      <c r="A299" s="37" t="str">
        <f>IF(ISNONTEXT(deployment_raw[[#This Row],[Column1]]), "", deployment_raw[[#This Row],[Column1]])</f>
        <v/>
      </c>
      <c r="B299" s="38" t="str">
        <f>IF(ISNONTEXT(deployment_raw[[#This Row],[Column2]]), "", deployment_raw[[#This Row],[Column2]])</f>
        <v/>
      </c>
      <c r="C299" s="38" t="str">
        <f>IF(ISNONTEXT(deployment_raw[[#This Row],[Column3]]), "", deployment_raw[[#This Row],[Column3]])</f>
        <v/>
      </c>
      <c r="D299" s="38" t="str">
        <f>IF(ISNONTEXT(deployment_raw[[#This Row],[Column4]]), "", deployment_raw[[#This Row],[Column4]])</f>
        <v/>
      </c>
      <c r="E299" s="39" t="str">
        <f>IF(ISNUMBER(deployment_raw[[#This Row],[Column5]]), deployment_raw[[#This Row],[Column5]],"")</f>
        <v/>
      </c>
      <c r="F299" s="174" t="str">
        <f>IF(ISNUMBER(deployment_raw[[#This Row],[Column6]]), (deployment_raw[[#This Row],[Column6]] * deployment_raw[[#This Row],[Column5]]),"")</f>
        <v/>
      </c>
      <c r="G299" s="175" t="str">
        <f>IF(ISNUMBER(deployment_raw[[#This Row],[Column7]]), (deployment_raw[[#This Row],[Column7]] * deployment_raw[[#This Row],[Column5]])/1048576,"")</f>
        <v/>
      </c>
      <c r="H299" s="175" t="str">
        <f>IF(ISNUMBER(deployment_raw[[#This Row],[Column8]]), (deployment_raw[[#This Row],[Column8]]  * deployment_raw[[#This Row],[Column5]]),"")</f>
        <v/>
      </c>
      <c r="I299" s="176" t="str">
        <f>IF(ISNUMBER(deployment_raw[[#This Row],[Column9]]), (deployment_raw[[#This Row],[Column9]] * deployment_raw[[#This Row],[Column5]])/1048576,"")</f>
        <v/>
      </c>
      <c r="J299" s="57" t="str">
        <f>IF(ISNUMBER(deployment_raw[[#This Row],[Column10]]), (deployment_raw[[#This Row],[Column10]] * deployment_raw[[#This Row],[Column5]]),"")</f>
        <v/>
      </c>
      <c r="K299" s="58" t="str">
        <f>IF(ISNUMBER(deployment_raw[[#This Row],[Column11]]), (deployment_raw[[#This Row],[Column11]] * deployment_raw[[#This Row],[Column5]])/1048576,"")</f>
        <v/>
      </c>
      <c r="L299" s="180" t="str">
        <f>IF(ISNUMBER(deployment_raw[[#This Row],[Column8]]),IF(deployment_raw[[#This Row],[Column5]] &lt;&gt; 0, MAX((deployment_raw[[#This Row],[Column12]] * deployment_raw[[#This Row],[Column5]]), ((deployment_raw[[#This Row],[Column8]] * deployment_raw[[#This Row],[Column5]]) * $L$2), ($H$2 * deployment_raw[[#This Row],[Column5]])), 0),"")</f>
        <v/>
      </c>
      <c r="M29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299" s="188" t="str">
        <f>IF(ISNUMBER(deployment_raw[[#This Row],[Column14]]), deployment_raw[[#This Row],[Column14]],"")</f>
        <v/>
      </c>
      <c r="O299" s="189" t="str">
        <f>IF(ISNUMBER(deployment_raw[[#This Row],[Column15]]), deployment_raw[[#This Row],[Column15]]/1048576,"")</f>
        <v/>
      </c>
      <c r="P299" s="190" t="str">
        <f>IF(ISNUMBER(deployment_raw[[#This Row],[Column12]]), (deployment_raw[[#This Row],[Column12]] * deployment_raw[[#This Row],[Column5]]),"")</f>
        <v/>
      </c>
      <c r="Q299" s="189" t="str">
        <f>IF(ISNUMBER(deployment_raw[[#This Row],[Column13]]), (deployment_raw[[#This Row],[Column13]] * deployment_raw[[#This Row],[Column5]])/1048576,"")</f>
        <v/>
      </c>
    </row>
    <row r="300" spans="1:17" ht="15.75" customHeight="1" x14ac:dyDescent="0.25">
      <c r="A300" s="37" t="str">
        <f>IF(ISNONTEXT(deployment_raw[[#This Row],[Column1]]), "", deployment_raw[[#This Row],[Column1]])</f>
        <v/>
      </c>
      <c r="B300" s="38" t="str">
        <f>IF(ISNONTEXT(deployment_raw[[#This Row],[Column2]]), "", deployment_raw[[#This Row],[Column2]])</f>
        <v/>
      </c>
      <c r="C300" s="38" t="str">
        <f>IF(ISNONTEXT(deployment_raw[[#This Row],[Column3]]), "", deployment_raw[[#This Row],[Column3]])</f>
        <v/>
      </c>
      <c r="D300" s="38" t="str">
        <f>IF(ISNONTEXT(deployment_raw[[#This Row],[Column4]]), "", deployment_raw[[#This Row],[Column4]])</f>
        <v/>
      </c>
      <c r="E300" s="39" t="str">
        <f>IF(ISNUMBER(deployment_raw[[#This Row],[Column5]]), deployment_raw[[#This Row],[Column5]],"")</f>
        <v/>
      </c>
      <c r="F300" s="174" t="str">
        <f>IF(ISNUMBER(deployment_raw[[#This Row],[Column6]]), (deployment_raw[[#This Row],[Column6]] * deployment_raw[[#This Row],[Column5]]),"")</f>
        <v/>
      </c>
      <c r="G300" s="175" t="str">
        <f>IF(ISNUMBER(deployment_raw[[#This Row],[Column7]]), (deployment_raw[[#This Row],[Column7]] * deployment_raw[[#This Row],[Column5]])/1048576,"")</f>
        <v/>
      </c>
      <c r="H300" s="175" t="str">
        <f>IF(ISNUMBER(deployment_raw[[#This Row],[Column8]]), (deployment_raw[[#This Row],[Column8]]  * deployment_raw[[#This Row],[Column5]]),"")</f>
        <v/>
      </c>
      <c r="I300" s="176" t="str">
        <f>IF(ISNUMBER(deployment_raw[[#This Row],[Column9]]), (deployment_raw[[#This Row],[Column9]] * deployment_raw[[#This Row],[Column5]])/1048576,"")</f>
        <v/>
      </c>
      <c r="J300" s="57" t="str">
        <f>IF(ISNUMBER(deployment_raw[[#This Row],[Column10]]), (deployment_raw[[#This Row],[Column10]] * deployment_raw[[#This Row],[Column5]]),"")</f>
        <v/>
      </c>
      <c r="K300" s="58" t="str">
        <f>IF(ISNUMBER(deployment_raw[[#This Row],[Column11]]), (deployment_raw[[#This Row],[Column11]] * deployment_raw[[#This Row],[Column5]])/1048576,"")</f>
        <v/>
      </c>
      <c r="L300" s="180" t="str">
        <f>IF(ISNUMBER(deployment_raw[[#This Row],[Column8]]),IF(deployment_raw[[#This Row],[Column5]] &lt;&gt; 0, MAX((deployment_raw[[#This Row],[Column12]] * deployment_raw[[#This Row],[Column5]]), ((deployment_raw[[#This Row],[Column8]] * deployment_raw[[#This Row],[Column5]]) * $L$2), ($H$2 * deployment_raw[[#This Row],[Column5]])), 0),"")</f>
        <v/>
      </c>
      <c r="M30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00" s="188" t="str">
        <f>IF(ISNUMBER(deployment_raw[[#This Row],[Column14]]), deployment_raw[[#This Row],[Column14]],"")</f>
        <v/>
      </c>
      <c r="O300" s="189" t="str">
        <f>IF(ISNUMBER(deployment_raw[[#This Row],[Column15]]), deployment_raw[[#This Row],[Column15]]/1048576,"")</f>
        <v/>
      </c>
      <c r="P300" s="190" t="str">
        <f>IF(ISNUMBER(deployment_raw[[#This Row],[Column12]]), (deployment_raw[[#This Row],[Column12]] * deployment_raw[[#This Row],[Column5]]),"")</f>
        <v/>
      </c>
      <c r="Q300" s="189" t="str">
        <f>IF(ISNUMBER(deployment_raw[[#This Row],[Column13]]), (deployment_raw[[#This Row],[Column13]] * deployment_raw[[#This Row],[Column5]])/1048576,"")</f>
        <v/>
      </c>
    </row>
    <row r="301" spans="1:17" ht="15.75" customHeight="1" x14ac:dyDescent="0.25">
      <c r="A301" s="37" t="str">
        <f>IF(ISNONTEXT(deployment_raw[[#This Row],[Column1]]), "", deployment_raw[[#This Row],[Column1]])</f>
        <v/>
      </c>
      <c r="B301" s="38" t="str">
        <f>IF(ISNONTEXT(deployment_raw[[#This Row],[Column2]]), "", deployment_raw[[#This Row],[Column2]])</f>
        <v/>
      </c>
      <c r="C301" s="38" t="str">
        <f>IF(ISNONTEXT(deployment_raw[[#This Row],[Column3]]), "", deployment_raw[[#This Row],[Column3]])</f>
        <v/>
      </c>
      <c r="D301" s="38" t="str">
        <f>IF(ISNONTEXT(deployment_raw[[#This Row],[Column4]]), "", deployment_raw[[#This Row],[Column4]])</f>
        <v/>
      </c>
      <c r="E301" s="39" t="str">
        <f>IF(ISNUMBER(deployment_raw[[#This Row],[Column5]]), deployment_raw[[#This Row],[Column5]],"")</f>
        <v/>
      </c>
      <c r="F301" s="174" t="str">
        <f>IF(ISNUMBER(deployment_raw[[#This Row],[Column6]]), (deployment_raw[[#This Row],[Column6]] * deployment_raw[[#This Row],[Column5]]),"")</f>
        <v/>
      </c>
      <c r="G301" s="175" t="str">
        <f>IF(ISNUMBER(deployment_raw[[#This Row],[Column7]]), (deployment_raw[[#This Row],[Column7]] * deployment_raw[[#This Row],[Column5]])/1048576,"")</f>
        <v/>
      </c>
      <c r="H301" s="175" t="str">
        <f>IF(ISNUMBER(deployment_raw[[#This Row],[Column8]]), (deployment_raw[[#This Row],[Column8]]  * deployment_raw[[#This Row],[Column5]]),"")</f>
        <v/>
      </c>
      <c r="I301" s="176" t="str">
        <f>IF(ISNUMBER(deployment_raw[[#This Row],[Column9]]), (deployment_raw[[#This Row],[Column9]] * deployment_raw[[#This Row],[Column5]])/1048576,"")</f>
        <v/>
      </c>
      <c r="J301" s="57" t="str">
        <f>IF(ISNUMBER(deployment_raw[[#This Row],[Column10]]), (deployment_raw[[#This Row],[Column10]] * deployment_raw[[#This Row],[Column5]]),"")</f>
        <v/>
      </c>
      <c r="K301" s="58" t="str">
        <f>IF(ISNUMBER(deployment_raw[[#This Row],[Column11]]), (deployment_raw[[#This Row],[Column11]] * deployment_raw[[#This Row],[Column5]])/1048576,"")</f>
        <v/>
      </c>
      <c r="L301" s="180" t="str">
        <f>IF(ISNUMBER(deployment_raw[[#This Row],[Column8]]),IF(deployment_raw[[#This Row],[Column5]] &lt;&gt; 0, MAX((deployment_raw[[#This Row],[Column12]] * deployment_raw[[#This Row],[Column5]]), ((deployment_raw[[#This Row],[Column8]] * deployment_raw[[#This Row],[Column5]]) * $L$2), ($H$2 * deployment_raw[[#This Row],[Column5]])), 0),"")</f>
        <v/>
      </c>
      <c r="M30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01" s="188" t="str">
        <f>IF(ISNUMBER(deployment_raw[[#This Row],[Column14]]), deployment_raw[[#This Row],[Column14]],"")</f>
        <v/>
      </c>
      <c r="O301" s="189" t="str">
        <f>IF(ISNUMBER(deployment_raw[[#This Row],[Column15]]), deployment_raw[[#This Row],[Column15]]/1048576,"")</f>
        <v/>
      </c>
      <c r="P301" s="190" t="str">
        <f>IF(ISNUMBER(deployment_raw[[#This Row],[Column12]]), (deployment_raw[[#This Row],[Column12]] * deployment_raw[[#This Row],[Column5]]),"")</f>
        <v/>
      </c>
      <c r="Q301" s="189" t="str">
        <f>IF(ISNUMBER(deployment_raw[[#This Row],[Column13]]), (deployment_raw[[#This Row],[Column13]] * deployment_raw[[#This Row],[Column5]])/1048576,"")</f>
        <v/>
      </c>
    </row>
    <row r="302" spans="1:17" ht="15.75" customHeight="1" x14ac:dyDescent="0.25">
      <c r="A302" s="37" t="str">
        <f>IF(ISNONTEXT(deployment_raw[[#This Row],[Column1]]), "", deployment_raw[[#This Row],[Column1]])</f>
        <v/>
      </c>
      <c r="B302" s="38" t="str">
        <f>IF(ISNONTEXT(deployment_raw[[#This Row],[Column2]]), "", deployment_raw[[#This Row],[Column2]])</f>
        <v/>
      </c>
      <c r="C302" s="38" t="str">
        <f>IF(ISNONTEXT(deployment_raw[[#This Row],[Column3]]), "", deployment_raw[[#This Row],[Column3]])</f>
        <v/>
      </c>
      <c r="D302" s="38" t="str">
        <f>IF(ISNONTEXT(deployment_raw[[#This Row],[Column4]]), "", deployment_raw[[#This Row],[Column4]])</f>
        <v/>
      </c>
      <c r="E302" s="39" t="str">
        <f>IF(ISNUMBER(deployment_raw[[#This Row],[Column5]]), deployment_raw[[#This Row],[Column5]],"")</f>
        <v/>
      </c>
      <c r="F302" s="174" t="str">
        <f>IF(ISNUMBER(deployment_raw[[#This Row],[Column6]]), (deployment_raw[[#This Row],[Column6]] * deployment_raw[[#This Row],[Column5]]),"")</f>
        <v/>
      </c>
      <c r="G302" s="175" t="str">
        <f>IF(ISNUMBER(deployment_raw[[#This Row],[Column7]]), (deployment_raw[[#This Row],[Column7]] * deployment_raw[[#This Row],[Column5]])/1048576,"")</f>
        <v/>
      </c>
      <c r="H302" s="175" t="str">
        <f>IF(ISNUMBER(deployment_raw[[#This Row],[Column8]]), (deployment_raw[[#This Row],[Column8]]  * deployment_raw[[#This Row],[Column5]]),"")</f>
        <v/>
      </c>
      <c r="I302" s="176" t="str">
        <f>IF(ISNUMBER(deployment_raw[[#This Row],[Column9]]), (deployment_raw[[#This Row],[Column9]] * deployment_raw[[#This Row],[Column5]])/1048576,"")</f>
        <v/>
      </c>
      <c r="J302" s="57" t="str">
        <f>IF(ISNUMBER(deployment_raw[[#This Row],[Column10]]), (deployment_raw[[#This Row],[Column10]] * deployment_raw[[#This Row],[Column5]]),"")</f>
        <v/>
      </c>
      <c r="K302" s="58" t="str">
        <f>IF(ISNUMBER(deployment_raw[[#This Row],[Column11]]), (deployment_raw[[#This Row],[Column11]] * deployment_raw[[#This Row],[Column5]])/1048576,"")</f>
        <v/>
      </c>
      <c r="L302" s="180" t="str">
        <f>IF(ISNUMBER(deployment_raw[[#This Row],[Column8]]),IF(deployment_raw[[#This Row],[Column5]] &lt;&gt; 0, MAX((deployment_raw[[#This Row],[Column12]] * deployment_raw[[#This Row],[Column5]]), ((deployment_raw[[#This Row],[Column8]] * deployment_raw[[#This Row],[Column5]]) * $L$2), ($H$2 * deployment_raw[[#This Row],[Column5]])), 0),"")</f>
        <v/>
      </c>
      <c r="M30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02" s="188" t="str">
        <f>IF(ISNUMBER(deployment_raw[[#This Row],[Column14]]), deployment_raw[[#This Row],[Column14]],"")</f>
        <v/>
      </c>
      <c r="O302" s="189" t="str">
        <f>IF(ISNUMBER(deployment_raw[[#This Row],[Column15]]), deployment_raw[[#This Row],[Column15]]/1048576,"")</f>
        <v/>
      </c>
      <c r="P302" s="190" t="str">
        <f>IF(ISNUMBER(deployment_raw[[#This Row],[Column12]]), (deployment_raw[[#This Row],[Column12]] * deployment_raw[[#This Row],[Column5]]),"")</f>
        <v/>
      </c>
      <c r="Q302" s="189" t="str">
        <f>IF(ISNUMBER(deployment_raw[[#This Row],[Column13]]), (deployment_raw[[#This Row],[Column13]] * deployment_raw[[#This Row],[Column5]])/1048576,"")</f>
        <v/>
      </c>
    </row>
    <row r="303" spans="1:17" ht="15.75" customHeight="1" x14ac:dyDescent="0.25">
      <c r="A303" s="37" t="str">
        <f>IF(ISNONTEXT(deployment_raw[[#This Row],[Column1]]), "", deployment_raw[[#This Row],[Column1]])</f>
        <v/>
      </c>
      <c r="B303" s="38" t="str">
        <f>IF(ISNONTEXT(deployment_raw[[#This Row],[Column2]]), "", deployment_raw[[#This Row],[Column2]])</f>
        <v/>
      </c>
      <c r="C303" s="38" t="str">
        <f>IF(ISNONTEXT(deployment_raw[[#This Row],[Column3]]), "", deployment_raw[[#This Row],[Column3]])</f>
        <v/>
      </c>
      <c r="D303" s="38" t="str">
        <f>IF(ISNONTEXT(deployment_raw[[#This Row],[Column4]]), "", deployment_raw[[#This Row],[Column4]])</f>
        <v/>
      </c>
      <c r="E303" s="39" t="str">
        <f>IF(ISNUMBER(deployment_raw[[#This Row],[Column5]]), deployment_raw[[#This Row],[Column5]],"")</f>
        <v/>
      </c>
      <c r="F303" s="174" t="str">
        <f>IF(ISNUMBER(deployment_raw[[#This Row],[Column6]]), (deployment_raw[[#This Row],[Column6]] * deployment_raw[[#This Row],[Column5]]),"")</f>
        <v/>
      </c>
      <c r="G303" s="175" t="str">
        <f>IF(ISNUMBER(deployment_raw[[#This Row],[Column7]]), (deployment_raw[[#This Row],[Column7]] * deployment_raw[[#This Row],[Column5]])/1048576,"")</f>
        <v/>
      </c>
      <c r="H303" s="175" t="str">
        <f>IF(ISNUMBER(deployment_raw[[#This Row],[Column8]]), (deployment_raw[[#This Row],[Column8]]  * deployment_raw[[#This Row],[Column5]]),"")</f>
        <v/>
      </c>
      <c r="I303" s="176" t="str">
        <f>IF(ISNUMBER(deployment_raw[[#This Row],[Column9]]), (deployment_raw[[#This Row],[Column9]] * deployment_raw[[#This Row],[Column5]])/1048576,"")</f>
        <v/>
      </c>
      <c r="J303" s="57" t="str">
        <f>IF(ISNUMBER(deployment_raw[[#This Row],[Column10]]), (deployment_raw[[#This Row],[Column10]] * deployment_raw[[#This Row],[Column5]]),"")</f>
        <v/>
      </c>
      <c r="K303" s="58" t="str">
        <f>IF(ISNUMBER(deployment_raw[[#This Row],[Column11]]), (deployment_raw[[#This Row],[Column11]] * deployment_raw[[#This Row],[Column5]])/1048576,"")</f>
        <v/>
      </c>
      <c r="L303" s="180" t="str">
        <f>IF(ISNUMBER(deployment_raw[[#This Row],[Column8]]),IF(deployment_raw[[#This Row],[Column5]] &lt;&gt; 0, MAX((deployment_raw[[#This Row],[Column12]] * deployment_raw[[#This Row],[Column5]]), ((deployment_raw[[#This Row],[Column8]] * deployment_raw[[#This Row],[Column5]]) * $L$2), ($H$2 * deployment_raw[[#This Row],[Column5]])), 0),"")</f>
        <v/>
      </c>
      <c r="M30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03" s="188" t="str">
        <f>IF(ISNUMBER(deployment_raw[[#This Row],[Column14]]), deployment_raw[[#This Row],[Column14]],"")</f>
        <v/>
      </c>
      <c r="O303" s="189" t="str">
        <f>IF(ISNUMBER(deployment_raw[[#This Row],[Column15]]), deployment_raw[[#This Row],[Column15]]/1048576,"")</f>
        <v/>
      </c>
      <c r="P303" s="190" t="str">
        <f>IF(ISNUMBER(deployment_raw[[#This Row],[Column12]]), (deployment_raw[[#This Row],[Column12]] * deployment_raw[[#This Row],[Column5]]),"")</f>
        <v/>
      </c>
      <c r="Q303" s="189" t="str">
        <f>IF(ISNUMBER(deployment_raw[[#This Row],[Column13]]), (deployment_raw[[#This Row],[Column13]] * deployment_raw[[#This Row],[Column5]])/1048576,"")</f>
        <v/>
      </c>
    </row>
    <row r="304" spans="1:17" ht="15.75" customHeight="1" x14ac:dyDescent="0.25">
      <c r="A304" s="37" t="str">
        <f>IF(ISNONTEXT(deployment_raw[[#This Row],[Column1]]), "", deployment_raw[[#This Row],[Column1]])</f>
        <v/>
      </c>
      <c r="B304" s="38" t="str">
        <f>IF(ISNONTEXT(deployment_raw[[#This Row],[Column2]]), "", deployment_raw[[#This Row],[Column2]])</f>
        <v/>
      </c>
      <c r="C304" s="38" t="str">
        <f>IF(ISNONTEXT(deployment_raw[[#This Row],[Column3]]), "", deployment_raw[[#This Row],[Column3]])</f>
        <v/>
      </c>
      <c r="D304" s="38" t="str">
        <f>IF(ISNONTEXT(deployment_raw[[#This Row],[Column4]]), "", deployment_raw[[#This Row],[Column4]])</f>
        <v/>
      </c>
      <c r="E304" s="39" t="str">
        <f>IF(ISNUMBER(deployment_raw[[#This Row],[Column5]]), deployment_raw[[#This Row],[Column5]],"")</f>
        <v/>
      </c>
      <c r="F304" s="174" t="str">
        <f>IF(ISNUMBER(deployment_raw[[#This Row],[Column6]]), (deployment_raw[[#This Row],[Column6]] * deployment_raw[[#This Row],[Column5]]),"")</f>
        <v/>
      </c>
      <c r="G304" s="175" t="str">
        <f>IF(ISNUMBER(deployment_raw[[#This Row],[Column7]]), (deployment_raw[[#This Row],[Column7]] * deployment_raw[[#This Row],[Column5]])/1048576,"")</f>
        <v/>
      </c>
      <c r="H304" s="175" t="str">
        <f>IF(ISNUMBER(deployment_raw[[#This Row],[Column8]]), (deployment_raw[[#This Row],[Column8]]  * deployment_raw[[#This Row],[Column5]]),"")</f>
        <v/>
      </c>
      <c r="I304" s="176" t="str">
        <f>IF(ISNUMBER(deployment_raw[[#This Row],[Column9]]), (deployment_raw[[#This Row],[Column9]] * deployment_raw[[#This Row],[Column5]])/1048576,"")</f>
        <v/>
      </c>
      <c r="J304" s="57" t="str">
        <f>IF(ISNUMBER(deployment_raw[[#This Row],[Column10]]), (deployment_raw[[#This Row],[Column10]] * deployment_raw[[#This Row],[Column5]]),"")</f>
        <v/>
      </c>
      <c r="K304" s="58" t="str">
        <f>IF(ISNUMBER(deployment_raw[[#This Row],[Column11]]), (deployment_raw[[#This Row],[Column11]] * deployment_raw[[#This Row],[Column5]])/1048576,"")</f>
        <v/>
      </c>
      <c r="L304" s="180" t="str">
        <f>IF(ISNUMBER(deployment_raw[[#This Row],[Column8]]),IF(deployment_raw[[#This Row],[Column5]] &lt;&gt; 0, MAX((deployment_raw[[#This Row],[Column12]] * deployment_raw[[#This Row],[Column5]]), ((deployment_raw[[#This Row],[Column8]] * deployment_raw[[#This Row],[Column5]]) * $L$2), ($H$2 * deployment_raw[[#This Row],[Column5]])), 0),"")</f>
        <v/>
      </c>
      <c r="M30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04" s="188" t="str">
        <f>IF(ISNUMBER(deployment_raw[[#This Row],[Column14]]), deployment_raw[[#This Row],[Column14]],"")</f>
        <v/>
      </c>
      <c r="O304" s="189" t="str">
        <f>IF(ISNUMBER(deployment_raw[[#This Row],[Column15]]), deployment_raw[[#This Row],[Column15]]/1048576,"")</f>
        <v/>
      </c>
      <c r="P304" s="190" t="str">
        <f>IF(ISNUMBER(deployment_raw[[#This Row],[Column12]]), (deployment_raw[[#This Row],[Column12]] * deployment_raw[[#This Row],[Column5]]),"")</f>
        <v/>
      </c>
      <c r="Q304" s="189" t="str">
        <f>IF(ISNUMBER(deployment_raw[[#This Row],[Column13]]), (deployment_raw[[#This Row],[Column13]] * deployment_raw[[#This Row],[Column5]])/1048576,"")</f>
        <v/>
      </c>
    </row>
    <row r="305" spans="1:17" ht="15.75" customHeight="1" x14ac:dyDescent="0.25">
      <c r="A305" s="37" t="str">
        <f>IF(ISNONTEXT(deployment_raw[[#This Row],[Column1]]), "", deployment_raw[[#This Row],[Column1]])</f>
        <v/>
      </c>
      <c r="B305" s="38" t="str">
        <f>IF(ISNONTEXT(deployment_raw[[#This Row],[Column2]]), "", deployment_raw[[#This Row],[Column2]])</f>
        <v/>
      </c>
      <c r="C305" s="38" t="str">
        <f>IF(ISNONTEXT(deployment_raw[[#This Row],[Column3]]), "", deployment_raw[[#This Row],[Column3]])</f>
        <v/>
      </c>
      <c r="D305" s="38" t="str">
        <f>IF(ISNONTEXT(deployment_raw[[#This Row],[Column4]]), "", deployment_raw[[#This Row],[Column4]])</f>
        <v/>
      </c>
      <c r="E305" s="39" t="str">
        <f>IF(ISNUMBER(deployment_raw[[#This Row],[Column5]]), deployment_raw[[#This Row],[Column5]],"")</f>
        <v/>
      </c>
      <c r="F305" s="174" t="str">
        <f>IF(ISNUMBER(deployment_raw[[#This Row],[Column6]]), (deployment_raw[[#This Row],[Column6]] * deployment_raw[[#This Row],[Column5]]),"")</f>
        <v/>
      </c>
      <c r="G305" s="175" t="str">
        <f>IF(ISNUMBER(deployment_raw[[#This Row],[Column7]]), (deployment_raw[[#This Row],[Column7]] * deployment_raw[[#This Row],[Column5]])/1048576,"")</f>
        <v/>
      </c>
      <c r="H305" s="175" t="str">
        <f>IF(ISNUMBER(deployment_raw[[#This Row],[Column8]]), (deployment_raw[[#This Row],[Column8]]  * deployment_raw[[#This Row],[Column5]]),"")</f>
        <v/>
      </c>
      <c r="I305" s="176" t="str">
        <f>IF(ISNUMBER(deployment_raw[[#This Row],[Column9]]), (deployment_raw[[#This Row],[Column9]] * deployment_raw[[#This Row],[Column5]])/1048576,"")</f>
        <v/>
      </c>
      <c r="J305" s="57" t="str">
        <f>IF(ISNUMBER(deployment_raw[[#This Row],[Column10]]), (deployment_raw[[#This Row],[Column10]] * deployment_raw[[#This Row],[Column5]]),"")</f>
        <v/>
      </c>
      <c r="K305" s="58" t="str">
        <f>IF(ISNUMBER(deployment_raw[[#This Row],[Column11]]), (deployment_raw[[#This Row],[Column11]] * deployment_raw[[#This Row],[Column5]])/1048576,"")</f>
        <v/>
      </c>
      <c r="L305" s="180" t="str">
        <f>IF(ISNUMBER(deployment_raw[[#This Row],[Column8]]),IF(deployment_raw[[#This Row],[Column5]] &lt;&gt; 0, MAX((deployment_raw[[#This Row],[Column12]] * deployment_raw[[#This Row],[Column5]]), ((deployment_raw[[#This Row],[Column8]] * deployment_raw[[#This Row],[Column5]]) * $L$2), ($H$2 * deployment_raw[[#This Row],[Column5]])), 0),"")</f>
        <v/>
      </c>
      <c r="M30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05" s="188" t="str">
        <f>IF(ISNUMBER(deployment_raw[[#This Row],[Column14]]), deployment_raw[[#This Row],[Column14]],"")</f>
        <v/>
      </c>
      <c r="O305" s="189" t="str">
        <f>IF(ISNUMBER(deployment_raw[[#This Row],[Column15]]), deployment_raw[[#This Row],[Column15]]/1048576,"")</f>
        <v/>
      </c>
      <c r="P305" s="190" t="str">
        <f>IF(ISNUMBER(deployment_raw[[#This Row],[Column12]]), (deployment_raw[[#This Row],[Column12]] * deployment_raw[[#This Row],[Column5]]),"")</f>
        <v/>
      </c>
      <c r="Q305" s="189" t="str">
        <f>IF(ISNUMBER(deployment_raw[[#This Row],[Column13]]), (deployment_raw[[#This Row],[Column13]] * deployment_raw[[#This Row],[Column5]])/1048576,"")</f>
        <v/>
      </c>
    </row>
    <row r="306" spans="1:17" ht="15.75" customHeight="1" x14ac:dyDescent="0.25">
      <c r="A306" s="37" t="str">
        <f>IF(ISNONTEXT(deployment_raw[[#This Row],[Column1]]), "", deployment_raw[[#This Row],[Column1]])</f>
        <v/>
      </c>
      <c r="B306" s="38" t="str">
        <f>IF(ISNONTEXT(deployment_raw[[#This Row],[Column2]]), "", deployment_raw[[#This Row],[Column2]])</f>
        <v/>
      </c>
      <c r="C306" s="38" t="str">
        <f>IF(ISNONTEXT(deployment_raw[[#This Row],[Column3]]), "", deployment_raw[[#This Row],[Column3]])</f>
        <v/>
      </c>
      <c r="D306" s="38" t="str">
        <f>IF(ISNONTEXT(deployment_raw[[#This Row],[Column4]]), "", deployment_raw[[#This Row],[Column4]])</f>
        <v/>
      </c>
      <c r="E306" s="39" t="str">
        <f>IF(ISNUMBER(deployment_raw[[#This Row],[Column5]]), deployment_raw[[#This Row],[Column5]],"")</f>
        <v/>
      </c>
      <c r="F306" s="174" t="str">
        <f>IF(ISNUMBER(deployment_raw[[#This Row],[Column6]]), (deployment_raw[[#This Row],[Column6]] * deployment_raw[[#This Row],[Column5]]),"")</f>
        <v/>
      </c>
      <c r="G306" s="175" t="str">
        <f>IF(ISNUMBER(deployment_raw[[#This Row],[Column7]]), (deployment_raw[[#This Row],[Column7]] * deployment_raw[[#This Row],[Column5]])/1048576,"")</f>
        <v/>
      </c>
      <c r="H306" s="175" t="str">
        <f>IF(ISNUMBER(deployment_raw[[#This Row],[Column8]]), (deployment_raw[[#This Row],[Column8]]  * deployment_raw[[#This Row],[Column5]]),"")</f>
        <v/>
      </c>
      <c r="I306" s="176" t="str">
        <f>IF(ISNUMBER(deployment_raw[[#This Row],[Column9]]), (deployment_raw[[#This Row],[Column9]] * deployment_raw[[#This Row],[Column5]])/1048576,"")</f>
        <v/>
      </c>
      <c r="J306" s="57" t="str">
        <f>IF(ISNUMBER(deployment_raw[[#This Row],[Column10]]), (deployment_raw[[#This Row],[Column10]] * deployment_raw[[#This Row],[Column5]]),"")</f>
        <v/>
      </c>
      <c r="K306" s="58" t="str">
        <f>IF(ISNUMBER(deployment_raw[[#This Row],[Column11]]), (deployment_raw[[#This Row],[Column11]] * deployment_raw[[#This Row],[Column5]])/1048576,"")</f>
        <v/>
      </c>
      <c r="L306" s="180" t="str">
        <f>IF(ISNUMBER(deployment_raw[[#This Row],[Column8]]),IF(deployment_raw[[#This Row],[Column5]] &lt;&gt; 0, MAX((deployment_raw[[#This Row],[Column12]] * deployment_raw[[#This Row],[Column5]]), ((deployment_raw[[#This Row],[Column8]] * deployment_raw[[#This Row],[Column5]]) * $L$2), ($H$2 * deployment_raw[[#This Row],[Column5]])), 0),"")</f>
        <v/>
      </c>
      <c r="M30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06" s="188" t="str">
        <f>IF(ISNUMBER(deployment_raw[[#This Row],[Column14]]), deployment_raw[[#This Row],[Column14]],"")</f>
        <v/>
      </c>
      <c r="O306" s="189" t="str">
        <f>IF(ISNUMBER(deployment_raw[[#This Row],[Column15]]), deployment_raw[[#This Row],[Column15]]/1048576,"")</f>
        <v/>
      </c>
      <c r="P306" s="190" t="str">
        <f>IF(ISNUMBER(deployment_raw[[#This Row],[Column12]]), (deployment_raw[[#This Row],[Column12]] * deployment_raw[[#This Row],[Column5]]),"")</f>
        <v/>
      </c>
      <c r="Q306" s="189" t="str">
        <f>IF(ISNUMBER(deployment_raw[[#This Row],[Column13]]), (deployment_raw[[#This Row],[Column13]] * deployment_raw[[#This Row],[Column5]])/1048576,"")</f>
        <v/>
      </c>
    </row>
    <row r="307" spans="1:17" ht="15.75" customHeight="1" x14ac:dyDescent="0.25">
      <c r="A307" s="37" t="str">
        <f>IF(ISNONTEXT(deployment_raw[[#This Row],[Column1]]), "", deployment_raw[[#This Row],[Column1]])</f>
        <v/>
      </c>
      <c r="B307" s="38" t="str">
        <f>IF(ISNONTEXT(deployment_raw[[#This Row],[Column2]]), "", deployment_raw[[#This Row],[Column2]])</f>
        <v/>
      </c>
      <c r="C307" s="38" t="str">
        <f>IF(ISNONTEXT(deployment_raw[[#This Row],[Column3]]), "", deployment_raw[[#This Row],[Column3]])</f>
        <v/>
      </c>
      <c r="D307" s="38" t="str">
        <f>IF(ISNONTEXT(deployment_raw[[#This Row],[Column4]]), "", deployment_raw[[#This Row],[Column4]])</f>
        <v/>
      </c>
      <c r="E307" s="39" t="str">
        <f>IF(ISNUMBER(deployment_raw[[#This Row],[Column5]]), deployment_raw[[#This Row],[Column5]],"")</f>
        <v/>
      </c>
      <c r="F307" s="174" t="str">
        <f>IF(ISNUMBER(deployment_raw[[#This Row],[Column6]]), (deployment_raw[[#This Row],[Column6]] * deployment_raw[[#This Row],[Column5]]),"")</f>
        <v/>
      </c>
      <c r="G307" s="175" t="str">
        <f>IF(ISNUMBER(deployment_raw[[#This Row],[Column7]]), (deployment_raw[[#This Row],[Column7]] * deployment_raw[[#This Row],[Column5]])/1048576,"")</f>
        <v/>
      </c>
      <c r="H307" s="175" t="str">
        <f>IF(ISNUMBER(deployment_raw[[#This Row],[Column8]]), (deployment_raw[[#This Row],[Column8]]  * deployment_raw[[#This Row],[Column5]]),"")</f>
        <v/>
      </c>
      <c r="I307" s="176" t="str">
        <f>IF(ISNUMBER(deployment_raw[[#This Row],[Column9]]), (deployment_raw[[#This Row],[Column9]] * deployment_raw[[#This Row],[Column5]])/1048576,"")</f>
        <v/>
      </c>
      <c r="J307" s="57" t="str">
        <f>IF(ISNUMBER(deployment_raw[[#This Row],[Column10]]), (deployment_raw[[#This Row],[Column10]] * deployment_raw[[#This Row],[Column5]]),"")</f>
        <v/>
      </c>
      <c r="K307" s="58" t="str">
        <f>IF(ISNUMBER(deployment_raw[[#This Row],[Column11]]), (deployment_raw[[#This Row],[Column11]] * deployment_raw[[#This Row],[Column5]])/1048576,"")</f>
        <v/>
      </c>
      <c r="L307" s="180" t="str">
        <f>IF(ISNUMBER(deployment_raw[[#This Row],[Column8]]),IF(deployment_raw[[#This Row],[Column5]] &lt;&gt; 0, MAX((deployment_raw[[#This Row],[Column12]] * deployment_raw[[#This Row],[Column5]]), ((deployment_raw[[#This Row],[Column8]] * deployment_raw[[#This Row],[Column5]]) * $L$2), ($H$2 * deployment_raw[[#This Row],[Column5]])), 0),"")</f>
        <v/>
      </c>
      <c r="M30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07" s="188" t="str">
        <f>IF(ISNUMBER(deployment_raw[[#This Row],[Column14]]), deployment_raw[[#This Row],[Column14]],"")</f>
        <v/>
      </c>
      <c r="O307" s="189" t="str">
        <f>IF(ISNUMBER(deployment_raw[[#This Row],[Column15]]), deployment_raw[[#This Row],[Column15]]/1048576,"")</f>
        <v/>
      </c>
      <c r="P307" s="190" t="str">
        <f>IF(ISNUMBER(deployment_raw[[#This Row],[Column12]]), (deployment_raw[[#This Row],[Column12]] * deployment_raw[[#This Row],[Column5]]),"")</f>
        <v/>
      </c>
      <c r="Q307" s="189" t="str">
        <f>IF(ISNUMBER(deployment_raw[[#This Row],[Column13]]), (deployment_raw[[#This Row],[Column13]] * deployment_raw[[#This Row],[Column5]])/1048576,"")</f>
        <v/>
      </c>
    </row>
    <row r="308" spans="1:17" ht="15.75" customHeight="1" x14ac:dyDescent="0.25">
      <c r="A308" s="37" t="str">
        <f>IF(ISNONTEXT(deployment_raw[[#This Row],[Column1]]), "", deployment_raw[[#This Row],[Column1]])</f>
        <v/>
      </c>
      <c r="B308" s="38" t="str">
        <f>IF(ISNONTEXT(deployment_raw[[#This Row],[Column2]]), "", deployment_raw[[#This Row],[Column2]])</f>
        <v/>
      </c>
      <c r="C308" s="38" t="str">
        <f>IF(ISNONTEXT(deployment_raw[[#This Row],[Column3]]), "", deployment_raw[[#This Row],[Column3]])</f>
        <v/>
      </c>
      <c r="D308" s="38" t="str">
        <f>IF(ISNONTEXT(deployment_raw[[#This Row],[Column4]]), "", deployment_raw[[#This Row],[Column4]])</f>
        <v/>
      </c>
      <c r="E308" s="39" t="str">
        <f>IF(ISNUMBER(deployment_raw[[#This Row],[Column5]]), deployment_raw[[#This Row],[Column5]],"")</f>
        <v/>
      </c>
      <c r="F308" s="174" t="str">
        <f>IF(ISNUMBER(deployment_raw[[#This Row],[Column6]]), (deployment_raw[[#This Row],[Column6]] * deployment_raw[[#This Row],[Column5]]),"")</f>
        <v/>
      </c>
      <c r="G308" s="175" t="str">
        <f>IF(ISNUMBER(deployment_raw[[#This Row],[Column7]]), (deployment_raw[[#This Row],[Column7]] * deployment_raw[[#This Row],[Column5]])/1048576,"")</f>
        <v/>
      </c>
      <c r="H308" s="175" t="str">
        <f>IF(ISNUMBER(deployment_raw[[#This Row],[Column8]]), (deployment_raw[[#This Row],[Column8]]  * deployment_raw[[#This Row],[Column5]]),"")</f>
        <v/>
      </c>
      <c r="I308" s="176" t="str">
        <f>IF(ISNUMBER(deployment_raw[[#This Row],[Column9]]), (deployment_raw[[#This Row],[Column9]] * deployment_raw[[#This Row],[Column5]])/1048576,"")</f>
        <v/>
      </c>
      <c r="J308" s="57" t="str">
        <f>IF(ISNUMBER(deployment_raw[[#This Row],[Column10]]), (deployment_raw[[#This Row],[Column10]] * deployment_raw[[#This Row],[Column5]]),"")</f>
        <v/>
      </c>
      <c r="K308" s="58" t="str">
        <f>IF(ISNUMBER(deployment_raw[[#This Row],[Column11]]), (deployment_raw[[#This Row],[Column11]] * deployment_raw[[#This Row],[Column5]])/1048576,"")</f>
        <v/>
      </c>
      <c r="L308" s="180" t="str">
        <f>IF(ISNUMBER(deployment_raw[[#This Row],[Column8]]),IF(deployment_raw[[#This Row],[Column5]] &lt;&gt; 0, MAX((deployment_raw[[#This Row],[Column12]] * deployment_raw[[#This Row],[Column5]]), ((deployment_raw[[#This Row],[Column8]] * deployment_raw[[#This Row],[Column5]]) * $L$2), ($H$2 * deployment_raw[[#This Row],[Column5]])), 0),"")</f>
        <v/>
      </c>
      <c r="M30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08" s="188" t="str">
        <f>IF(ISNUMBER(deployment_raw[[#This Row],[Column14]]), deployment_raw[[#This Row],[Column14]],"")</f>
        <v/>
      </c>
      <c r="O308" s="189" t="str">
        <f>IF(ISNUMBER(deployment_raw[[#This Row],[Column15]]), deployment_raw[[#This Row],[Column15]]/1048576,"")</f>
        <v/>
      </c>
      <c r="P308" s="190" t="str">
        <f>IF(ISNUMBER(deployment_raw[[#This Row],[Column12]]), (deployment_raw[[#This Row],[Column12]] * deployment_raw[[#This Row],[Column5]]),"")</f>
        <v/>
      </c>
      <c r="Q308" s="189" t="str">
        <f>IF(ISNUMBER(deployment_raw[[#This Row],[Column13]]), (deployment_raw[[#This Row],[Column13]] * deployment_raw[[#This Row],[Column5]])/1048576,"")</f>
        <v/>
      </c>
    </row>
    <row r="309" spans="1:17" ht="15.75" customHeight="1" x14ac:dyDescent="0.25">
      <c r="A309" s="37" t="str">
        <f>IF(ISNONTEXT(deployment_raw[[#This Row],[Column1]]), "", deployment_raw[[#This Row],[Column1]])</f>
        <v/>
      </c>
      <c r="B309" s="38" t="str">
        <f>IF(ISNONTEXT(deployment_raw[[#This Row],[Column2]]), "", deployment_raw[[#This Row],[Column2]])</f>
        <v/>
      </c>
      <c r="C309" s="38" t="str">
        <f>IF(ISNONTEXT(deployment_raw[[#This Row],[Column3]]), "", deployment_raw[[#This Row],[Column3]])</f>
        <v/>
      </c>
      <c r="D309" s="38" t="str">
        <f>IF(ISNONTEXT(deployment_raw[[#This Row],[Column4]]), "", deployment_raw[[#This Row],[Column4]])</f>
        <v/>
      </c>
      <c r="E309" s="39" t="str">
        <f>IF(ISNUMBER(deployment_raw[[#This Row],[Column5]]), deployment_raw[[#This Row],[Column5]],"")</f>
        <v/>
      </c>
      <c r="F309" s="174" t="str">
        <f>IF(ISNUMBER(deployment_raw[[#This Row],[Column6]]), (deployment_raw[[#This Row],[Column6]] * deployment_raw[[#This Row],[Column5]]),"")</f>
        <v/>
      </c>
      <c r="G309" s="175" t="str">
        <f>IF(ISNUMBER(deployment_raw[[#This Row],[Column7]]), (deployment_raw[[#This Row],[Column7]] * deployment_raw[[#This Row],[Column5]])/1048576,"")</f>
        <v/>
      </c>
      <c r="H309" s="175" t="str">
        <f>IF(ISNUMBER(deployment_raw[[#This Row],[Column8]]), (deployment_raw[[#This Row],[Column8]]  * deployment_raw[[#This Row],[Column5]]),"")</f>
        <v/>
      </c>
      <c r="I309" s="176" t="str">
        <f>IF(ISNUMBER(deployment_raw[[#This Row],[Column9]]), (deployment_raw[[#This Row],[Column9]] * deployment_raw[[#This Row],[Column5]])/1048576,"")</f>
        <v/>
      </c>
      <c r="J309" s="57" t="str">
        <f>IF(ISNUMBER(deployment_raw[[#This Row],[Column10]]), (deployment_raw[[#This Row],[Column10]] * deployment_raw[[#This Row],[Column5]]),"")</f>
        <v/>
      </c>
      <c r="K309" s="58" t="str">
        <f>IF(ISNUMBER(deployment_raw[[#This Row],[Column11]]), (deployment_raw[[#This Row],[Column11]] * deployment_raw[[#This Row],[Column5]])/1048576,"")</f>
        <v/>
      </c>
      <c r="L309" s="180" t="str">
        <f>IF(ISNUMBER(deployment_raw[[#This Row],[Column8]]),IF(deployment_raw[[#This Row],[Column5]] &lt;&gt; 0, MAX((deployment_raw[[#This Row],[Column12]] * deployment_raw[[#This Row],[Column5]]), ((deployment_raw[[#This Row],[Column8]] * deployment_raw[[#This Row],[Column5]]) * $L$2), ($H$2 * deployment_raw[[#This Row],[Column5]])), 0),"")</f>
        <v/>
      </c>
      <c r="M30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09" s="188" t="str">
        <f>IF(ISNUMBER(deployment_raw[[#This Row],[Column14]]), deployment_raw[[#This Row],[Column14]],"")</f>
        <v/>
      </c>
      <c r="O309" s="189" t="str">
        <f>IF(ISNUMBER(deployment_raw[[#This Row],[Column15]]), deployment_raw[[#This Row],[Column15]]/1048576,"")</f>
        <v/>
      </c>
      <c r="P309" s="190" t="str">
        <f>IF(ISNUMBER(deployment_raw[[#This Row],[Column12]]), (deployment_raw[[#This Row],[Column12]] * deployment_raw[[#This Row],[Column5]]),"")</f>
        <v/>
      </c>
      <c r="Q309" s="189" t="str">
        <f>IF(ISNUMBER(deployment_raw[[#This Row],[Column13]]), (deployment_raw[[#This Row],[Column13]] * deployment_raw[[#This Row],[Column5]])/1048576,"")</f>
        <v/>
      </c>
    </row>
    <row r="310" spans="1:17" ht="15.75" customHeight="1" x14ac:dyDescent="0.25">
      <c r="A310" s="37" t="str">
        <f>IF(ISNONTEXT(deployment_raw[[#This Row],[Column1]]), "", deployment_raw[[#This Row],[Column1]])</f>
        <v/>
      </c>
      <c r="B310" s="38" t="str">
        <f>IF(ISNONTEXT(deployment_raw[[#This Row],[Column2]]), "", deployment_raw[[#This Row],[Column2]])</f>
        <v/>
      </c>
      <c r="C310" s="38" t="str">
        <f>IF(ISNONTEXT(deployment_raw[[#This Row],[Column3]]), "", deployment_raw[[#This Row],[Column3]])</f>
        <v/>
      </c>
      <c r="D310" s="38" t="str">
        <f>IF(ISNONTEXT(deployment_raw[[#This Row],[Column4]]), "", deployment_raw[[#This Row],[Column4]])</f>
        <v/>
      </c>
      <c r="E310" s="39" t="str">
        <f>IF(ISNUMBER(deployment_raw[[#This Row],[Column5]]), deployment_raw[[#This Row],[Column5]],"")</f>
        <v/>
      </c>
      <c r="F310" s="174" t="str">
        <f>IF(ISNUMBER(deployment_raw[[#This Row],[Column6]]), (deployment_raw[[#This Row],[Column6]] * deployment_raw[[#This Row],[Column5]]),"")</f>
        <v/>
      </c>
      <c r="G310" s="175" t="str">
        <f>IF(ISNUMBER(deployment_raw[[#This Row],[Column7]]), (deployment_raw[[#This Row],[Column7]] * deployment_raw[[#This Row],[Column5]])/1048576,"")</f>
        <v/>
      </c>
      <c r="H310" s="175" t="str">
        <f>IF(ISNUMBER(deployment_raw[[#This Row],[Column8]]), (deployment_raw[[#This Row],[Column8]]  * deployment_raw[[#This Row],[Column5]]),"")</f>
        <v/>
      </c>
      <c r="I310" s="176" t="str">
        <f>IF(ISNUMBER(deployment_raw[[#This Row],[Column9]]), (deployment_raw[[#This Row],[Column9]] * deployment_raw[[#This Row],[Column5]])/1048576,"")</f>
        <v/>
      </c>
      <c r="J310" s="57" t="str">
        <f>IF(ISNUMBER(deployment_raw[[#This Row],[Column10]]), (deployment_raw[[#This Row],[Column10]] * deployment_raw[[#This Row],[Column5]]),"")</f>
        <v/>
      </c>
      <c r="K310" s="58" t="str">
        <f>IF(ISNUMBER(deployment_raw[[#This Row],[Column11]]), (deployment_raw[[#This Row],[Column11]] * deployment_raw[[#This Row],[Column5]])/1048576,"")</f>
        <v/>
      </c>
      <c r="L310" s="180" t="str">
        <f>IF(ISNUMBER(deployment_raw[[#This Row],[Column8]]),IF(deployment_raw[[#This Row],[Column5]] &lt;&gt; 0, MAX((deployment_raw[[#This Row],[Column12]] * deployment_raw[[#This Row],[Column5]]), ((deployment_raw[[#This Row],[Column8]] * deployment_raw[[#This Row],[Column5]]) * $L$2), ($H$2 * deployment_raw[[#This Row],[Column5]])), 0),"")</f>
        <v/>
      </c>
      <c r="M31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10" s="188" t="str">
        <f>IF(ISNUMBER(deployment_raw[[#This Row],[Column14]]), deployment_raw[[#This Row],[Column14]],"")</f>
        <v/>
      </c>
      <c r="O310" s="189" t="str">
        <f>IF(ISNUMBER(deployment_raw[[#This Row],[Column15]]), deployment_raw[[#This Row],[Column15]]/1048576,"")</f>
        <v/>
      </c>
      <c r="P310" s="190" t="str">
        <f>IF(ISNUMBER(deployment_raw[[#This Row],[Column12]]), (deployment_raw[[#This Row],[Column12]] * deployment_raw[[#This Row],[Column5]]),"")</f>
        <v/>
      </c>
      <c r="Q310" s="189" t="str">
        <f>IF(ISNUMBER(deployment_raw[[#This Row],[Column13]]), (deployment_raw[[#This Row],[Column13]] * deployment_raw[[#This Row],[Column5]])/1048576,"")</f>
        <v/>
      </c>
    </row>
    <row r="311" spans="1:17" ht="15.75" customHeight="1" x14ac:dyDescent="0.25">
      <c r="A311" s="37" t="str">
        <f>IF(ISNONTEXT(deployment_raw[[#This Row],[Column1]]), "", deployment_raw[[#This Row],[Column1]])</f>
        <v/>
      </c>
      <c r="B311" s="38" t="str">
        <f>IF(ISNONTEXT(deployment_raw[[#This Row],[Column2]]), "", deployment_raw[[#This Row],[Column2]])</f>
        <v/>
      </c>
      <c r="C311" s="38" t="str">
        <f>IF(ISNONTEXT(deployment_raw[[#This Row],[Column3]]), "", deployment_raw[[#This Row],[Column3]])</f>
        <v/>
      </c>
      <c r="D311" s="38" t="str">
        <f>IF(ISNONTEXT(deployment_raw[[#This Row],[Column4]]), "", deployment_raw[[#This Row],[Column4]])</f>
        <v/>
      </c>
      <c r="E311" s="39" t="str">
        <f>IF(ISNUMBER(deployment_raw[[#This Row],[Column5]]), deployment_raw[[#This Row],[Column5]],"")</f>
        <v/>
      </c>
      <c r="F311" s="174" t="str">
        <f>IF(ISNUMBER(deployment_raw[[#This Row],[Column6]]), (deployment_raw[[#This Row],[Column6]] * deployment_raw[[#This Row],[Column5]]),"")</f>
        <v/>
      </c>
      <c r="G311" s="175" t="str">
        <f>IF(ISNUMBER(deployment_raw[[#This Row],[Column7]]), (deployment_raw[[#This Row],[Column7]] * deployment_raw[[#This Row],[Column5]])/1048576,"")</f>
        <v/>
      </c>
      <c r="H311" s="175" t="str">
        <f>IF(ISNUMBER(deployment_raw[[#This Row],[Column8]]), (deployment_raw[[#This Row],[Column8]]  * deployment_raw[[#This Row],[Column5]]),"")</f>
        <v/>
      </c>
      <c r="I311" s="176" t="str">
        <f>IF(ISNUMBER(deployment_raw[[#This Row],[Column9]]), (deployment_raw[[#This Row],[Column9]] * deployment_raw[[#This Row],[Column5]])/1048576,"")</f>
        <v/>
      </c>
      <c r="J311" s="57" t="str">
        <f>IF(ISNUMBER(deployment_raw[[#This Row],[Column10]]), (deployment_raw[[#This Row],[Column10]] * deployment_raw[[#This Row],[Column5]]),"")</f>
        <v/>
      </c>
      <c r="K311" s="58" t="str">
        <f>IF(ISNUMBER(deployment_raw[[#This Row],[Column11]]), (deployment_raw[[#This Row],[Column11]] * deployment_raw[[#This Row],[Column5]])/1048576,"")</f>
        <v/>
      </c>
      <c r="L311" s="180" t="str">
        <f>IF(ISNUMBER(deployment_raw[[#This Row],[Column8]]),IF(deployment_raw[[#This Row],[Column5]] &lt;&gt; 0, MAX((deployment_raw[[#This Row],[Column12]] * deployment_raw[[#This Row],[Column5]]), ((deployment_raw[[#This Row],[Column8]] * deployment_raw[[#This Row],[Column5]]) * $L$2), ($H$2 * deployment_raw[[#This Row],[Column5]])), 0),"")</f>
        <v/>
      </c>
      <c r="M31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11" s="188" t="str">
        <f>IF(ISNUMBER(deployment_raw[[#This Row],[Column14]]), deployment_raw[[#This Row],[Column14]],"")</f>
        <v/>
      </c>
      <c r="O311" s="189" t="str">
        <f>IF(ISNUMBER(deployment_raw[[#This Row],[Column15]]), deployment_raw[[#This Row],[Column15]]/1048576,"")</f>
        <v/>
      </c>
      <c r="P311" s="190" t="str">
        <f>IF(ISNUMBER(deployment_raw[[#This Row],[Column12]]), (deployment_raw[[#This Row],[Column12]] * deployment_raw[[#This Row],[Column5]]),"")</f>
        <v/>
      </c>
      <c r="Q311" s="189" t="str">
        <f>IF(ISNUMBER(deployment_raw[[#This Row],[Column13]]), (deployment_raw[[#This Row],[Column13]] * deployment_raw[[#This Row],[Column5]])/1048576,"")</f>
        <v/>
      </c>
    </row>
    <row r="312" spans="1:17" ht="15.75" customHeight="1" x14ac:dyDescent="0.25">
      <c r="A312" s="37" t="str">
        <f>IF(ISNONTEXT(deployment_raw[[#This Row],[Column1]]), "", deployment_raw[[#This Row],[Column1]])</f>
        <v/>
      </c>
      <c r="B312" s="38" t="str">
        <f>IF(ISNONTEXT(deployment_raw[[#This Row],[Column2]]), "", deployment_raw[[#This Row],[Column2]])</f>
        <v/>
      </c>
      <c r="C312" s="38" t="str">
        <f>IF(ISNONTEXT(deployment_raw[[#This Row],[Column3]]), "", deployment_raw[[#This Row],[Column3]])</f>
        <v/>
      </c>
      <c r="D312" s="38" t="str">
        <f>IF(ISNONTEXT(deployment_raw[[#This Row],[Column4]]), "", deployment_raw[[#This Row],[Column4]])</f>
        <v/>
      </c>
      <c r="E312" s="39" t="str">
        <f>IF(ISNUMBER(deployment_raw[[#This Row],[Column5]]), deployment_raw[[#This Row],[Column5]],"")</f>
        <v/>
      </c>
      <c r="F312" s="174" t="str">
        <f>IF(ISNUMBER(deployment_raw[[#This Row],[Column6]]), (deployment_raw[[#This Row],[Column6]] * deployment_raw[[#This Row],[Column5]]),"")</f>
        <v/>
      </c>
      <c r="G312" s="175" t="str">
        <f>IF(ISNUMBER(deployment_raw[[#This Row],[Column7]]), (deployment_raw[[#This Row],[Column7]] * deployment_raw[[#This Row],[Column5]])/1048576,"")</f>
        <v/>
      </c>
      <c r="H312" s="175" t="str">
        <f>IF(ISNUMBER(deployment_raw[[#This Row],[Column8]]), (deployment_raw[[#This Row],[Column8]]  * deployment_raw[[#This Row],[Column5]]),"")</f>
        <v/>
      </c>
      <c r="I312" s="176" t="str">
        <f>IF(ISNUMBER(deployment_raw[[#This Row],[Column9]]), (deployment_raw[[#This Row],[Column9]] * deployment_raw[[#This Row],[Column5]])/1048576,"")</f>
        <v/>
      </c>
      <c r="J312" s="57" t="str">
        <f>IF(ISNUMBER(deployment_raw[[#This Row],[Column10]]), (deployment_raw[[#This Row],[Column10]] * deployment_raw[[#This Row],[Column5]]),"")</f>
        <v/>
      </c>
      <c r="K312" s="58" t="str">
        <f>IF(ISNUMBER(deployment_raw[[#This Row],[Column11]]), (deployment_raw[[#This Row],[Column11]] * deployment_raw[[#This Row],[Column5]])/1048576,"")</f>
        <v/>
      </c>
      <c r="L312" s="180" t="str">
        <f>IF(ISNUMBER(deployment_raw[[#This Row],[Column8]]),IF(deployment_raw[[#This Row],[Column5]] &lt;&gt; 0, MAX((deployment_raw[[#This Row],[Column12]] * deployment_raw[[#This Row],[Column5]]), ((deployment_raw[[#This Row],[Column8]] * deployment_raw[[#This Row],[Column5]]) * $L$2), ($H$2 * deployment_raw[[#This Row],[Column5]])), 0),"")</f>
        <v/>
      </c>
      <c r="M31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12" s="188" t="str">
        <f>IF(ISNUMBER(deployment_raw[[#This Row],[Column14]]), deployment_raw[[#This Row],[Column14]],"")</f>
        <v/>
      </c>
      <c r="O312" s="189" t="str">
        <f>IF(ISNUMBER(deployment_raw[[#This Row],[Column15]]), deployment_raw[[#This Row],[Column15]]/1048576,"")</f>
        <v/>
      </c>
      <c r="P312" s="190" t="str">
        <f>IF(ISNUMBER(deployment_raw[[#This Row],[Column12]]), (deployment_raw[[#This Row],[Column12]] * deployment_raw[[#This Row],[Column5]]),"")</f>
        <v/>
      </c>
      <c r="Q312" s="189" t="str">
        <f>IF(ISNUMBER(deployment_raw[[#This Row],[Column13]]), (deployment_raw[[#This Row],[Column13]] * deployment_raw[[#This Row],[Column5]])/1048576,"")</f>
        <v/>
      </c>
    </row>
    <row r="313" spans="1:17" ht="15.75" customHeight="1" x14ac:dyDescent="0.25">
      <c r="A313" s="37" t="str">
        <f>IF(ISNONTEXT(deployment_raw[[#This Row],[Column1]]), "", deployment_raw[[#This Row],[Column1]])</f>
        <v/>
      </c>
      <c r="B313" s="38" t="str">
        <f>IF(ISNONTEXT(deployment_raw[[#This Row],[Column2]]), "", deployment_raw[[#This Row],[Column2]])</f>
        <v/>
      </c>
      <c r="C313" s="38" t="str">
        <f>IF(ISNONTEXT(deployment_raw[[#This Row],[Column3]]), "", deployment_raw[[#This Row],[Column3]])</f>
        <v/>
      </c>
      <c r="D313" s="38" t="str">
        <f>IF(ISNONTEXT(deployment_raw[[#This Row],[Column4]]), "", deployment_raw[[#This Row],[Column4]])</f>
        <v/>
      </c>
      <c r="E313" s="39" t="str">
        <f>IF(ISNUMBER(deployment_raw[[#This Row],[Column5]]), deployment_raw[[#This Row],[Column5]],"")</f>
        <v/>
      </c>
      <c r="F313" s="174" t="str">
        <f>IF(ISNUMBER(deployment_raw[[#This Row],[Column6]]), (deployment_raw[[#This Row],[Column6]] * deployment_raw[[#This Row],[Column5]]),"")</f>
        <v/>
      </c>
      <c r="G313" s="175" t="str">
        <f>IF(ISNUMBER(deployment_raw[[#This Row],[Column7]]), (deployment_raw[[#This Row],[Column7]] * deployment_raw[[#This Row],[Column5]])/1048576,"")</f>
        <v/>
      </c>
      <c r="H313" s="175" t="str">
        <f>IF(ISNUMBER(deployment_raw[[#This Row],[Column8]]), (deployment_raw[[#This Row],[Column8]]  * deployment_raw[[#This Row],[Column5]]),"")</f>
        <v/>
      </c>
      <c r="I313" s="176" t="str">
        <f>IF(ISNUMBER(deployment_raw[[#This Row],[Column9]]), (deployment_raw[[#This Row],[Column9]] * deployment_raw[[#This Row],[Column5]])/1048576,"")</f>
        <v/>
      </c>
      <c r="J313" s="57" t="str">
        <f>IF(ISNUMBER(deployment_raw[[#This Row],[Column10]]), (deployment_raw[[#This Row],[Column10]] * deployment_raw[[#This Row],[Column5]]),"")</f>
        <v/>
      </c>
      <c r="K313" s="58" t="str">
        <f>IF(ISNUMBER(deployment_raw[[#This Row],[Column11]]), (deployment_raw[[#This Row],[Column11]] * deployment_raw[[#This Row],[Column5]])/1048576,"")</f>
        <v/>
      </c>
      <c r="L313" s="180" t="str">
        <f>IF(ISNUMBER(deployment_raw[[#This Row],[Column8]]),IF(deployment_raw[[#This Row],[Column5]] &lt;&gt; 0, MAX((deployment_raw[[#This Row],[Column12]] * deployment_raw[[#This Row],[Column5]]), ((deployment_raw[[#This Row],[Column8]] * deployment_raw[[#This Row],[Column5]]) * $L$2), ($H$2 * deployment_raw[[#This Row],[Column5]])), 0),"")</f>
        <v/>
      </c>
      <c r="M31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13" s="188" t="str">
        <f>IF(ISNUMBER(deployment_raw[[#This Row],[Column14]]), deployment_raw[[#This Row],[Column14]],"")</f>
        <v/>
      </c>
      <c r="O313" s="189" t="str">
        <f>IF(ISNUMBER(deployment_raw[[#This Row],[Column15]]), deployment_raw[[#This Row],[Column15]]/1048576,"")</f>
        <v/>
      </c>
      <c r="P313" s="190" t="str">
        <f>IF(ISNUMBER(deployment_raw[[#This Row],[Column12]]), (deployment_raw[[#This Row],[Column12]] * deployment_raw[[#This Row],[Column5]]),"")</f>
        <v/>
      </c>
      <c r="Q313" s="189" t="str">
        <f>IF(ISNUMBER(deployment_raw[[#This Row],[Column13]]), (deployment_raw[[#This Row],[Column13]] * deployment_raw[[#This Row],[Column5]])/1048576,"")</f>
        <v/>
      </c>
    </row>
    <row r="314" spans="1:17" ht="15.75" customHeight="1" x14ac:dyDescent="0.25">
      <c r="A314" s="37" t="str">
        <f>IF(ISNONTEXT(deployment_raw[[#This Row],[Column1]]), "", deployment_raw[[#This Row],[Column1]])</f>
        <v/>
      </c>
      <c r="B314" s="38" t="str">
        <f>IF(ISNONTEXT(deployment_raw[[#This Row],[Column2]]), "", deployment_raw[[#This Row],[Column2]])</f>
        <v/>
      </c>
      <c r="C314" s="38" t="str">
        <f>IF(ISNONTEXT(deployment_raw[[#This Row],[Column3]]), "", deployment_raw[[#This Row],[Column3]])</f>
        <v/>
      </c>
      <c r="D314" s="38" t="str">
        <f>IF(ISNONTEXT(deployment_raw[[#This Row],[Column4]]), "", deployment_raw[[#This Row],[Column4]])</f>
        <v/>
      </c>
      <c r="E314" s="39" t="str">
        <f>IF(ISNUMBER(deployment_raw[[#This Row],[Column5]]), deployment_raw[[#This Row],[Column5]],"")</f>
        <v/>
      </c>
      <c r="F314" s="174" t="str">
        <f>IF(ISNUMBER(deployment_raw[[#This Row],[Column6]]), (deployment_raw[[#This Row],[Column6]] * deployment_raw[[#This Row],[Column5]]),"")</f>
        <v/>
      </c>
      <c r="G314" s="175" t="str">
        <f>IF(ISNUMBER(deployment_raw[[#This Row],[Column7]]), (deployment_raw[[#This Row],[Column7]] * deployment_raw[[#This Row],[Column5]])/1048576,"")</f>
        <v/>
      </c>
      <c r="H314" s="175" t="str">
        <f>IF(ISNUMBER(deployment_raw[[#This Row],[Column8]]), (deployment_raw[[#This Row],[Column8]]  * deployment_raw[[#This Row],[Column5]]),"")</f>
        <v/>
      </c>
      <c r="I314" s="176" t="str">
        <f>IF(ISNUMBER(deployment_raw[[#This Row],[Column9]]), (deployment_raw[[#This Row],[Column9]] * deployment_raw[[#This Row],[Column5]])/1048576,"")</f>
        <v/>
      </c>
      <c r="J314" s="57" t="str">
        <f>IF(ISNUMBER(deployment_raw[[#This Row],[Column10]]), (deployment_raw[[#This Row],[Column10]] * deployment_raw[[#This Row],[Column5]]),"")</f>
        <v/>
      </c>
      <c r="K314" s="58" t="str">
        <f>IF(ISNUMBER(deployment_raw[[#This Row],[Column11]]), (deployment_raw[[#This Row],[Column11]] * deployment_raw[[#This Row],[Column5]])/1048576,"")</f>
        <v/>
      </c>
      <c r="L314" s="180" t="str">
        <f>IF(ISNUMBER(deployment_raw[[#This Row],[Column8]]),IF(deployment_raw[[#This Row],[Column5]] &lt;&gt; 0, MAX((deployment_raw[[#This Row],[Column12]] * deployment_raw[[#This Row],[Column5]]), ((deployment_raw[[#This Row],[Column8]] * deployment_raw[[#This Row],[Column5]]) * $L$2), ($H$2 * deployment_raw[[#This Row],[Column5]])), 0),"")</f>
        <v/>
      </c>
      <c r="M31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14" s="188" t="str">
        <f>IF(ISNUMBER(deployment_raw[[#This Row],[Column14]]), deployment_raw[[#This Row],[Column14]],"")</f>
        <v/>
      </c>
      <c r="O314" s="189" t="str">
        <f>IF(ISNUMBER(deployment_raw[[#This Row],[Column15]]), deployment_raw[[#This Row],[Column15]]/1048576,"")</f>
        <v/>
      </c>
      <c r="P314" s="190" t="str">
        <f>IF(ISNUMBER(deployment_raw[[#This Row],[Column12]]), (deployment_raw[[#This Row],[Column12]] * deployment_raw[[#This Row],[Column5]]),"")</f>
        <v/>
      </c>
      <c r="Q314" s="189" t="str">
        <f>IF(ISNUMBER(deployment_raw[[#This Row],[Column13]]), (deployment_raw[[#This Row],[Column13]] * deployment_raw[[#This Row],[Column5]])/1048576,"")</f>
        <v/>
      </c>
    </row>
    <row r="315" spans="1:17" ht="15.75" customHeight="1" x14ac:dyDescent="0.25">
      <c r="A315" s="37" t="str">
        <f>IF(ISNONTEXT(deployment_raw[[#This Row],[Column1]]), "", deployment_raw[[#This Row],[Column1]])</f>
        <v/>
      </c>
      <c r="B315" s="38" t="str">
        <f>IF(ISNONTEXT(deployment_raw[[#This Row],[Column2]]), "", deployment_raw[[#This Row],[Column2]])</f>
        <v/>
      </c>
      <c r="C315" s="38" t="str">
        <f>IF(ISNONTEXT(deployment_raw[[#This Row],[Column3]]), "", deployment_raw[[#This Row],[Column3]])</f>
        <v/>
      </c>
      <c r="D315" s="38" t="str">
        <f>IF(ISNONTEXT(deployment_raw[[#This Row],[Column4]]), "", deployment_raw[[#This Row],[Column4]])</f>
        <v/>
      </c>
      <c r="E315" s="39" t="str">
        <f>IF(ISNUMBER(deployment_raw[[#This Row],[Column5]]), deployment_raw[[#This Row],[Column5]],"")</f>
        <v/>
      </c>
      <c r="F315" s="174" t="str">
        <f>IF(ISNUMBER(deployment_raw[[#This Row],[Column6]]), (deployment_raw[[#This Row],[Column6]] * deployment_raw[[#This Row],[Column5]]),"")</f>
        <v/>
      </c>
      <c r="G315" s="175" t="str">
        <f>IF(ISNUMBER(deployment_raw[[#This Row],[Column7]]), (deployment_raw[[#This Row],[Column7]] * deployment_raw[[#This Row],[Column5]])/1048576,"")</f>
        <v/>
      </c>
      <c r="H315" s="175" t="str">
        <f>IF(ISNUMBER(deployment_raw[[#This Row],[Column8]]), (deployment_raw[[#This Row],[Column8]]  * deployment_raw[[#This Row],[Column5]]),"")</f>
        <v/>
      </c>
      <c r="I315" s="176" t="str">
        <f>IF(ISNUMBER(deployment_raw[[#This Row],[Column9]]), (deployment_raw[[#This Row],[Column9]] * deployment_raw[[#This Row],[Column5]])/1048576,"")</f>
        <v/>
      </c>
      <c r="J315" s="57" t="str">
        <f>IF(ISNUMBER(deployment_raw[[#This Row],[Column10]]), (deployment_raw[[#This Row],[Column10]] * deployment_raw[[#This Row],[Column5]]),"")</f>
        <v/>
      </c>
      <c r="K315" s="58" t="str">
        <f>IF(ISNUMBER(deployment_raw[[#This Row],[Column11]]), (deployment_raw[[#This Row],[Column11]] * deployment_raw[[#This Row],[Column5]])/1048576,"")</f>
        <v/>
      </c>
      <c r="L315" s="180" t="str">
        <f>IF(ISNUMBER(deployment_raw[[#This Row],[Column8]]),IF(deployment_raw[[#This Row],[Column5]] &lt;&gt; 0, MAX((deployment_raw[[#This Row],[Column12]] * deployment_raw[[#This Row],[Column5]]), ((deployment_raw[[#This Row],[Column8]] * deployment_raw[[#This Row],[Column5]]) * $L$2), ($H$2 * deployment_raw[[#This Row],[Column5]])), 0),"")</f>
        <v/>
      </c>
      <c r="M31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15" s="188" t="str">
        <f>IF(ISNUMBER(deployment_raw[[#This Row],[Column14]]), deployment_raw[[#This Row],[Column14]],"")</f>
        <v/>
      </c>
      <c r="O315" s="189" t="str">
        <f>IF(ISNUMBER(deployment_raw[[#This Row],[Column15]]), deployment_raw[[#This Row],[Column15]]/1048576,"")</f>
        <v/>
      </c>
      <c r="P315" s="190" t="str">
        <f>IF(ISNUMBER(deployment_raw[[#This Row],[Column12]]), (deployment_raw[[#This Row],[Column12]] * deployment_raw[[#This Row],[Column5]]),"")</f>
        <v/>
      </c>
      <c r="Q315" s="189" t="str">
        <f>IF(ISNUMBER(deployment_raw[[#This Row],[Column13]]), (deployment_raw[[#This Row],[Column13]] * deployment_raw[[#This Row],[Column5]])/1048576,"")</f>
        <v/>
      </c>
    </row>
    <row r="316" spans="1:17" ht="15.75" customHeight="1" x14ac:dyDescent="0.25">
      <c r="A316" s="37" t="str">
        <f>IF(ISNONTEXT(deployment_raw[[#This Row],[Column1]]), "", deployment_raw[[#This Row],[Column1]])</f>
        <v/>
      </c>
      <c r="B316" s="38" t="str">
        <f>IF(ISNONTEXT(deployment_raw[[#This Row],[Column2]]), "", deployment_raw[[#This Row],[Column2]])</f>
        <v/>
      </c>
      <c r="C316" s="38" t="str">
        <f>IF(ISNONTEXT(deployment_raw[[#This Row],[Column3]]), "", deployment_raw[[#This Row],[Column3]])</f>
        <v/>
      </c>
      <c r="D316" s="38" t="str">
        <f>IF(ISNONTEXT(deployment_raw[[#This Row],[Column4]]), "", deployment_raw[[#This Row],[Column4]])</f>
        <v/>
      </c>
      <c r="E316" s="39" t="str">
        <f>IF(ISNUMBER(deployment_raw[[#This Row],[Column5]]), deployment_raw[[#This Row],[Column5]],"")</f>
        <v/>
      </c>
      <c r="F316" s="174" t="str">
        <f>IF(ISNUMBER(deployment_raw[[#This Row],[Column6]]), (deployment_raw[[#This Row],[Column6]] * deployment_raw[[#This Row],[Column5]]),"")</f>
        <v/>
      </c>
      <c r="G316" s="175" t="str">
        <f>IF(ISNUMBER(deployment_raw[[#This Row],[Column7]]), (deployment_raw[[#This Row],[Column7]] * deployment_raw[[#This Row],[Column5]])/1048576,"")</f>
        <v/>
      </c>
      <c r="H316" s="175" t="str">
        <f>IF(ISNUMBER(deployment_raw[[#This Row],[Column8]]), (deployment_raw[[#This Row],[Column8]]  * deployment_raw[[#This Row],[Column5]]),"")</f>
        <v/>
      </c>
      <c r="I316" s="176" t="str">
        <f>IF(ISNUMBER(deployment_raw[[#This Row],[Column9]]), (deployment_raw[[#This Row],[Column9]] * deployment_raw[[#This Row],[Column5]])/1048576,"")</f>
        <v/>
      </c>
      <c r="J316" s="57" t="str">
        <f>IF(ISNUMBER(deployment_raw[[#This Row],[Column10]]), (deployment_raw[[#This Row],[Column10]] * deployment_raw[[#This Row],[Column5]]),"")</f>
        <v/>
      </c>
      <c r="K316" s="58" t="str">
        <f>IF(ISNUMBER(deployment_raw[[#This Row],[Column11]]), (deployment_raw[[#This Row],[Column11]] * deployment_raw[[#This Row],[Column5]])/1048576,"")</f>
        <v/>
      </c>
      <c r="L316" s="180" t="str">
        <f>IF(ISNUMBER(deployment_raw[[#This Row],[Column8]]),IF(deployment_raw[[#This Row],[Column5]] &lt;&gt; 0, MAX((deployment_raw[[#This Row],[Column12]] * deployment_raw[[#This Row],[Column5]]), ((deployment_raw[[#This Row],[Column8]] * deployment_raw[[#This Row],[Column5]]) * $L$2), ($H$2 * deployment_raw[[#This Row],[Column5]])), 0),"")</f>
        <v/>
      </c>
      <c r="M31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16" s="188" t="str">
        <f>IF(ISNUMBER(deployment_raw[[#This Row],[Column14]]), deployment_raw[[#This Row],[Column14]],"")</f>
        <v/>
      </c>
      <c r="O316" s="189" t="str">
        <f>IF(ISNUMBER(deployment_raw[[#This Row],[Column15]]), deployment_raw[[#This Row],[Column15]]/1048576,"")</f>
        <v/>
      </c>
      <c r="P316" s="190" t="str">
        <f>IF(ISNUMBER(deployment_raw[[#This Row],[Column12]]), (deployment_raw[[#This Row],[Column12]] * deployment_raw[[#This Row],[Column5]]),"")</f>
        <v/>
      </c>
      <c r="Q316" s="189" t="str">
        <f>IF(ISNUMBER(deployment_raw[[#This Row],[Column13]]), (deployment_raw[[#This Row],[Column13]] * deployment_raw[[#This Row],[Column5]])/1048576,"")</f>
        <v/>
      </c>
    </row>
    <row r="317" spans="1:17" ht="15.75" customHeight="1" x14ac:dyDescent="0.25">
      <c r="A317" s="37" t="str">
        <f>IF(ISNONTEXT(deployment_raw[[#This Row],[Column1]]), "", deployment_raw[[#This Row],[Column1]])</f>
        <v/>
      </c>
      <c r="B317" s="38" t="str">
        <f>IF(ISNONTEXT(deployment_raw[[#This Row],[Column2]]), "", deployment_raw[[#This Row],[Column2]])</f>
        <v/>
      </c>
      <c r="C317" s="38" t="str">
        <f>IF(ISNONTEXT(deployment_raw[[#This Row],[Column3]]), "", deployment_raw[[#This Row],[Column3]])</f>
        <v/>
      </c>
      <c r="D317" s="38" t="str">
        <f>IF(ISNONTEXT(deployment_raw[[#This Row],[Column4]]), "", deployment_raw[[#This Row],[Column4]])</f>
        <v/>
      </c>
      <c r="E317" s="39" t="str">
        <f>IF(ISNUMBER(deployment_raw[[#This Row],[Column5]]), deployment_raw[[#This Row],[Column5]],"")</f>
        <v/>
      </c>
      <c r="F317" s="174" t="str">
        <f>IF(ISNUMBER(deployment_raw[[#This Row],[Column6]]), (deployment_raw[[#This Row],[Column6]] * deployment_raw[[#This Row],[Column5]]),"")</f>
        <v/>
      </c>
      <c r="G317" s="175" t="str">
        <f>IF(ISNUMBER(deployment_raw[[#This Row],[Column7]]), (deployment_raw[[#This Row],[Column7]] * deployment_raw[[#This Row],[Column5]])/1048576,"")</f>
        <v/>
      </c>
      <c r="H317" s="175" t="str">
        <f>IF(ISNUMBER(deployment_raw[[#This Row],[Column8]]), (deployment_raw[[#This Row],[Column8]]  * deployment_raw[[#This Row],[Column5]]),"")</f>
        <v/>
      </c>
      <c r="I317" s="176" t="str">
        <f>IF(ISNUMBER(deployment_raw[[#This Row],[Column9]]), (deployment_raw[[#This Row],[Column9]] * deployment_raw[[#This Row],[Column5]])/1048576,"")</f>
        <v/>
      </c>
      <c r="J317" s="57" t="str">
        <f>IF(ISNUMBER(deployment_raw[[#This Row],[Column10]]), (deployment_raw[[#This Row],[Column10]] * deployment_raw[[#This Row],[Column5]]),"")</f>
        <v/>
      </c>
      <c r="K317" s="58" t="str">
        <f>IF(ISNUMBER(deployment_raw[[#This Row],[Column11]]), (deployment_raw[[#This Row],[Column11]] * deployment_raw[[#This Row],[Column5]])/1048576,"")</f>
        <v/>
      </c>
      <c r="L317" s="180" t="str">
        <f>IF(ISNUMBER(deployment_raw[[#This Row],[Column8]]),IF(deployment_raw[[#This Row],[Column5]] &lt;&gt; 0, MAX((deployment_raw[[#This Row],[Column12]] * deployment_raw[[#This Row],[Column5]]), ((deployment_raw[[#This Row],[Column8]] * deployment_raw[[#This Row],[Column5]]) * $L$2), ($H$2 * deployment_raw[[#This Row],[Column5]])), 0),"")</f>
        <v/>
      </c>
      <c r="M31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17" s="188" t="str">
        <f>IF(ISNUMBER(deployment_raw[[#This Row],[Column14]]), deployment_raw[[#This Row],[Column14]],"")</f>
        <v/>
      </c>
      <c r="O317" s="189" t="str">
        <f>IF(ISNUMBER(deployment_raw[[#This Row],[Column15]]), deployment_raw[[#This Row],[Column15]]/1048576,"")</f>
        <v/>
      </c>
      <c r="P317" s="190" t="str">
        <f>IF(ISNUMBER(deployment_raw[[#This Row],[Column12]]), (deployment_raw[[#This Row],[Column12]] * deployment_raw[[#This Row],[Column5]]),"")</f>
        <v/>
      </c>
      <c r="Q317" s="189" t="str">
        <f>IF(ISNUMBER(deployment_raw[[#This Row],[Column13]]), (deployment_raw[[#This Row],[Column13]] * deployment_raw[[#This Row],[Column5]])/1048576,"")</f>
        <v/>
      </c>
    </row>
    <row r="318" spans="1:17" ht="15.75" customHeight="1" x14ac:dyDescent="0.25">
      <c r="A318" s="37" t="str">
        <f>IF(ISNONTEXT(deployment_raw[[#This Row],[Column1]]), "", deployment_raw[[#This Row],[Column1]])</f>
        <v/>
      </c>
      <c r="B318" s="38" t="str">
        <f>IF(ISNONTEXT(deployment_raw[[#This Row],[Column2]]), "", deployment_raw[[#This Row],[Column2]])</f>
        <v/>
      </c>
      <c r="C318" s="38" t="str">
        <f>IF(ISNONTEXT(deployment_raw[[#This Row],[Column3]]), "", deployment_raw[[#This Row],[Column3]])</f>
        <v/>
      </c>
      <c r="D318" s="38" t="str">
        <f>IF(ISNONTEXT(deployment_raw[[#This Row],[Column4]]), "", deployment_raw[[#This Row],[Column4]])</f>
        <v/>
      </c>
      <c r="E318" s="39" t="str">
        <f>IF(ISNUMBER(deployment_raw[[#This Row],[Column5]]), deployment_raw[[#This Row],[Column5]],"")</f>
        <v/>
      </c>
      <c r="F318" s="174" t="str">
        <f>IF(ISNUMBER(deployment_raw[[#This Row],[Column6]]), (deployment_raw[[#This Row],[Column6]] * deployment_raw[[#This Row],[Column5]]),"")</f>
        <v/>
      </c>
      <c r="G318" s="175" t="str">
        <f>IF(ISNUMBER(deployment_raw[[#This Row],[Column7]]), (deployment_raw[[#This Row],[Column7]] * deployment_raw[[#This Row],[Column5]])/1048576,"")</f>
        <v/>
      </c>
      <c r="H318" s="175" t="str">
        <f>IF(ISNUMBER(deployment_raw[[#This Row],[Column8]]), (deployment_raw[[#This Row],[Column8]]  * deployment_raw[[#This Row],[Column5]]),"")</f>
        <v/>
      </c>
      <c r="I318" s="176" t="str">
        <f>IF(ISNUMBER(deployment_raw[[#This Row],[Column9]]), (deployment_raw[[#This Row],[Column9]] * deployment_raw[[#This Row],[Column5]])/1048576,"")</f>
        <v/>
      </c>
      <c r="J318" s="57" t="str">
        <f>IF(ISNUMBER(deployment_raw[[#This Row],[Column10]]), (deployment_raw[[#This Row],[Column10]] * deployment_raw[[#This Row],[Column5]]),"")</f>
        <v/>
      </c>
      <c r="K318" s="58" t="str">
        <f>IF(ISNUMBER(deployment_raw[[#This Row],[Column11]]), (deployment_raw[[#This Row],[Column11]] * deployment_raw[[#This Row],[Column5]])/1048576,"")</f>
        <v/>
      </c>
      <c r="L318" s="180" t="str">
        <f>IF(ISNUMBER(deployment_raw[[#This Row],[Column8]]),IF(deployment_raw[[#This Row],[Column5]] &lt;&gt; 0, MAX((deployment_raw[[#This Row],[Column12]] * deployment_raw[[#This Row],[Column5]]), ((deployment_raw[[#This Row],[Column8]] * deployment_raw[[#This Row],[Column5]]) * $L$2), ($H$2 * deployment_raw[[#This Row],[Column5]])), 0),"")</f>
        <v/>
      </c>
      <c r="M31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18" s="188" t="str">
        <f>IF(ISNUMBER(deployment_raw[[#This Row],[Column14]]), deployment_raw[[#This Row],[Column14]],"")</f>
        <v/>
      </c>
      <c r="O318" s="189" t="str">
        <f>IF(ISNUMBER(deployment_raw[[#This Row],[Column15]]), deployment_raw[[#This Row],[Column15]]/1048576,"")</f>
        <v/>
      </c>
      <c r="P318" s="190" t="str">
        <f>IF(ISNUMBER(deployment_raw[[#This Row],[Column12]]), (deployment_raw[[#This Row],[Column12]] * deployment_raw[[#This Row],[Column5]]),"")</f>
        <v/>
      </c>
      <c r="Q318" s="189" t="str">
        <f>IF(ISNUMBER(deployment_raw[[#This Row],[Column13]]), (deployment_raw[[#This Row],[Column13]] * deployment_raw[[#This Row],[Column5]])/1048576,"")</f>
        <v/>
      </c>
    </row>
    <row r="319" spans="1:17" ht="15.75" customHeight="1" x14ac:dyDescent="0.25">
      <c r="A319" s="37" t="str">
        <f>IF(ISNONTEXT(deployment_raw[[#This Row],[Column1]]), "", deployment_raw[[#This Row],[Column1]])</f>
        <v/>
      </c>
      <c r="B319" s="38" t="str">
        <f>IF(ISNONTEXT(deployment_raw[[#This Row],[Column2]]), "", deployment_raw[[#This Row],[Column2]])</f>
        <v/>
      </c>
      <c r="C319" s="38" t="str">
        <f>IF(ISNONTEXT(deployment_raw[[#This Row],[Column3]]), "", deployment_raw[[#This Row],[Column3]])</f>
        <v/>
      </c>
      <c r="D319" s="38" t="str">
        <f>IF(ISNONTEXT(deployment_raw[[#This Row],[Column4]]), "", deployment_raw[[#This Row],[Column4]])</f>
        <v/>
      </c>
      <c r="E319" s="39" t="str">
        <f>IF(ISNUMBER(deployment_raw[[#This Row],[Column5]]), deployment_raw[[#This Row],[Column5]],"")</f>
        <v/>
      </c>
      <c r="F319" s="174" t="str">
        <f>IF(ISNUMBER(deployment_raw[[#This Row],[Column6]]), (deployment_raw[[#This Row],[Column6]] * deployment_raw[[#This Row],[Column5]]),"")</f>
        <v/>
      </c>
      <c r="G319" s="175" t="str">
        <f>IF(ISNUMBER(deployment_raw[[#This Row],[Column7]]), (deployment_raw[[#This Row],[Column7]] * deployment_raw[[#This Row],[Column5]])/1048576,"")</f>
        <v/>
      </c>
      <c r="H319" s="175" t="str">
        <f>IF(ISNUMBER(deployment_raw[[#This Row],[Column8]]), (deployment_raw[[#This Row],[Column8]]  * deployment_raw[[#This Row],[Column5]]),"")</f>
        <v/>
      </c>
      <c r="I319" s="176" t="str">
        <f>IF(ISNUMBER(deployment_raw[[#This Row],[Column9]]), (deployment_raw[[#This Row],[Column9]] * deployment_raw[[#This Row],[Column5]])/1048576,"")</f>
        <v/>
      </c>
      <c r="J319" s="57" t="str">
        <f>IF(ISNUMBER(deployment_raw[[#This Row],[Column10]]), (deployment_raw[[#This Row],[Column10]] * deployment_raw[[#This Row],[Column5]]),"")</f>
        <v/>
      </c>
      <c r="K319" s="58" t="str">
        <f>IF(ISNUMBER(deployment_raw[[#This Row],[Column11]]), (deployment_raw[[#This Row],[Column11]] * deployment_raw[[#This Row],[Column5]])/1048576,"")</f>
        <v/>
      </c>
      <c r="L319" s="180" t="str">
        <f>IF(ISNUMBER(deployment_raw[[#This Row],[Column8]]),IF(deployment_raw[[#This Row],[Column5]] &lt;&gt; 0, MAX((deployment_raw[[#This Row],[Column12]] * deployment_raw[[#This Row],[Column5]]), ((deployment_raw[[#This Row],[Column8]] * deployment_raw[[#This Row],[Column5]]) * $L$2), ($H$2 * deployment_raw[[#This Row],[Column5]])), 0),"")</f>
        <v/>
      </c>
      <c r="M31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19" s="188" t="str">
        <f>IF(ISNUMBER(deployment_raw[[#This Row],[Column14]]), deployment_raw[[#This Row],[Column14]],"")</f>
        <v/>
      </c>
      <c r="O319" s="189" t="str">
        <f>IF(ISNUMBER(deployment_raw[[#This Row],[Column15]]), deployment_raw[[#This Row],[Column15]]/1048576,"")</f>
        <v/>
      </c>
      <c r="P319" s="190" t="str">
        <f>IF(ISNUMBER(deployment_raw[[#This Row],[Column12]]), (deployment_raw[[#This Row],[Column12]] * deployment_raw[[#This Row],[Column5]]),"")</f>
        <v/>
      </c>
      <c r="Q319" s="189" t="str">
        <f>IF(ISNUMBER(deployment_raw[[#This Row],[Column13]]), (deployment_raw[[#This Row],[Column13]] * deployment_raw[[#This Row],[Column5]])/1048576,"")</f>
        <v/>
      </c>
    </row>
    <row r="320" spans="1:17" ht="15.75" customHeight="1" x14ac:dyDescent="0.25">
      <c r="A320" s="37" t="str">
        <f>IF(ISNONTEXT(deployment_raw[[#This Row],[Column1]]), "", deployment_raw[[#This Row],[Column1]])</f>
        <v/>
      </c>
      <c r="B320" s="38" t="str">
        <f>IF(ISNONTEXT(deployment_raw[[#This Row],[Column2]]), "", deployment_raw[[#This Row],[Column2]])</f>
        <v/>
      </c>
      <c r="C320" s="38" t="str">
        <f>IF(ISNONTEXT(deployment_raw[[#This Row],[Column3]]), "", deployment_raw[[#This Row],[Column3]])</f>
        <v/>
      </c>
      <c r="D320" s="38" t="str">
        <f>IF(ISNONTEXT(deployment_raw[[#This Row],[Column4]]), "", deployment_raw[[#This Row],[Column4]])</f>
        <v/>
      </c>
      <c r="E320" s="39" t="str">
        <f>IF(ISNUMBER(deployment_raw[[#This Row],[Column5]]), deployment_raw[[#This Row],[Column5]],"")</f>
        <v/>
      </c>
      <c r="F320" s="174" t="str">
        <f>IF(ISNUMBER(deployment_raw[[#This Row],[Column6]]), (deployment_raw[[#This Row],[Column6]] * deployment_raw[[#This Row],[Column5]]),"")</f>
        <v/>
      </c>
      <c r="G320" s="175" t="str">
        <f>IF(ISNUMBER(deployment_raw[[#This Row],[Column7]]), (deployment_raw[[#This Row],[Column7]] * deployment_raw[[#This Row],[Column5]])/1048576,"")</f>
        <v/>
      </c>
      <c r="H320" s="175" t="str">
        <f>IF(ISNUMBER(deployment_raw[[#This Row],[Column8]]), (deployment_raw[[#This Row],[Column8]]  * deployment_raw[[#This Row],[Column5]]),"")</f>
        <v/>
      </c>
      <c r="I320" s="176" t="str">
        <f>IF(ISNUMBER(deployment_raw[[#This Row],[Column9]]), (deployment_raw[[#This Row],[Column9]] * deployment_raw[[#This Row],[Column5]])/1048576,"")</f>
        <v/>
      </c>
      <c r="J320" s="57" t="str">
        <f>IF(ISNUMBER(deployment_raw[[#This Row],[Column10]]), (deployment_raw[[#This Row],[Column10]] * deployment_raw[[#This Row],[Column5]]),"")</f>
        <v/>
      </c>
      <c r="K320" s="58" t="str">
        <f>IF(ISNUMBER(deployment_raw[[#This Row],[Column11]]), (deployment_raw[[#This Row],[Column11]] * deployment_raw[[#This Row],[Column5]])/1048576,"")</f>
        <v/>
      </c>
      <c r="L320" s="180" t="str">
        <f>IF(ISNUMBER(deployment_raw[[#This Row],[Column8]]),IF(deployment_raw[[#This Row],[Column5]] &lt;&gt; 0, MAX((deployment_raw[[#This Row],[Column12]] * deployment_raw[[#This Row],[Column5]]), ((deployment_raw[[#This Row],[Column8]] * deployment_raw[[#This Row],[Column5]]) * $L$2), ($H$2 * deployment_raw[[#This Row],[Column5]])), 0),"")</f>
        <v/>
      </c>
      <c r="M32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20" s="188" t="str">
        <f>IF(ISNUMBER(deployment_raw[[#This Row],[Column14]]), deployment_raw[[#This Row],[Column14]],"")</f>
        <v/>
      </c>
      <c r="O320" s="189" t="str">
        <f>IF(ISNUMBER(deployment_raw[[#This Row],[Column15]]), deployment_raw[[#This Row],[Column15]]/1048576,"")</f>
        <v/>
      </c>
      <c r="P320" s="190" t="str">
        <f>IF(ISNUMBER(deployment_raw[[#This Row],[Column12]]), (deployment_raw[[#This Row],[Column12]] * deployment_raw[[#This Row],[Column5]]),"")</f>
        <v/>
      </c>
      <c r="Q320" s="189" t="str">
        <f>IF(ISNUMBER(deployment_raw[[#This Row],[Column13]]), (deployment_raw[[#This Row],[Column13]] * deployment_raw[[#This Row],[Column5]])/1048576,"")</f>
        <v/>
      </c>
    </row>
    <row r="321" spans="1:17" ht="15.75" customHeight="1" x14ac:dyDescent="0.25">
      <c r="A321" s="37" t="str">
        <f>IF(ISNONTEXT(deployment_raw[[#This Row],[Column1]]), "", deployment_raw[[#This Row],[Column1]])</f>
        <v/>
      </c>
      <c r="B321" s="38" t="str">
        <f>IF(ISNONTEXT(deployment_raw[[#This Row],[Column2]]), "", deployment_raw[[#This Row],[Column2]])</f>
        <v/>
      </c>
      <c r="C321" s="38" t="str">
        <f>IF(ISNONTEXT(deployment_raw[[#This Row],[Column3]]), "", deployment_raw[[#This Row],[Column3]])</f>
        <v/>
      </c>
      <c r="D321" s="38" t="str">
        <f>IF(ISNONTEXT(deployment_raw[[#This Row],[Column4]]), "", deployment_raw[[#This Row],[Column4]])</f>
        <v/>
      </c>
      <c r="E321" s="39" t="str">
        <f>IF(ISNUMBER(deployment_raw[[#This Row],[Column5]]), deployment_raw[[#This Row],[Column5]],"")</f>
        <v/>
      </c>
      <c r="F321" s="174" t="str">
        <f>IF(ISNUMBER(deployment_raw[[#This Row],[Column6]]), (deployment_raw[[#This Row],[Column6]] * deployment_raw[[#This Row],[Column5]]),"")</f>
        <v/>
      </c>
      <c r="G321" s="175" t="str">
        <f>IF(ISNUMBER(deployment_raw[[#This Row],[Column7]]), (deployment_raw[[#This Row],[Column7]] * deployment_raw[[#This Row],[Column5]])/1048576,"")</f>
        <v/>
      </c>
      <c r="H321" s="175" t="str">
        <f>IF(ISNUMBER(deployment_raw[[#This Row],[Column8]]), (deployment_raw[[#This Row],[Column8]]  * deployment_raw[[#This Row],[Column5]]),"")</f>
        <v/>
      </c>
      <c r="I321" s="176" t="str">
        <f>IF(ISNUMBER(deployment_raw[[#This Row],[Column9]]), (deployment_raw[[#This Row],[Column9]] * deployment_raw[[#This Row],[Column5]])/1048576,"")</f>
        <v/>
      </c>
      <c r="J321" s="57" t="str">
        <f>IF(ISNUMBER(deployment_raw[[#This Row],[Column10]]), (deployment_raw[[#This Row],[Column10]] * deployment_raw[[#This Row],[Column5]]),"")</f>
        <v/>
      </c>
      <c r="K321" s="58" t="str">
        <f>IF(ISNUMBER(deployment_raw[[#This Row],[Column11]]), (deployment_raw[[#This Row],[Column11]] * deployment_raw[[#This Row],[Column5]])/1048576,"")</f>
        <v/>
      </c>
      <c r="L321" s="180" t="str">
        <f>IF(ISNUMBER(deployment_raw[[#This Row],[Column8]]),IF(deployment_raw[[#This Row],[Column5]] &lt;&gt; 0, MAX((deployment_raw[[#This Row],[Column12]] * deployment_raw[[#This Row],[Column5]]), ((deployment_raw[[#This Row],[Column8]] * deployment_raw[[#This Row],[Column5]]) * $L$2), ($H$2 * deployment_raw[[#This Row],[Column5]])), 0),"")</f>
        <v/>
      </c>
      <c r="M32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21" s="188" t="str">
        <f>IF(ISNUMBER(deployment_raw[[#This Row],[Column14]]), deployment_raw[[#This Row],[Column14]],"")</f>
        <v/>
      </c>
      <c r="O321" s="189" t="str">
        <f>IF(ISNUMBER(deployment_raw[[#This Row],[Column15]]), deployment_raw[[#This Row],[Column15]]/1048576,"")</f>
        <v/>
      </c>
      <c r="P321" s="190" t="str">
        <f>IF(ISNUMBER(deployment_raw[[#This Row],[Column12]]), (deployment_raw[[#This Row],[Column12]] * deployment_raw[[#This Row],[Column5]]),"")</f>
        <v/>
      </c>
      <c r="Q321" s="189" t="str">
        <f>IF(ISNUMBER(deployment_raw[[#This Row],[Column13]]), (deployment_raw[[#This Row],[Column13]] * deployment_raw[[#This Row],[Column5]])/1048576,"")</f>
        <v/>
      </c>
    </row>
    <row r="322" spans="1:17" ht="15.75" customHeight="1" x14ac:dyDescent="0.25">
      <c r="A322" s="37" t="str">
        <f>IF(ISNONTEXT(deployment_raw[[#This Row],[Column1]]), "", deployment_raw[[#This Row],[Column1]])</f>
        <v/>
      </c>
      <c r="B322" s="38" t="str">
        <f>IF(ISNONTEXT(deployment_raw[[#This Row],[Column2]]), "", deployment_raw[[#This Row],[Column2]])</f>
        <v/>
      </c>
      <c r="C322" s="38" t="str">
        <f>IF(ISNONTEXT(deployment_raw[[#This Row],[Column3]]), "", deployment_raw[[#This Row],[Column3]])</f>
        <v/>
      </c>
      <c r="D322" s="38" t="str">
        <f>IF(ISNONTEXT(deployment_raw[[#This Row],[Column4]]), "", deployment_raw[[#This Row],[Column4]])</f>
        <v/>
      </c>
      <c r="E322" s="39" t="str">
        <f>IF(ISNUMBER(deployment_raw[[#This Row],[Column5]]), deployment_raw[[#This Row],[Column5]],"")</f>
        <v/>
      </c>
      <c r="F322" s="174" t="str">
        <f>IF(ISNUMBER(deployment_raw[[#This Row],[Column6]]), (deployment_raw[[#This Row],[Column6]] * deployment_raw[[#This Row],[Column5]]),"")</f>
        <v/>
      </c>
      <c r="G322" s="175" t="str">
        <f>IF(ISNUMBER(deployment_raw[[#This Row],[Column7]]), (deployment_raw[[#This Row],[Column7]] * deployment_raw[[#This Row],[Column5]])/1048576,"")</f>
        <v/>
      </c>
      <c r="H322" s="175" t="str">
        <f>IF(ISNUMBER(deployment_raw[[#This Row],[Column8]]), (deployment_raw[[#This Row],[Column8]]  * deployment_raw[[#This Row],[Column5]]),"")</f>
        <v/>
      </c>
      <c r="I322" s="176" t="str">
        <f>IF(ISNUMBER(deployment_raw[[#This Row],[Column9]]), (deployment_raw[[#This Row],[Column9]] * deployment_raw[[#This Row],[Column5]])/1048576,"")</f>
        <v/>
      </c>
      <c r="J322" s="57" t="str">
        <f>IF(ISNUMBER(deployment_raw[[#This Row],[Column10]]), (deployment_raw[[#This Row],[Column10]] * deployment_raw[[#This Row],[Column5]]),"")</f>
        <v/>
      </c>
      <c r="K322" s="58" t="str">
        <f>IF(ISNUMBER(deployment_raw[[#This Row],[Column11]]), (deployment_raw[[#This Row],[Column11]] * deployment_raw[[#This Row],[Column5]])/1048576,"")</f>
        <v/>
      </c>
      <c r="L322" s="180" t="str">
        <f>IF(ISNUMBER(deployment_raw[[#This Row],[Column8]]),IF(deployment_raw[[#This Row],[Column5]] &lt;&gt; 0, MAX((deployment_raw[[#This Row],[Column12]] * deployment_raw[[#This Row],[Column5]]), ((deployment_raw[[#This Row],[Column8]] * deployment_raw[[#This Row],[Column5]]) * $L$2), ($H$2 * deployment_raw[[#This Row],[Column5]])), 0),"")</f>
        <v/>
      </c>
      <c r="M32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22" s="188" t="str">
        <f>IF(ISNUMBER(deployment_raw[[#This Row],[Column14]]), deployment_raw[[#This Row],[Column14]],"")</f>
        <v/>
      </c>
      <c r="O322" s="189" t="str">
        <f>IF(ISNUMBER(deployment_raw[[#This Row],[Column15]]), deployment_raw[[#This Row],[Column15]]/1048576,"")</f>
        <v/>
      </c>
      <c r="P322" s="190" t="str">
        <f>IF(ISNUMBER(deployment_raw[[#This Row],[Column12]]), (deployment_raw[[#This Row],[Column12]] * deployment_raw[[#This Row],[Column5]]),"")</f>
        <v/>
      </c>
      <c r="Q322" s="189" t="str">
        <f>IF(ISNUMBER(deployment_raw[[#This Row],[Column13]]), (deployment_raw[[#This Row],[Column13]] * deployment_raw[[#This Row],[Column5]])/1048576,"")</f>
        <v/>
      </c>
    </row>
    <row r="323" spans="1:17" ht="15.75" customHeight="1" x14ac:dyDescent="0.25">
      <c r="A323" s="37" t="str">
        <f>IF(ISNONTEXT(deployment_raw[[#This Row],[Column1]]), "", deployment_raw[[#This Row],[Column1]])</f>
        <v/>
      </c>
      <c r="B323" s="38" t="str">
        <f>IF(ISNONTEXT(deployment_raw[[#This Row],[Column2]]), "", deployment_raw[[#This Row],[Column2]])</f>
        <v/>
      </c>
      <c r="C323" s="38" t="str">
        <f>IF(ISNONTEXT(deployment_raw[[#This Row],[Column3]]), "", deployment_raw[[#This Row],[Column3]])</f>
        <v/>
      </c>
      <c r="D323" s="38" t="str">
        <f>IF(ISNONTEXT(deployment_raw[[#This Row],[Column4]]), "", deployment_raw[[#This Row],[Column4]])</f>
        <v/>
      </c>
      <c r="E323" s="39" t="str">
        <f>IF(ISNUMBER(deployment_raw[[#This Row],[Column5]]), deployment_raw[[#This Row],[Column5]],"")</f>
        <v/>
      </c>
      <c r="F323" s="174" t="str">
        <f>IF(ISNUMBER(deployment_raw[[#This Row],[Column6]]), (deployment_raw[[#This Row],[Column6]] * deployment_raw[[#This Row],[Column5]]),"")</f>
        <v/>
      </c>
      <c r="G323" s="175" t="str">
        <f>IF(ISNUMBER(deployment_raw[[#This Row],[Column7]]), (deployment_raw[[#This Row],[Column7]] * deployment_raw[[#This Row],[Column5]])/1048576,"")</f>
        <v/>
      </c>
      <c r="H323" s="175" t="str">
        <f>IF(ISNUMBER(deployment_raw[[#This Row],[Column8]]), (deployment_raw[[#This Row],[Column8]]  * deployment_raw[[#This Row],[Column5]]),"")</f>
        <v/>
      </c>
      <c r="I323" s="176" t="str">
        <f>IF(ISNUMBER(deployment_raw[[#This Row],[Column9]]), (deployment_raw[[#This Row],[Column9]] * deployment_raw[[#This Row],[Column5]])/1048576,"")</f>
        <v/>
      </c>
      <c r="J323" s="57" t="str">
        <f>IF(ISNUMBER(deployment_raw[[#This Row],[Column10]]), (deployment_raw[[#This Row],[Column10]] * deployment_raw[[#This Row],[Column5]]),"")</f>
        <v/>
      </c>
      <c r="K323" s="58" t="str">
        <f>IF(ISNUMBER(deployment_raw[[#This Row],[Column11]]), (deployment_raw[[#This Row],[Column11]] * deployment_raw[[#This Row],[Column5]])/1048576,"")</f>
        <v/>
      </c>
      <c r="L323" s="180" t="str">
        <f>IF(ISNUMBER(deployment_raw[[#This Row],[Column8]]),IF(deployment_raw[[#This Row],[Column5]] &lt;&gt; 0, MAX((deployment_raw[[#This Row],[Column12]] * deployment_raw[[#This Row],[Column5]]), ((deployment_raw[[#This Row],[Column8]] * deployment_raw[[#This Row],[Column5]]) * $L$2), ($H$2 * deployment_raw[[#This Row],[Column5]])), 0),"")</f>
        <v/>
      </c>
      <c r="M32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23" s="188" t="str">
        <f>IF(ISNUMBER(deployment_raw[[#This Row],[Column14]]), deployment_raw[[#This Row],[Column14]],"")</f>
        <v/>
      </c>
      <c r="O323" s="189" t="str">
        <f>IF(ISNUMBER(deployment_raw[[#This Row],[Column15]]), deployment_raw[[#This Row],[Column15]]/1048576,"")</f>
        <v/>
      </c>
      <c r="P323" s="190" t="str">
        <f>IF(ISNUMBER(deployment_raw[[#This Row],[Column12]]), (deployment_raw[[#This Row],[Column12]] * deployment_raw[[#This Row],[Column5]]),"")</f>
        <v/>
      </c>
      <c r="Q323" s="189" t="str">
        <f>IF(ISNUMBER(deployment_raw[[#This Row],[Column13]]), (deployment_raw[[#This Row],[Column13]] * deployment_raw[[#This Row],[Column5]])/1048576,"")</f>
        <v/>
      </c>
    </row>
    <row r="324" spans="1:17" ht="15.75" customHeight="1" x14ac:dyDescent="0.25">
      <c r="A324" s="37" t="str">
        <f>IF(ISNONTEXT(deployment_raw[[#This Row],[Column1]]), "", deployment_raw[[#This Row],[Column1]])</f>
        <v/>
      </c>
      <c r="B324" s="38" t="str">
        <f>IF(ISNONTEXT(deployment_raw[[#This Row],[Column2]]), "", deployment_raw[[#This Row],[Column2]])</f>
        <v/>
      </c>
      <c r="C324" s="38" t="str">
        <f>IF(ISNONTEXT(deployment_raw[[#This Row],[Column3]]), "", deployment_raw[[#This Row],[Column3]])</f>
        <v/>
      </c>
      <c r="D324" s="38" t="str">
        <f>IF(ISNONTEXT(deployment_raw[[#This Row],[Column4]]), "", deployment_raw[[#This Row],[Column4]])</f>
        <v/>
      </c>
      <c r="E324" s="39" t="str">
        <f>IF(ISNUMBER(deployment_raw[[#This Row],[Column5]]), deployment_raw[[#This Row],[Column5]],"")</f>
        <v/>
      </c>
      <c r="F324" s="174" t="str">
        <f>IF(ISNUMBER(deployment_raw[[#This Row],[Column6]]), (deployment_raw[[#This Row],[Column6]] * deployment_raw[[#This Row],[Column5]]),"")</f>
        <v/>
      </c>
      <c r="G324" s="175" t="str">
        <f>IF(ISNUMBER(deployment_raw[[#This Row],[Column7]]), (deployment_raw[[#This Row],[Column7]] * deployment_raw[[#This Row],[Column5]])/1048576,"")</f>
        <v/>
      </c>
      <c r="H324" s="175" t="str">
        <f>IF(ISNUMBER(deployment_raw[[#This Row],[Column8]]), (deployment_raw[[#This Row],[Column8]]  * deployment_raw[[#This Row],[Column5]]),"")</f>
        <v/>
      </c>
      <c r="I324" s="176" t="str">
        <f>IF(ISNUMBER(deployment_raw[[#This Row],[Column9]]), (deployment_raw[[#This Row],[Column9]] * deployment_raw[[#This Row],[Column5]])/1048576,"")</f>
        <v/>
      </c>
      <c r="J324" s="57" t="str">
        <f>IF(ISNUMBER(deployment_raw[[#This Row],[Column10]]), (deployment_raw[[#This Row],[Column10]] * deployment_raw[[#This Row],[Column5]]),"")</f>
        <v/>
      </c>
      <c r="K324" s="58" t="str">
        <f>IF(ISNUMBER(deployment_raw[[#This Row],[Column11]]), (deployment_raw[[#This Row],[Column11]] * deployment_raw[[#This Row],[Column5]])/1048576,"")</f>
        <v/>
      </c>
      <c r="L324" s="180" t="str">
        <f>IF(ISNUMBER(deployment_raw[[#This Row],[Column8]]),IF(deployment_raw[[#This Row],[Column5]] &lt;&gt; 0, MAX((deployment_raw[[#This Row],[Column12]] * deployment_raw[[#This Row],[Column5]]), ((deployment_raw[[#This Row],[Column8]] * deployment_raw[[#This Row],[Column5]]) * $L$2), ($H$2 * deployment_raw[[#This Row],[Column5]])), 0),"")</f>
        <v/>
      </c>
      <c r="M32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24" s="188" t="str">
        <f>IF(ISNUMBER(deployment_raw[[#This Row],[Column14]]), deployment_raw[[#This Row],[Column14]],"")</f>
        <v/>
      </c>
      <c r="O324" s="189" t="str">
        <f>IF(ISNUMBER(deployment_raw[[#This Row],[Column15]]), deployment_raw[[#This Row],[Column15]]/1048576,"")</f>
        <v/>
      </c>
      <c r="P324" s="190" t="str">
        <f>IF(ISNUMBER(deployment_raw[[#This Row],[Column12]]), (deployment_raw[[#This Row],[Column12]] * deployment_raw[[#This Row],[Column5]]),"")</f>
        <v/>
      </c>
      <c r="Q324" s="189" t="str">
        <f>IF(ISNUMBER(deployment_raw[[#This Row],[Column13]]), (deployment_raw[[#This Row],[Column13]] * deployment_raw[[#This Row],[Column5]])/1048576,"")</f>
        <v/>
      </c>
    </row>
    <row r="325" spans="1:17" ht="15.75" customHeight="1" x14ac:dyDescent="0.25">
      <c r="A325" s="37" t="str">
        <f>IF(ISNONTEXT(deployment_raw[[#This Row],[Column1]]), "", deployment_raw[[#This Row],[Column1]])</f>
        <v/>
      </c>
      <c r="B325" s="38" t="str">
        <f>IF(ISNONTEXT(deployment_raw[[#This Row],[Column2]]), "", deployment_raw[[#This Row],[Column2]])</f>
        <v/>
      </c>
      <c r="C325" s="38" t="str">
        <f>IF(ISNONTEXT(deployment_raw[[#This Row],[Column3]]), "", deployment_raw[[#This Row],[Column3]])</f>
        <v/>
      </c>
      <c r="D325" s="38" t="str">
        <f>IF(ISNONTEXT(deployment_raw[[#This Row],[Column4]]), "", deployment_raw[[#This Row],[Column4]])</f>
        <v/>
      </c>
      <c r="E325" s="39" t="str">
        <f>IF(ISNUMBER(deployment_raw[[#This Row],[Column5]]), deployment_raw[[#This Row],[Column5]],"")</f>
        <v/>
      </c>
      <c r="F325" s="174" t="str">
        <f>IF(ISNUMBER(deployment_raw[[#This Row],[Column6]]), (deployment_raw[[#This Row],[Column6]] * deployment_raw[[#This Row],[Column5]]),"")</f>
        <v/>
      </c>
      <c r="G325" s="175" t="str">
        <f>IF(ISNUMBER(deployment_raw[[#This Row],[Column7]]), (deployment_raw[[#This Row],[Column7]] * deployment_raw[[#This Row],[Column5]])/1048576,"")</f>
        <v/>
      </c>
      <c r="H325" s="175" t="str">
        <f>IF(ISNUMBER(deployment_raw[[#This Row],[Column8]]), (deployment_raw[[#This Row],[Column8]]  * deployment_raw[[#This Row],[Column5]]),"")</f>
        <v/>
      </c>
      <c r="I325" s="176" t="str">
        <f>IF(ISNUMBER(deployment_raw[[#This Row],[Column9]]), (deployment_raw[[#This Row],[Column9]] * deployment_raw[[#This Row],[Column5]])/1048576,"")</f>
        <v/>
      </c>
      <c r="J325" s="57" t="str">
        <f>IF(ISNUMBER(deployment_raw[[#This Row],[Column10]]), (deployment_raw[[#This Row],[Column10]] * deployment_raw[[#This Row],[Column5]]),"")</f>
        <v/>
      </c>
      <c r="K325" s="58" t="str">
        <f>IF(ISNUMBER(deployment_raw[[#This Row],[Column11]]), (deployment_raw[[#This Row],[Column11]] * deployment_raw[[#This Row],[Column5]])/1048576,"")</f>
        <v/>
      </c>
      <c r="L325" s="180" t="str">
        <f>IF(ISNUMBER(deployment_raw[[#This Row],[Column8]]),IF(deployment_raw[[#This Row],[Column5]] &lt;&gt; 0, MAX((deployment_raw[[#This Row],[Column12]] * deployment_raw[[#This Row],[Column5]]), ((deployment_raw[[#This Row],[Column8]] * deployment_raw[[#This Row],[Column5]]) * $L$2), ($H$2 * deployment_raw[[#This Row],[Column5]])), 0),"")</f>
        <v/>
      </c>
      <c r="M32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25" s="188" t="str">
        <f>IF(ISNUMBER(deployment_raw[[#This Row],[Column14]]), deployment_raw[[#This Row],[Column14]],"")</f>
        <v/>
      </c>
      <c r="O325" s="189" t="str">
        <f>IF(ISNUMBER(deployment_raw[[#This Row],[Column15]]), deployment_raw[[#This Row],[Column15]]/1048576,"")</f>
        <v/>
      </c>
      <c r="P325" s="190" t="str">
        <f>IF(ISNUMBER(deployment_raw[[#This Row],[Column12]]), (deployment_raw[[#This Row],[Column12]] * deployment_raw[[#This Row],[Column5]]),"")</f>
        <v/>
      </c>
      <c r="Q325" s="189" t="str">
        <f>IF(ISNUMBER(deployment_raw[[#This Row],[Column13]]), (deployment_raw[[#This Row],[Column13]] * deployment_raw[[#This Row],[Column5]])/1048576,"")</f>
        <v/>
      </c>
    </row>
    <row r="326" spans="1:17" ht="15.75" customHeight="1" x14ac:dyDescent="0.25">
      <c r="A326" s="37" t="str">
        <f>IF(ISNONTEXT(deployment_raw[[#This Row],[Column1]]), "", deployment_raw[[#This Row],[Column1]])</f>
        <v/>
      </c>
      <c r="B326" s="38" t="str">
        <f>IF(ISNONTEXT(deployment_raw[[#This Row],[Column2]]), "", deployment_raw[[#This Row],[Column2]])</f>
        <v/>
      </c>
      <c r="C326" s="38" t="str">
        <f>IF(ISNONTEXT(deployment_raw[[#This Row],[Column3]]), "", deployment_raw[[#This Row],[Column3]])</f>
        <v/>
      </c>
      <c r="D326" s="38" t="str">
        <f>IF(ISNONTEXT(deployment_raw[[#This Row],[Column4]]), "", deployment_raw[[#This Row],[Column4]])</f>
        <v/>
      </c>
      <c r="E326" s="39" t="str">
        <f>IF(ISNUMBER(deployment_raw[[#This Row],[Column5]]), deployment_raw[[#This Row],[Column5]],"")</f>
        <v/>
      </c>
      <c r="F326" s="174" t="str">
        <f>IF(ISNUMBER(deployment_raw[[#This Row],[Column6]]), (deployment_raw[[#This Row],[Column6]] * deployment_raw[[#This Row],[Column5]]),"")</f>
        <v/>
      </c>
      <c r="G326" s="175" t="str">
        <f>IF(ISNUMBER(deployment_raw[[#This Row],[Column7]]), (deployment_raw[[#This Row],[Column7]] * deployment_raw[[#This Row],[Column5]])/1048576,"")</f>
        <v/>
      </c>
      <c r="H326" s="175" t="str">
        <f>IF(ISNUMBER(deployment_raw[[#This Row],[Column8]]), (deployment_raw[[#This Row],[Column8]]  * deployment_raw[[#This Row],[Column5]]),"")</f>
        <v/>
      </c>
      <c r="I326" s="176" t="str">
        <f>IF(ISNUMBER(deployment_raw[[#This Row],[Column9]]), (deployment_raw[[#This Row],[Column9]] * deployment_raw[[#This Row],[Column5]])/1048576,"")</f>
        <v/>
      </c>
      <c r="J326" s="57" t="str">
        <f>IF(ISNUMBER(deployment_raw[[#This Row],[Column10]]), (deployment_raw[[#This Row],[Column10]] * deployment_raw[[#This Row],[Column5]]),"")</f>
        <v/>
      </c>
      <c r="K326" s="58" t="str">
        <f>IF(ISNUMBER(deployment_raw[[#This Row],[Column11]]), (deployment_raw[[#This Row],[Column11]] * deployment_raw[[#This Row],[Column5]])/1048576,"")</f>
        <v/>
      </c>
      <c r="L326" s="180" t="str">
        <f>IF(ISNUMBER(deployment_raw[[#This Row],[Column8]]),IF(deployment_raw[[#This Row],[Column5]] &lt;&gt; 0, MAX((deployment_raw[[#This Row],[Column12]] * deployment_raw[[#This Row],[Column5]]), ((deployment_raw[[#This Row],[Column8]] * deployment_raw[[#This Row],[Column5]]) * $L$2), ($H$2 * deployment_raw[[#This Row],[Column5]])), 0),"")</f>
        <v/>
      </c>
      <c r="M32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26" s="188" t="str">
        <f>IF(ISNUMBER(deployment_raw[[#This Row],[Column14]]), deployment_raw[[#This Row],[Column14]],"")</f>
        <v/>
      </c>
      <c r="O326" s="189" t="str">
        <f>IF(ISNUMBER(deployment_raw[[#This Row],[Column15]]), deployment_raw[[#This Row],[Column15]]/1048576,"")</f>
        <v/>
      </c>
      <c r="P326" s="190" t="str">
        <f>IF(ISNUMBER(deployment_raw[[#This Row],[Column12]]), (deployment_raw[[#This Row],[Column12]] * deployment_raw[[#This Row],[Column5]]),"")</f>
        <v/>
      </c>
      <c r="Q326" s="189" t="str">
        <f>IF(ISNUMBER(deployment_raw[[#This Row],[Column13]]), (deployment_raw[[#This Row],[Column13]] * deployment_raw[[#This Row],[Column5]])/1048576,"")</f>
        <v/>
      </c>
    </row>
    <row r="327" spans="1:17" ht="15.75" customHeight="1" x14ac:dyDescent="0.25">
      <c r="A327" s="37" t="str">
        <f>IF(ISNONTEXT(deployment_raw[[#This Row],[Column1]]), "", deployment_raw[[#This Row],[Column1]])</f>
        <v/>
      </c>
      <c r="B327" s="38" t="str">
        <f>IF(ISNONTEXT(deployment_raw[[#This Row],[Column2]]), "", deployment_raw[[#This Row],[Column2]])</f>
        <v/>
      </c>
      <c r="C327" s="38" t="str">
        <f>IF(ISNONTEXT(deployment_raw[[#This Row],[Column3]]), "", deployment_raw[[#This Row],[Column3]])</f>
        <v/>
      </c>
      <c r="D327" s="38" t="str">
        <f>IF(ISNONTEXT(deployment_raw[[#This Row],[Column4]]), "", deployment_raw[[#This Row],[Column4]])</f>
        <v/>
      </c>
      <c r="E327" s="39" t="str">
        <f>IF(ISNUMBER(deployment_raw[[#This Row],[Column5]]), deployment_raw[[#This Row],[Column5]],"")</f>
        <v/>
      </c>
      <c r="F327" s="174" t="str">
        <f>IF(ISNUMBER(deployment_raw[[#This Row],[Column6]]), (deployment_raw[[#This Row],[Column6]] * deployment_raw[[#This Row],[Column5]]),"")</f>
        <v/>
      </c>
      <c r="G327" s="175" t="str">
        <f>IF(ISNUMBER(deployment_raw[[#This Row],[Column7]]), (deployment_raw[[#This Row],[Column7]] * deployment_raw[[#This Row],[Column5]])/1048576,"")</f>
        <v/>
      </c>
      <c r="H327" s="175" t="str">
        <f>IF(ISNUMBER(deployment_raw[[#This Row],[Column8]]), (deployment_raw[[#This Row],[Column8]]  * deployment_raw[[#This Row],[Column5]]),"")</f>
        <v/>
      </c>
      <c r="I327" s="176" t="str">
        <f>IF(ISNUMBER(deployment_raw[[#This Row],[Column9]]), (deployment_raw[[#This Row],[Column9]] * deployment_raw[[#This Row],[Column5]])/1048576,"")</f>
        <v/>
      </c>
      <c r="J327" s="57" t="str">
        <f>IF(ISNUMBER(deployment_raw[[#This Row],[Column10]]), (deployment_raw[[#This Row],[Column10]] * deployment_raw[[#This Row],[Column5]]),"")</f>
        <v/>
      </c>
      <c r="K327" s="58" t="str">
        <f>IF(ISNUMBER(deployment_raw[[#This Row],[Column11]]), (deployment_raw[[#This Row],[Column11]] * deployment_raw[[#This Row],[Column5]])/1048576,"")</f>
        <v/>
      </c>
      <c r="L327" s="180" t="str">
        <f>IF(ISNUMBER(deployment_raw[[#This Row],[Column8]]),IF(deployment_raw[[#This Row],[Column5]] &lt;&gt; 0, MAX((deployment_raw[[#This Row],[Column12]] * deployment_raw[[#This Row],[Column5]]), ((deployment_raw[[#This Row],[Column8]] * deployment_raw[[#This Row],[Column5]]) * $L$2), ($H$2 * deployment_raw[[#This Row],[Column5]])), 0),"")</f>
        <v/>
      </c>
      <c r="M32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27" s="188" t="str">
        <f>IF(ISNUMBER(deployment_raw[[#This Row],[Column14]]), deployment_raw[[#This Row],[Column14]],"")</f>
        <v/>
      </c>
      <c r="O327" s="189" t="str">
        <f>IF(ISNUMBER(deployment_raw[[#This Row],[Column15]]), deployment_raw[[#This Row],[Column15]]/1048576,"")</f>
        <v/>
      </c>
      <c r="P327" s="190" t="str">
        <f>IF(ISNUMBER(deployment_raw[[#This Row],[Column12]]), (deployment_raw[[#This Row],[Column12]] * deployment_raw[[#This Row],[Column5]]),"")</f>
        <v/>
      </c>
      <c r="Q327" s="189" t="str">
        <f>IF(ISNUMBER(deployment_raw[[#This Row],[Column13]]), (deployment_raw[[#This Row],[Column13]] * deployment_raw[[#This Row],[Column5]])/1048576,"")</f>
        <v/>
      </c>
    </row>
    <row r="328" spans="1:17" ht="15.75" customHeight="1" x14ac:dyDescent="0.25">
      <c r="A328" s="37" t="str">
        <f>IF(ISNONTEXT(deployment_raw[[#This Row],[Column1]]), "", deployment_raw[[#This Row],[Column1]])</f>
        <v/>
      </c>
      <c r="B328" s="38" t="str">
        <f>IF(ISNONTEXT(deployment_raw[[#This Row],[Column2]]), "", deployment_raw[[#This Row],[Column2]])</f>
        <v/>
      </c>
      <c r="C328" s="38" t="str">
        <f>IF(ISNONTEXT(deployment_raw[[#This Row],[Column3]]), "", deployment_raw[[#This Row],[Column3]])</f>
        <v/>
      </c>
      <c r="D328" s="38" t="str">
        <f>IF(ISNONTEXT(deployment_raw[[#This Row],[Column4]]), "", deployment_raw[[#This Row],[Column4]])</f>
        <v/>
      </c>
      <c r="E328" s="39" t="str">
        <f>IF(ISNUMBER(deployment_raw[[#This Row],[Column5]]), deployment_raw[[#This Row],[Column5]],"")</f>
        <v/>
      </c>
      <c r="F328" s="174" t="str">
        <f>IF(ISNUMBER(deployment_raw[[#This Row],[Column6]]), (deployment_raw[[#This Row],[Column6]] * deployment_raw[[#This Row],[Column5]]),"")</f>
        <v/>
      </c>
      <c r="G328" s="175" t="str">
        <f>IF(ISNUMBER(deployment_raw[[#This Row],[Column7]]), (deployment_raw[[#This Row],[Column7]] * deployment_raw[[#This Row],[Column5]])/1048576,"")</f>
        <v/>
      </c>
      <c r="H328" s="175" t="str">
        <f>IF(ISNUMBER(deployment_raw[[#This Row],[Column8]]), (deployment_raw[[#This Row],[Column8]]  * deployment_raw[[#This Row],[Column5]]),"")</f>
        <v/>
      </c>
      <c r="I328" s="176" t="str">
        <f>IF(ISNUMBER(deployment_raw[[#This Row],[Column9]]), (deployment_raw[[#This Row],[Column9]] * deployment_raw[[#This Row],[Column5]])/1048576,"")</f>
        <v/>
      </c>
      <c r="J328" s="57" t="str">
        <f>IF(ISNUMBER(deployment_raw[[#This Row],[Column10]]), (deployment_raw[[#This Row],[Column10]] * deployment_raw[[#This Row],[Column5]]),"")</f>
        <v/>
      </c>
      <c r="K328" s="58" t="str">
        <f>IF(ISNUMBER(deployment_raw[[#This Row],[Column11]]), (deployment_raw[[#This Row],[Column11]] * deployment_raw[[#This Row],[Column5]])/1048576,"")</f>
        <v/>
      </c>
      <c r="L328" s="180" t="str">
        <f>IF(ISNUMBER(deployment_raw[[#This Row],[Column8]]),IF(deployment_raw[[#This Row],[Column5]] &lt;&gt; 0, MAX((deployment_raw[[#This Row],[Column12]] * deployment_raw[[#This Row],[Column5]]), ((deployment_raw[[#This Row],[Column8]] * deployment_raw[[#This Row],[Column5]]) * $L$2), ($H$2 * deployment_raw[[#This Row],[Column5]])), 0),"")</f>
        <v/>
      </c>
      <c r="M32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28" s="188" t="str">
        <f>IF(ISNUMBER(deployment_raw[[#This Row],[Column14]]), deployment_raw[[#This Row],[Column14]],"")</f>
        <v/>
      </c>
      <c r="O328" s="189" t="str">
        <f>IF(ISNUMBER(deployment_raw[[#This Row],[Column15]]), deployment_raw[[#This Row],[Column15]]/1048576,"")</f>
        <v/>
      </c>
      <c r="P328" s="190" t="str">
        <f>IF(ISNUMBER(deployment_raw[[#This Row],[Column12]]), (deployment_raw[[#This Row],[Column12]] * deployment_raw[[#This Row],[Column5]]),"")</f>
        <v/>
      </c>
      <c r="Q328" s="189" t="str">
        <f>IF(ISNUMBER(deployment_raw[[#This Row],[Column13]]), (deployment_raw[[#This Row],[Column13]] * deployment_raw[[#This Row],[Column5]])/1048576,"")</f>
        <v/>
      </c>
    </row>
    <row r="329" spans="1:17" ht="15.75" customHeight="1" x14ac:dyDescent="0.25">
      <c r="A329" s="37" t="str">
        <f>IF(ISNONTEXT(deployment_raw[[#This Row],[Column1]]), "", deployment_raw[[#This Row],[Column1]])</f>
        <v/>
      </c>
      <c r="B329" s="38" t="str">
        <f>IF(ISNONTEXT(deployment_raw[[#This Row],[Column2]]), "", deployment_raw[[#This Row],[Column2]])</f>
        <v/>
      </c>
      <c r="C329" s="38" t="str">
        <f>IF(ISNONTEXT(deployment_raw[[#This Row],[Column3]]), "", deployment_raw[[#This Row],[Column3]])</f>
        <v/>
      </c>
      <c r="D329" s="38" t="str">
        <f>IF(ISNONTEXT(deployment_raw[[#This Row],[Column4]]), "", deployment_raw[[#This Row],[Column4]])</f>
        <v/>
      </c>
      <c r="E329" s="39" t="str">
        <f>IF(ISNUMBER(deployment_raw[[#This Row],[Column5]]), deployment_raw[[#This Row],[Column5]],"")</f>
        <v/>
      </c>
      <c r="F329" s="174" t="str">
        <f>IF(ISNUMBER(deployment_raw[[#This Row],[Column6]]), (deployment_raw[[#This Row],[Column6]] * deployment_raw[[#This Row],[Column5]]),"")</f>
        <v/>
      </c>
      <c r="G329" s="175" t="str">
        <f>IF(ISNUMBER(deployment_raw[[#This Row],[Column7]]), (deployment_raw[[#This Row],[Column7]] * deployment_raw[[#This Row],[Column5]])/1048576,"")</f>
        <v/>
      </c>
      <c r="H329" s="175" t="str">
        <f>IF(ISNUMBER(deployment_raw[[#This Row],[Column8]]), (deployment_raw[[#This Row],[Column8]]  * deployment_raw[[#This Row],[Column5]]),"")</f>
        <v/>
      </c>
      <c r="I329" s="176" t="str">
        <f>IF(ISNUMBER(deployment_raw[[#This Row],[Column9]]), (deployment_raw[[#This Row],[Column9]] * deployment_raw[[#This Row],[Column5]])/1048576,"")</f>
        <v/>
      </c>
      <c r="J329" s="57" t="str">
        <f>IF(ISNUMBER(deployment_raw[[#This Row],[Column10]]), (deployment_raw[[#This Row],[Column10]] * deployment_raw[[#This Row],[Column5]]),"")</f>
        <v/>
      </c>
      <c r="K329" s="58" t="str">
        <f>IF(ISNUMBER(deployment_raw[[#This Row],[Column11]]), (deployment_raw[[#This Row],[Column11]] * deployment_raw[[#This Row],[Column5]])/1048576,"")</f>
        <v/>
      </c>
      <c r="L329" s="180" t="str">
        <f>IF(ISNUMBER(deployment_raw[[#This Row],[Column8]]),IF(deployment_raw[[#This Row],[Column5]] &lt;&gt; 0, MAX((deployment_raw[[#This Row],[Column12]] * deployment_raw[[#This Row],[Column5]]), ((deployment_raw[[#This Row],[Column8]] * deployment_raw[[#This Row],[Column5]]) * $L$2), ($H$2 * deployment_raw[[#This Row],[Column5]])), 0),"")</f>
        <v/>
      </c>
      <c r="M32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29" s="188" t="str">
        <f>IF(ISNUMBER(deployment_raw[[#This Row],[Column14]]), deployment_raw[[#This Row],[Column14]],"")</f>
        <v/>
      </c>
      <c r="O329" s="189" t="str">
        <f>IF(ISNUMBER(deployment_raw[[#This Row],[Column15]]), deployment_raw[[#This Row],[Column15]]/1048576,"")</f>
        <v/>
      </c>
      <c r="P329" s="190" t="str">
        <f>IF(ISNUMBER(deployment_raw[[#This Row],[Column12]]), (deployment_raw[[#This Row],[Column12]] * deployment_raw[[#This Row],[Column5]]),"")</f>
        <v/>
      </c>
      <c r="Q329" s="189" t="str">
        <f>IF(ISNUMBER(deployment_raw[[#This Row],[Column13]]), (deployment_raw[[#This Row],[Column13]] * deployment_raw[[#This Row],[Column5]])/1048576,"")</f>
        <v/>
      </c>
    </row>
    <row r="330" spans="1:17" ht="15.75" customHeight="1" x14ac:dyDescent="0.25">
      <c r="A330" s="37" t="str">
        <f>IF(ISNONTEXT(deployment_raw[[#This Row],[Column1]]), "", deployment_raw[[#This Row],[Column1]])</f>
        <v/>
      </c>
      <c r="B330" s="38" t="str">
        <f>IF(ISNONTEXT(deployment_raw[[#This Row],[Column2]]), "", deployment_raw[[#This Row],[Column2]])</f>
        <v/>
      </c>
      <c r="C330" s="38" t="str">
        <f>IF(ISNONTEXT(deployment_raw[[#This Row],[Column3]]), "", deployment_raw[[#This Row],[Column3]])</f>
        <v/>
      </c>
      <c r="D330" s="38" t="str">
        <f>IF(ISNONTEXT(deployment_raw[[#This Row],[Column4]]), "", deployment_raw[[#This Row],[Column4]])</f>
        <v/>
      </c>
      <c r="E330" s="39" t="str">
        <f>IF(ISNUMBER(deployment_raw[[#This Row],[Column5]]), deployment_raw[[#This Row],[Column5]],"")</f>
        <v/>
      </c>
      <c r="F330" s="174" t="str">
        <f>IF(ISNUMBER(deployment_raw[[#This Row],[Column6]]), (deployment_raw[[#This Row],[Column6]] * deployment_raw[[#This Row],[Column5]]),"")</f>
        <v/>
      </c>
      <c r="G330" s="175" t="str">
        <f>IF(ISNUMBER(deployment_raw[[#This Row],[Column7]]), (deployment_raw[[#This Row],[Column7]] * deployment_raw[[#This Row],[Column5]])/1048576,"")</f>
        <v/>
      </c>
      <c r="H330" s="175" t="str">
        <f>IF(ISNUMBER(deployment_raw[[#This Row],[Column8]]), (deployment_raw[[#This Row],[Column8]]  * deployment_raw[[#This Row],[Column5]]),"")</f>
        <v/>
      </c>
      <c r="I330" s="176" t="str">
        <f>IF(ISNUMBER(deployment_raw[[#This Row],[Column9]]), (deployment_raw[[#This Row],[Column9]] * deployment_raw[[#This Row],[Column5]])/1048576,"")</f>
        <v/>
      </c>
      <c r="J330" s="57" t="str">
        <f>IF(ISNUMBER(deployment_raw[[#This Row],[Column10]]), (deployment_raw[[#This Row],[Column10]] * deployment_raw[[#This Row],[Column5]]),"")</f>
        <v/>
      </c>
      <c r="K330" s="58" t="str">
        <f>IF(ISNUMBER(deployment_raw[[#This Row],[Column11]]), (deployment_raw[[#This Row],[Column11]] * deployment_raw[[#This Row],[Column5]])/1048576,"")</f>
        <v/>
      </c>
      <c r="L330" s="180" t="str">
        <f>IF(ISNUMBER(deployment_raw[[#This Row],[Column8]]),IF(deployment_raw[[#This Row],[Column5]] &lt;&gt; 0, MAX((deployment_raw[[#This Row],[Column12]] * deployment_raw[[#This Row],[Column5]]), ((deployment_raw[[#This Row],[Column8]] * deployment_raw[[#This Row],[Column5]]) * $L$2), ($H$2 * deployment_raw[[#This Row],[Column5]])), 0),"")</f>
        <v/>
      </c>
      <c r="M33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30" s="188" t="str">
        <f>IF(ISNUMBER(deployment_raw[[#This Row],[Column14]]), deployment_raw[[#This Row],[Column14]],"")</f>
        <v/>
      </c>
      <c r="O330" s="189" t="str">
        <f>IF(ISNUMBER(deployment_raw[[#This Row],[Column15]]), deployment_raw[[#This Row],[Column15]]/1048576,"")</f>
        <v/>
      </c>
      <c r="P330" s="190" t="str">
        <f>IF(ISNUMBER(deployment_raw[[#This Row],[Column12]]), (deployment_raw[[#This Row],[Column12]] * deployment_raw[[#This Row],[Column5]]),"")</f>
        <v/>
      </c>
      <c r="Q330" s="189" t="str">
        <f>IF(ISNUMBER(deployment_raw[[#This Row],[Column13]]), (deployment_raw[[#This Row],[Column13]] * deployment_raw[[#This Row],[Column5]])/1048576,"")</f>
        <v/>
      </c>
    </row>
    <row r="331" spans="1:17" ht="15.75" customHeight="1" x14ac:dyDescent="0.25">
      <c r="A331" s="37" t="str">
        <f>IF(ISNONTEXT(deployment_raw[[#This Row],[Column1]]), "", deployment_raw[[#This Row],[Column1]])</f>
        <v/>
      </c>
      <c r="B331" s="38" t="str">
        <f>IF(ISNONTEXT(deployment_raw[[#This Row],[Column2]]), "", deployment_raw[[#This Row],[Column2]])</f>
        <v/>
      </c>
      <c r="C331" s="38" t="str">
        <f>IF(ISNONTEXT(deployment_raw[[#This Row],[Column3]]), "", deployment_raw[[#This Row],[Column3]])</f>
        <v/>
      </c>
      <c r="D331" s="38" t="str">
        <f>IF(ISNONTEXT(deployment_raw[[#This Row],[Column4]]), "", deployment_raw[[#This Row],[Column4]])</f>
        <v/>
      </c>
      <c r="E331" s="39" t="str">
        <f>IF(ISNUMBER(deployment_raw[[#This Row],[Column5]]), deployment_raw[[#This Row],[Column5]],"")</f>
        <v/>
      </c>
      <c r="F331" s="174" t="str">
        <f>IF(ISNUMBER(deployment_raw[[#This Row],[Column6]]), (deployment_raw[[#This Row],[Column6]] * deployment_raw[[#This Row],[Column5]]),"")</f>
        <v/>
      </c>
      <c r="G331" s="175" t="str">
        <f>IF(ISNUMBER(deployment_raw[[#This Row],[Column7]]), (deployment_raw[[#This Row],[Column7]] * deployment_raw[[#This Row],[Column5]])/1048576,"")</f>
        <v/>
      </c>
      <c r="H331" s="175" t="str">
        <f>IF(ISNUMBER(deployment_raw[[#This Row],[Column8]]), (deployment_raw[[#This Row],[Column8]]  * deployment_raw[[#This Row],[Column5]]),"")</f>
        <v/>
      </c>
      <c r="I331" s="176" t="str">
        <f>IF(ISNUMBER(deployment_raw[[#This Row],[Column9]]), (deployment_raw[[#This Row],[Column9]] * deployment_raw[[#This Row],[Column5]])/1048576,"")</f>
        <v/>
      </c>
      <c r="J331" s="57" t="str">
        <f>IF(ISNUMBER(deployment_raw[[#This Row],[Column10]]), (deployment_raw[[#This Row],[Column10]] * deployment_raw[[#This Row],[Column5]]),"")</f>
        <v/>
      </c>
      <c r="K331" s="58" t="str">
        <f>IF(ISNUMBER(deployment_raw[[#This Row],[Column11]]), (deployment_raw[[#This Row],[Column11]] * deployment_raw[[#This Row],[Column5]])/1048576,"")</f>
        <v/>
      </c>
      <c r="L331" s="180" t="str">
        <f>IF(ISNUMBER(deployment_raw[[#This Row],[Column8]]),IF(deployment_raw[[#This Row],[Column5]] &lt;&gt; 0, MAX((deployment_raw[[#This Row],[Column12]] * deployment_raw[[#This Row],[Column5]]), ((deployment_raw[[#This Row],[Column8]] * deployment_raw[[#This Row],[Column5]]) * $L$2), ($H$2 * deployment_raw[[#This Row],[Column5]])), 0),"")</f>
        <v/>
      </c>
      <c r="M33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31" s="188" t="str">
        <f>IF(ISNUMBER(deployment_raw[[#This Row],[Column14]]), deployment_raw[[#This Row],[Column14]],"")</f>
        <v/>
      </c>
      <c r="O331" s="189" t="str">
        <f>IF(ISNUMBER(deployment_raw[[#This Row],[Column15]]), deployment_raw[[#This Row],[Column15]]/1048576,"")</f>
        <v/>
      </c>
      <c r="P331" s="190" t="str">
        <f>IF(ISNUMBER(deployment_raw[[#This Row],[Column12]]), (deployment_raw[[#This Row],[Column12]] * deployment_raw[[#This Row],[Column5]]),"")</f>
        <v/>
      </c>
      <c r="Q331" s="189" t="str">
        <f>IF(ISNUMBER(deployment_raw[[#This Row],[Column13]]), (deployment_raw[[#This Row],[Column13]] * deployment_raw[[#This Row],[Column5]])/1048576,"")</f>
        <v/>
      </c>
    </row>
    <row r="332" spans="1:17" ht="15.75" customHeight="1" x14ac:dyDescent="0.25">
      <c r="A332" s="37" t="str">
        <f>IF(ISNONTEXT(deployment_raw[[#This Row],[Column1]]), "", deployment_raw[[#This Row],[Column1]])</f>
        <v/>
      </c>
      <c r="B332" s="38" t="str">
        <f>IF(ISNONTEXT(deployment_raw[[#This Row],[Column2]]), "", deployment_raw[[#This Row],[Column2]])</f>
        <v/>
      </c>
      <c r="C332" s="38" t="str">
        <f>IF(ISNONTEXT(deployment_raw[[#This Row],[Column3]]), "", deployment_raw[[#This Row],[Column3]])</f>
        <v/>
      </c>
      <c r="D332" s="38" t="str">
        <f>IF(ISNONTEXT(deployment_raw[[#This Row],[Column4]]), "", deployment_raw[[#This Row],[Column4]])</f>
        <v/>
      </c>
      <c r="E332" s="39" t="str">
        <f>IF(ISNUMBER(deployment_raw[[#This Row],[Column5]]), deployment_raw[[#This Row],[Column5]],"")</f>
        <v/>
      </c>
      <c r="F332" s="174" t="str">
        <f>IF(ISNUMBER(deployment_raw[[#This Row],[Column6]]), (deployment_raw[[#This Row],[Column6]] * deployment_raw[[#This Row],[Column5]]),"")</f>
        <v/>
      </c>
      <c r="G332" s="175" t="str">
        <f>IF(ISNUMBER(deployment_raw[[#This Row],[Column7]]), (deployment_raw[[#This Row],[Column7]] * deployment_raw[[#This Row],[Column5]])/1048576,"")</f>
        <v/>
      </c>
      <c r="H332" s="175" t="str">
        <f>IF(ISNUMBER(deployment_raw[[#This Row],[Column8]]), (deployment_raw[[#This Row],[Column8]]  * deployment_raw[[#This Row],[Column5]]),"")</f>
        <v/>
      </c>
      <c r="I332" s="176" t="str">
        <f>IF(ISNUMBER(deployment_raw[[#This Row],[Column9]]), (deployment_raw[[#This Row],[Column9]] * deployment_raw[[#This Row],[Column5]])/1048576,"")</f>
        <v/>
      </c>
      <c r="J332" s="57" t="str">
        <f>IF(ISNUMBER(deployment_raw[[#This Row],[Column10]]), (deployment_raw[[#This Row],[Column10]] * deployment_raw[[#This Row],[Column5]]),"")</f>
        <v/>
      </c>
      <c r="K332" s="58" t="str">
        <f>IF(ISNUMBER(deployment_raw[[#This Row],[Column11]]), (deployment_raw[[#This Row],[Column11]] * deployment_raw[[#This Row],[Column5]])/1048576,"")</f>
        <v/>
      </c>
      <c r="L332" s="180" t="str">
        <f>IF(ISNUMBER(deployment_raw[[#This Row],[Column8]]),IF(deployment_raw[[#This Row],[Column5]] &lt;&gt; 0, MAX((deployment_raw[[#This Row],[Column12]] * deployment_raw[[#This Row],[Column5]]), ((deployment_raw[[#This Row],[Column8]] * deployment_raw[[#This Row],[Column5]]) * $L$2), ($H$2 * deployment_raw[[#This Row],[Column5]])), 0),"")</f>
        <v/>
      </c>
      <c r="M33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32" s="188" t="str">
        <f>IF(ISNUMBER(deployment_raw[[#This Row],[Column14]]), deployment_raw[[#This Row],[Column14]],"")</f>
        <v/>
      </c>
      <c r="O332" s="189" t="str">
        <f>IF(ISNUMBER(deployment_raw[[#This Row],[Column15]]), deployment_raw[[#This Row],[Column15]]/1048576,"")</f>
        <v/>
      </c>
      <c r="P332" s="190" t="str">
        <f>IF(ISNUMBER(deployment_raw[[#This Row],[Column12]]), (deployment_raw[[#This Row],[Column12]] * deployment_raw[[#This Row],[Column5]]),"")</f>
        <v/>
      </c>
      <c r="Q332" s="189" t="str">
        <f>IF(ISNUMBER(deployment_raw[[#This Row],[Column13]]), (deployment_raw[[#This Row],[Column13]] * deployment_raw[[#This Row],[Column5]])/1048576,"")</f>
        <v/>
      </c>
    </row>
    <row r="333" spans="1:17" ht="15.75" customHeight="1" x14ac:dyDescent="0.25">
      <c r="A333" s="37" t="str">
        <f>IF(ISNONTEXT(deployment_raw[[#This Row],[Column1]]), "", deployment_raw[[#This Row],[Column1]])</f>
        <v/>
      </c>
      <c r="B333" s="38" t="str">
        <f>IF(ISNONTEXT(deployment_raw[[#This Row],[Column2]]), "", deployment_raw[[#This Row],[Column2]])</f>
        <v/>
      </c>
      <c r="C333" s="38" t="str">
        <f>IF(ISNONTEXT(deployment_raw[[#This Row],[Column3]]), "", deployment_raw[[#This Row],[Column3]])</f>
        <v/>
      </c>
      <c r="D333" s="38" t="str">
        <f>IF(ISNONTEXT(deployment_raw[[#This Row],[Column4]]), "", deployment_raw[[#This Row],[Column4]])</f>
        <v/>
      </c>
      <c r="E333" s="39" t="str">
        <f>IF(ISNUMBER(deployment_raw[[#This Row],[Column5]]), deployment_raw[[#This Row],[Column5]],"")</f>
        <v/>
      </c>
      <c r="F333" s="174" t="str">
        <f>IF(ISNUMBER(deployment_raw[[#This Row],[Column6]]), (deployment_raw[[#This Row],[Column6]] * deployment_raw[[#This Row],[Column5]]),"")</f>
        <v/>
      </c>
      <c r="G333" s="175" t="str">
        <f>IF(ISNUMBER(deployment_raw[[#This Row],[Column7]]), (deployment_raw[[#This Row],[Column7]] * deployment_raw[[#This Row],[Column5]])/1048576,"")</f>
        <v/>
      </c>
      <c r="H333" s="175" t="str">
        <f>IF(ISNUMBER(deployment_raw[[#This Row],[Column8]]), (deployment_raw[[#This Row],[Column8]]  * deployment_raw[[#This Row],[Column5]]),"")</f>
        <v/>
      </c>
      <c r="I333" s="176" t="str">
        <f>IF(ISNUMBER(deployment_raw[[#This Row],[Column9]]), (deployment_raw[[#This Row],[Column9]] * deployment_raw[[#This Row],[Column5]])/1048576,"")</f>
        <v/>
      </c>
      <c r="J333" s="57" t="str">
        <f>IF(ISNUMBER(deployment_raw[[#This Row],[Column10]]), (deployment_raw[[#This Row],[Column10]] * deployment_raw[[#This Row],[Column5]]),"")</f>
        <v/>
      </c>
      <c r="K333" s="58" t="str">
        <f>IF(ISNUMBER(deployment_raw[[#This Row],[Column11]]), (deployment_raw[[#This Row],[Column11]] * deployment_raw[[#This Row],[Column5]])/1048576,"")</f>
        <v/>
      </c>
      <c r="L333" s="180" t="str">
        <f>IF(ISNUMBER(deployment_raw[[#This Row],[Column8]]),IF(deployment_raw[[#This Row],[Column5]] &lt;&gt; 0, MAX((deployment_raw[[#This Row],[Column12]] * deployment_raw[[#This Row],[Column5]]), ((deployment_raw[[#This Row],[Column8]] * deployment_raw[[#This Row],[Column5]]) * $L$2), ($H$2 * deployment_raw[[#This Row],[Column5]])), 0),"")</f>
        <v/>
      </c>
      <c r="M33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33" s="188" t="str">
        <f>IF(ISNUMBER(deployment_raw[[#This Row],[Column14]]), deployment_raw[[#This Row],[Column14]],"")</f>
        <v/>
      </c>
      <c r="O333" s="189" t="str">
        <f>IF(ISNUMBER(deployment_raw[[#This Row],[Column15]]), deployment_raw[[#This Row],[Column15]]/1048576,"")</f>
        <v/>
      </c>
      <c r="P333" s="190" t="str">
        <f>IF(ISNUMBER(deployment_raw[[#This Row],[Column12]]), (deployment_raw[[#This Row],[Column12]] * deployment_raw[[#This Row],[Column5]]),"")</f>
        <v/>
      </c>
      <c r="Q333" s="189" t="str">
        <f>IF(ISNUMBER(deployment_raw[[#This Row],[Column13]]), (deployment_raw[[#This Row],[Column13]] * deployment_raw[[#This Row],[Column5]])/1048576,"")</f>
        <v/>
      </c>
    </row>
    <row r="334" spans="1:17" ht="15.75" customHeight="1" x14ac:dyDescent="0.25">
      <c r="A334" s="37" t="str">
        <f>IF(ISNONTEXT(deployment_raw[[#This Row],[Column1]]), "", deployment_raw[[#This Row],[Column1]])</f>
        <v/>
      </c>
      <c r="B334" s="38" t="str">
        <f>IF(ISNONTEXT(deployment_raw[[#This Row],[Column2]]), "", deployment_raw[[#This Row],[Column2]])</f>
        <v/>
      </c>
      <c r="C334" s="38" t="str">
        <f>IF(ISNONTEXT(deployment_raw[[#This Row],[Column3]]), "", deployment_raw[[#This Row],[Column3]])</f>
        <v/>
      </c>
      <c r="D334" s="38" t="str">
        <f>IF(ISNONTEXT(deployment_raw[[#This Row],[Column4]]), "", deployment_raw[[#This Row],[Column4]])</f>
        <v/>
      </c>
      <c r="E334" s="39" t="str">
        <f>IF(ISNUMBER(deployment_raw[[#This Row],[Column5]]), deployment_raw[[#This Row],[Column5]],"")</f>
        <v/>
      </c>
      <c r="F334" s="174" t="str">
        <f>IF(ISNUMBER(deployment_raw[[#This Row],[Column6]]), (deployment_raw[[#This Row],[Column6]] * deployment_raw[[#This Row],[Column5]]),"")</f>
        <v/>
      </c>
      <c r="G334" s="175" t="str">
        <f>IF(ISNUMBER(deployment_raw[[#This Row],[Column7]]), (deployment_raw[[#This Row],[Column7]] * deployment_raw[[#This Row],[Column5]])/1048576,"")</f>
        <v/>
      </c>
      <c r="H334" s="175" t="str">
        <f>IF(ISNUMBER(deployment_raw[[#This Row],[Column8]]), (deployment_raw[[#This Row],[Column8]]  * deployment_raw[[#This Row],[Column5]]),"")</f>
        <v/>
      </c>
      <c r="I334" s="176" t="str">
        <f>IF(ISNUMBER(deployment_raw[[#This Row],[Column9]]), (deployment_raw[[#This Row],[Column9]] * deployment_raw[[#This Row],[Column5]])/1048576,"")</f>
        <v/>
      </c>
      <c r="J334" s="57" t="str">
        <f>IF(ISNUMBER(deployment_raw[[#This Row],[Column10]]), (deployment_raw[[#This Row],[Column10]] * deployment_raw[[#This Row],[Column5]]),"")</f>
        <v/>
      </c>
      <c r="K334" s="58" t="str">
        <f>IF(ISNUMBER(deployment_raw[[#This Row],[Column11]]), (deployment_raw[[#This Row],[Column11]] * deployment_raw[[#This Row],[Column5]])/1048576,"")</f>
        <v/>
      </c>
      <c r="L334" s="180" t="str">
        <f>IF(ISNUMBER(deployment_raw[[#This Row],[Column8]]),IF(deployment_raw[[#This Row],[Column5]] &lt;&gt; 0, MAX((deployment_raw[[#This Row],[Column12]] * deployment_raw[[#This Row],[Column5]]), ((deployment_raw[[#This Row],[Column8]] * deployment_raw[[#This Row],[Column5]]) * $L$2), ($H$2 * deployment_raw[[#This Row],[Column5]])), 0),"")</f>
        <v/>
      </c>
      <c r="M33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34" s="188" t="str">
        <f>IF(ISNUMBER(deployment_raw[[#This Row],[Column14]]), deployment_raw[[#This Row],[Column14]],"")</f>
        <v/>
      </c>
      <c r="O334" s="189" t="str">
        <f>IF(ISNUMBER(deployment_raw[[#This Row],[Column15]]), deployment_raw[[#This Row],[Column15]]/1048576,"")</f>
        <v/>
      </c>
      <c r="P334" s="190" t="str">
        <f>IF(ISNUMBER(deployment_raw[[#This Row],[Column12]]), (deployment_raw[[#This Row],[Column12]] * deployment_raw[[#This Row],[Column5]]),"")</f>
        <v/>
      </c>
      <c r="Q334" s="189" t="str">
        <f>IF(ISNUMBER(deployment_raw[[#This Row],[Column13]]), (deployment_raw[[#This Row],[Column13]] * deployment_raw[[#This Row],[Column5]])/1048576,"")</f>
        <v/>
      </c>
    </row>
    <row r="335" spans="1:17" ht="15.75" customHeight="1" x14ac:dyDescent="0.25">
      <c r="A335" s="37" t="str">
        <f>IF(ISNONTEXT(deployment_raw[[#This Row],[Column1]]), "", deployment_raw[[#This Row],[Column1]])</f>
        <v/>
      </c>
      <c r="B335" s="38" t="str">
        <f>IF(ISNONTEXT(deployment_raw[[#This Row],[Column2]]), "", deployment_raw[[#This Row],[Column2]])</f>
        <v/>
      </c>
      <c r="C335" s="38" t="str">
        <f>IF(ISNONTEXT(deployment_raw[[#This Row],[Column3]]), "", deployment_raw[[#This Row],[Column3]])</f>
        <v/>
      </c>
      <c r="D335" s="38" t="str">
        <f>IF(ISNONTEXT(deployment_raw[[#This Row],[Column4]]), "", deployment_raw[[#This Row],[Column4]])</f>
        <v/>
      </c>
      <c r="E335" s="39" t="str">
        <f>IF(ISNUMBER(deployment_raw[[#This Row],[Column5]]), deployment_raw[[#This Row],[Column5]],"")</f>
        <v/>
      </c>
      <c r="F335" s="174" t="str">
        <f>IF(ISNUMBER(deployment_raw[[#This Row],[Column6]]), (deployment_raw[[#This Row],[Column6]] * deployment_raw[[#This Row],[Column5]]),"")</f>
        <v/>
      </c>
      <c r="G335" s="175" t="str">
        <f>IF(ISNUMBER(deployment_raw[[#This Row],[Column7]]), (deployment_raw[[#This Row],[Column7]] * deployment_raw[[#This Row],[Column5]])/1048576,"")</f>
        <v/>
      </c>
      <c r="H335" s="175" t="str">
        <f>IF(ISNUMBER(deployment_raw[[#This Row],[Column8]]), (deployment_raw[[#This Row],[Column8]]  * deployment_raw[[#This Row],[Column5]]),"")</f>
        <v/>
      </c>
      <c r="I335" s="176" t="str">
        <f>IF(ISNUMBER(deployment_raw[[#This Row],[Column9]]), (deployment_raw[[#This Row],[Column9]] * deployment_raw[[#This Row],[Column5]])/1048576,"")</f>
        <v/>
      </c>
      <c r="J335" s="57" t="str">
        <f>IF(ISNUMBER(deployment_raw[[#This Row],[Column10]]), (deployment_raw[[#This Row],[Column10]] * deployment_raw[[#This Row],[Column5]]),"")</f>
        <v/>
      </c>
      <c r="K335" s="58" t="str">
        <f>IF(ISNUMBER(deployment_raw[[#This Row],[Column11]]), (deployment_raw[[#This Row],[Column11]] * deployment_raw[[#This Row],[Column5]])/1048576,"")</f>
        <v/>
      </c>
      <c r="L335" s="180" t="str">
        <f>IF(ISNUMBER(deployment_raw[[#This Row],[Column8]]),IF(deployment_raw[[#This Row],[Column5]] &lt;&gt; 0, MAX((deployment_raw[[#This Row],[Column12]] * deployment_raw[[#This Row],[Column5]]), ((deployment_raw[[#This Row],[Column8]] * deployment_raw[[#This Row],[Column5]]) * $L$2), ($H$2 * deployment_raw[[#This Row],[Column5]])), 0),"")</f>
        <v/>
      </c>
      <c r="M33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35" s="188" t="str">
        <f>IF(ISNUMBER(deployment_raw[[#This Row],[Column14]]), deployment_raw[[#This Row],[Column14]],"")</f>
        <v/>
      </c>
      <c r="O335" s="189" t="str">
        <f>IF(ISNUMBER(deployment_raw[[#This Row],[Column15]]), deployment_raw[[#This Row],[Column15]]/1048576,"")</f>
        <v/>
      </c>
      <c r="P335" s="190" t="str">
        <f>IF(ISNUMBER(deployment_raw[[#This Row],[Column12]]), (deployment_raw[[#This Row],[Column12]] * deployment_raw[[#This Row],[Column5]]),"")</f>
        <v/>
      </c>
      <c r="Q335" s="189" t="str">
        <f>IF(ISNUMBER(deployment_raw[[#This Row],[Column13]]), (deployment_raw[[#This Row],[Column13]] * deployment_raw[[#This Row],[Column5]])/1048576,"")</f>
        <v/>
      </c>
    </row>
    <row r="336" spans="1:17" ht="15.75" customHeight="1" x14ac:dyDescent="0.25">
      <c r="A336" s="37" t="str">
        <f>IF(ISNONTEXT(deployment_raw[[#This Row],[Column1]]), "", deployment_raw[[#This Row],[Column1]])</f>
        <v/>
      </c>
      <c r="B336" s="38" t="str">
        <f>IF(ISNONTEXT(deployment_raw[[#This Row],[Column2]]), "", deployment_raw[[#This Row],[Column2]])</f>
        <v/>
      </c>
      <c r="C336" s="38" t="str">
        <f>IF(ISNONTEXT(deployment_raw[[#This Row],[Column3]]), "", deployment_raw[[#This Row],[Column3]])</f>
        <v/>
      </c>
      <c r="D336" s="38" t="str">
        <f>IF(ISNONTEXT(deployment_raw[[#This Row],[Column4]]), "", deployment_raw[[#This Row],[Column4]])</f>
        <v/>
      </c>
      <c r="E336" s="39" t="str">
        <f>IF(ISNUMBER(deployment_raw[[#This Row],[Column5]]), deployment_raw[[#This Row],[Column5]],"")</f>
        <v/>
      </c>
      <c r="F336" s="174" t="str">
        <f>IF(ISNUMBER(deployment_raw[[#This Row],[Column6]]), (deployment_raw[[#This Row],[Column6]] * deployment_raw[[#This Row],[Column5]]),"")</f>
        <v/>
      </c>
      <c r="G336" s="175" t="str">
        <f>IF(ISNUMBER(deployment_raw[[#This Row],[Column7]]), (deployment_raw[[#This Row],[Column7]] * deployment_raw[[#This Row],[Column5]])/1048576,"")</f>
        <v/>
      </c>
      <c r="H336" s="175" t="str">
        <f>IF(ISNUMBER(deployment_raw[[#This Row],[Column8]]), (deployment_raw[[#This Row],[Column8]]  * deployment_raw[[#This Row],[Column5]]),"")</f>
        <v/>
      </c>
      <c r="I336" s="176" t="str">
        <f>IF(ISNUMBER(deployment_raw[[#This Row],[Column9]]), (deployment_raw[[#This Row],[Column9]] * deployment_raw[[#This Row],[Column5]])/1048576,"")</f>
        <v/>
      </c>
      <c r="J336" s="57" t="str">
        <f>IF(ISNUMBER(deployment_raw[[#This Row],[Column10]]), (deployment_raw[[#This Row],[Column10]] * deployment_raw[[#This Row],[Column5]]),"")</f>
        <v/>
      </c>
      <c r="K336" s="58" t="str">
        <f>IF(ISNUMBER(deployment_raw[[#This Row],[Column11]]), (deployment_raw[[#This Row],[Column11]] * deployment_raw[[#This Row],[Column5]])/1048576,"")</f>
        <v/>
      </c>
      <c r="L336" s="180" t="str">
        <f>IF(ISNUMBER(deployment_raw[[#This Row],[Column8]]),IF(deployment_raw[[#This Row],[Column5]] &lt;&gt; 0, MAX((deployment_raw[[#This Row],[Column12]] * deployment_raw[[#This Row],[Column5]]), ((deployment_raw[[#This Row],[Column8]] * deployment_raw[[#This Row],[Column5]]) * $L$2), ($H$2 * deployment_raw[[#This Row],[Column5]])), 0),"")</f>
        <v/>
      </c>
      <c r="M33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36" s="188" t="str">
        <f>IF(ISNUMBER(deployment_raw[[#This Row],[Column14]]), deployment_raw[[#This Row],[Column14]],"")</f>
        <v/>
      </c>
      <c r="O336" s="189" t="str">
        <f>IF(ISNUMBER(deployment_raw[[#This Row],[Column15]]), deployment_raw[[#This Row],[Column15]]/1048576,"")</f>
        <v/>
      </c>
      <c r="P336" s="190" t="str">
        <f>IF(ISNUMBER(deployment_raw[[#This Row],[Column12]]), (deployment_raw[[#This Row],[Column12]] * deployment_raw[[#This Row],[Column5]]),"")</f>
        <v/>
      </c>
      <c r="Q336" s="189" t="str">
        <f>IF(ISNUMBER(deployment_raw[[#This Row],[Column13]]), (deployment_raw[[#This Row],[Column13]] * deployment_raw[[#This Row],[Column5]])/1048576,"")</f>
        <v/>
      </c>
    </row>
    <row r="337" spans="1:17" ht="15.75" customHeight="1" x14ac:dyDescent="0.25">
      <c r="A337" s="37" t="str">
        <f>IF(ISNONTEXT(deployment_raw[[#This Row],[Column1]]), "", deployment_raw[[#This Row],[Column1]])</f>
        <v/>
      </c>
      <c r="B337" s="38" t="str">
        <f>IF(ISNONTEXT(deployment_raw[[#This Row],[Column2]]), "", deployment_raw[[#This Row],[Column2]])</f>
        <v/>
      </c>
      <c r="C337" s="38" t="str">
        <f>IF(ISNONTEXT(deployment_raw[[#This Row],[Column3]]), "", deployment_raw[[#This Row],[Column3]])</f>
        <v/>
      </c>
      <c r="D337" s="38" t="str">
        <f>IF(ISNONTEXT(deployment_raw[[#This Row],[Column4]]), "", deployment_raw[[#This Row],[Column4]])</f>
        <v/>
      </c>
      <c r="E337" s="39" t="str">
        <f>IF(ISNUMBER(deployment_raw[[#This Row],[Column5]]), deployment_raw[[#This Row],[Column5]],"")</f>
        <v/>
      </c>
      <c r="F337" s="174" t="str">
        <f>IF(ISNUMBER(deployment_raw[[#This Row],[Column6]]), (deployment_raw[[#This Row],[Column6]] * deployment_raw[[#This Row],[Column5]]),"")</f>
        <v/>
      </c>
      <c r="G337" s="175" t="str">
        <f>IF(ISNUMBER(deployment_raw[[#This Row],[Column7]]), (deployment_raw[[#This Row],[Column7]] * deployment_raw[[#This Row],[Column5]])/1048576,"")</f>
        <v/>
      </c>
      <c r="H337" s="175" t="str">
        <f>IF(ISNUMBER(deployment_raw[[#This Row],[Column8]]), (deployment_raw[[#This Row],[Column8]]  * deployment_raw[[#This Row],[Column5]]),"")</f>
        <v/>
      </c>
      <c r="I337" s="176" t="str">
        <f>IF(ISNUMBER(deployment_raw[[#This Row],[Column9]]), (deployment_raw[[#This Row],[Column9]] * deployment_raw[[#This Row],[Column5]])/1048576,"")</f>
        <v/>
      </c>
      <c r="J337" s="57" t="str">
        <f>IF(ISNUMBER(deployment_raw[[#This Row],[Column10]]), (deployment_raw[[#This Row],[Column10]] * deployment_raw[[#This Row],[Column5]]),"")</f>
        <v/>
      </c>
      <c r="K337" s="58" t="str">
        <f>IF(ISNUMBER(deployment_raw[[#This Row],[Column11]]), (deployment_raw[[#This Row],[Column11]] * deployment_raw[[#This Row],[Column5]])/1048576,"")</f>
        <v/>
      </c>
      <c r="L337" s="180" t="str">
        <f>IF(ISNUMBER(deployment_raw[[#This Row],[Column8]]),IF(deployment_raw[[#This Row],[Column5]] &lt;&gt; 0, MAX((deployment_raw[[#This Row],[Column12]] * deployment_raw[[#This Row],[Column5]]), ((deployment_raw[[#This Row],[Column8]] * deployment_raw[[#This Row],[Column5]]) * $L$2), ($H$2 * deployment_raw[[#This Row],[Column5]])), 0),"")</f>
        <v/>
      </c>
      <c r="M33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37" s="188" t="str">
        <f>IF(ISNUMBER(deployment_raw[[#This Row],[Column14]]), deployment_raw[[#This Row],[Column14]],"")</f>
        <v/>
      </c>
      <c r="O337" s="189" t="str">
        <f>IF(ISNUMBER(deployment_raw[[#This Row],[Column15]]), deployment_raw[[#This Row],[Column15]]/1048576,"")</f>
        <v/>
      </c>
      <c r="P337" s="190" t="str">
        <f>IF(ISNUMBER(deployment_raw[[#This Row],[Column12]]), (deployment_raw[[#This Row],[Column12]] * deployment_raw[[#This Row],[Column5]]),"")</f>
        <v/>
      </c>
      <c r="Q337" s="189" t="str">
        <f>IF(ISNUMBER(deployment_raw[[#This Row],[Column13]]), (deployment_raw[[#This Row],[Column13]] * deployment_raw[[#This Row],[Column5]])/1048576,"")</f>
        <v/>
      </c>
    </row>
    <row r="338" spans="1:17" ht="15.75" customHeight="1" x14ac:dyDescent="0.25">
      <c r="A338" s="37" t="str">
        <f>IF(ISNONTEXT(deployment_raw[[#This Row],[Column1]]), "", deployment_raw[[#This Row],[Column1]])</f>
        <v/>
      </c>
      <c r="B338" s="38" t="str">
        <f>IF(ISNONTEXT(deployment_raw[[#This Row],[Column2]]), "", deployment_raw[[#This Row],[Column2]])</f>
        <v/>
      </c>
      <c r="C338" s="38" t="str">
        <f>IF(ISNONTEXT(deployment_raw[[#This Row],[Column3]]), "", deployment_raw[[#This Row],[Column3]])</f>
        <v/>
      </c>
      <c r="D338" s="38" t="str">
        <f>IF(ISNONTEXT(deployment_raw[[#This Row],[Column4]]), "", deployment_raw[[#This Row],[Column4]])</f>
        <v/>
      </c>
      <c r="E338" s="39" t="str">
        <f>IF(ISNUMBER(deployment_raw[[#This Row],[Column5]]), deployment_raw[[#This Row],[Column5]],"")</f>
        <v/>
      </c>
      <c r="F338" s="174" t="str">
        <f>IF(ISNUMBER(deployment_raw[[#This Row],[Column6]]), (deployment_raw[[#This Row],[Column6]] * deployment_raw[[#This Row],[Column5]]),"")</f>
        <v/>
      </c>
      <c r="G338" s="175" t="str">
        <f>IF(ISNUMBER(deployment_raw[[#This Row],[Column7]]), (deployment_raw[[#This Row],[Column7]] * deployment_raw[[#This Row],[Column5]])/1048576,"")</f>
        <v/>
      </c>
      <c r="H338" s="175" t="str">
        <f>IF(ISNUMBER(deployment_raw[[#This Row],[Column8]]), (deployment_raw[[#This Row],[Column8]]  * deployment_raw[[#This Row],[Column5]]),"")</f>
        <v/>
      </c>
      <c r="I338" s="176" t="str">
        <f>IF(ISNUMBER(deployment_raw[[#This Row],[Column9]]), (deployment_raw[[#This Row],[Column9]] * deployment_raw[[#This Row],[Column5]])/1048576,"")</f>
        <v/>
      </c>
      <c r="J338" s="57" t="str">
        <f>IF(ISNUMBER(deployment_raw[[#This Row],[Column10]]), (deployment_raw[[#This Row],[Column10]] * deployment_raw[[#This Row],[Column5]]),"")</f>
        <v/>
      </c>
      <c r="K338" s="58" t="str">
        <f>IF(ISNUMBER(deployment_raw[[#This Row],[Column11]]), (deployment_raw[[#This Row],[Column11]] * deployment_raw[[#This Row],[Column5]])/1048576,"")</f>
        <v/>
      </c>
      <c r="L338" s="180" t="str">
        <f>IF(ISNUMBER(deployment_raw[[#This Row],[Column8]]),IF(deployment_raw[[#This Row],[Column5]] &lt;&gt; 0, MAX((deployment_raw[[#This Row],[Column12]] * deployment_raw[[#This Row],[Column5]]), ((deployment_raw[[#This Row],[Column8]] * deployment_raw[[#This Row],[Column5]]) * $L$2), ($H$2 * deployment_raw[[#This Row],[Column5]])), 0),"")</f>
        <v/>
      </c>
      <c r="M33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38" s="188" t="str">
        <f>IF(ISNUMBER(deployment_raw[[#This Row],[Column14]]), deployment_raw[[#This Row],[Column14]],"")</f>
        <v/>
      </c>
      <c r="O338" s="189" t="str">
        <f>IF(ISNUMBER(deployment_raw[[#This Row],[Column15]]), deployment_raw[[#This Row],[Column15]]/1048576,"")</f>
        <v/>
      </c>
      <c r="P338" s="190" t="str">
        <f>IF(ISNUMBER(deployment_raw[[#This Row],[Column12]]), (deployment_raw[[#This Row],[Column12]] * deployment_raw[[#This Row],[Column5]]),"")</f>
        <v/>
      </c>
      <c r="Q338" s="189" t="str">
        <f>IF(ISNUMBER(deployment_raw[[#This Row],[Column13]]), (deployment_raw[[#This Row],[Column13]] * deployment_raw[[#This Row],[Column5]])/1048576,"")</f>
        <v/>
      </c>
    </row>
    <row r="339" spans="1:17" ht="15.75" customHeight="1" x14ac:dyDescent="0.25">
      <c r="A339" s="37" t="str">
        <f>IF(ISNONTEXT(deployment_raw[[#This Row],[Column1]]), "", deployment_raw[[#This Row],[Column1]])</f>
        <v/>
      </c>
      <c r="B339" s="38" t="str">
        <f>IF(ISNONTEXT(deployment_raw[[#This Row],[Column2]]), "", deployment_raw[[#This Row],[Column2]])</f>
        <v/>
      </c>
      <c r="C339" s="38" t="str">
        <f>IF(ISNONTEXT(deployment_raw[[#This Row],[Column3]]), "", deployment_raw[[#This Row],[Column3]])</f>
        <v/>
      </c>
      <c r="D339" s="38" t="str">
        <f>IF(ISNONTEXT(deployment_raw[[#This Row],[Column4]]), "", deployment_raw[[#This Row],[Column4]])</f>
        <v/>
      </c>
      <c r="E339" s="39" t="str">
        <f>IF(ISNUMBER(deployment_raw[[#This Row],[Column5]]), deployment_raw[[#This Row],[Column5]],"")</f>
        <v/>
      </c>
      <c r="F339" s="174" t="str">
        <f>IF(ISNUMBER(deployment_raw[[#This Row],[Column6]]), (deployment_raw[[#This Row],[Column6]] * deployment_raw[[#This Row],[Column5]]),"")</f>
        <v/>
      </c>
      <c r="G339" s="175" t="str">
        <f>IF(ISNUMBER(deployment_raw[[#This Row],[Column7]]), (deployment_raw[[#This Row],[Column7]] * deployment_raw[[#This Row],[Column5]])/1048576,"")</f>
        <v/>
      </c>
      <c r="H339" s="175" t="str">
        <f>IF(ISNUMBER(deployment_raw[[#This Row],[Column8]]), (deployment_raw[[#This Row],[Column8]]  * deployment_raw[[#This Row],[Column5]]),"")</f>
        <v/>
      </c>
      <c r="I339" s="176" t="str">
        <f>IF(ISNUMBER(deployment_raw[[#This Row],[Column9]]), (deployment_raw[[#This Row],[Column9]] * deployment_raw[[#This Row],[Column5]])/1048576,"")</f>
        <v/>
      </c>
      <c r="J339" s="57" t="str">
        <f>IF(ISNUMBER(deployment_raw[[#This Row],[Column10]]), (deployment_raw[[#This Row],[Column10]] * deployment_raw[[#This Row],[Column5]]),"")</f>
        <v/>
      </c>
      <c r="K339" s="58" t="str">
        <f>IF(ISNUMBER(deployment_raw[[#This Row],[Column11]]), (deployment_raw[[#This Row],[Column11]] * deployment_raw[[#This Row],[Column5]])/1048576,"")</f>
        <v/>
      </c>
      <c r="L339" s="180" t="str">
        <f>IF(ISNUMBER(deployment_raw[[#This Row],[Column8]]),IF(deployment_raw[[#This Row],[Column5]] &lt;&gt; 0, MAX((deployment_raw[[#This Row],[Column12]] * deployment_raw[[#This Row],[Column5]]), ((deployment_raw[[#This Row],[Column8]] * deployment_raw[[#This Row],[Column5]]) * $L$2), ($H$2 * deployment_raw[[#This Row],[Column5]])), 0),"")</f>
        <v/>
      </c>
      <c r="M33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39" s="188" t="str">
        <f>IF(ISNUMBER(deployment_raw[[#This Row],[Column14]]), deployment_raw[[#This Row],[Column14]],"")</f>
        <v/>
      </c>
      <c r="O339" s="189" t="str">
        <f>IF(ISNUMBER(deployment_raw[[#This Row],[Column15]]), deployment_raw[[#This Row],[Column15]]/1048576,"")</f>
        <v/>
      </c>
      <c r="P339" s="190" t="str">
        <f>IF(ISNUMBER(deployment_raw[[#This Row],[Column12]]), (deployment_raw[[#This Row],[Column12]] * deployment_raw[[#This Row],[Column5]]),"")</f>
        <v/>
      </c>
      <c r="Q339" s="189" t="str">
        <f>IF(ISNUMBER(deployment_raw[[#This Row],[Column13]]), (deployment_raw[[#This Row],[Column13]] * deployment_raw[[#This Row],[Column5]])/1048576,"")</f>
        <v/>
      </c>
    </row>
    <row r="340" spans="1:17" ht="15.75" customHeight="1" x14ac:dyDescent="0.25">
      <c r="A340" s="37" t="str">
        <f>IF(ISNONTEXT(deployment_raw[[#This Row],[Column1]]), "", deployment_raw[[#This Row],[Column1]])</f>
        <v/>
      </c>
      <c r="B340" s="38" t="str">
        <f>IF(ISNONTEXT(deployment_raw[[#This Row],[Column2]]), "", deployment_raw[[#This Row],[Column2]])</f>
        <v/>
      </c>
      <c r="C340" s="38" t="str">
        <f>IF(ISNONTEXT(deployment_raw[[#This Row],[Column3]]), "", deployment_raw[[#This Row],[Column3]])</f>
        <v/>
      </c>
      <c r="D340" s="38" t="str">
        <f>IF(ISNONTEXT(deployment_raw[[#This Row],[Column4]]), "", deployment_raw[[#This Row],[Column4]])</f>
        <v/>
      </c>
      <c r="E340" s="39" t="str">
        <f>IF(ISNUMBER(deployment_raw[[#This Row],[Column5]]), deployment_raw[[#This Row],[Column5]],"")</f>
        <v/>
      </c>
      <c r="F340" s="174" t="str">
        <f>IF(ISNUMBER(deployment_raw[[#This Row],[Column6]]), (deployment_raw[[#This Row],[Column6]] * deployment_raw[[#This Row],[Column5]]),"")</f>
        <v/>
      </c>
      <c r="G340" s="175" t="str">
        <f>IF(ISNUMBER(deployment_raw[[#This Row],[Column7]]), (deployment_raw[[#This Row],[Column7]] * deployment_raw[[#This Row],[Column5]])/1048576,"")</f>
        <v/>
      </c>
      <c r="H340" s="175" t="str">
        <f>IF(ISNUMBER(deployment_raw[[#This Row],[Column8]]), (deployment_raw[[#This Row],[Column8]]  * deployment_raw[[#This Row],[Column5]]),"")</f>
        <v/>
      </c>
      <c r="I340" s="176" t="str">
        <f>IF(ISNUMBER(deployment_raw[[#This Row],[Column9]]), (deployment_raw[[#This Row],[Column9]] * deployment_raw[[#This Row],[Column5]])/1048576,"")</f>
        <v/>
      </c>
      <c r="J340" s="57" t="str">
        <f>IF(ISNUMBER(deployment_raw[[#This Row],[Column10]]), (deployment_raw[[#This Row],[Column10]] * deployment_raw[[#This Row],[Column5]]),"")</f>
        <v/>
      </c>
      <c r="K340" s="58" t="str">
        <f>IF(ISNUMBER(deployment_raw[[#This Row],[Column11]]), (deployment_raw[[#This Row],[Column11]] * deployment_raw[[#This Row],[Column5]])/1048576,"")</f>
        <v/>
      </c>
      <c r="L340" s="180" t="str">
        <f>IF(ISNUMBER(deployment_raw[[#This Row],[Column8]]),IF(deployment_raw[[#This Row],[Column5]] &lt;&gt; 0, MAX((deployment_raw[[#This Row],[Column12]] * deployment_raw[[#This Row],[Column5]]), ((deployment_raw[[#This Row],[Column8]] * deployment_raw[[#This Row],[Column5]]) * $L$2), ($H$2 * deployment_raw[[#This Row],[Column5]])), 0),"")</f>
        <v/>
      </c>
      <c r="M34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40" s="188" t="str">
        <f>IF(ISNUMBER(deployment_raw[[#This Row],[Column14]]), deployment_raw[[#This Row],[Column14]],"")</f>
        <v/>
      </c>
      <c r="O340" s="189" t="str">
        <f>IF(ISNUMBER(deployment_raw[[#This Row],[Column15]]), deployment_raw[[#This Row],[Column15]]/1048576,"")</f>
        <v/>
      </c>
      <c r="P340" s="190" t="str">
        <f>IF(ISNUMBER(deployment_raw[[#This Row],[Column12]]), (deployment_raw[[#This Row],[Column12]] * deployment_raw[[#This Row],[Column5]]),"")</f>
        <v/>
      </c>
      <c r="Q340" s="189" t="str">
        <f>IF(ISNUMBER(deployment_raw[[#This Row],[Column13]]), (deployment_raw[[#This Row],[Column13]] * deployment_raw[[#This Row],[Column5]])/1048576,"")</f>
        <v/>
      </c>
    </row>
    <row r="341" spans="1:17" ht="15.75" customHeight="1" x14ac:dyDescent="0.25">
      <c r="A341" s="37" t="str">
        <f>IF(ISNONTEXT(deployment_raw[[#This Row],[Column1]]), "", deployment_raw[[#This Row],[Column1]])</f>
        <v/>
      </c>
      <c r="B341" s="38" t="str">
        <f>IF(ISNONTEXT(deployment_raw[[#This Row],[Column2]]), "", deployment_raw[[#This Row],[Column2]])</f>
        <v/>
      </c>
      <c r="C341" s="38" t="str">
        <f>IF(ISNONTEXT(deployment_raw[[#This Row],[Column3]]), "", deployment_raw[[#This Row],[Column3]])</f>
        <v/>
      </c>
      <c r="D341" s="38" t="str">
        <f>IF(ISNONTEXT(deployment_raw[[#This Row],[Column4]]), "", deployment_raw[[#This Row],[Column4]])</f>
        <v/>
      </c>
      <c r="E341" s="39" t="str">
        <f>IF(ISNUMBER(deployment_raw[[#This Row],[Column5]]), deployment_raw[[#This Row],[Column5]],"")</f>
        <v/>
      </c>
      <c r="F341" s="174" t="str">
        <f>IF(ISNUMBER(deployment_raw[[#This Row],[Column6]]), (deployment_raw[[#This Row],[Column6]] * deployment_raw[[#This Row],[Column5]]),"")</f>
        <v/>
      </c>
      <c r="G341" s="175" t="str">
        <f>IF(ISNUMBER(deployment_raw[[#This Row],[Column7]]), (deployment_raw[[#This Row],[Column7]] * deployment_raw[[#This Row],[Column5]])/1048576,"")</f>
        <v/>
      </c>
      <c r="H341" s="175" t="str">
        <f>IF(ISNUMBER(deployment_raw[[#This Row],[Column8]]), (deployment_raw[[#This Row],[Column8]]  * deployment_raw[[#This Row],[Column5]]),"")</f>
        <v/>
      </c>
      <c r="I341" s="176" t="str">
        <f>IF(ISNUMBER(deployment_raw[[#This Row],[Column9]]), (deployment_raw[[#This Row],[Column9]] * deployment_raw[[#This Row],[Column5]])/1048576,"")</f>
        <v/>
      </c>
      <c r="J341" s="57" t="str">
        <f>IF(ISNUMBER(deployment_raw[[#This Row],[Column10]]), (deployment_raw[[#This Row],[Column10]] * deployment_raw[[#This Row],[Column5]]),"")</f>
        <v/>
      </c>
      <c r="K341" s="58" t="str">
        <f>IF(ISNUMBER(deployment_raw[[#This Row],[Column11]]), (deployment_raw[[#This Row],[Column11]] * deployment_raw[[#This Row],[Column5]])/1048576,"")</f>
        <v/>
      </c>
      <c r="L341" s="180" t="str">
        <f>IF(ISNUMBER(deployment_raw[[#This Row],[Column8]]),IF(deployment_raw[[#This Row],[Column5]] &lt;&gt; 0, MAX((deployment_raw[[#This Row],[Column12]] * deployment_raw[[#This Row],[Column5]]), ((deployment_raw[[#This Row],[Column8]] * deployment_raw[[#This Row],[Column5]]) * $L$2), ($H$2 * deployment_raw[[#This Row],[Column5]])), 0),"")</f>
        <v/>
      </c>
      <c r="M34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41" s="188" t="str">
        <f>IF(ISNUMBER(deployment_raw[[#This Row],[Column14]]), deployment_raw[[#This Row],[Column14]],"")</f>
        <v/>
      </c>
      <c r="O341" s="189" t="str">
        <f>IF(ISNUMBER(deployment_raw[[#This Row],[Column15]]), deployment_raw[[#This Row],[Column15]]/1048576,"")</f>
        <v/>
      </c>
      <c r="P341" s="190" t="str">
        <f>IF(ISNUMBER(deployment_raw[[#This Row],[Column12]]), (deployment_raw[[#This Row],[Column12]] * deployment_raw[[#This Row],[Column5]]),"")</f>
        <v/>
      </c>
      <c r="Q341" s="189" t="str">
        <f>IF(ISNUMBER(deployment_raw[[#This Row],[Column13]]), (deployment_raw[[#This Row],[Column13]] * deployment_raw[[#This Row],[Column5]])/1048576,"")</f>
        <v/>
      </c>
    </row>
    <row r="342" spans="1:17" ht="15.75" customHeight="1" x14ac:dyDescent="0.25">
      <c r="A342" s="37" t="str">
        <f>IF(ISNONTEXT(deployment_raw[[#This Row],[Column1]]), "", deployment_raw[[#This Row],[Column1]])</f>
        <v/>
      </c>
      <c r="B342" s="38" t="str">
        <f>IF(ISNONTEXT(deployment_raw[[#This Row],[Column2]]), "", deployment_raw[[#This Row],[Column2]])</f>
        <v/>
      </c>
      <c r="C342" s="38" t="str">
        <f>IF(ISNONTEXT(deployment_raw[[#This Row],[Column3]]), "", deployment_raw[[#This Row],[Column3]])</f>
        <v/>
      </c>
      <c r="D342" s="38" t="str">
        <f>IF(ISNONTEXT(deployment_raw[[#This Row],[Column4]]), "", deployment_raw[[#This Row],[Column4]])</f>
        <v/>
      </c>
      <c r="E342" s="39" t="str">
        <f>IF(ISNUMBER(deployment_raw[[#This Row],[Column5]]), deployment_raw[[#This Row],[Column5]],"")</f>
        <v/>
      </c>
      <c r="F342" s="174" t="str">
        <f>IF(ISNUMBER(deployment_raw[[#This Row],[Column6]]), (deployment_raw[[#This Row],[Column6]] * deployment_raw[[#This Row],[Column5]]),"")</f>
        <v/>
      </c>
      <c r="G342" s="175" t="str">
        <f>IF(ISNUMBER(deployment_raw[[#This Row],[Column7]]), (deployment_raw[[#This Row],[Column7]] * deployment_raw[[#This Row],[Column5]])/1048576,"")</f>
        <v/>
      </c>
      <c r="H342" s="175" t="str">
        <f>IF(ISNUMBER(deployment_raw[[#This Row],[Column8]]), (deployment_raw[[#This Row],[Column8]]  * deployment_raw[[#This Row],[Column5]]),"")</f>
        <v/>
      </c>
      <c r="I342" s="176" t="str">
        <f>IF(ISNUMBER(deployment_raw[[#This Row],[Column9]]), (deployment_raw[[#This Row],[Column9]] * deployment_raw[[#This Row],[Column5]])/1048576,"")</f>
        <v/>
      </c>
      <c r="J342" s="57" t="str">
        <f>IF(ISNUMBER(deployment_raw[[#This Row],[Column10]]), (deployment_raw[[#This Row],[Column10]] * deployment_raw[[#This Row],[Column5]]),"")</f>
        <v/>
      </c>
      <c r="K342" s="58" t="str">
        <f>IF(ISNUMBER(deployment_raw[[#This Row],[Column11]]), (deployment_raw[[#This Row],[Column11]] * deployment_raw[[#This Row],[Column5]])/1048576,"")</f>
        <v/>
      </c>
      <c r="L342" s="180" t="str">
        <f>IF(ISNUMBER(deployment_raw[[#This Row],[Column8]]),IF(deployment_raw[[#This Row],[Column5]] &lt;&gt; 0, MAX((deployment_raw[[#This Row],[Column12]] * deployment_raw[[#This Row],[Column5]]), ((deployment_raw[[#This Row],[Column8]] * deployment_raw[[#This Row],[Column5]]) * $L$2), ($H$2 * deployment_raw[[#This Row],[Column5]])), 0),"")</f>
        <v/>
      </c>
      <c r="M34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42" s="188" t="str">
        <f>IF(ISNUMBER(deployment_raw[[#This Row],[Column14]]), deployment_raw[[#This Row],[Column14]],"")</f>
        <v/>
      </c>
      <c r="O342" s="189" t="str">
        <f>IF(ISNUMBER(deployment_raw[[#This Row],[Column15]]), deployment_raw[[#This Row],[Column15]]/1048576,"")</f>
        <v/>
      </c>
      <c r="P342" s="190" t="str">
        <f>IF(ISNUMBER(deployment_raw[[#This Row],[Column12]]), (deployment_raw[[#This Row],[Column12]] * deployment_raw[[#This Row],[Column5]]),"")</f>
        <v/>
      </c>
      <c r="Q342" s="189" t="str">
        <f>IF(ISNUMBER(deployment_raw[[#This Row],[Column13]]), (deployment_raw[[#This Row],[Column13]] * deployment_raw[[#This Row],[Column5]])/1048576,"")</f>
        <v/>
      </c>
    </row>
    <row r="343" spans="1:17" ht="15.75" customHeight="1" x14ac:dyDescent="0.25">
      <c r="A343" s="37" t="str">
        <f>IF(ISNONTEXT(deployment_raw[[#This Row],[Column1]]), "", deployment_raw[[#This Row],[Column1]])</f>
        <v/>
      </c>
      <c r="B343" s="38" t="str">
        <f>IF(ISNONTEXT(deployment_raw[[#This Row],[Column2]]), "", deployment_raw[[#This Row],[Column2]])</f>
        <v/>
      </c>
      <c r="C343" s="38" t="str">
        <f>IF(ISNONTEXT(deployment_raw[[#This Row],[Column3]]), "", deployment_raw[[#This Row],[Column3]])</f>
        <v/>
      </c>
      <c r="D343" s="38" t="str">
        <f>IF(ISNONTEXT(deployment_raw[[#This Row],[Column4]]), "", deployment_raw[[#This Row],[Column4]])</f>
        <v/>
      </c>
      <c r="E343" s="39" t="str">
        <f>IF(ISNUMBER(deployment_raw[[#This Row],[Column5]]), deployment_raw[[#This Row],[Column5]],"")</f>
        <v/>
      </c>
      <c r="F343" s="174" t="str">
        <f>IF(ISNUMBER(deployment_raw[[#This Row],[Column6]]), (deployment_raw[[#This Row],[Column6]] * deployment_raw[[#This Row],[Column5]]),"")</f>
        <v/>
      </c>
      <c r="G343" s="175" t="str">
        <f>IF(ISNUMBER(deployment_raw[[#This Row],[Column7]]), (deployment_raw[[#This Row],[Column7]] * deployment_raw[[#This Row],[Column5]])/1048576,"")</f>
        <v/>
      </c>
      <c r="H343" s="175" t="str">
        <f>IF(ISNUMBER(deployment_raw[[#This Row],[Column8]]), (deployment_raw[[#This Row],[Column8]]  * deployment_raw[[#This Row],[Column5]]),"")</f>
        <v/>
      </c>
      <c r="I343" s="176" t="str">
        <f>IF(ISNUMBER(deployment_raw[[#This Row],[Column9]]), (deployment_raw[[#This Row],[Column9]] * deployment_raw[[#This Row],[Column5]])/1048576,"")</f>
        <v/>
      </c>
      <c r="J343" s="57" t="str">
        <f>IF(ISNUMBER(deployment_raw[[#This Row],[Column10]]), (deployment_raw[[#This Row],[Column10]] * deployment_raw[[#This Row],[Column5]]),"")</f>
        <v/>
      </c>
      <c r="K343" s="58" t="str">
        <f>IF(ISNUMBER(deployment_raw[[#This Row],[Column11]]), (deployment_raw[[#This Row],[Column11]] * deployment_raw[[#This Row],[Column5]])/1048576,"")</f>
        <v/>
      </c>
      <c r="L343" s="180" t="str">
        <f>IF(ISNUMBER(deployment_raw[[#This Row],[Column8]]),IF(deployment_raw[[#This Row],[Column5]] &lt;&gt; 0, MAX((deployment_raw[[#This Row],[Column12]] * deployment_raw[[#This Row],[Column5]]), ((deployment_raw[[#This Row],[Column8]] * deployment_raw[[#This Row],[Column5]]) * $L$2), ($H$2 * deployment_raw[[#This Row],[Column5]])), 0),"")</f>
        <v/>
      </c>
      <c r="M34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43" s="188" t="str">
        <f>IF(ISNUMBER(deployment_raw[[#This Row],[Column14]]), deployment_raw[[#This Row],[Column14]],"")</f>
        <v/>
      </c>
      <c r="O343" s="189" t="str">
        <f>IF(ISNUMBER(deployment_raw[[#This Row],[Column15]]), deployment_raw[[#This Row],[Column15]]/1048576,"")</f>
        <v/>
      </c>
      <c r="P343" s="190" t="str">
        <f>IF(ISNUMBER(deployment_raw[[#This Row],[Column12]]), (deployment_raw[[#This Row],[Column12]] * deployment_raw[[#This Row],[Column5]]),"")</f>
        <v/>
      </c>
      <c r="Q343" s="189" t="str">
        <f>IF(ISNUMBER(deployment_raw[[#This Row],[Column13]]), (deployment_raw[[#This Row],[Column13]] * deployment_raw[[#This Row],[Column5]])/1048576,"")</f>
        <v/>
      </c>
    </row>
    <row r="344" spans="1:17" ht="15.75" customHeight="1" x14ac:dyDescent="0.25">
      <c r="A344" s="37" t="str">
        <f>IF(ISNONTEXT(deployment_raw[[#This Row],[Column1]]), "", deployment_raw[[#This Row],[Column1]])</f>
        <v/>
      </c>
      <c r="B344" s="38" t="str">
        <f>IF(ISNONTEXT(deployment_raw[[#This Row],[Column2]]), "", deployment_raw[[#This Row],[Column2]])</f>
        <v/>
      </c>
      <c r="C344" s="38" t="str">
        <f>IF(ISNONTEXT(deployment_raw[[#This Row],[Column3]]), "", deployment_raw[[#This Row],[Column3]])</f>
        <v/>
      </c>
      <c r="D344" s="38" t="str">
        <f>IF(ISNONTEXT(deployment_raw[[#This Row],[Column4]]), "", deployment_raw[[#This Row],[Column4]])</f>
        <v/>
      </c>
      <c r="E344" s="39" t="str">
        <f>IF(ISNUMBER(deployment_raw[[#This Row],[Column5]]), deployment_raw[[#This Row],[Column5]],"")</f>
        <v/>
      </c>
      <c r="F344" s="174" t="str">
        <f>IF(ISNUMBER(deployment_raw[[#This Row],[Column6]]), (deployment_raw[[#This Row],[Column6]] * deployment_raw[[#This Row],[Column5]]),"")</f>
        <v/>
      </c>
      <c r="G344" s="175" t="str">
        <f>IF(ISNUMBER(deployment_raw[[#This Row],[Column7]]), (deployment_raw[[#This Row],[Column7]] * deployment_raw[[#This Row],[Column5]])/1048576,"")</f>
        <v/>
      </c>
      <c r="H344" s="175" t="str">
        <f>IF(ISNUMBER(deployment_raw[[#This Row],[Column8]]), (deployment_raw[[#This Row],[Column8]]  * deployment_raw[[#This Row],[Column5]]),"")</f>
        <v/>
      </c>
      <c r="I344" s="176" t="str">
        <f>IF(ISNUMBER(deployment_raw[[#This Row],[Column9]]), (deployment_raw[[#This Row],[Column9]] * deployment_raw[[#This Row],[Column5]])/1048576,"")</f>
        <v/>
      </c>
      <c r="J344" s="57" t="str">
        <f>IF(ISNUMBER(deployment_raw[[#This Row],[Column10]]), (deployment_raw[[#This Row],[Column10]] * deployment_raw[[#This Row],[Column5]]),"")</f>
        <v/>
      </c>
      <c r="K344" s="58" t="str">
        <f>IF(ISNUMBER(deployment_raw[[#This Row],[Column11]]), (deployment_raw[[#This Row],[Column11]] * deployment_raw[[#This Row],[Column5]])/1048576,"")</f>
        <v/>
      </c>
      <c r="L344" s="180" t="str">
        <f>IF(ISNUMBER(deployment_raw[[#This Row],[Column8]]),IF(deployment_raw[[#This Row],[Column5]] &lt;&gt; 0, MAX((deployment_raw[[#This Row],[Column12]] * deployment_raw[[#This Row],[Column5]]), ((deployment_raw[[#This Row],[Column8]] * deployment_raw[[#This Row],[Column5]]) * $L$2), ($H$2 * deployment_raw[[#This Row],[Column5]])), 0),"")</f>
        <v/>
      </c>
      <c r="M34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44" s="188" t="str">
        <f>IF(ISNUMBER(deployment_raw[[#This Row],[Column14]]), deployment_raw[[#This Row],[Column14]],"")</f>
        <v/>
      </c>
      <c r="O344" s="189" t="str">
        <f>IF(ISNUMBER(deployment_raw[[#This Row],[Column15]]), deployment_raw[[#This Row],[Column15]]/1048576,"")</f>
        <v/>
      </c>
      <c r="P344" s="190" t="str">
        <f>IF(ISNUMBER(deployment_raw[[#This Row],[Column12]]), (deployment_raw[[#This Row],[Column12]] * deployment_raw[[#This Row],[Column5]]),"")</f>
        <v/>
      </c>
      <c r="Q344" s="189" t="str">
        <f>IF(ISNUMBER(deployment_raw[[#This Row],[Column13]]), (deployment_raw[[#This Row],[Column13]] * deployment_raw[[#This Row],[Column5]])/1048576,"")</f>
        <v/>
      </c>
    </row>
    <row r="345" spans="1:17" ht="15.75" customHeight="1" x14ac:dyDescent="0.25">
      <c r="A345" s="37" t="str">
        <f>IF(ISNONTEXT(deployment_raw[[#This Row],[Column1]]), "", deployment_raw[[#This Row],[Column1]])</f>
        <v/>
      </c>
      <c r="B345" s="38" t="str">
        <f>IF(ISNONTEXT(deployment_raw[[#This Row],[Column2]]), "", deployment_raw[[#This Row],[Column2]])</f>
        <v/>
      </c>
      <c r="C345" s="38" t="str">
        <f>IF(ISNONTEXT(deployment_raw[[#This Row],[Column3]]), "", deployment_raw[[#This Row],[Column3]])</f>
        <v/>
      </c>
      <c r="D345" s="38" t="str">
        <f>IF(ISNONTEXT(deployment_raw[[#This Row],[Column4]]), "", deployment_raw[[#This Row],[Column4]])</f>
        <v/>
      </c>
      <c r="E345" s="39" t="str">
        <f>IF(ISNUMBER(deployment_raw[[#This Row],[Column5]]), deployment_raw[[#This Row],[Column5]],"")</f>
        <v/>
      </c>
      <c r="F345" s="174" t="str">
        <f>IF(ISNUMBER(deployment_raw[[#This Row],[Column6]]), (deployment_raw[[#This Row],[Column6]] * deployment_raw[[#This Row],[Column5]]),"")</f>
        <v/>
      </c>
      <c r="G345" s="175" t="str">
        <f>IF(ISNUMBER(deployment_raw[[#This Row],[Column7]]), (deployment_raw[[#This Row],[Column7]] * deployment_raw[[#This Row],[Column5]])/1048576,"")</f>
        <v/>
      </c>
      <c r="H345" s="175" t="str">
        <f>IF(ISNUMBER(deployment_raw[[#This Row],[Column8]]), (deployment_raw[[#This Row],[Column8]]  * deployment_raw[[#This Row],[Column5]]),"")</f>
        <v/>
      </c>
      <c r="I345" s="176" t="str">
        <f>IF(ISNUMBER(deployment_raw[[#This Row],[Column9]]), (deployment_raw[[#This Row],[Column9]] * deployment_raw[[#This Row],[Column5]])/1048576,"")</f>
        <v/>
      </c>
      <c r="J345" s="57" t="str">
        <f>IF(ISNUMBER(deployment_raw[[#This Row],[Column10]]), (deployment_raw[[#This Row],[Column10]] * deployment_raw[[#This Row],[Column5]]),"")</f>
        <v/>
      </c>
      <c r="K345" s="58" t="str">
        <f>IF(ISNUMBER(deployment_raw[[#This Row],[Column11]]), (deployment_raw[[#This Row],[Column11]] * deployment_raw[[#This Row],[Column5]])/1048576,"")</f>
        <v/>
      </c>
      <c r="L345" s="180" t="str">
        <f>IF(ISNUMBER(deployment_raw[[#This Row],[Column8]]),IF(deployment_raw[[#This Row],[Column5]] &lt;&gt; 0, MAX((deployment_raw[[#This Row],[Column12]] * deployment_raw[[#This Row],[Column5]]), ((deployment_raw[[#This Row],[Column8]] * deployment_raw[[#This Row],[Column5]]) * $L$2), ($H$2 * deployment_raw[[#This Row],[Column5]])), 0),"")</f>
        <v/>
      </c>
      <c r="M34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45" s="188" t="str">
        <f>IF(ISNUMBER(deployment_raw[[#This Row],[Column14]]), deployment_raw[[#This Row],[Column14]],"")</f>
        <v/>
      </c>
      <c r="O345" s="189" t="str">
        <f>IF(ISNUMBER(deployment_raw[[#This Row],[Column15]]), deployment_raw[[#This Row],[Column15]]/1048576,"")</f>
        <v/>
      </c>
      <c r="P345" s="190" t="str">
        <f>IF(ISNUMBER(deployment_raw[[#This Row],[Column12]]), (deployment_raw[[#This Row],[Column12]] * deployment_raw[[#This Row],[Column5]]),"")</f>
        <v/>
      </c>
      <c r="Q345" s="189" t="str">
        <f>IF(ISNUMBER(deployment_raw[[#This Row],[Column13]]), (deployment_raw[[#This Row],[Column13]] * deployment_raw[[#This Row],[Column5]])/1048576,"")</f>
        <v/>
      </c>
    </row>
    <row r="346" spans="1:17" ht="15.75" customHeight="1" x14ac:dyDescent="0.25">
      <c r="A346" s="37" t="str">
        <f>IF(ISNONTEXT(deployment_raw[[#This Row],[Column1]]), "", deployment_raw[[#This Row],[Column1]])</f>
        <v/>
      </c>
      <c r="B346" s="38" t="str">
        <f>IF(ISNONTEXT(deployment_raw[[#This Row],[Column2]]), "", deployment_raw[[#This Row],[Column2]])</f>
        <v/>
      </c>
      <c r="C346" s="38" t="str">
        <f>IF(ISNONTEXT(deployment_raw[[#This Row],[Column3]]), "", deployment_raw[[#This Row],[Column3]])</f>
        <v/>
      </c>
      <c r="D346" s="38" t="str">
        <f>IF(ISNONTEXT(deployment_raw[[#This Row],[Column4]]), "", deployment_raw[[#This Row],[Column4]])</f>
        <v/>
      </c>
      <c r="E346" s="39" t="str">
        <f>IF(ISNUMBER(deployment_raw[[#This Row],[Column5]]), deployment_raw[[#This Row],[Column5]],"")</f>
        <v/>
      </c>
      <c r="F346" s="174" t="str">
        <f>IF(ISNUMBER(deployment_raw[[#This Row],[Column6]]), (deployment_raw[[#This Row],[Column6]] * deployment_raw[[#This Row],[Column5]]),"")</f>
        <v/>
      </c>
      <c r="G346" s="175" t="str">
        <f>IF(ISNUMBER(deployment_raw[[#This Row],[Column7]]), (deployment_raw[[#This Row],[Column7]] * deployment_raw[[#This Row],[Column5]])/1048576,"")</f>
        <v/>
      </c>
      <c r="H346" s="175" t="str">
        <f>IF(ISNUMBER(deployment_raw[[#This Row],[Column8]]), (deployment_raw[[#This Row],[Column8]]  * deployment_raw[[#This Row],[Column5]]),"")</f>
        <v/>
      </c>
      <c r="I346" s="176" t="str">
        <f>IF(ISNUMBER(deployment_raw[[#This Row],[Column9]]), (deployment_raw[[#This Row],[Column9]] * deployment_raw[[#This Row],[Column5]])/1048576,"")</f>
        <v/>
      </c>
      <c r="J346" s="57" t="str">
        <f>IF(ISNUMBER(deployment_raw[[#This Row],[Column10]]), (deployment_raw[[#This Row],[Column10]] * deployment_raw[[#This Row],[Column5]]),"")</f>
        <v/>
      </c>
      <c r="K346" s="58" t="str">
        <f>IF(ISNUMBER(deployment_raw[[#This Row],[Column11]]), (deployment_raw[[#This Row],[Column11]] * deployment_raw[[#This Row],[Column5]])/1048576,"")</f>
        <v/>
      </c>
      <c r="L346" s="180" t="str">
        <f>IF(ISNUMBER(deployment_raw[[#This Row],[Column8]]),IF(deployment_raw[[#This Row],[Column5]] &lt;&gt; 0, MAX((deployment_raw[[#This Row],[Column12]] * deployment_raw[[#This Row],[Column5]]), ((deployment_raw[[#This Row],[Column8]] * deployment_raw[[#This Row],[Column5]]) * $L$2), ($H$2 * deployment_raw[[#This Row],[Column5]])), 0),"")</f>
        <v/>
      </c>
      <c r="M34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46" s="188" t="str">
        <f>IF(ISNUMBER(deployment_raw[[#This Row],[Column14]]), deployment_raw[[#This Row],[Column14]],"")</f>
        <v/>
      </c>
      <c r="O346" s="189" t="str">
        <f>IF(ISNUMBER(deployment_raw[[#This Row],[Column15]]), deployment_raw[[#This Row],[Column15]]/1048576,"")</f>
        <v/>
      </c>
      <c r="P346" s="190" t="str">
        <f>IF(ISNUMBER(deployment_raw[[#This Row],[Column12]]), (deployment_raw[[#This Row],[Column12]] * deployment_raw[[#This Row],[Column5]]),"")</f>
        <v/>
      </c>
      <c r="Q346" s="189" t="str">
        <f>IF(ISNUMBER(deployment_raw[[#This Row],[Column13]]), (deployment_raw[[#This Row],[Column13]] * deployment_raw[[#This Row],[Column5]])/1048576,"")</f>
        <v/>
      </c>
    </row>
    <row r="347" spans="1:17" ht="15.75" customHeight="1" x14ac:dyDescent="0.25">
      <c r="A347" s="37" t="str">
        <f>IF(ISNONTEXT(deployment_raw[[#This Row],[Column1]]), "", deployment_raw[[#This Row],[Column1]])</f>
        <v/>
      </c>
      <c r="B347" s="38" t="str">
        <f>IF(ISNONTEXT(deployment_raw[[#This Row],[Column2]]), "", deployment_raw[[#This Row],[Column2]])</f>
        <v/>
      </c>
      <c r="C347" s="38" t="str">
        <f>IF(ISNONTEXT(deployment_raw[[#This Row],[Column3]]), "", deployment_raw[[#This Row],[Column3]])</f>
        <v/>
      </c>
      <c r="D347" s="38" t="str">
        <f>IF(ISNONTEXT(deployment_raw[[#This Row],[Column4]]), "", deployment_raw[[#This Row],[Column4]])</f>
        <v/>
      </c>
      <c r="E347" s="39" t="str">
        <f>IF(ISNUMBER(deployment_raw[[#This Row],[Column5]]), deployment_raw[[#This Row],[Column5]],"")</f>
        <v/>
      </c>
      <c r="F347" s="174" t="str">
        <f>IF(ISNUMBER(deployment_raw[[#This Row],[Column6]]), (deployment_raw[[#This Row],[Column6]] * deployment_raw[[#This Row],[Column5]]),"")</f>
        <v/>
      </c>
      <c r="G347" s="175" t="str">
        <f>IF(ISNUMBER(deployment_raw[[#This Row],[Column7]]), (deployment_raw[[#This Row],[Column7]] * deployment_raw[[#This Row],[Column5]])/1048576,"")</f>
        <v/>
      </c>
      <c r="H347" s="175" t="str">
        <f>IF(ISNUMBER(deployment_raw[[#This Row],[Column8]]), (deployment_raw[[#This Row],[Column8]]  * deployment_raw[[#This Row],[Column5]]),"")</f>
        <v/>
      </c>
      <c r="I347" s="176" t="str">
        <f>IF(ISNUMBER(deployment_raw[[#This Row],[Column9]]), (deployment_raw[[#This Row],[Column9]] * deployment_raw[[#This Row],[Column5]])/1048576,"")</f>
        <v/>
      </c>
      <c r="J347" s="57" t="str">
        <f>IF(ISNUMBER(deployment_raw[[#This Row],[Column10]]), (deployment_raw[[#This Row],[Column10]] * deployment_raw[[#This Row],[Column5]]),"")</f>
        <v/>
      </c>
      <c r="K347" s="58" t="str">
        <f>IF(ISNUMBER(deployment_raw[[#This Row],[Column11]]), (deployment_raw[[#This Row],[Column11]] * deployment_raw[[#This Row],[Column5]])/1048576,"")</f>
        <v/>
      </c>
      <c r="L347" s="180" t="str">
        <f>IF(ISNUMBER(deployment_raw[[#This Row],[Column8]]),IF(deployment_raw[[#This Row],[Column5]] &lt;&gt; 0, MAX((deployment_raw[[#This Row],[Column12]] * deployment_raw[[#This Row],[Column5]]), ((deployment_raw[[#This Row],[Column8]] * deployment_raw[[#This Row],[Column5]]) * $L$2), ($H$2 * deployment_raw[[#This Row],[Column5]])), 0),"")</f>
        <v/>
      </c>
      <c r="M34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47" s="188" t="str">
        <f>IF(ISNUMBER(deployment_raw[[#This Row],[Column14]]), deployment_raw[[#This Row],[Column14]],"")</f>
        <v/>
      </c>
      <c r="O347" s="189" t="str">
        <f>IF(ISNUMBER(deployment_raw[[#This Row],[Column15]]), deployment_raw[[#This Row],[Column15]]/1048576,"")</f>
        <v/>
      </c>
      <c r="P347" s="190" t="str">
        <f>IF(ISNUMBER(deployment_raw[[#This Row],[Column12]]), (deployment_raw[[#This Row],[Column12]] * deployment_raw[[#This Row],[Column5]]),"")</f>
        <v/>
      </c>
      <c r="Q347" s="189" t="str">
        <f>IF(ISNUMBER(deployment_raw[[#This Row],[Column13]]), (deployment_raw[[#This Row],[Column13]] * deployment_raw[[#This Row],[Column5]])/1048576,"")</f>
        <v/>
      </c>
    </row>
    <row r="348" spans="1:17" ht="15.75" customHeight="1" x14ac:dyDescent="0.25">
      <c r="A348" s="37" t="str">
        <f>IF(ISNONTEXT(deployment_raw[[#This Row],[Column1]]), "", deployment_raw[[#This Row],[Column1]])</f>
        <v/>
      </c>
      <c r="B348" s="38" t="str">
        <f>IF(ISNONTEXT(deployment_raw[[#This Row],[Column2]]), "", deployment_raw[[#This Row],[Column2]])</f>
        <v/>
      </c>
      <c r="C348" s="38" t="str">
        <f>IF(ISNONTEXT(deployment_raw[[#This Row],[Column3]]), "", deployment_raw[[#This Row],[Column3]])</f>
        <v/>
      </c>
      <c r="D348" s="38" t="str">
        <f>IF(ISNONTEXT(deployment_raw[[#This Row],[Column4]]), "", deployment_raw[[#This Row],[Column4]])</f>
        <v/>
      </c>
      <c r="E348" s="39" t="str">
        <f>IF(ISNUMBER(deployment_raw[[#This Row],[Column5]]), deployment_raw[[#This Row],[Column5]],"")</f>
        <v/>
      </c>
      <c r="F348" s="174" t="str">
        <f>IF(ISNUMBER(deployment_raw[[#This Row],[Column6]]), (deployment_raw[[#This Row],[Column6]] * deployment_raw[[#This Row],[Column5]]),"")</f>
        <v/>
      </c>
      <c r="G348" s="175" t="str">
        <f>IF(ISNUMBER(deployment_raw[[#This Row],[Column7]]), (deployment_raw[[#This Row],[Column7]] * deployment_raw[[#This Row],[Column5]])/1048576,"")</f>
        <v/>
      </c>
      <c r="H348" s="175" t="str">
        <f>IF(ISNUMBER(deployment_raw[[#This Row],[Column8]]), (deployment_raw[[#This Row],[Column8]]  * deployment_raw[[#This Row],[Column5]]),"")</f>
        <v/>
      </c>
      <c r="I348" s="176" t="str">
        <f>IF(ISNUMBER(deployment_raw[[#This Row],[Column9]]), (deployment_raw[[#This Row],[Column9]] * deployment_raw[[#This Row],[Column5]])/1048576,"")</f>
        <v/>
      </c>
      <c r="J348" s="57" t="str">
        <f>IF(ISNUMBER(deployment_raw[[#This Row],[Column10]]), (deployment_raw[[#This Row],[Column10]] * deployment_raw[[#This Row],[Column5]]),"")</f>
        <v/>
      </c>
      <c r="K348" s="58" t="str">
        <f>IF(ISNUMBER(deployment_raw[[#This Row],[Column11]]), (deployment_raw[[#This Row],[Column11]] * deployment_raw[[#This Row],[Column5]])/1048576,"")</f>
        <v/>
      </c>
      <c r="L348" s="180" t="str">
        <f>IF(ISNUMBER(deployment_raw[[#This Row],[Column8]]),IF(deployment_raw[[#This Row],[Column5]] &lt;&gt; 0, MAX((deployment_raw[[#This Row],[Column12]] * deployment_raw[[#This Row],[Column5]]), ((deployment_raw[[#This Row],[Column8]] * deployment_raw[[#This Row],[Column5]]) * $L$2), ($H$2 * deployment_raw[[#This Row],[Column5]])), 0),"")</f>
        <v/>
      </c>
      <c r="M34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48" s="188" t="str">
        <f>IF(ISNUMBER(deployment_raw[[#This Row],[Column14]]), deployment_raw[[#This Row],[Column14]],"")</f>
        <v/>
      </c>
      <c r="O348" s="189" t="str">
        <f>IF(ISNUMBER(deployment_raw[[#This Row],[Column15]]), deployment_raw[[#This Row],[Column15]]/1048576,"")</f>
        <v/>
      </c>
      <c r="P348" s="190" t="str">
        <f>IF(ISNUMBER(deployment_raw[[#This Row],[Column12]]), (deployment_raw[[#This Row],[Column12]] * deployment_raw[[#This Row],[Column5]]),"")</f>
        <v/>
      </c>
      <c r="Q348" s="189" t="str">
        <f>IF(ISNUMBER(deployment_raw[[#This Row],[Column13]]), (deployment_raw[[#This Row],[Column13]] * deployment_raw[[#This Row],[Column5]])/1048576,"")</f>
        <v/>
      </c>
    </row>
    <row r="349" spans="1:17" ht="15.75" customHeight="1" x14ac:dyDescent="0.25">
      <c r="A349" s="37" t="str">
        <f>IF(ISNONTEXT(deployment_raw[[#This Row],[Column1]]), "", deployment_raw[[#This Row],[Column1]])</f>
        <v/>
      </c>
      <c r="B349" s="38" t="str">
        <f>IF(ISNONTEXT(deployment_raw[[#This Row],[Column2]]), "", deployment_raw[[#This Row],[Column2]])</f>
        <v/>
      </c>
      <c r="C349" s="38" t="str">
        <f>IF(ISNONTEXT(deployment_raw[[#This Row],[Column3]]), "", deployment_raw[[#This Row],[Column3]])</f>
        <v/>
      </c>
      <c r="D349" s="38" t="str">
        <f>IF(ISNONTEXT(deployment_raw[[#This Row],[Column4]]), "", deployment_raw[[#This Row],[Column4]])</f>
        <v/>
      </c>
      <c r="E349" s="39" t="str">
        <f>IF(ISNUMBER(deployment_raw[[#This Row],[Column5]]), deployment_raw[[#This Row],[Column5]],"")</f>
        <v/>
      </c>
      <c r="F349" s="174" t="str">
        <f>IF(ISNUMBER(deployment_raw[[#This Row],[Column6]]), (deployment_raw[[#This Row],[Column6]] * deployment_raw[[#This Row],[Column5]]),"")</f>
        <v/>
      </c>
      <c r="G349" s="175" t="str">
        <f>IF(ISNUMBER(deployment_raw[[#This Row],[Column7]]), (deployment_raw[[#This Row],[Column7]] * deployment_raw[[#This Row],[Column5]])/1048576,"")</f>
        <v/>
      </c>
      <c r="H349" s="175" t="str">
        <f>IF(ISNUMBER(deployment_raw[[#This Row],[Column8]]), (deployment_raw[[#This Row],[Column8]]  * deployment_raw[[#This Row],[Column5]]),"")</f>
        <v/>
      </c>
      <c r="I349" s="176" t="str">
        <f>IF(ISNUMBER(deployment_raw[[#This Row],[Column9]]), (deployment_raw[[#This Row],[Column9]] * deployment_raw[[#This Row],[Column5]])/1048576,"")</f>
        <v/>
      </c>
      <c r="J349" s="57" t="str">
        <f>IF(ISNUMBER(deployment_raw[[#This Row],[Column10]]), (deployment_raw[[#This Row],[Column10]] * deployment_raw[[#This Row],[Column5]]),"")</f>
        <v/>
      </c>
      <c r="K349" s="58" t="str">
        <f>IF(ISNUMBER(deployment_raw[[#This Row],[Column11]]), (deployment_raw[[#This Row],[Column11]] * deployment_raw[[#This Row],[Column5]])/1048576,"")</f>
        <v/>
      </c>
      <c r="L349" s="180" t="str">
        <f>IF(ISNUMBER(deployment_raw[[#This Row],[Column8]]),IF(deployment_raw[[#This Row],[Column5]] &lt;&gt; 0, MAX((deployment_raw[[#This Row],[Column12]] * deployment_raw[[#This Row],[Column5]]), ((deployment_raw[[#This Row],[Column8]] * deployment_raw[[#This Row],[Column5]]) * $L$2), ($H$2 * deployment_raw[[#This Row],[Column5]])), 0),"")</f>
        <v/>
      </c>
      <c r="M34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49" s="188" t="str">
        <f>IF(ISNUMBER(deployment_raw[[#This Row],[Column14]]), deployment_raw[[#This Row],[Column14]],"")</f>
        <v/>
      </c>
      <c r="O349" s="189" t="str">
        <f>IF(ISNUMBER(deployment_raw[[#This Row],[Column15]]), deployment_raw[[#This Row],[Column15]]/1048576,"")</f>
        <v/>
      </c>
      <c r="P349" s="190" t="str">
        <f>IF(ISNUMBER(deployment_raw[[#This Row],[Column12]]), (deployment_raw[[#This Row],[Column12]] * deployment_raw[[#This Row],[Column5]]),"")</f>
        <v/>
      </c>
      <c r="Q349" s="189" t="str">
        <f>IF(ISNUMBER(deployment_raw[[#This Row],[Column13]]), (deployment_raw[[#This Row],[Column13]] * deployment_raw[[#This Row],[Column5]])/1048576,"")</f>
        <v/>
      </c>
    </row>
    <row r="350" spans="1:17" ht="15.75" customHeight="1" x14ac:dyDescent="0.25">
      <c r="A350" s="37" t="str">
        <f>IF(ISNONTEXT(deployment_raw[[#This Row],[Column1]]), "", deployment_raw[[#This Row],[Column1]])</f>
        <v/>
      </c>
      <c r="B350" s="38" t="str">
        <f>IF(ISNONTEXT(deployment_raw[[#This Row],[Column2]]), "", deployment_raw[[#This Row],[Column2]])</f>
        <v/>
      </c>
      <c r="C350" s="38" t="str">
        <f>IF(ISNONTEXT(deployment_raw[[#This Row],[Column3]]), "", deployment_raw[[#This Row],[Column3]])</f>
        <v/>
      </c>
      <c r="D350" s="38" t="str">
        <f>IF(ISNONTEXT(deployment_raw[[#This Row],[Column4]]), "", deployment_raw[[#This Row],[Column4]])</f>
        <v/>
      </c>
      <c r="E350" s="39" t="str">
        <f>IF(ISNUMBER(deployment_raw[[#This Row],[Column5]]), deployment_raw[[#This Row],[Column5]],"")</f>
        <v/>
      </c>
      <c r="F350" s="174" t="str">
        <f>IF(ISNUMBER(deployment_raw[[#This Row],[Column6]]), (deployment_raw[[#This Row],[Column6]] * deployment_raw[[#This Row],[Column5]]),"")</f>
        <v/>
      </c>
      <c r="G350" s="175" t="str">
        <f>IF(ISNUMBER(deployment_raw[[#This Row],[Column7]]), (deployment_raw[[#This Row],[Column7]] * deployment_raw[[#This Row],[Column5]])/1048576,"")</f>
        <v/>
      </c>
      <c r="H350" s="175" t="str">
        <f>IF(ISNUMBER(deployment_raw[[#This Row],[Column8]]), (deployment_raw[[#This Row],[Column8]]  * deployment_raw[[#This Row],[Column5]]),"")</f>
        <v/>
      </c>
      <c r="I350" s="176" t="str">
        <f>IF(ISNUMBER(deployment_raw[[#This Row],[Column9]]), (deployment_raw[[#This Row],[Column9]] * deployment_raw[[#This Row],[Column5]])/1048576,"")</f>
        <v/>
      </c>
      <c r="J350" s="57" t="str">
        <f>IF(ISNUMBER(deployment_raw[[#This Row],[Column10]]), (deployment_raw[[#This Row],[Column10]] * deployment_raw[[#This Row],[Column5]]),"")</f>
        <v/>
      </c>
      <c r="K350" s="58" t="str">
        <f>IF(ISNUMBER(deployment_raw[[#This Row],[Column11]]), (deployment_raw[[#This Row],[Column11]] * deployment_raw[[#This Row],[Column5]])/1048576,"")</f>
        <v/>
      </c>
      <c r="L350" s="180" t="str">
        <f>IF(ISNUMBER(deployment_raw[[#This Row],[Column8]]),IF(deployment_raw[[#This Row],[Column5]] &lt;&gt; 0, MAX((deployment_raw[[#This Row],[Column12]] * deployment_raw[[#This Row],[Column5]]), ((deployment_raw[[#This Row],[Column8]] * deployment_raw[[#This Row],[Column5]]) * $L$2), ($H$2 * deployment_raw[[#This Row],[Column5]])), 0),"")</f>
        <v/>
      </c>
      <c r="M35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50" s="188" t="str">
        <f>IF(ISNUMBER(deployment_raw[[#This Row],[Column14]]), deployment_raw[[#This Row],[Column14]],"")</f>
        <v/>
      </c>
      <c r="O350" s="189" t="str">
        <f>IF(ISNUMBER(deployment_raw[[#This Row],[Column15]]), deployment_raw[[#This Row],[Column15]]/1048576,"")</f>
        <v/>
      </c>
      <c r="P350" s="190" t="str">
        <f>IF(ISNUMBER(deployment_raw[[#This Row],[Column12]]), (deployment_raw[[#This Row],[Column12]] * deployment_raw[[#This Row],[Column5]]),"")</f>
        <v/>
      </c>
      <c r="Q350" s="189" t="str">
        <f>IF(ISNUMBER(deployment_raw[[#This Row],[Column13]]), (deployment_raw[[#This Row],[Column13]] * deployment_raw[[#This Row],[Column5]])/1048576,"")</f>
        <v/>
      </c>
    </row>
    <row r="351" spans="1:17" ht="15.75" customHeight="1" x14ac:dyDescent="0.25">
      <c r="A351" s="37" t="str">
        <f>IF(ISNONTEXT(deployment_raw[[#This Row],[Column1]]), "", deployment_raw[[#This Row],[Column1]])</f>
        <v/>
      </c>
      <c r="B351" s="38" t="str">
        <f>IF(ISNONTEXT(deployment_raw[[#This Row],[Column2]]), "", deployment_raw[[#This Row],[Column2]])</f>
        <v/>
      </c>
      <c r="C351" s="38" t="str">
        <f>IF(ISNONTEXT(deployment_raw[[#This Row],[Column3]]), "", deployment_raw[[#This Row],[Column3]])</f>
        <v/>
      </c>
      <c r="D351" s="38" t="str">
        <f>IF(ISNONTEXT(deployment_raw[[#This Row],[Column4]]), "", deployment_raw[[#This Row],[Column4]])</f>
        <v/>
      </c>
      <c r="E351" s="39" t="str">
        <f>IF(ISNUMBER(deployment_raw[[#This Row],[Column5]]), deployment_raw[[#This Row],[Column5]],"")</f>
        <v/>
      </c>
      <c r="F351" s="174" t="str">
        <f>IF(ISNUMBER(deployment_raw[[#This Row],[Column6]]), (deployment_raw[[#This Row],[Column6]] * deployment_raw[[#This Row],[Column5]]),"")</f>
        <v/>
      </c>
      <c r="G351" s="175" t="str">
        <f>IF(ISNUMBER(deployment_raw[[#This Row],[Column7]]), (deployment_raw[[#This Row],[Column7]] * deployment_raw[[#This Row],[Column5]])/1048576,"")</f>
        <v/>
      </c>
      <c r="H351" s="175" t="str">
        <f>IF(ISNUMBER(deployment_raw[[#This Row],[Column8]]), (deployment_raw[[#This Row],[Column8]]  * deployment_raw[[#This Row],[Column5]]),"")</f>
        <v/>
      </c>
      <c r="I351" s="176" t="str">
        <f>IF(ISNUMBER(deployment_raw[[#This Row],[Column9]]), (deployment_raw[[#This Row],[Column9]] * deployment_raw[[#This Row],[Column5]])/1048576,"")</f>
        <v/>
      </c>
      <c r="J351" s="57" t="str">
        <f>IF(ISNUMBER(deployment_raw[[#This Row],[Column10]]), (deployment_raw[[#This Row],[Column10]] * deployment_raw[[#This Row],[Column5]]),"")</f>
        <v/>
      </c>
      <c r="K351" s="58" t="str">
        <f>IF(ISNUMBER(deployment_raw[[#This Row],[Column11]]), (deployment_raw[[#This Row],[Column11]] * deployment_raw[[#This Row],[Column5]])/1048576,"")</f>
        <v/>
      </c>
      <c r="L351" s="180" t="str">
        <f>IF(ISNUMBER(deployment_raw[[#This Row],[Column8]]),IF(deployment_raw[[#This Row],[Column5]] &lt;&gt; 0, MAX((deployment_raw[[#This Row],[Column12]] * deployment_raw[[#This Row],[Column5]]), ((deployment_raw[[#This Row],[Column8]] * deployment_raw[[#This Row],[Column5]]) * $L$2), ($H$2 * deployment_raw[[#This Row],[Column5]])), 0),"")</f>
        <v/>
      </c>
      <c r="M35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51" s="188" t="str">
        <f>IF(ISNUMBER(deployment_raw[[#This Row],[Column14]]), deployment_raw[[#This Row],[Column14]],"")</f>
        <v/>
      </c>
      <c r="O351" s="189" t="str">
        <f>IF(ISNUMBER(deployment_raw[[#This Row],[Column15]]), deployment_raw[[#This Row],[Column15]]/1048576,"")</f>
        <v/>
      </c>
      <c r="P351" s="190" t="str">
        <f>IF(ISNUMBER(deployment_raw[[#This Row],[Column12]]), (deployment_raw[[#This Row],[Column12]] * deployment_raw[[#This Row],[Column5]]),"")</f>
        <v/>
      </c>
      <c r="Q351" s="189" t="str">
        <f>IF(ISNUMBER(deployment_raw[[#This Row],[Column13]]), (deployment_raw[[#This Row],[Column13]] * deployment_raw[[#This Row],[Column5]])/1048576,"")</f>
        <v/>
      </c>
    </row>
    <row r="352" spans="1:17" ht="15.75" customHeight="1" x14ac:dyDescent="0.25">
      <c r="A352" s="37" t="str">
        <f>IF(ISNONTEXT(deployment_raw[[#This Row],[Column1]]), "", deployment_raw[[#This Row],[Column1]])</f>
        <v/>
      </c>
      <c r="B352" s="38" t="str">
        <f>IF(ISNONTEXT(deployment_raw[[#This Row],[Column2]]), "", deployment_raw[[#This Row],[Column2]])</f>
        <v/>
      </c>
      <c r="C352" s="38" t="str">
        <f>IF(ISNONTEXT(deployment_raw[[#This Row],[Column3]]), "", deployment_raw[[#This Row],[Column3]])</f>
        <v/>
      </c>
      <c r="D352" s="38" t="str">
        <f>IF(ISNONTEXT(deployment_raw[[#This Row],[Column4]]), "", deployment_raw[[#This Row],[Column4]])</f>
        <v/>
      </c>
      <c r="E352" s="39" t="str">
        <f>IF(ISNUMBER(deployment_raw[[#This Row],[Column5]]), deployment_raw[[#This Row],[Column5]],"")</f>
        <v/>
      </c>
      <c r="F352" s="174" t="str">
        <f>IF(ISNUMBER(deployment_raw[[#This Row],[Column6]]), (deployment_raw[[#This Row],[Column6]] * deployment_raw[[#This Row],[Column5]]),"")</f>
        <v/>
      </c>
      <c r="G352" s="175" t="str">
        <f>IF(ISNUMBER(deployment_raw[[#This Row],[Column7]]), (deployment_raw[[#This Row],[Column7]] * deployment_raw[[#This Row],[Column5]])/1048576,"")</f>
        <v/>
      </c>
      <c r="H352" s="175" t="str">
        <f>IF(ISNUMBER(deployment_raw[[#This Row],[Column8]]), (deployment_raw[[#This Row],[Column8]]  * deployment_raw[[#This Row],[Column5]]),"")</f>
        <v/>
      </c>
      <c r="I352" s="176" t="str">
        <f>IF(ISNUMBER(deployment_raw[[#This Row],[Column9]]), (deployment_raw[[#This Row],[Column9]] * deployment_raw[[#This Row],[Column5]])/1048576,"")</f>
        <v/>
      </c>
      <c r="J352" s="57" t="str">
        <f>IF(ISNUMBER(deployment_raw[[#This Row],[Column10]]), (deployment_raw[[#This Row],[Column10]] * deployment_raw[[#This Row],[Column5]]),"")</f>
        <v/>
      </c>
      <c r="K352" s="58" t="str">
        <f>IF(ISNUMBER(deployment_raw[[#This Row],[Column11]]), (deployment_raw[[#This Row],[Column11]] * deployment_raw[[#This Row],[Column5]])/1048576,"")</f>
        <v/>
      </c>
      <c r="L352" s="180" t="str">
        <f>IF(ISNUMBER(deployment_raw[[#This Row],[Column8]]),IF(deployment_raw[[#This Row],[Column5]] &lt;&gt; 0, MAX((deployment_raw[[#This Row],[Column12]] * deployment_raw[[#This Row],[Column5]]), ((deployment_raw[[#This Row],[Column8]] * deployment_raw[[#This Row],[Column5]]) * $L$2), ($H$2 * deployment_raw[[#This Row],[Column5]])), 0),"")</f>
        <v/>
      </c>
      <c r="M35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52" s="188" t="str">
        <f>IF(ISNUMBER(deployment_raw[[#This Row],[Column14]]), deployment_raw[[#This Row],[Column14]],"")</f>
        <v/>
      </c>
      <c r="O352" s="189" t="str">
        <f>IF(ISNUMBER(deployment_raw[[#This Row],[Column15]]), deployment_raw[[#This Row],[Column15]]/1048576,"")</f>
        <v/>
      </c>
      <c r="P352" s="190" t="str">
        <f>IF(ISNUMBER(deployment_raw[[#This Row],[Column12]]), (deployment_raw[[#This Row],[Column12]] * deployment_raw[[#This Row],[Column5]]),"")</f>
        <v/>
      </c>
      <c r="Q352" s="189" t="str">
        <f>IF(ISNUMBER(deployment_raw[[#This Row],[Column13]]), (deployment_raw[[#This Row],[Column13]] * deployment_raw[[#This Row],[Column5]])/1048576,"")</f>
        <v/>
      </c>
    </row>
    <row r="353" spans="1:17" ht="15.75" customHeight="1" x14ac:dyDescent="0.25">
      <c r="A353" s="37" t="str">
        <f>IF(ISNONTEXT(deployment_raw[[#This Row],[Column1]]), "", deployment_raw[[#This Row],[Column1]])</f>
        <v/>
      </c>
      <c r="B353" s="38" t="str">
        <f>IF(ISNONTEXT(deployment_raw[[#This Row],[Column2]]), "", deployment_raw[[#This Row],[Column2]])</f>
        <v/>
      </c>
      <c r="C353" s="38" t="str">
        <f>IF(ISNONTEXT(deployment_raw[[#This Row],[Column3]]), "", deployment_raw[[#This Row],[Column3]])</f>
        <v/>
      </c>
      <c r="D353" s="38" t="str">
        <f>IF(ISNONTEXT(deployment_raw[[#This Row],[Column4]]), "", deployment_raw[[#This Row],[Column4]])</f>
        <v/>
      </c>
      <c r="E353" s="39" t="str">
        <f>IF(ISNUMBER(deployment_raw[[#This Row],[Column5]]), deployment_raw[[#This Row],[Column5]],"")</f>
        <v/>
      </c>
      <c r="F353" s="174" t="str">
        <f>IF(ISNUMBER(deployment_raw[[#This Row],[Column6]]), (deployment_raw[[#This Row],[Column6]] * deployment_raw[[#This Row],[Column5]]),"")</f>
        <v/>
      </c>
      <c r="G353" s="175" t="str">
        <f>IF(ISNUMBER(deployment_raw[[#This Row],[Column7]]), (deployment_raw[[#This Row],[Column7]] * deployment_raw[[#This Row],[Column5]])/1048576,"")</f>
        <v/>
      </c>
      <c r="H353" s="175" t="str">
        <f>IF(ISNUMBER(deployment_raw[[#This Row],[Column8]]), (deployment_raw[[#This Row],[Column8]]  * deployment_raw[[#This Row],[Column5]]),"")</f>
        <v/>
      </c>
      <c r="I353" s="176" t="str">
        <f>IF(ISNUMBER(deployment_raw[[#This Row],[Column9]]), (deployment_raw[[#This Row],[Column9]] * deployment_raw[[#This Row],[Column5]])/1048576,"")</f>
        <v/>
      </c>
      <c r="J353" s="57" t="str">
        <f>IF(ISNUMBER(deployment_raw[[#This Row],[Column10]]), (deployment_raw[[#This Row],[Column10]] * deployment_raw[[#This Row],[Column5]]),"")</f>
        <v/>
      </c>
      <c r="K353" s="58" t="str">
        <f>IF(ISNUMBER(deployment_raw[[#This Row],[Column11]]), (deployment_raw[[#This Row],[Column11]] * deployment_raw[[#This Row],[Column5]])/1048576,"")</f>
        <v/>
      </c>
      <c r="L353" s="180" t="str">
        <f>IF(ISNUMBER(deployment_raw[[#This Row],[Column8]]),IF(deployment_raw[[#This Row],[Column5]] &lt;&gt; 0, MAX((deployment_raw[[#This Row],[Column12]] * deployment_raw[[#This Row],[Column5]]), ((deployment_raw[[#This Row],[Column8]] * deployment_raw[[#This Row],[Column5]]) * $L$2), ($H$2 * deployment_raw[[#This Row],[Column5]])), 0),"")</f>
        <v/>
      </c>
      <c r="M35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53" s="188" t="str">
        <f>IF(ISNUMBER(deployment_raw[[#This Row],[Column14]]), deployment_raw[[#This Row],[Column14]],"")</f>
        <v/>
      </c>
      <c r="O353" s="189" t="str">
        <f>IF(ISNUMBER(deployment_raw[[#This Row],[Column15]]), deployment_raw[[#This Row],[Column15]]/1048576,"")</f>
        <v/>
      </c>
      <c r="P353" s="190" t="str">
        <f>IF(ISNUMBER(deployment_raw[[#This Row],[Column12]]), (deployment_raw[[#This Row],[Column12]] * deployment_raw[[#This Row],[Column5]]),"")</f>
        <v/>
      </c>
      <c r="Q353" s="189" t="str">
        <f>IF(ISNUMBER(deployment_raw[[#This Row],[Column13]]), (deployment_raw[[#This Row],[Column13]] * deployment_raw[[#This Row],[Column5]])/1048576,"")</f>
        <v/>
      </c>
    </row>
    <row r="354" spans="1:17" ht="15.75" customHeight="1" x14ac:dyDescent="0.25">
      <c r="A354" s="37" t="str">
        <f>IF(ISNONTEXT(deployment_raw[[#This Row],[Column1]]), "", deployment_raw[[#This Row],[Column1]])</f>
        <v/>
      </c>
      <c r="B354" s="38" t="str">
        <f>IF(ISNONTEXT(deployment_raw[[#This Row],[Column2]]), "", deployment_raw[[#This Row],[Column2]])</f>
        <v/>
      </c>
      <c r="C354" s="38" t="str">
        <f>IF(ISNONTEXT(deployment_raw[[#This Row],[Column3]]), "", deployment_raw[[#This Row],[Column3]])</f>
        <v/>
      </c>
      <c r="D354" s="38" t="str">
        <f>IF(ISNONTEXT(deployment_raw[[#This Row],[Column4]]), "", deployment_raw[[#This Row],[Column4]])</f>
        <v/>
      </c>
      <c r="E354" s="39" t="str">
        <f>IF(ISNUMBER(deployment_raw[[#This Row],[Column5]]), deployment_raw[[#This Row],[Column5]],"")</f>
        <v/>
      </c>
      <c r="F354" s="174" t="str">
        <f>IF(ISNUMBER(deployment_raw[[#This Row],[Column6]]), (deployment_raw[[#This Row],[Column6]] * deployment_raw[[#This Row],[Column5]]),"")</f>
        <v/>
      </c>
      <c r="G354" s="175" t="str">
        <f>IF(ISNUMBER(deployment_raw[[#This Row],[Column7]]), (deployment_raw[[#This Row],[Column7]] * deployment_raw[[#This Row],[Column5]])/1048576,"")</f>
        <v/>
      </c>
      <c r="H354" s="175" t="str">
        <f>IF(ISNUMBER(deployment_raw[[#This Row],[Column8]]), (deployment_raw[[#This Row],[Column8]]  * deployment_raw[[#This Row],[Column5]]),"")</f>
        <v/>
      </c>
      <c r="I354" s="176" t="str">
        <f>IF(ISNUMBER(deployment_raw[[#This Row],[Column9]]), (deployment_raw[[#This Row],[Column9]] * deployment_raw[[#This Row],[Column5]])/1048576,"")</f>
        <v/>
      </c>
      <c r="J354" s="57" t="str">
        <f>IF(ISNUMBER(deployment_raw[[#This Row],[Column10]]), (deployment_raw[[#This Row],[Column10]] * deployment_raw[[#This Row],[Column5]]),"")</f>
        <v/>
      </c>
      <c r="K354" s="58" t="str">
        <f>IF(ISNUMBER(deployment_raw[[#This Row],[Column11]]), (deployment_raw[[#This Row],[Column11]] * deployment_raw[[#This Row],[Column5]])/1048576,"")</f>
        <v/>
      </c>
      <c r="L354" s="180" t="str">
        <f>IF(ISNUMBER(deployment_raw[[#This Row],[Column8]]),IF(deployment_raw[[#This Row],[Column5]] &lt;&gt; 0, MAX((deployment_raw[[#This Row],[Column12]] * deployment_raw[[#This Row],[Column5]]), ((deployment_raw[[#This Row],[Column8]] * deployment_raw[[#This Row],[Column5]]) * $L$2), ($H$2 * deployment_raw[[#This Row],[Column5]])), 0),"")</f>
        <v/>
      </c>
      <c r="M35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54" s="188" t="str">
        <f>IF(ISNUMBER(deployment_raw[[#This Row],[Column14]]), deployment_raw[[#This Row],[Column14]],"")</f>
        <v/>
      </c>
      <c r="O354" s="189" t="str">
        <f>IF(ISNUMBER(deployment_raw[[#This Row],[Column15]]), deployment_raw[[#This Row],[Column15]]/1048576,"")</f>
        <v/>
      </c>
      <c r="P354" s="190" t="str">
        <f>IF(ISNUMBER(deployment_raw[[#This Row],[Column12]]), (deployment_raw[[#This Row],[Column12]] * deployment_raw[[#This Row],[Column5]]),"")</f>
        <v/>
      </c>
      <c r="Q354" s="189" t="str">
        <f>IF(ISNUMBER(deployment_raw[[#This Row],[Column13]]), (deployment_raw[[#This Row],[Column13]] * deployment_raw[[#This Row],[Column5]])/1048576,"")</f>
        <v/>
      </c>
    </row>
    <row r="355" spans="1:17" ht="15.75" customHeight="1" x14ac:dyDescent="0.25">
      <c r="A355" s="37" t="str">
        <f>IF(ISNONTEXT(deployment_raw[[#This Row],[Column1]]), "", deployment_raw[[#This Row],[Column1]])</f>
        <v/>
      </c>
      <c r="B355" s="38" t="str">
        <f>IF(ISNONTEXT(deployment_raw[[#This Row],[Column2]]), "", deployment_raw[[#This Row],[Column2]])</f>
        <v/>
      </c>
      <c r="C355" s="38" t="str">
        <f>IF(ISNONTEXT(deployment_raw[[#This Row],[Column3]]), "", deployment_raw[[#This Row],[Column3]])</f>
        <v/>
      </c>
      <c r="D355" s="38" t="str">
        <f>IF(ISNONTEXT(deployment_raw[[#This Row],[Column4]]), "", deployment_raw[[#This Row],[Column4]])</f>
        <v/>
      </c>
      <c r="E355" s="39" t="str">
        <f>IF(ISNUMBER(deployment_raw[[#This Row],[Column5]]), deployment_raw[[#This Row],[Column5]],"")</f>
        <v/>
      </c>
      <c r="F355" s="174" t="str">
        <f>IF(ISNUMBER(deployment_raw[[#This Row],[Column6]]), (deployment_raw[[#This Row],[Column6]] * deployment_raw[[#This Row],[Column5]]),"")</f>
        <v/>
      </c>
      <c r="G355" s="175" t="str">
        <f>IF(ISNUMBER(deployment_raw[[#This Row],[Column7]]), (deployment_raw[[#This Row],[Column7]] * deployment_raw[[#This Row],[Column5]])/1048576,"")</f>
        <v/>
      </c>
      <c r="H355" s="175" t="str">
        <f>IF(ISNUMBER(deployment_raw[[#This Row],[Column8]]), (deployment_raw[[#This Row],[Column8]]  * deployment_raw[[#This Row],[Column5]]),"")</f>
        <v/>
      </c>
      <c r="I355" s="176" t="str">
        <f>IF(ISNUMBER(deployment_raw[[#This Row],[Column9]]), (deployment_raw[[#This Row],[Column9]] * deployment_raw[[#This Row],[Column5]])/1048576,"")</f>
        <v/>
      </c>
      <c r="J355" s="57" t="str">
        <f>IF(ISNUMBER(deployment_raw[[#This Row],[Column10]]), (deployment_raw[[#This Row],[Column10]] * deployment_raw[[#This Row],[Column5]]),"")</f>
        <v/>
      </c>
      <c r="K355" s="58" t="str">
        <f>IF(ISNUMBER(deployment_raw[[#This Row],[Column11]]), (deployment_raw[[#This Row],[Column11]] * deployment_raw[[#This Row],[Column5]])/1048576,"")</f>
        <v/>
      </c>
      <c r="L355" s="180" t="str">
        <f>IF(ISNUMBER(deployment_raw[[#This Row],[Column8]]),IF(deployment_raw[[#This Row],[Column5]] &lt;&gt; 0, MAX((deployment_raw[[#This Row],[Column12]] * deployment_raw[[#This Row],[Column5]]), ((deployment_raw[[#This Row],[Column8]] * deployment_raw[[#This Row],[Column5]]) * $L$2), ($H$2 * deployment_raw[[#This Row],[Column5]])), 0),"")</f>
        <v/>
      </c>
      <c r="M35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55" s="188" t="str">
        <f>IF(ISNUMBER(deployment_raw[[#This Row],[Column14]]), deployment_raw[[#This Row],[Column14]],"")</f>
        <v/>
      </c>
      <c r="O355" s="189" t="str">
        <f>IF(ISNUMBER(deployment_raw[[#This Row],[Column15]]), deployment_raw[[#This Row],[Column15]]/1048576,"")</f>
        <v/>
      </c>
      <c r="P355" s="190" t="str">
        <f>IF(ISNUMBER(deployment_raw[[#This Row],[Column12]]), (deployment_raw[[#This Row],[Column12]] * deployment_raw[[#This Row],[Column5]]),"")</f>
        <v/>
      </c>
      <c r="Q355" s="189" t="str">
        <f>IF(ISNUMBER(deployment_raw[[#This Row],[Column13]]), (deployment_raw[[#This Row],[Column13]] * deployment_raw[[#This Row],[Column5]])/1048576,"")</f>
        <v/>
      </c>
    </row>
    <row r="356" spans="1:17" ht="15.75" customHeight="1" x14ac:dyDescent="0.25">
      <c r="A356" s="37" t="str">
        <f>IF(ISNONTEXT(deployment_raw[[#This Row],[Column1]]), "", deployment_raw[[#This Row],[Column1]])</f>
        <v/>
      </c>
      <c r="B356" s="38" t="str">
        <f>IF(ISNONTEXT(deployment_raw[[#This Row],[Column2]]), "", deployment_raw[[#This Row],[Column2]])</f>
        <v/>
      </c>
      <c r="C356" s="38" t="str">
        <f>IF(ISNONTEXT(deployment_raw[[#This Row],[Column3]]), "", deployment_raw[[#This Row],[Column3]])</f>
        <v/>
      </c>
      <c r="D356" s="38" t="str">
        <f>IF(ISNONTEXT(deployment_raw[[#This Row],[Column4]]), "", deployment_raw[[#This Row],[Column4]])</f>
        <v/>
      </c>
      <c r="E356" s="39" t="str">
        <f>IF(ISNUMBER(deployment_raw[[#This Row],[Column5]]), deployment_raw[[#This Row],[Column5]],"")</f>
        <v/>
      </c>
      <c r="F356" s="174" t="str">
        <f>IF(ISNUMBER(deployment_raw[[#This Row],[Column6]]), (deployment_raw[[#This Row],[Column6]] * deployment_raw[[#This Row],[Column5]]),"")</f>
        <v/>
      </c>
      <c r="G356" s="175" t="str">
        <f>IF(ISNUMBER(deployment_raw[[#This Row],[Column7]]), (deployment_raw[[#This Row],[Column7]] * deployment_raw[[#This Row],[Column5]])/1048576,"")</f>
        <v/>
      </c>
      <c r="H356" s="175" t="str">
        <f>IF(ISNUMBER(deployment_raw[[#This Row],[Column8]]), (deployment_raw[[#This Row],[Column8]]  * deployment_raw[[#This Row],[Column5]]),"")</f>
        <v/>
      </c>
      <c r="I356" s="176" t="str">
        <f>IF(ISNUMBER(deployment_raw[[#This Row],[Column9]]), (deployment_raw[[#This Row],[Column9]] * deployment_raw[[#This Row],[Column5]])/1048576,"")</f>
        <v/>
      </c>
      <c r="J356" s="57" t="str">
        <f>IF(ISNUMBER(deployment_raw[[#This Row],[Column10]]), (deployment_raw[[#This Row],[Column10]] * deployment_raw[[#This Row],[Column5]]),"")</f>
        <v/>
      </c>
      <c r="K356" s="58" t="str">
        <f>IF(ISNUMBER(deployment_raw[[#This Row],[Column11]]), (deployment_raw[[#This Row],[Column11]] * deployment_raw[[#This Row],[Column5]])/1048576,"")</f>
        <v/>
      </c>
      <c r="L356" s="180" t="str">
        <f>IF(ISNUMBER(deployment_raw[[#This Row],[Column8]]),IF(deployment_raw[[#This Row],[Column5]] &lt;&gt; 0, MAX((deployment_raw[[#This Row],[Column12]] * deployment_raw[[#This Row],[Column5]]), ((deployment_raw[[#This Row],[Column8]] * deployment_raw[[#This Row],[Column5]]) * $L$2), ($H$2 * deployment_raw[[#This Row],[Column5]])), 0),"")</f>
        <v/>
      </c>
      <c r="M35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56" s="188" t="str">
        <f>IF(ISNUMBER(deployment_raw[[#This Row],[Column14]]), deployment_raw[[#This Row],[Column14]],"")</f>
        <v/>
      </c>
      <c r="O356" s="189" t="str">
        <f>IF(ISNUMBER(deployment_raw[[#This Row],[Column15]]), deployment_raw[[#This Row],[Column15]]/1048576,"")</f>
        <v/>
      </c>
      <c r="P356" s="190" t="str">
        <f>IF(ISNUMBER(deployment_raw[[#This Row],[Column12]]), (deployment_raw[[#This Row],[Column12]] * deployment_raw[[#This Row],[Column5]]),"")</f>
        <v/>
      </c>
      <c r="Q356" s="189" t="str">
        <f>IF(ISNUMBER(deployment_raw[[#This Row],[Column13]]), (deployment_raw[[#This Row],[Column13]] * deployment_raw[[#This Row],[Column5]])/1048576,"")</f>
        <v/>
      </c>
    </row>
    <row r="357" spans="1:17" ht="15.75" customHeight="1" x14ac:dyDescent="0.25">
      <c r="A357" s="37" t="str">
        <f>IF(ISNONTEXT(deployment_raw[[#This Row],[Column1]]), "", deployment_raw[[#This Row],[Column1]])</f>
        <v/>
      </c>
      <c r="B357" s="38" t="str">
        <f>IF(ISNONTEXT(deployment_raw[[#This Row],[Column2]]), "", deployment_raw[[#This Row],[Column2]])</f>
        <v/>
      </c>
      <c r="C357" s="38" t="str">
        <f>IF(ISNONTEXT(deployment_raw[[#This Row],[Column3]]), "", deployment_raw[[#This Row],[Column3]])</f>
        <v/>
      </c>
      <c r="D357" s="38" t="str">
        <f>IF(ISNONTEXT(deployment_raw[[#This Row],[Column4]]), "", deployment_raw[[#This Row],[Column4]])</f>
        <v/>
      </c>
      <c r="E357" s="39" t="str">
        <f>IF(ISNUMBER(deployment_raw[[#This Row],[Column5]]), deployment_raw[[#This Row],[Column5]],"")</f>
        <v/>
      </c>
      <c r="F357" s="174" t="str">
        <f>IF(ISNUMBER(deployment_raw[[#This Row],[Column6]]), (deployment_raw[[#This Row],[Column6]] * deployment_raw[[#This Row],[Column5]]),"")</f>
        <v/>
      </c>
      <c r="G357" s="175" t="str">
        <f>IF(ISNUMBER(deployment_raw[[#This Row],[Column7]]), (deployment_raw[[#This Row],[Column7]] * deployment_raw[[#This Row],[Column5]])/1048576,"")</f>
        <v/>
      </c>
      <c r="H357" s="175" t="str">
        <f>IF(ISNUMBER(deployment_raw[[#This Row],[Column8]]), (deployment_raw[[#This Row],[Column8]]  * deployment_raw[[#This Row],[Column5]]),"")</f>
        <v/>
      </c>
      <c r="I357" s="176" t="str">
        <f>IF(ISNUMBER(deployment_raw[[#This Row],[Column9]]), (deployment_raw[[#This Row],[Column9]] * deployment_raw[[#This Row],[Column5]])/1048576,"")</f>
        <v/>
      </c>
      <c r="J357" s="57" t="str">
        <f>IF(ISNUMBER(deployment_raw[[#This Row],[Column10]]), (deployment_raw[[#This Row],[Column10]] * deployment_raw[[#This Row],[Column5]]),"")</f>
        <v/>
      </c>
      <c r="K357" s="58" t="str">
        <f>IF(ISNUMBER(deployment_raw[[#This Row],[Column11]]), (deployment_raw[[#This Row],[Column11]] * deployment_raw[[#This Row],[Column5]])/1048576,"")</f>
        <v/>
      </c>
      <c r="L357" s="180" t="str">
        <f>IF(ISNUMBER(deployment_raw[[#This Row],[Column8]]),IF(deployment_raw[[#This Row],[Column5]] &lt;&gt; 0, MAX((deployment_raw[[#This Row],[Column12]] * deployment_raw[[#This Row],[Column5]]), ((deployment_raw[[#This Row],[Column8]] * deployment_raw[[#This Row],[Column5]]) * $L$2), ($H$2 * deployment_raw[[#This Row],[Column5]])), 0),"")</f>
        <v/>
      </c>
      <c r="M35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57" s="188" t="str">
        <f>IF(ISNUMBER(deployment_raw[[#This Row],[Column14]]), deployment_raw[[#This Row],[Column14]],"")</f>
        <v/>
      </c>
      <c r="O357" s="189" t="str">
        <f>IF(ISNUMBER(deployment_raw[[#This Row],[Column15]]), deployment_raw[[#This Row],[Column15]]/1048576,"")</f>
        <v/>
      </c>
      <c r="P357" s="190" t="str">
        <f>IF(ISNUMBER(deployment_raw[[#This Row],[Column12]]), (deployment_raw[[#This Row],[Column12]] * deployment_raw[[#This Row],[Column5]]),"")</f>
        <v/>
      </c>
      <c r="Q357" s="189" t="str">
        <f>IF(ISNUMBER(deployment_raw[[#This Row],[Column13]]), (deployment_raw[[#This Row],[Column13]] * deployment_raw[[#This Row],[Column5]])/1048576,"")</f>
        <v/>
      </c>
    </row>
    <row r="358" spans="1:17" ht="15.75" customHeight="1" x14ac:dyDescent="0.25">
      <c r="A358" s="37" t="str">
        <f>IF(ISNONTEXT(deployment_raw[[#This Row],[Column1]]), "", deployment_raw[[#This Row],[Column1]])</f>
        <v/>
      </c>
      <c r="B358" s="38" t="str">
        <f>IF(ISNONTEXT(deployment_raw[[#This Row],[Column2]]), "", deployment_raw[[#This Row],[Column2]])</f>
        <v/>
      </c>
      <c r="C358" s="38" t="str">
        <f>IF(ISNONTEXT(deployment_raw[[#This Row],[Column3]]), "", deployment_raw[[#This Row],[Column3]])</f>
        <v/>
      </c>
      <c r="D358" s="38" t="str">
        <f>IF(ISNONTEXT(deployment_raw[[#This Row],[Column4]]), "", deployment_raw[[#This Row],[Column4]])</f>
        <v/>
      </c>
      <c r="E358" s="39" t="str">
        <f>IF(ISNUMBER(deployment_raw[[#This Row],[Column5]]), deployment_raw[[#This Row],[Column5]],"")</f>
        <v/>
      </c>
      <c r="F358" s="174" t="str">
        <f>IF(ISNUMBER(deployment_raw[[#This Row],[Column6]]), (deployment_raw[[#This Row],[Column6]] * deployment_raw[[#This Row],[Column5]]),"")</f>
        <v/>
      </c>
      <c r="G358" s="175" t="str">
        <f>IF(ISNUMBER(deployment_raw[[#This Row],[Column7]]), (deployment_raw[[#This Row],[Column7]] * deployment_raw[[#This Row],[Column5]])/1048576,"")</f>
        <v/>
      </c>
      <c r="H358" s="175" t="str">
        <f>IF(ISNUMBER(deployment_raw[[#This Row],[Column8]]), (deployment_raw[[#This Row],[Column8]]  * deployment_raw[[#This Row],[Column5]]),"")</f>
        <v/>
      </c>
      <c r="I358" s="176" t="str">
        <f>IF(ISNUMBER(deployment_raw[[#This Row],[Column9]]), (deployment_raw[[#This Row],[Column9]] * deployment_raw[[#This Row],[Column5]])/1048576,"")</f>
        <v/>
      </c>
      <c r="J358" s="57" t="str">
        <f>IF(ISNUMBER(deployment_raw[[#This Row],[Column10]]), (deployment_raw[[#This Row],[Column10]] * deployment_raw[[#This Row],[Column5]]),"")</f>
        <v/>
      </c>
      <c r="K358" s="58" t="str">
        <f>IF(ISNUMBER(deployment_raw[[#This Row],[Column11]]), (deployment_raw[[#This Row],[Column11]] * deployment_raw[[#This Row],[Column5]])/1048576,"")</f>
        <v/>
      </c>
      <c r="L358" s="180" t="str">
        <f>IF(ISNUMBER(deployment_raw[[#This Row],[Column8]]),IF(deployment_raw[[#This Row],[Column5]] &lt;&gt; 0, MAX((deployment_raw[[#This Row],[Column12]] * deployment_raw[[#This Row],[Column5]]), ((deployment_raw[[#This Row],[Column8]] * deployment_raw[[#This Row],[Column5]]) * $L$2), ($H$2 * deployment_raw[[#This Row],[Column5]])), 0),"")</f>
        <v/>
      </c>
      <c r="M35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58" s="188" t="str">
        <f>IF(ISNUMBER(deployment_raw[[#This Row],[Column14]]), deployment_raw[[#This Row],[Column14]],"")</f>
        <v/>
      </c>
      <c r="O358" s="189" t="str">
        <f>IF(ISNUMBER(deployment_raw[[#This Row],[Column15]]), deployment_raw[[#This Row],[Column15]]/1048576,"")</f>
        <v/>
      </c>
      <c r="P358" s="190" t="str">
        <f>IF(ISNUMBER(deployment_raw[[#This Row],[Column12]]), (deployment_raw[[#This Row],[Column12]] * deployment_raw[[#This Row],[Column5]]),"")</f>
        <v/>
      </c>
      <c r="Q358" s="189" t="str">
        <f>IF(ISNUMBER(deployment_raw[[#This Row],[Column13]]), (deployment_raw[[#This Row],[Column13]] * deployment_raw[[#This Row],[Column5]])/1048576,"")</f>
        <v/>
      </c>
    </row>
    <row r="359" spans="1:17" ht="15.75" customHeight="1" x14ac:dyDescent="0.25">
      <c r="A359" s="37" t="str">
        <f>IF(ISNONTEXT(deployment_raw[[#This Row],[Column1]]), "", deployment_raw[[#This Row],[Column1]])</f>
        <v/>
      </c>
      <c r="B359" s="38" t="str">
        <f>IF(ISNONTEXT(deployment_raw[[#This Row],[Column2]]), "", deployment_raw[[#This Row],[Column2]])</f>
        <v/>
      </c>
      <c r="C359" s="38" t="str">
        <f>IF(ISNONTEXT(deployment_raw[[#This Row],[Column3]]), "", deployment_raw[[#This Row],[Column3]])</f>
        <v/>
      </c>
      <c r="D359" s="38" t="str">
        <f>IF(ISNONTEXT(deployment_raw[[#This Row],[Column4]]), "", deployment_raw[[#This Row],[Column4]])</f>
        <v/>
      </c>
      <c r="E359" s="39" t="str">
        <f>IF(ISNUMBER(deployment_raw[[#This Row],[Column5]]), deployment_raw[[#This Row],[Column5]],"")</f>
        <v/>
      </c>
      <c r="F359" s="174" t="str">
        <f>IF(ISNUMBER(deployment_raw[[#This Row],[Column6]]), (deployment_raw[[#This Row],[Column6]] * deployment_raw[[#This Row],[Column5]]),"")</f>
        <v/>
      </c>
      <c r="G359" s="175" t="str">
        <f>IF(ISNUMBER(deployment_raw[[#This Row],[Column7]]), (deployment_raw[[#This Row],[Column7]] * deployment_raw[[#This Row],[Column5]])/1048576,"")</f>
        <v/>
      </c>
      <c r="H359" s="175" t="str">
        <f>IF(ISNUMBER(deployment_raw[[#This Row],[Column8]]), (deployment_raw[[#This Row],[Column8]]  * deployment_raw[[#This Row],[Column5]]),"")</f>
        <v/>
      </c>
      <c r="I359" s="176" t="str">
        <f>IF(ISNUMBER(deployment_raw[[#This Row],[Column9]]), (deployment_raw[[#This Row],[Column9]] * deployment_raw[[#This Row],[Column5]])/1048576,"")</f>
        <v/>
      </c>
      <c r="J359" s="57" t="str">
        <f>IF(ISNUMBER(deployment_raw[[#This Row],[Column10]]), (deployment_raw[[#This Row],[Column10]] * deployment_raw[[#This Row],[Column5]]),"")</f>
        <v/>
      </c>
      <c r="K359" s="58" t="str">
        <f>IF(ISNUMBER(deployment_raw[[#This Row],[Column11]]), (deployment_raw[[#This Row],[Column11]] * deployment_raw[[#This Row],[Column5]])/1048576,"")</f>
        <v/>
      </c>
      <c r="L359" s="180" t="str">
        <f>IF(ISNUMBER(deployment_raw[[#This Row],[Column8]]),IF(deployment_raw[[#This Row],[Column5]] &lt;&gt; 0, MAX((deployment_raw[[#This Row],[Column12]] * deployment_raw[[#This Row],[Column5]]), ((deployment_raw[[#This Row],[Column8]] * deployment_raw[[#This Row],[Column5]]) * $L$2), ($H$2 * deployment_raw[[#This Row],[Column5]])), 0),"")</f>
        <v/>
      </c>
      <c r="M35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59" s="188" t="str">
        <f>IF(ISNUMBER(deployment_raw[[#This Row],[Column14]]), deployment_raw[[#This Row],[Column14]],"")</f>
        <v/>
      </c>
      <c r="O359" s="189" t="str">
        <f>IF(ISNUMBER(deployment_raw[[#This Row],[Column15]]), deployment_raw[[#This Row],[Column15]]/1048576,"")</f>
        <v/>
      </c>
      <c r="P359" s="190" t="str">
        <f>IF(ISNUMBER(deployment_raw[[#This Row],[Column12]]), (deployment_raw[[#This Row],[Column12]] * deployment_raw[[#This Row],[Column5]]),"")</f>
        <v/>
      </c>
      <c r="Q359" s="189" t="str">
        <f>IF(ISNUMBER(deployment_raw[[#This Row],[Column13]]), (deployment_raw[[#This Row],[Column13]] * deployment_raw[[#This Row],[Column5]])/1048576,"")</f>
        <v/>
      </c>
    </row>
    <row r="360" spans="1:17" ht="15.75" customHeight="1" x14ac:dyDescent="0.25">
      <c r="A360" s="37" t="str">
        <f>IF(ISNONTEXT(deployment_raw[[#This Row],[Column1]]), "", deployment_raw[[#This Row],[Column1]])</f>
        <v/>
      </c>
      <c r="B360" s="38" t="str">
        <f>IF(ISNONTEXT(deployment_raw[[#This Row],[Column2]]), "", deployment_raw[[#This Row],[Column2]])</f>
        <v/>
      </c>
      <c r="C360" s="38" t="str">
        <f>IF(ISNONTEXT(deployment_raw[[#This Row],[Column3]]), "", deployment_raw[[#This Row],[Column3]])</f>
        <v/>
      </c>
      <c r="D360" s="38" t="str">
        <f>IF(ISNONTEXT(deployment_raw[[#This Row],[Column4]]), "", deployment_raw[[#This Row],[Column4]])</f>
        <v/>
      </c>
      <c r="E360" s="39" t="str">
        <f>IF(ISNUMBER(deployment_raw[[#This Row],[Column5]]), deployment_raw[[#This Row],[Column5]],"")</f>
        <v/>
      </c>
      <c r="F360" s="174" t="str">
        <f>IF(ISNUMBER(deployment_raw[[#This Row],[Column6]]), (deployment_raw[[#This Row],[Column6]] * deployment_raw[[#This Row],[Column5]]),"")</f>
        <v/>
      </c>
      <c r="G360" s="175" t="str">
        <f>IF(ISNUMBER(deployment_raw[[#This Row],[Column7]]), (deployment_raw[[#This Row],[Column7]] * deployment_raw[[#This Row],[Column5]])/1048576,"")</f>
        <v/>
      </c>
      <c r="H360" s="175" t="str">
        <f>IF(ISNUMBER(deployment_raw[[#This Row],[Column8]]), (deployment_raw[[#This Row],[Column8]]  * deployment_raw[[#This Row],[Column5]]),"")</f>
        <v/>
      </c>
      <c r="I360" s="176" t="str">
        <f>IF(ISNUMBER(deployment_raw[[#This Row],[Column9]]), (deployment_raw[[#This Row],[Column9]] * deployment_raw[[#This Row],[Column5]])/1048576,"")</f>
        <v/>
      </c>
      <c r="J360" s="57" t="str">
        <f>IF(ISNUMBER(deployment_raw[[#This Row],[Column10]]), (deployment_raw[[#This Row],[Column10]] * deployment_raw[[#This Row],[Column5]]),"")</f>
        <v/>
      </c>
      <c r="K360" s="58" t="str">
        <f>IF(ISNUMBER(deployment_raw[[#This Row],[Column11]]), (deployment_raw[[#This Row],[Column11]] * deployment_raw[[#This Row],[Column5]])/1048576,"")</f>
        <v/>
      </c>
      <c r="L360" s="180" t="str">
        <f>IF(ISNUMBER(deployment_raw[[#This Row],[Column8]]),IF(deployment_raw[[#This Row],[Column5]] &lt;&gt; 0, MAX((deployment_raw[[#This Row],[Column12]] * deployment_raw[[#This Row],[Column5]]), ((deployment_raw[[#This Row],[Column8]] * deployment_raw[[#This Row],[Column5]]) * $L$2), ($H$2 * deployment_raw[[#This Row],[Column5]])), 0),"")</f>
        <v/>
      </c>
      <c r="M36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60" s="188" t="str">
        <f>IF(ISNUMBER(deployment_raw[[#This Row],[Column14]]), deployment_raw[[#This Row],[Column14]],"")</f>
        <v/>
      </c>
      <c r="O360" s="189" t="str">
        <f>IF(ISNUMBER(deployment_raw[[#This Row],[Column15]]), deployment_raw[[#This Row],[Column15]]/1048576,"")</f>
        <v/>
      </c>
      <c r="P360" s="190" t="str">
        <f>IF(ISNUMBER(deployment_raw[[#This Row],[Column12]]), (deployment_raw[[#This Row],[Column12]] * deployment_raw[[#This Row],[Column5]]),"")</f>
        <v/>
      </c>
      <c r="Q360" s="189" t="str">
        <f>IF(ISNUMBER(deployment_raw[[#This Row],[Column13]]), (deployment_raw[[#This Row],[Column13]] * deployment_raw[[#This Row],[Column5]])/1048576,"")</f>
        <v/>
      </c>
    </row>
    <row r="361" spans="1:17" ht="15.75" customHeight="1" x14ac:dyDescent="0.25">
      <c r="A361" s="37" t="str">
        <f>IF(ISNONTEXT(deployment_raw[[#This Row],[Column1]]), "", deployment_raw[[#This Row],[Column1]])</f>
        <v/>
      </c>
      <c r="B361" s="38" t="str">
        <f>IF(ISNONTEXT(deployment_raw[[#This Row],[Column2]]), "", deployment_raw[[#This Row],[Column2]])</f>
        <v/>
      </c>
      <c r="C361" s="38" t="str">
        <f>IF(ISNONTEXT(deployment_raw[[#This Row],[Column3]]), "", deployment_raw[[#This Row],[Column3]])</f>
        <v/>
      </c>
      <c r="D361" s="38" t="str">
        <f>IF(ISNONTEXT(deployment_raw[[#This Row],[Column4]]), "", deployment_raw[[#This Row],[Column4]])</f>
        <v/>
      </c>
      <c r="E361" s="39" t="str">
        <f>IF(ISNUMBER(deployment_raw[[#This Row],[Column5]]), deployment_raw[[#This Row],[Column5]],"")</f>
        <v/>
      </c>
      <c r="F361" s="174" t="str">
        <f>IF(ISNUMBER(deployment_raw[[#This Row],[Column6]]), (deployment_raw[[#This Row],[Column6]] * deployment_raw[[#This Row],[Column5]]),"")</f>
        <v/>
      </c>
      <c r="G361" s="175" t="str">
        <f>IF(ISNUMBER(deployment_raw[[#This Row],[Column7]]), (deployment_raw[[#This Row],[Column7]] * deployment_raw[[#This Row],[Column5]])/1048576,"")</f>
        <v/>
      </c>
      <c r="H361" s="175" t="str">
        <f>IF(ISNUMBER(deployment_raw[[#This Row],[Column8]]), (deployment_raw[[#This Row],[Column8]]  * deployment_raw[[#This Row],[Column5]]),"")</f>
        <v/>
      </c>
      <c r="I361" s="176" t="str">
        <f>IF(ISNUMBER(deployment_raw[[#This Row],[Column9]]), (deployment_raw[[#This Row],[Column9]] * deployment_raw[[#This Row],[Column5]])/1048576,"")</f>
        <v/>
      </c>
      <c r="J361" s="57" t="str">
        <f>IF(ISNUMBER(deployment_raw[[#This Row],[Column10]]), (deployment_raw[[#This Row],[Column10]] * deployment_raw[[#This Row],[Column5]]),"")</f>
        <v/>
      </c>
      <c r="K361" s="58" t="str">
        <f>IF(ISNUMBER(deployment_raw[[#This Row],[Column11]]), (deployment_raw[[#This Row],[Column11]] * deployment_raw[[#This Row],[Column5]])/1048576,"")</f>
        <v/>
      </c>
      <c r="L361" s="180" t="str">
        <f>IF(ISNUMBER(deployment_raw[[#This Row],[Column8]]),IF(deployment_raw[[#This Row],[Column5]] &lt;&gt; 0, MAX((deployment_raw[[#This Row],[Column12]] * deployment_raw[[#This Row],[Column5]]), ((deployment_raw[[#This Row],[Column8]] * deployment_raw[[#This Row],[Column5]]) * $L$2), ($H$2 * deployment_raw[[#This Row],[Column5]])), 0),"")</f>
        <v/>
      </c>
      <c r="M36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61" s="188" t="str">
        <f>IF(ISNUMBER(deployment_raw[[#This Row],[Column14]]), deployment_raw[[#This Row],[Column14]],"")</f>
        <v/>
      </c>
      <c r="O361" s="189" t="str">
        <f>IF(ISNUMBER(deployment_raw[[#This Row],[Column15]]), deployment_raw[[#This Row],[Column15]]/1048576,"")</f>
        <v/>
      </c>
      <c r="P361" s="190" t="str">
        <f>IF(ISNUMBER(deployment_raw[[#This Row],[Column12]]), (deployment_raw[[#This Row],[Column12]] * deployment_raw[[#This Row],[Column5]]),"")</f>
        <v/>
      </c>
      <c r="Q361" s="189" t="str">
        <f>IF(ISNUMBER(deployment_raw[[#This Row],[Column13]]), (deployment_raw[[#This Row],[Column13]] * deployment_raw[[#This Row],[Column5]])/1048576,"")</f>
        <v/>
      </c>
    </row>
    <row r="362" spans="1:17" ht="15.75" customHeight="1" x14ac:dyDescent="0.25">
      <c r="A362" s="37" t="str">
        <f>IF(ISNONTEXT(deployment_raw[[#This Row],[Column1]]), "", deployment_raw[[#This Row],[Column1]])</f>
        <v/>
      </c>
      <c r="B362" s="38" t="str">
        <f>IF(ISNONTEXT(deployment_raw[[#This Row],[Column2]]), "", deployment_raw[[#This Row],[Column2]])</f>
        <v/>
      </c>
      <c r="C362" s="38" t="str">
        <f>IF(ISNONTEXT(deployment_raw[[#This Row],[Column3]]), "", deployment_raw[[#This Row],[Column3]])</f>
        <v/>
      </c>
      <c r="D362" s="38" t="str">
        <f>IF(ISNONTEXT(deployment_raw[[#This Row],[Column4]]), "", deployment_raw[[#This Row],[Column4]])</f>
        <v/>
      </c>
      <c r="E362" s="39" t="str">
        <f>IF(ISNUMBER(deployment_raw[[#This Row],[Column5]]), deployment_raw[[#This Row],[Column5]],"")</f>
        <v/>
      </c>
      <c r="F362" s="174" t="str">
        <f>IF(ISNUMBER(deployment_raw[[#This Row],[Column6]]), (deployment_raw[[#This Row],[Column6]] * deployment_raw[[#This Row],[Column5]]),"")</f>
        <v/>
      </c>
      <c r="G362" s="175" t="str">
        <f>IF(ISNUMBER(deployment_raw[[#This Row],[Column7]]), (deployment_raw[[#This Row],[Column7]] * deployment_raw[[#This Row],[Column5]])/1048576,"")</f>
        <v/>
      </c>
      <c r="H362" s="175" t="str">
        <f>IF(ISNUMBER(deployment_raw[[#This Row],[Column8]]), (deployment_raw[[#This Row],[Column8]]  * deployment_raw[[#This Row],[Column5]]),"")</f>
        <v/>
      </c>
      <c r="I362" s="176" t="str">
        <f>IF(ISNUMBER(deployment_raw[[#This Row],[Column9]]), (deployment_raw[[#This Row],[Column9]] * deployment_raw[[#This Row],[Column5]])/1048576,"")</f>
        <v/>
      </c>
      <c r="J362" s="57" t="str">
        <f>IF(ISNUMBER(deployment_raw[[#This Row],[Column10]]), (deployment_raw[[#This Row],[Column10]] * deployment_raw[[#This Row],[Column5]]),"")</f>
        <v/>
      </c>
      <c r="K362" s="58" t="str">
        <f>IF(ISNUMBER(deployment_raw[[#This Row],[Column11]]), (deployment_raw[[#This Row],[Column11]] * deployment_raw[[#This Row],[Column5]])/1048576,"")</f>
        <v/>
      </c>
      <c r="L362" s="180" t="str">
        <f>IF(ISNUMBER(deployment_raw[[#This Row],[Column8]]),IF(deployment_raw[[#This Row],[Column5]] &lt;&gt; 0, MAX((deployment_raw[[#This Row],[Column12]] * deployment_raw[[#This Row],[Column5]]), ((deployment_raw[[#This Row],[Column8]] * deployment_raw[[#This Row],[Column5]]) * $L$2), ($H$2 * deployment_raw[[#This Row],[Column5]])), 0),"")</f>
        <v/>
      </c>
      <c r="M36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62" s="188" t="str">
        <f>IF(ISNUMBER(deployment_raw[[#This Row],[Column14]]), deployment_raw[[#This Row],[Column14]],"")</f>
        <v/>
      </c>
      <c r="O362" s="189" t="str">
        <f>IF(ISNUMBER(deployment_raw[[#This Row],[Column15]]), deployment_raw[[#This Row],[Column15]]/1048576,"")</f>
        <v/>
      </c>
      <c r="P362" s="190" t="str">
        <f>IF(ISNUMBER(deployment_raw[[#This Row],[Column12]]), (deployment_raw[[#This Row],[Column12]] * deployment_raw[[#This Row],[Column5]]),"")</f>
        <v/>
      </c>
      <c r="Q362" s="189" t="str">
        <f>IF(ISNUMBER(deployment_raw[[#This Row],[Column13]]), (deployment_raw[[#This Row],[Column13]] * deployment_raw[[#This Row],[Column5]])/1048576,"")</f>
        <v/>
      </c>
    </row>
    <row r="363" spans="1:17" ht="15.75" customHeight="1" x14ac:dyDescent="0.25">
      <c r="A363" s="37" t="str">
        <f>IF(ISNONTEXT(deployment_raw[[#This Row],[Column1]]), "", deployment_raw[[#This Row],[Column1]])</f>
        <v/>
      </c>
      <c r="B363" s="38" t="str">
        <f>IF(ISNONTEXT(deployment_raw[[#This Row],[Column2]]), "", deployment_raw[[#This Row],[Column2]])</f>
        <v/>
      </c>
      <c r="C363" s="38" t="str">
        <f>IF(ISNONTEXT(deployment_raw[[#This Row],[Column3]]), "", deployment_raw[[#This Row],[Column3]])</f>
        <v/>
      </c>
      <c r="D363" s="38" t="str">
        <f>IF(ISNONTEXT(deployment_raw[[#This Row],[Column4]]), "", deployment_raw[[#This Row],[Column4]])</f>
        <v/>
      </c>
      <c r="E363" s="39" t="str">
        <f>IF(ISNUMBER(deployment_raw[[#This Row],[Column5]]), deployment_raw[[#This Row],[Column5]],"")</f>
        <v/>
      </c>
      <c r="F363" s="174" t="str">
        <f>IF(ISNUMBER(deployment_raw[[#This Row],[Column6]]), (deployment_raw[[#This Row],[Column6]] * deployment_raw[[#This Row],[Column5]]),"")</f>
        <v/>
      </c>
      <c r="G363" s="175" t="str">
        <f>IF(ISNUMBER(deployment_raw[[#This Row],[Column7]]), (deployment_raw[[#This Row],[Column7]] * deployment_raw[[#This Row],[Column5]])/1048576,"")</f>
        <v/>
      </c>
      <c r="H363" s="175" t="str">
        <f>IF(ISNUMBER(deployment_raw[[#This Row],[Column8]]), (deployment_raw[[#This Row],[Column8]]  * deployment_raw[[#This Row],[Column5]]),"")</f>
        <v/>
      </c>
      <c r="I363" s="176" t="str">
        <f>IF(ISNUMBER(deployment_raw[[#This Row],[Column9]]), (deployment_raw[[#This Row],[Column9]] * deployment_raw[[#This Row],[Column5]])/1048576,"")</f>
        <v/>
      </c>
      <c r="J363" s="57" t="str">
        <f>IF(ISNUMBER(deployment_raw[[#This Row],[Column10]]), (deployment_raw[[#This Row],[Column10]] * deployment_raw[[#This Row],[Column5]]),"")</f>
        <v/>
      </c>
      <c r="K363" s="58" t="str">
        <f>IF(ISNUMBER(deployment_raw[[#This Row],[Column11]]), (deployment_raw[[#This Row],[Column11]] * deployment_raw[[#This Row],[Column5]])/1048576,"")</f>
        <v/>
      </c>
      <c r="L363" s="180" t="str">
        <f>IF(ISNUMBER(deployment_raw[[#This Row],[Column8]]),IF(deployment_raw[[#This Row],[Column5]] &lt;&gt; 0, MAX((deployment_raw[[#This Row],[Column12]] * deployment_raw[[#This Row],[Column5]]), ((deployment_raw[[#This Row],[Column8]] * deployment_raw[[#This Row],[Column5]]) * $L$2), ($H$2 * deployment_raw[[#This Row],[Column5]])), 0),"")</f>
        <v/>
      </c>
      <c r="M36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63" s="188" t="str">
        <f>IF(ISNUMBER(deployment_raw[[#This Row],[Column14]]), deployment_raw[[#This Row],[Column14]],"")</f>
        <v/>
      </c>
      <c r="O363" s="189" t="str">
        <f>IF(ISNUMBER(deployment_raw[[#This Row],[Column15]]), deployment_raw[[#This Row],[Column15]]/1048576,"")</f>
        <v/>
      </c>
      <c r="P363" s="190" t="str">
        <f>IF(ISNUMBER(deployment_raw[[#This Row],[Column12]]), (deployment_raw[[#This Row],[Column12]] * deployment_raw[[#This Row],[Column5]]),"")</f>
        <v/>
      </c>
      <c r="Q363" s="189" t="str">
        <f>IF(ISNUMBER(deployment_raw[[#This Row],[Column13]]), (deployment_raw[[#This Row],[Column13]] * deployment_raw[[#This Row],[Column5]])/1048576,"")</f>
        <v/>
      </c>
    </row>
    <row r="364" spans="1:17" ht="15.75" customHeight="1" x14ac:dyDescent="0.25">
      <c r="A364" s="37" t="str">
        <f>IF(ISNONTEXT(deployment_raw[[#This Row],[Column1]]), "", deployment_raw[[#This Row],[Column1]])</f>
        <v/>
      </c>
      <c r="B364" s="38" t="str">
        <f>IF(ISNONTEXT(deployment_raw[[#This Row],[Column2]]), "", deployment_raw[[#This Row],[Column2]])</f>
        <v/>
      </c>
      <c r="C364" s="38" t="str">
        <f>IF(ISNONTEXT(deployment_raw[[#This Row],[Column3]]), "", deployment_raw[[#This Row],[Column3]])</f>
        <v/>
      </c>
      <c r="D364" s="38" t="str">
        <f>IF(ISNONTEXT(deployment_raw[[#This Row],[Column4]]), "", deployment_raw[[#This Row],[Column4]])</f>
        <v/>
      </c>
      <c r="E364" s="39" t="str">
        <f>IF(ISNUMBER(deployment_raw[[#This Row],[Column5]]), deployment_raw[[#This Row],[Column5]],"")</f>
        <v/>
      </c>
      <c r="F364" s="174" t="str">
        <f>IF(ISNUMBER(deployment_raw[[#This Row],[Column6]]), (deployment_raw[[#This Row],[Column6]] * deployment_raw[[#This Row],[Column5]]),"")</f>
        <v/>
      </c>
      <c r="G364" s="175" t="str">
        <f>IF(ISNUMBER(deployment_raw[[#This Row],[Column7]]), (deployment_raw[[#This Row],[Column7]] * deployment_raw[[#This Row],[Column5]])/1048576,"")</f>
        <v/>
      </c>
      <c r="H364" s="175" t="str">
        <f>IF(ISNUMBER(deployment_raw[[#This Row],[Column8]]), (deployment_raw[[#This Row],[Column8]]  * deployment_raw[[#This Row],[Column5]]),"")</f>
        <v/>
      </c>
      <c r="I364" s="176" t="str">
        <f>IF(ISNUMBER(deployment_raw[[#This Row],[Column9]]), (deployment_raw[[#This Row],[Column9]] * deployment_raw[[#This Row],[Column5]])/1048576,"")</f>
        <v/>
      </c>
      <c r="J364" s="57" t="str">
        <f>IF(ISNUMBER(deployment_raw[[#This Row],[Column10]]), (deployment_raw[[#This Row],[Column10]] * deployment_raw[[#This Row],[Column5]]),"")</f>
        <v/>
      </c>
      <c r="K364" s="58" t="str">
        <f>IF(ISNUMBER(deployment_raw[[#This Row],[Column11]]), (deployment_raw[[#This Row],[Column11]] * deployment_raw[[#This Row],[Column5]])/1048576,"")</f>
        <v/>
      </c>
      <c r="L364" s="180" t="str">
        <f>IF(ISNUMBER(deployment_raw[[#This Row],[Column8]]),IF(deployment_raw[[#This Row],[Column5]] &lt;&gt; 0, MAX((deployment_raw[[#This Row],[Column12]] * deployment_raw[[#This Row],[Column5]]), ((deployment_raw[[#This Row],[Column8]] * deployment_raw[[#This Row],[Column5]]) * $L$2), ($H$2 * deployment_raw[[#This Row],[Column5]])), 0),"")</f>
        <v/>
      </c>
      <c r="M36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64" s="188" t="str">
        <f>IF(ISNUMBER(deployment_raw[[#This Row],[Column14]]), deployment_raw[[#This Row],[Column14]],"")</f>
        <v/>
      </c>
      <c r="O364" s="189" t="str">
        <f>IF(ISNUMBER(deployment_raw[[#This Row],[Column15]]), deployment_raw[[#This Row],[Column15]]/1048576,"")</f>
        <v/>
      </c>
      <c r="P364" s="190" t="str">
        <f>IF(ISNUMBER(deployment_raw[[#This Row],[Column12]]), (deployment_raw[[#This Row],[Column12]] * deployment_raw[[#This Row],[Column5]]),"")</f>
        <v/>
      </c>
      <c r="Q364" s="189" t="str">
        <f>IF(ISNUMBER(deployment_raw[[#This Row],[Column13]]), (deployment_raw[[#This Row],[Column13]] * deployment_raw[[#This Row],[Column5]])/1048576,"")</f>
        <v/>
      </c>
    </row>
    <row r="365" spans="1:17" ht="15.75" customHeight="1" x14ac:dyDescent="0.25">
      <c r="A365" s="37" t="str">
        <f>IF(ISNONTEXT(deployment_raw[[#This Row],[Column1]]), "", deployment_raw[[#This Row],[Column1]])</f>
        <v/>
      </c>
      <c r="B365" s="38" t="str">
        <f>IF(ISNONTEXT(deployment_raw[[#This Row],[Column2]]), "", deployment_raw[[#This Row],[Column2]])</f>
        <v/>
      </c>
      <c r="C365" s="38" t="str">
        <f>IF(ISNONTEXT(deployment_raw[[#This Row],[Column3]]), "", deployment_raw[[#This Row],[Column3]])</f>
        <v/>
      </c>
      <c r="D365" s="38" t="str">
        <f>IF(ISNONTEXT(deployment_raw[[#This Row],[Column4]]), "", deployment_raw[[#This Row],[Column4]])</f>
        <v/>
      </c>
      <c r="E365" s="39" t="str">
        <f>IF(ISNUMBER(deployment_raw[[#This Row],[Column5]]), deployment_raw[[#This Row],[Column5]],"")</f>
        <v/>
      </c>
      <c r="F365" s="174" t="str">
        <f>IF(ISNUMBER(deployment_raw[[#This Row],[Column6]]), (deployment_raw[[#This Row],[Column6]] * deployment_raw[[#This Row],[Column5]]),"")</f>
        <v/>
      </c>
      <c r="G365" s="175" t="str">
        <f>IF(ISNUMBER(deployment_raw[[#This Row],[Column7]]), (deployment_raw[[#This Row],[Column7]] * deployment_raw[[#This Row],[Column5]])/1048576,"")</f>
        <v/>
      </c>
      <c r="H365" s="175" t="str">
        <f>IF(ISNUMBER(deployment_raw[[#This Row],[Column8]]), (deployment_raw[[#This Row],[Column8]]  * deployment_raw[[#This Row],[Column5]]),"")</f>
        <v/>
      </c>
      <c r="I365" s="176" t="str">
        <f>IF(ISNUMBER(deployment_raw[[#This Row],[Column9]]), (deployment_raw[[#This Row],[Column9]] * deployment_raw[[#This Row],[Column5]])/1048576,"")</f>
        <v/>
      </c>
      <c r="J365" s="57" t="str">
        <f>IF(ISNUMBER(deployment_raw[[#This Row],[Column10]]), (deployment_raw[[#This Row],[Column10]] * deployment_raw[[#This Row],[Column5]]),"")</f>
        <v/>
      </c>
      <c r="K365" s="58" t="str">
        <f>IF(ISNUMBER(deployment_raw[[#This Row],[Column11]]), (deployment_raw[[#This Row],[Column11]] * deployment_raw[[#This Row],[Column5]])/1048576,"")</f>
        <v/>
      </c>
      <c r="L365" s="180" t="str">
        <f>IF(ISNUMBER(deployment_raw[[#This Row],[Column8]]),IF(deployment_raw[[#This Row],[Column5]] &lt;&gt; 0, MAX((deployment_raw[[#This Row],[Column12]] * deployment_raw[[#This Row],[Column5]]), ((deployment_raw[[#This Row],[Column8]] * deployment_raw[[#This Row],[Column5]]) * $L$2), ($H$2 * deployment_raw[[#This Row],[Column5]])), 0),"")</f>
        <v/>
      </c>
      <c r="M36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65" s="188" t="str">
        <f>IF(ISNUMBER(deployment_raw[[#This Row],[Column14]]), deployment_raw[[#This Row],[Column14]],"")</f>
        <v/>
      </c>
      <c r="O365" s="189" t="str">
        <f>IF(ISNUMBER(deployment_raw[[#This Row],[Column15]]), deployment_raw[[#This Row],[Column15]]/1048576,"")</f>
        <v/>
      </c>
      <c r="P365" s="190" t="str">
        <f>IF(ISNUMBER(deployment_raw[[#This Row],[Column12]]), (deployment_raw[[#This Row],[Column12]] * deployment_raw[[#This Row],[Column5]]),"")</f>
        <v/>
      </c>
      <c r="Q365" s="189" t="str">
        <f>IF(ISNUMBER(deployment_raw[[#This Row],[Column13]]), (deployment_raw[[#This Row],[Column13]] * deployment_raw[[#This Row],[Column5]])/1048576,"")</f>
        <v/>
      </c>
    </row>
    <row r="366" spans="1:17" ht="15.75" customHeight="1" x14ac:dyDescent="0.25">
      <c r="A366" s="37" t="str">
        <f>IF(ISNONTEXT(deployment_raw[[#This Row],[Column1]]), "", deployment_raw[[#This Row],[Column1]])</f>
        <v/>
      </c>
      <c r="B366" s="38" t="str">
        <f>IF(ISNONTEXT(deployment_raw[[#This Row],[Column2]]), "", deployment_raw[[#This Row],[Column2]])</f>
        <v/>
      </c>
      <c r="C366" s="38" t="str">
        <f>IF(ISNONTEXT(deployment_raw[[#This Row],[Column3]]), "", deployment_raw[[#This Row],[Column3]])</f>
        <v/>
      </c>
      <c r="D366" s="38" t="str">
        <f>IF(ISNONTEXT(deployment_raw[[#This Row],[Column4]]), "", deployment_raw[[#This Row],[Column4]])</f>
        <v/>
      </c>
      <c r="E366" s="39" t="str">
        <f>IF(ISNUMBER(deployment_raw[[#This Row],[Column5]]), deployment_raw[[#This Row],[Column5]],"")</f>
        <v/>
      </c>
      <c r="F366" s="174" t="str">
        <f>IF(ISNUMBER(deployment_raw[[#This Row],[Column6]]), (deployment_raw[[#This Row],[Column6]] * deployment_raw[[#This Row],[Column5]]),"")</f>
        <v/>
      </c>
      <c r="G366" s="175" t="str">
        <f>IF(ISNUMBER(deployment_raw[[#This Row],[Column7]]), (deployment_raw[[#This Row],[Column7]] * deployment_raw[[#This Row],[Column5]])/1048576,"")</f>
        <v/>
      </c>
      <c r="H366" s="175" t="str">
        <f>IF(ISNUMBER(deployment_raw[[#This Row],[Column8]]), (deployment_raw[[#This Row],[Column8]]  * deployment_raw[[#This Row],[Column5]]),"")</f>
        <v/>
      </c>
      <c r="I366" s="176" t="str">
        <f>IF(ISNUMBER(deployment_raw[[#This Row],[Column9]]), (deployment_raw[[#This Row],[Column9]] * deployment_raw[[#This Row],[Column5]])/1048576,"")</f>
        <v/>
      </c>
      <c r="J366" s="57" t="str">
        <f>IF(ISNUMBER(deployment_raw[[#This Row],[Column10]]), (deployment_raw[[#This Row],[Column10]] * deployment_raw[[#This Row],[Column5]]),"")</f>
        <v/>
      </c>
      <c r="K366" s="58" t="str">
        <f>IF(ISNUMBER(deployment_raw[[#This Row],[Column11]]), (deployment_raw[[#This Row],[Column11]] * deployment_raw[[#This Row],[Column5]])/1048576,"")</f>
        <v/>
      </c>
      <c r="L366" s="180" t="str">
        <f>IF(ISNUMBER(deployment_raw[[#This Row],[Column8]]),IF(deployment_raw[[#This Row],[Column5]] &lt;&gt; 0, MAX((deployment_raw[[#This Row],[Column12]] * deployment_raw[[#This Row],[Column5]]), ((deployment_raw[[#This Row],[Column8]] * deployment_raw[[#This Row],[Column5]]) * $L$2), ($H$2 * deployment_raw[[#This Row],[Column5]])), 0),"")</f>
        <v/>
      </c>
      <c r="M36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66" s="188" t="str">
        <f>IF(ISNUMBER(deployment_raw[[#This Row],[Column14]]), deployment_raw[[#This Row],[Column14]],"")</f>
        <v/>
      </c>
      <c r="O366" s="189" t="str">
        <f>IF(ISNUMBER(deployment_raw[[#This Row],[Column15]]), deployment_raw[[#This Row],[Column15]]/1048576,"")</f>
        <v/>
      </c>
      <c r="P366" s="190" t="str">
        <f>IF(ISNUMBER(deployment_raw[[#This Row],[Column12]]), (deployment_raw[[#This Row],[Column12]] * deployment_raw[[#This Row],[Column5]]),"")</f>
        <v/>
      </c>
      <c r="Q366" s="189" t="str">
        <f>IF(ISNUMBER(deployment_raw[[#This Row],[Column13]]), (deployment_raw[[#This Row],[Column13]] * deployment_raw[[#This Row],[Column5]])/1048576,"")</f>
        <v/>
      </c>
    </row>
    <row r="367" spans="1:17" ht="15.75" customHeight="1" x14ac:dyDescent="0.25">
      <c r="A367" s="37" t="str">
        <f>IF(ISNONTEXT(deployment_raw[[#This Row],[Column1]]), "", deployment_raw[[#This Row],[Column1]])</f>
        <v/>
      </c>
      <c r="B367" s="38" t="str">
        <f>IF(ISNONTEXT(deployment_raw[[#This Row],[Column2]]), "", deployment_raw[[#This Row],[Column2]])</f>
        <v/>
      </c>
      <c r="C367" s="38" t="str">
        <f>IF(ISNONTEXT(deployment_raw[[#This Row],[Column3]]), "", deployment_raw[[#This Row],[Column3]])</f>
        <v/>
      </c>
      <c r="D367" s="38" t="str">
        <f>IF(ISNONTEXT(deployment_raw[[#This Row],[Column4]]), "", deployment_raw[[#This Row],[Column4]])</f>
        <v/>
      </c>
      <c r="E367" s="39" t="str">
        <f>IF(ISNUMBER(deployment_raw[[#This Row],[Column5]]), deployment_raw[[#This Row],[Column5]],"")</f>
        <v/>
      </c>
      <c r="F367" s="174" t="str">
        <f>IF(ISNUMBER(deployment_raw[[#This Row],[Column6]]), (deployment_raw[[#This Row],[Column6]] * deployment_raw[[#This Row],[Column5]]),"")</f>
        <v/>
      </c>
      <c r="G367" s="175" t="str">
        <f>IF(ISNUMBER(deployment_raw[[#This Row],[Column7]]), (deployment_raw[[#This Row],[Column7]] * deployment_raw[[#This Row],[Column5]])/1048576,"")</f>
        <v/>
      </c>
      <c r="H367" s="175" t="str">
        <f>IF(ISNUMBER(deployment_raw[[#This Row],[Column8]]), (deployment_raw[[#This Row],[Column8]]  * deployment_raw[[#This Row],[Column5]]),"")</f>
        <v/>
      </c>
      <c r="I367" s="176" t="str">
        <f>IF(ISNUMBER(deployment_raw[[#This Row],[Column9]]), (deployment_raw[[#This Row],[Column9]] * deployment_raw[[#This Row],[Column5]])/1048576,"")</f>
        <v/>
      </c>
      <c r="J367" s="57" t="str">
        <f>IF(ISNUMBER(deployment_raw[[#This Row],[Column10]]), (deployment_raw[[#This Row],[Column10]] * deployment_raw[[#This Row],[Column5]]),"")</f>
        <v/>
      </c>
      <c r="K367" s="58" t="str">
        <f>IF(ISNUMBER(deployment_raw[[#This Row],[Column11]]), (deployment_raw[[#This Row],[Column11]] * deployment_raw[[#This Row],[Column5]])/1048576,"")</f>
        <v/>
      </c>
      <c r="L367" s="180" t="str">
        <f>IF(ISNUMBER(deployment_raw[[#This Row],[Column8]]),IF(deployment_raw[[#This Row],[Column5]] &lt;&gt; 0, MAX((deployment_raw[[#This Row],[Column12]] * deployment_raw[[#This Row],[Column5]]), ((deployment_raw[[#This Row],[Column8]] * deployment_raw[[#This Row],[Column5]]) * $L$2), ($H$2 * deployment_raw[[#This Row],[Column5]])), 0),"")</f>
        <v/>
      </c>
      <c r="M36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67" s="188" t="str">
        <f>IF(ISNUMBER(deployment_raw[[#This Row],[Column14]]), deployment_raw[[#This Row],[Column14]],"")</f>
        <v/>
      </c>
      <c r="O367" s="189" t="str">
        <f>IF(ISNUMBER(deployment_raw[[#This Row],[Column15]]), deployment_raw[[#This Row],[Column15]]/1048576,"")</f>
        <v/>
      </c>
      <c r="P367" s="190" t="str">
        <f>IF(ISNUMBER(deployment_raw[[#This Row],[Column12]]), (deployment_raw[[#This Row],[Column12]] * deployment_raw[[#This Row],[Column5]]),"")</f>
        <v/>
      </c>
      <c r="Q367" s="189" t="str">
        <f>IF(ISNUMBER(deployment_raw[[#This Row],[Column13]]), (deployment_raw[[#This Row],[Column13]] * deployment_raw[[#This Row],[Column5]])/1048576,"")</f>
        <v/>
      </c>
    </row>
    <row r="368" spans="1:17" ht="15.75" customHeight="1" x14ac:dyDescent="0.25">
      <c r="A368" s="37" t="str">
        <f>IF(ISNONTEXT(deployment_raw[[#This Row],[Column1]]), "", deployment_raw[[#This Row],[Column1]])</f>
        <v/>
      </c>
      <c r="B368" s="38" t="str">
        <f>IF(ISNONTEXT(deployment_raw[[#This Row],[Column2]]), "", deployment_raw[[#This Row],[Column2]])</f>
        <v/>
      </c>
      <c r="C368" s="38" t="str">
        <f>IF(ISNONTEXT(deployment_raw[[#This Row],[Column3]]), "", deployment_raw[[#This Row],[Column3]])</f>
        <v/>
      </c>
      <c r="D368" s="38" t="str">
        <f>IF(ISNONTEXT(deployment_raw[[#This Row],[Column4]]), "", deployment_raw[[#This Row],[Column4]])</f>
        <v/>
      </c>
      <c r="E368" s="39" t="str">
        <f>IF(ISNUMBER(deployment_raw[[#This Row],[Column5]]), deployment_raw[[#This Row],[Column5]],"")</f>
        <v/>
      </c>
      <c r="F368" s="174" t="str">
        <f>IF(ISNUMBER(deployment_raw[[#This Row],[Column6]]), (deployment_raw[[#This Row],[Column6]] * deployment_raw[[#This Row],[Column5]]),"")</f>
        <v/>
      </c>
      <c r="G368" s="175" t="str">
        <f>IF(ISNUMBER(deployment_raw[[#This Row],[Column7]]), (deployment_raw[[#This Row],[Column7]] * deployment_raw[[#This Row],[Column5]])/1048576,"")</f>
        <v/>
      </c>
      <c r="H368" s="175" t="str">
        <f>IF(ISNUMBER(deployment_raw[[#This Row],[Column8]]), (deployment_raw[[#This Row],[Column8]]  * deployment_raw[[#This Row],[Column5]]),"")</f>
        <v/>
      </c>
      <c r="I368" s="176" t="str">
        <f>IF(ISNUMBER(deployment_raw[[#This Row],[Column9]]), (deployment_raw[[#This Row],[Column9]] * deployment_raw[[#This Row],[Column5]])/1048576,"")</f>
        <v/>
      </c>
      <c r="J368" s="57" t="str">
        <f>IF(ISNUMBER(deployment_raw[[#This Row],[Column10]]), (deployment_raw[[#This Row],[Column10]] * deployment_raw[[#This Row],[Column5]]),"")</f>
        <v/>
      </c>
      <c r="K368" s="58" t="str">
        <f>IF(ISNUMBER(deployment_raw[[#This Row],[Column11]]), (deployment_raw[[#This Row],[Column11]] * deployment_raw[[#This Row],[Column5]])/1048576,"")</f>
        <v/>
      </c>
      <c r="L368" s="180" t="str">
        <f>IF(ISNUMBER(deployment_raw[[#This Row],[Column8]]),IF(deployment_raw[[#This Row],[Column5]] &lt;&gt; 0, MAX((deployment_raw[[#This Row],[Column12]] * deployment_raw[[#This Row],[Column5]]), ((deployment_raw[[#This Row],[Column8]] * deployment_raw[[#This Row],[Column5]]) * $L$2), ($H$2 * deployment_raw[[#This Row],[Column5]])), 0),"")</f>
        <v/>
      </c>
      <c r="M36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68" s="188" t="str">
        <f>IF(ISNUMBER(deployment_raw[[#This Row],[Column14]]), deployment_raw[[#This Row],[Column14]],"")</f>
        <v/>
      </c>
      <c r="O368" s="189" t="str">
        <f>IF(ISNUMBER(deployment_raw[[#This Row],[Column15]]), deployment_raw[[#This Row],[Column15]]/1048576,"")</f>
        <v/>
      </c>
      <c r="P368" s="190" t="str">
        <f>IF(ISNUMBER(deployment_raw[[#This Row],[Column12]]), (deployment_raw[[#This Row],[Column12]] * deployment_raw[[#This Row],[Column5]]),"")</f>
        <v/>
      </c>
      <c r="Q368" s="189" t="str">
        <f>IF(ISNUMBER(deployment_raw[[#This Row],[Column13]]), (deployment_raw[[#This Row],[Column13]] * deployment_raw[[#This Row],[Column5]])/1048576,"")</f>
        <v/>
      </c>
    </row>
    <row r="369" spans="1:17" ht="15.75" customHeight="1" x14ac:dyDescent="0.25">
      <c r="A369" s="37" t="str">
        <f>IF(ISNONTEXT(deployment_raw[[#This Row],[Column1]]), "", deployment_raw[[#This Row],[Column1]])</f>
        <v/>
      </c>
      <c r="B369" s="38" t="str">
        <f>IF(ISNONTEXT(deployment_raw[[#This Row],[Column2]]), "", deployment_raw[[#This Row],[Column2]])</f>
        <v/>
      </c>
      <c r="C369" s="38" t="str">
        <f>IF(ISNONTEXT(deployment_raw[[#This Row],[Column3]]), "", deployment_raw[[#This Row],[Column3]])</f>
        <v/>
      </c>
      <c r="D369" s="38" t="str">
        <f>IF(ISNONTEXT(deployment_raw[[#This Row],[Column4]]), "", deployment_raw[[#This Row],[Column4]])</f>
        <v/>
      </c>
      <c r="E369" s="39" t="str">
        <f>IF(ISNUMBER(deployment_raw[[#This Row],[Column5]]), deployment_raw[[#This Row],[Column5]],"")</f>
        <v/>
      </c>
      <c r="F369" s="174" t="str">
        <f>IF(ISNUMBER(deployment_raw[[#This Row],[Column6]]), (deployment_raw[[#This Row],[Column6]] * deployment_raw[[#This Row],[Column5]]),"")</f>
        <v/>
      </c>
      <c r="G369" s="175" t="str">
        <f>IF(ISNUMBER(deployment_raw[[#This Row],[Column7]]), (deployment_raw[[#This Row],[Column7]] * deployment_raw[[#This Row],[Column5]])/1048576,"")</f>
        <v/>
      </c>
      <c r="H369" s="175" t="str">
        <f>IF(ISNUMBER(deployment_raw[[#This Row],[Column8]]), (deployment_raw[[#This Row],[Column8]]  * deployment_raw[[#This Row],[Column5]]),"")</f>
        <v/>
      </c>
      <c r="I369" s="176" t="str">
        <f>IF(ISNUMBER(deployment_raw[[#This Row],[Column9]]), (deployment_raw[[#This Row],[Column9]] * deployment_raw[[#This Row],[Column5]])/1048576,"")</f>
        <v/>
      </c>
      <c r="J369" s="57" t="str">
        <f>IF(ISNUMBER(deployment_raw[[#This Row],[Column10]]), (deployment_raw[[#This Row],[Column10]] * deployment_raw[[#This Row],[Column5]]),"")</f>
        <v/>
      </c>
      <c r="K369" s="58" t="str">
        <f>IF(ISNUMBER(deployment_raw[[#This Row],[Column11]]), (deployment_raw[[#This Row],[Column11]] * deployment_raw[[#This Row],[Column5]])/1048576,"")</f>
        <v/>
      </c>
      <c r="L369" s="180" t="str">
        <f>IF(ISNUMBER(deployment_raw[[#This Row],[Column8]]),IF(deployment_raw[[#This Row],[Column5]] &lt;&gt; 0, MAX((deployment_raw[[#This Row],[Column12]] * deployment_raw[[#This Row],[Column5]]), ((deployment_raw[[#This Row],[Column8]] * deployment_raw[[#This Row],[Column5]]) * $L$2), ($H$2 * deployment_raw[[#This Row],[Column5]])), 0),"")</f>
        <v/>
      </c>
      <c r="M36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69" s="188" t="str">
        <f>IF(ISNUMBER(deployment_raw[[#This Row],[Column14]]), deployment_raw[[#This Row],[Column14]],"")</f>
        <v/>
      </c>
      <c r="O369" s="189" t="str">
        <f>IF(ISNUMBER(deployment_raw[[#This Row],[Column15]]), deployment_raw[[#This Row],[Column15]]/1048576,"")</f>
        <v/>
      </c>
      <c r="P369" s="190" t="str">
        <f>IF(ISNUMBER(deployment_raw[[#This Row],[Column12]]), (deployment_raw[[#This Row],[Column12]] * deployment_raw[[#This Row],[Column5]]),"")</f>
        <v/>
      </c>
      <c r="Q369" s="189" t="str">
        <f>IF(ISNUMBER(deployment_raw[[#This Row],[Column13]]), (deployment_raw[[#This Row],[Column13]] * deployment_raw[[#This Row],[Column5]])/1048576,"")</f>
        <v/>
      </c>
    </row>
    <row r="370" spans="1:17" ht="15.75" customHeight="1" x14ac:dyDescent="0.25">
      <c r="A370" s="37" t="str">
        <f>IF(ISNONTEXT(deployment_raw[[#This Row],[Column1]]), "", deployment_raw[[#This Row],[Column1]])</f>
        <v/>
      </c>
      <c r="B370" s="38" t="str">
        <f>IF(ISNONTEXT(deployment_raw[[#This Row],[Column2]]), "", deployment_raw[[#This Row],[Column2]])</f>
        <v/>
      </c>
      <c r="C370" s="38" t="str">
        <f>IF(ISNONTEXT(deployment_raw[[#This Row],[Column3]]), "", deployment_raw[[#This Row],[Column3]])</f>
        <v/>
      </c>
      <c r="D370" s="38" t="str">
        <f>IF(ISNONTEXT(deployment_raw[[#This Row],[Column4]]), "", deployment_raw[[#This Row],[Column4]])</f>
        <v/>
      </c>
      <c r="E370" s="39" t="str">
        <f>IF(ISNUMBER(deployment_raw[[#This Row],[Column5]]), deployment_raw[[#This Row],[Column5]],"")</f>
        <v/>
      </c>
      <c r="F370" s="174" t="str">
        <f>IF(ISNUMBER(deployment_raw[[#This Row],[Column6]]), (deployment_raw[[#This Row],[Column6]] * deployment_raw[[#This Row],[Column5]]),"")</f>
        <v/>
      </c>
      <c r="G370" s="175" t="str">
        <f>IF(ISNUMBER(deployment_raw[[#This Row],[Column7]]), (deployment_raw[[#This Row],[Column7]] * deployment_raw[[#This Row],[Column5]])/1048576,"")</f>
        <v/>
      </c>
      <c r="H370" s="175" t="str">
        <f>IF(ISNUMBER(deployment_raw[[#This Row],[Column8]]), (deployment_raw[[#This Row],[Column8]]  * deployment_raw[[#This Row],[Column5]]),"")</f>
        <v/>
      </c>
      <c r="I370" s="176" t="str">
        <f>IF(ISNUMBER(deployment_raw[[#This Row],[Column9]]), (deployment_raw[[#This Row],[Column9]] * deployment_raw[[#This Row],[Column5]])/1048576,"")</f>
        <v/>
      </c>
      <c r="J370" s="57" t="str">
        <f>IF(ISNUMBER(deployment_raw[[#This Row],[Column10]]), (deployment_raw[[#This Row],[Column10]] * deployment_raw[[#This Row],[Column5]]),"")</f>
        <v/>
      </c>
      <c r="K370" s="58" t="str">
        <f>IF(ISNUMBER(deployment_raw[[#This Row],[Column11]]), (deployment_raw[[#This Row],[Column11]] * deployment_raw[[#This Row],[Column5]])/1048576,"")</f>
        <v/>
      </c>
      <c r="L370" s="180" t="str">
        <f>IF(ISNUMBER(deployment_raw[[#This Row],[Column8]]),IF(deployment_raw[[#This Row],[Column5]] &lt;&gt; 0, MAX((deployment_raw[[#This Row],[Column12]] * deployment_raw[[#This Row],[Column5]]), ((deployment_raw[[#This Row],[Column8]] * deployment_raw[[#This Row],[Column5]]) * $L$2), ($H$2 * deployment_raw[[#This Row],[Column5]])), 0),"")</f>
        <v/>
      </c>
      <c r="M37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70" s="188" t="str">
        <f>IF(ISNUMBER(deployment_raw[[#This Row],[Column14]]), deployment_raw[[#This Row],[Column14]],"")</f>
        <v/>
      </c>
      <c r="O370" s="189" t="str">
        <f>IF(ISNUMBER(deployment_raw[[#This Row],[Column15]]), deployment_raw[[#This Row],[Column15]]/1048576,"")</f>
        <v/>
      </c>
      <c r="P370" s="190" t="str">
        <f>IF(ISNUMBER(deployment_raw[[#This Row],[Column12]]), (deployment_raw[[#This Row],[Column12]] * deployment_raw[[#This Row],[Column5]]),"")</f>
        <v/>
      </c>
      <c r="Q370" s="189" t="str">
        <f>IF(ISNUMBER(deployment_raw[[#This Row],[Column13]]), (deployment_raw[[#This Row],[Column13]] * deployment_raw[[#This Row],[Column5]])/1048576,"")</f>
        <v/>
      </c>
    </row>
    <row r="371" spans="1:17" ht="15.75" customHeight="1" x14ac:dyDescent="0.25">
      <c r="A371" s="37" t="str">
        <f>IF(ISNONTEXT(deployment_raw[[#This Row],[Column1]]), "", deployment_raw[[#This Row],[Column1]])</f>
        <v/>
      </c>
      <c r="B371" s="38" t="str">
        <f>IF(ISNONTEXT(deployment_raw[[#This Row],[Column2]]), "", deployment_raw[[#This Row],[Column2]])</f>
        <v/>
      </c>
      <c r="C371" s="38" t="str">
        <f>IF(ISNONTEXT(deployment_raw[[#This Row],[Column3]]), "", deployment_raw[[#This Row],[Column3]])</f>
        <v/>
      </c>
      <c r="D371" s="38" t="str">
        <f>IF(ISNONTEXT(deployment_raw[[#This Row],[Column4]]), "", deployment_raw[[#This Row],[Column4]])</f>
        <v/>
      </c>
      <c r="E371" s="39" t="str">
        <f>IF(ISNUMBER(deployment_raw[[#This Row],[Column5]]), deployment_raw[[#This Row],[Column5]],"")</f>
        <v/>
      </c>
      <c r="F371" s="174" t="str">
        <f>IF(ISNUMBER(deployment_raw[[#This Row],[Column6]]), (deployment_raw[[#This Row],[Column6]] * deployment_raw[[#This Row],[Column5]]),"")</f>
        <v/>
      </c>
      <c r="G371" s="175" t="str">
        <f>IF(ISNUMBER(deployment_raw[[#This Row],[Column7]]), (deployment_raw[[#This Row],[Column7]] * deployment_raw[[#This Row],[Column5]])/1048576,"")</f>
        <v/>
      </c>
      <c r="H371" s="175" t="str">
        <f>IF(ISNUMBER(deployment_raw[[#This Row],[Column8]]), (deployment_raw[[#This Row],[Column8]]  * deployment_raw[[#This Row],[Column5]]),"")</f>
        <v/>
      </c>
      <c r="I371" s="176" t="str">
        <f>IF(ISNUMBER(deployment_raw[[#This Row],[Column9]]), (deployment_raw[[#This Row],[Column9]] * deployment_raw[[#This Row],[Column5]])/1048576,"")</f>
        <v/>
      </c>
      <c r="J371" s="57" t="str">
        <f>IF(ISNUMBER(deployment_raw[[#This Row],[Column10]]), (deployment_raw[[#This Row],[Column10]] * deployment_raw[[#This Row],[Column5]]),"")</f>
        <v/>
      </c>
      <c r="K371" s="58" t="str">
        <f>IF(ISNUMBER(deployment_raw[[#This Row],[Column11]]), (deployment_raw[[#This Row],[Column11]] * deployment_raw[[#This Row],[Column5]])/1048576,"")</f>
        <v/>
      </c>
      <c r="L371" s="180" t="str">
        <f>IF(ISNUMBER(deployment_raw[[#This Row],[Column8]]),IF(deployment_raw[[#This Row],[Column5]] &lt;&gt; 0, MAX((deployment_raw[[#This Row],[Column12]] * deployment_raw[[#This Row],[Column5]]), ((deployment_raw[[#This Row],[Column8]] * deployment_raw[[#This Row],[Column5]]) * $L$2), ($H$2 * deployment_raw[[#This Row],[Column5]])), 0),"")</f>
        <v/>
      </c>
      <c r="M37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71" s="188" t="str">
        <f>IF(ISNUMBER(deployment_raw[[#This Row],[Column14]]), deployment_raw[[#This Row],[Column14]],"")</f>
        <v/>
      </c>
      <c r="O371" s="189" t="str">
        <f>IF(ISNUMBER(deployment_raw[[#This Row],[Column15]]), deployment_raw[[#This Row],[Column15]]/1048576,"")</f>
        <v/>
      </c>
      <c r="P371" s="190" t="str">
        <f>IF(ISNUMBER(deployment_raw[[#This Row],[Column12]]), (deployment_raw[[#This Row],[Column12]] * deployment_raw[[#This Row],[Column5]]),"")</f>
        <v/>
      </c>
      <c r="Q371" s="189" t="str">
        <f>IF(ISNUMBER(deployment_raw[[#This Row],[Column13]]), (deployment_raw[[#This Row],[Column13]] * deployment_raw[[#This Row],[Column5]])/1048576,"")</f>
        <v/>
      </c>
    </row>
    <row r="372" spans="1:17" ht="15.75" customHeight="1" x14ac:dyDescent="0.25">
      <c r="A372" s="37" t="str">
        <f>IF(ISNONTEXT(deployment_raw[[#This Row],[Column1]]), "", deployment_raw[[#This Row],[Column1]])</f>
        <v/>
      </c>
      <c r="B372" s="38" t="str">
        <f>IF(ISNONTEXT(deployment_raw[[#This Row],[Column2]]), "", deployment_raw[[#This Row],[Column2]])</f>
        <v/>
      </c>
      <c r="C372" s="38" t="str">
        <f>IF(ISNONTEXT(deployment_raw[[#This Row],[Column3]]), "", deployment_raw[[#This Row],[Column3]])</f>
        <v/>
      </c>
      <c r="D372" s="38" t="str">
        <f>IF(ISNONTEXT(deployment_raw[[#This Row],[Column4]]), "", deployment_raw[[#This Row],[Column4]])</f>
        <v/>
      </c>
      <c r="E372" s="39" t="str">
        <f>IF(ISNUMBER(deployment_raw[[#This Row],[Column5]]), deployment_raw[[#This Row],[Column5]],"")</f>
        <v/>
      </c>
      <c r="F372" s="174" t="str">
        <f>IF(ISNUMBER(deployment_raw[[#This Row],[Column6]]), (deployment_raw[[#This Row],[Column6]] * deployment_raw[[#This Row],[Column5]]),"")</f>
        <v/>
      </c>
      <c r="G372" s="175" t="str">
        <f>IF(ISNUMBER(deployment_raw[[#This Row],[Column7]]), (deployment_raw[[#This Row],[Column7]] * deployment_raw[[#This Row],[Column5]])/1048576,"")</f>
        <v/>
      </c>
      <c r="H372" s="175" t="str">
        <f>IF(ISNUMBER(deployment_raw[[#This Row],[Column8]]), (deployment_raw[[#This Row],[Column8]]  * deployment_raw[[#This Row],[Column5]]),"")</f>
        <v/>
      </c>
      <c r="I372" s="176" t="str">
        <f>IF(ISNUMBER(deployment_raw[[#This Row],[Column9]]), (deployment_raw[[#This Row],[Column9]] * deployment_raw[[#This Row],[Column5]])/1048576,"")</f>
        <v/>
      </c>
      <c r="J372" s="57" t="str">
        <f>IF(ISNUMBER(deployment_raw[[#This Row],[Column10]]), (deployment_raw[[#This Row],[Column10]] * deployment_raw[[#This Row],[Column5]]),"")</f>
        <v/>
      </c>
      <c r="K372" s="58" t="str">
        <f>IF(ISNUMBER(deployment_raw[[#This Row],[Column11]]), (deployment_raw[[#This Row],[Column11]] * deployment_raw[[#This Row],[Column5]])/1048576,"")</f>
        <v/>
      </c>
      <c r="L372" s="180" t="str">
        <f>IF(ISNUMBER(deployment_raw[[#This Row],[Column8]]),IF(deployment_raw[[#This Row],[Column5]] &lt;&gt; 0, MAX((deployment_raw[[#This Row],[Column12]] * deployment_raw[[#This Row],[Column5]]), ((deployment_raw[[#This Row],[Column8]] * deployment_raw[[#This Row],[Column5]]) * $L$2), ($H$2 * deployment_raw[[#This Row],[Column5]])), 0),"")</f>
        <v/>
      </c>
      <c r="M37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72" s="188" t="str">
        <f>IF(ISNUMBER(deployment_raw[[#This Row],[Column14]]), deployment_raw[[#This Row],[Column14]],"")</f>
        <v/>
      </c>
      <c r="O372" s="189" t="str">
        <f>IF(ISNUMBER(deployment_raw[[#This Row],[Column15]]), deployment_raw[[#This Row],[Column15]]/1048576,"")</f>
        <v/>
      </c>
      <c r="P372" s="190" t="str">
        <f>IF(ISNUMBER(deployment_raw[[#This Row],[Column12]]), (deployment_raw[[#This Row],[Column12]] * deployment_raw[[#This Row],[Column5]]),"")</f>
        <v/>
      </c>
      <c r="Q372" s="189" t="str">
        <f>IF(ISNUMBER(deployment_raw[[#This Row],[Column13]]), (deployment_raw[[#This Row],[Column13]] * deployment_raw[[#This Row],[Column5]])/1048576,"")</f>
        <v/>
      </c>
    </row>
    <row r="373" spans="1:17" ht="15.75" customHeight="1" x14ac:dyDescent="0.25">
      <c r="A373" s="37" t="str">
        <f>IF(ISNONTEXT(deployment_raw[[#This Row],[Column1]]), "", deployment_raw[[#This Row],[Column1]])</f>
        <v/>
      </c>
      <c r="B373" s="38" t="str">
        <f>IF(ISNONTEXT(deployment_raw[[#This Row],[Column2]]), "", deployment_raw[[#This Row],[Column2]])</f>
        <v/>
      </c>
      <c r="C373" s="38" t="str">
        <f>IF(ISNONTEXT(deployment_raw[[#This Row],[Column3]]), "", deployment_raw[[#This Row],[Column3]])</f>
        <v/>
      </c>
      <c r="D373" s="38" t="str">
        <f>IF(ISNONTEXT(deployment_raw[[#This Row],[Column4]]), "", deployment_raw[[#This Row],[Column4]])</f>
        <v/>
      </c>
      <c r="E373" s="39" t="str">
        <f>IF(ISNUMBER(deployment_raw[[#This Row],[Column5]]), deployment_raw[[#This Row],[Column5]],"")</f>
        <v/>
      </c>
      <c r="F373" s="174" t="str">
        <f>IF(ISNUMBER(deployment_raw[[#This Row],[Column6]]), (deployment_raw[[#This Row],[Column6]] * deployment_raw[[#This Row],[Column5]]),"")</f>
        <v/>
      </c>
      <c r="G373" s="175" t="str">
        <f>IF(ISNUMBER(deployment_raw[[#This Row],[Column7]]), (deployment_raw[[#This Row],[Column7]] * deployment_raw[[#This Row],[Column5]])/1048576,"")</f>
        <v/>
      </c>
      <c r="H373" s="175" t="str">
        <f>IF(ISNUMBER(deployment_raw[[#This Row],[Column8]]), (deployment_raw[[#This Row],[Column8]]  * deployment_raw[[#This Row],[Column5]]),"")</f>
        <v/>
      </c>
      <c r="I373" s="176" t="str">
        <f>IF(ISNUMBER(deployment_raw[[#This Row],[Column9]]), (deployment_raw[[#This Row],[Column9]] * deployment_raw[[#This Row],[Column5]])/1048576,"")</f>
        <v/>
      </c>
      <c r="J373" s="57" t="str">
        <f>IF(ISNUMBER(deployment_raw[[#This Row],[Column10]]), (deployment_raw[[#This Row],[Column10]] * deployment_raw[[#This Row],[Column5]]),"")</f>
        <v/>
      </c>
      <c r="K373" s="58" t="str">
        <f>IF(ISNUMBER(deployment_raw[[#This Row],[Column11]]), (deployment_raw[[#This Row],[Column11]] * deployment_raw[[#This Row],[Column5]])/1048576,"")</f>
        <v/>
      </c>
      <c r="L373" s="180" t="str">
        <f>IF(ISNUMBER(deployment_raw[[#This Row],[Column8]]),IF(deployment_raw[[#This Row],[Column5]] &lt;&gt; 0, MAX((deployment_raw[[#This Row],[Column12]] * deployment_raw[[#This Row],[Column5]]), ((deployment_raw[[#This Row],[Column8]] * deployment_raw[[#This Row],[Column5]]) * $L$2), ($H$2 * deployment_raw[[#This Row],[Column5]])), 0),"")</f>
        <v/>
      </c>
      <c r="M37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73" s="188" t="str">
        <f>IF(ISNUMBER(deployment_raw[[#This Row],[Column14]]), deployment_raw[[#This Row],[Column14]],"")</f>
        <v/>
      </c>
      <c r="O373" s="189" t="str">
        <f>IF(ISNUMBER(deployment_raw[[#This Row],[Column15]]), deployment_raw[[#This Row],[Column15]]/1048576,"")</f>
        <v/>
      </c>
      <c r="P373" s="190" t="str">
        <f>IF(ISNUMBER(deployment_raw[[#This Row],[Column12]]), (deployment_raw[[#This Row],[Column12]] * deployment_raw[[#This Row],[Column5]]),"")</f>
        <v/>
      </c>
      <c r="Q373" s="189" t="str">
        <f>IF(ISNUMBER(deployment_raw[[#This Row],[Column13]]), (deployment_raw[[#This Row],[Column13]] * deployment_raw[[#This Row],[Column5]])/1048576,"")</f>
        <v/>
      </c>
    </row>
    <row r="374" spans="1:17" ht="15.75" customHeight="1" x14ac:dyDescent="0.25">
      <c r="A374" s="37" t="str">
        <f>IF(ISNONTEXT(deployment_raw[[#This Row],[Column1]]), "", deployment_raw[[#This Row],[Column1]])</f>
        <v/>
      </c>
      <c r="B374" s="38" t="str">
        <f>IF(ISNONTEXT(deployment_raw[[#This Row],[Column2]]), "", deployment_raw[[#This Row],[Column2]])</f>
        <v/>
      </c>
      <c r="C374" s="38" t="str">
        <f>IF(ISNONTEXT(deployment_raw[[#This Row],[Column3]]), "", deployment_raw[[#This Row],[Column3]])</f>
        <v/>
      </c>
      <c r="D374" s="38" t="str">
        <f>IF(ISNONTEXT(deployment_raw[[#This Row],[Column4]]), "", deployment_raw[[#This Row],[Column4]])</f>
        <v/>
      </c>
      <c r="E374" s="39" t="str">
        <f>IF(ISNUMBER(deployment_raw[[#This Row],[Column5]]), deployment_raw[[#This Row],[Column5]],"")</f>
        <v/>
      </c>
      <c r="F374" s="174" t="str">
        <f>IF(ISNUMBER(deployment_raw[[#This Row],[Column6]]), (deployment_raw[[#This Row],[Column6]] * deployment_raw[[#This Row],[Column5]]),"")</f>
        <v/>
      </c>
      <c r="G374" s="175" t="str">
        <f>IF(ISNUMBER(deployment_raw[[#This Row],[Column7]]), (deployment_raw[[#This Row],[Column7]] * deployment_raw[[#This Row],[Column5]])/1048576,"")</f>
        <v/>
      </c>
      <c r="H374" s="175" t="str">
        <f>IF(ISNUMBER(deployment_raw[[#This Row],[Column8]]), (deployment_raw[[#This Row],[Column8]]  * deployment_raw[[#This Row],[Column5]]),"")</f>
        <v/>
      </c>
      <c r="I374" s="176" t="str">
        <f>IF(ISNUMBER(deployment_raw[[#This Row],[Column9]]), (deployment_raw[[#This Row],[Column9]] * deployment_raw[[#This Row],[Column5]])/1048576,"")</f>
        <v/>
      </c>
      <c r="J374" s="57" t="str">
        <f>IF(ISNUMBER(deployment_raw[[#This Row],[Column10]]), (deployment_raw[[#This Row],[Column10]] * deployment_raw[[#This Row],[Column5]]),"")</f>
        <v/>
      </c>
      <c r="K374" s="58" t="str">
        <f>IF(ISNUMBER(deployment_raw[[#This Row],[Column11]]), (deployment_raw[[#This Row],[Column11]] * deployment_raw[[#This Row],[Column5]])/1048576,"")</f>
        <v/>
      </c>
      <c r="L374" s="180" t="str">
        <f>IF(ISNUMBER(deployment_raw[[#This Row],[Column8]]),IF(deployment_raw[[#This Row],[Column5]] &lt;&gt; 0, MAX((deployment_raw[[#This Row],[Column12]] * deployment_raw[[#This Row],[Column5]]), ((deployment_raw[[#This Row],[Column8]] * deployment_raw[[#This Row],[Column5]]) * $L$2), ($H$2 * deployment_raw[[#This Row],[Column5]])), 0),"")</f>
        <v/>
      </c>
      <c r="M37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74" s="188" t="str">
        <f>IF(ISNUMBER(deployment_raw[[#This Row],[Column14]]), deployment_raw[[#This Row],[Column14]],"")</f>
        <v/>
      </c>
      <c r="O374" s="189" t="str">
        <f>IF(ISNUMBER(deployment_raw[[#This Row],[Column15]]), deployment_raw[[#This Row],[Column15]]/1048576,"")</f>
        <v/>
      </c>
      <c r="P374" s="190" t="str">
        <f>IF(ISNUMBER(deployment_raw[[#This Row],[Column12]]), (deployment_raw[[#This Row],[Column12]] * deployment_raw[[#This Row],[Column5]]),"")</f>
        <v/>
      </c>
      <c r="Q374" s="189" t="str">
        <f>IF(ISNUMBER(deployment_raw[[#This Row],[Column13]]), (deployment_raw[[#This Row],[Column13]] * deployment_raw[[#This Row],[Column5]])/1048576,"")</f>
        <v/>
      </c>
    </row>
    <row r="375" spans="1:17" ht="15.75" customHeight="1" x14ac:dyDescent="0.25">
      <c r="A375" s="37" t="str">
        <f>IF(ISNONTEXT(deployment_raw[[#This Row],[Column1]]), "", deployment_raw[[#This Row],[Column1]])</f>
        <v/>
      </c>
      <c r="B375" s="38" t="str">
        <f>IF(ISNONTEXT(deployment_raw[[#This Row],[Column2]]), "", deployment_raw[[#This Row],[Column2]])</f>
        <v/>
      </c>
      <c r="C375" s="38" t="str">
        <f>IF(ISNONTEXT(deployment_raw[[#This Row],[Column3]]), "", deployment_raw[[#This Row],[Column3]])</f>
        <v/>
      </c>
      <c r="D375" s="38" t="str">
        <f>IF(ISNONTEXT(deployment_raw[[#This Row],[Column4]]), "", deployment_raw[[#This Row],[Column4]])</f>
        <v/>
      </c>
      <c r="E375" s="39" t="str">
        <f>IF(ISNUMBER(deployment_raw[[#This Row],[Column5]]), deployment_raw[[#This Row],[Column5]],"")</f>
        <v/>
      </c>
      <c r="F375" s="174" t="str">
        <f>IF(ISNUMBER(deployment_raw[[#This Row],[Column6]]), (deployment_raw[[#This Row],[Column6]] * deployment_raw[[#This Row],[Column5]]),"")</f>
        <v/>
      </c>
      <c r="G375" s="175" t="str">
        <f>IF(ISNUMBER(deployment_raw[[#This Row],[Column7]]), (deployment_raw[[#This Row],[Column7]] * deployment_raw[[#This Row],[Column5]])/1048576,"")</f>
        <v/>
      </c>
      <c r="H375" s="175" t="str">
        <f>IF(ISNUMBER(deployment_raw[[#This Row],[Column8]]), (deployment_raw[[#This Row],[Column8]]  * deployment_raw[[#This Row],[Column5]]),"")</f>
        <v/>
      </c>
      <c r="I375" s="176" t="str">
        <f>IF(ISNUMBER(deployment_raw[[#This Row],[Column9]]), (deployment_raw[[#This Row],[Column9]] * deployment_raw[[#This Row],[Column5]])/1048576,"")</f>
        <v/>
      </c>
      <c r="J375" s="57" t="str">
        <f>IF(ISNUMBER(deployment_raw[[#This Row],[Column10]]), (deployment_raw[[#This Row],[Column10]] * deployment_raw[[#This Row],[Column5]]),"")</f>
        <v/>
      </c>
      <c r="K375" s="58" t="str">
        <f>IF(ISNUMBER(deployment_raw[[#This Row],[Column11]]), (deployment_raw[[#This Row],[Column11]] * deployment_raw[[#This Row],[Column5]])/1048576,"")</f>
        <v/>
      </c>
      <c r="L375" s="180" t="str">
        <f>IF(ISNUMBER(deployment_raw[[#This Row],[Column8]]),IF(deployment_raw[[#This Row],[Column5]] &lt;&gt; 0, MAX((deployment_raw[[#This Row],[Column12]] * deployment_raw[[#This Row],[Column5]]), ((deployment_raw[[#This Row],[Column8]] * deployment_raw[[#This Row],[Column5]]) * $L$2), ($H$2 * deployment_raw[[#This Row],[Column5]])), 0),"")</f>
        <v/>
      </c>
      <c r="M37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75" s="188" t="str">
        <f>IF(ISNUMBER(deployment_raw[[#This Row],[Column14]]), deployment_raw[[#This Row],[Column14]],"")</f>
        <v/>
      </c>
      <c r="O375" s="189" t="str">
        <f>IF(ISNUMBER(deployment_raw[[#This Row],[Column15]]), deployment_raw[[#This Row],[Column15]]/1048576,"")</f>
        <v/>
      </c>
      <c r="P375" s="190" t="str">
        <f>IF(ISNUMBER(deployment_raw[[#This Row],[Column12]]), (deployment_raw[[#This Row],[Column12]] * deployment_raw[[#This Row],[Column5]]),"")</f>
        <v/>
      </c>
      <c r="Q375" s="189" t="str">
        <f>IF(ISNUMBER(deployment_raw[[#This Row],[Column13]]), (deployment_raw[[#This Row],[Column13]] * deployment_raw[[#This Row],[Column5]])/1048576,"")</f>
        <v/>
      </c>
    </row>
    <row r="376" spans="1:17" ht="15.75" customHeight="1" x14ac:dyDescent="0.25">
      <c r="A376" s="37" t="str">
        <f>IF(ISNONTEXT(deployment_raw[[#This Row],[Column1]]), "", deployment_raw[[#This Row],[Column1]])</f>
        <v/>
      </c>
      <c r="B376" s="38" t="str">
        <f>IF(ISNONTEXT(deployment_raw[[#This Row],[Column2]]), "", deployment_raw[[#This Row],[Column2]])</f>
        <v/>
      </c>
      <c r="C376" s="38" t="str">
        <f>IF(ISNONTEXT(deployment_raw[[#This Row],[Column3]]), "", deployment_raw[[#This Row],[Column3]])</f>
        <v/>
      </c>
      <c r="D376" s="38" t="str">
        <f>IF(ISNONTEXT(deployment_raw[[#This Row],[Column4]]), "", deployment_raw[[#This Row],[Column4]])</f>
        <v/>
      </c>
      <c r="E376" s="39" t="str">
        <f>IF(ISNUMBER(deployment_raw[[#This Row],[Column5]]), deployment_raw[[#This Row],[Column5]],"")</f>
        <v/>
      </c>
      <c r="F376" s="174" t="str">
        <f>IF(ISNUMBER(deployment_raw[[#This Row],[Column6]]), (deployment_raw[[#This Row],[Column6]] * deployment_raw[[#This Row],[Column5]]),"")</f>
        <v/>
      </c>
      <c r="G376" s="175" t="str">
        <f>IF(ISNUMBER(deployment_raw[[#This Row],[Column7]]), (deployment_raw[[#This Row],[Column7]] * deployment_raw[[#This Row],[Column5]])/1048576,"")</f>
        <v/>
      </c>
      <c r="H376" s="175" t="str">
        <f>IF(ISNUMBER(deployment_raw[[#This Row],[Column8]]), (deployment_raw[[#This Row],[Column8]]  * deployment_raw[[#This Row],[Column5]]),"")</f>
        <v/>
      </c>
      <c r="I376" s="176" t="str">
        <f>IF(ISNUMBER(deployment_raw[[#This Row],[Column9]]), (deployment_raw[[#This Row],[Column9]] * deployment_raw[[#This Row],[Column5]])/1048576,"")</f>
        <v/>
      </c>
      <c r="J376" s="57" t="str">
        <f>IF(ISNUMBER(deployment_raw[[#This Row],[Column10]]), (deployment_raw[[#This Row],[Column10]] * deployment_raw[[#This Row],[Column5]]),"")</f>
        <v/>
      </c>
      <c r="K376" s="58" t="str">
        <f>IF(ISNUMBER(deployment_raw[[#This Row],[Column11]]), (deployment_raw[[#This Row],[Column11]] * deployment_raw[[#This Row],[Column5]])/1048576,"")</f>
        <v/>
      </c>
      <c r="L376" s="180" t="str">
        <f>IF(ISNUMBER(deployment_raw[[#This Row],[Column8]]),IF(deployment_raw[[#This Row],[Column5]] &lt;&gt; 0, MAX((deployment_raw[[#This Row],[Column12]] * deployment_raw[[#This Row],[Column5]]), ((deployment_raw[[#This Row],[Column8]] * deployment_raw[[#This Row],[Column5]]) * $L$2), ($H$2 * deployment_raw[[#This Row],[Column5]])), 0),"")</f>
        <v/>
      </c>
      <c r="M37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76" s="188" t="str">
        <f>IF(ISNUMBER(deployment_raw[[#This Row],[Column14]]), deployment_raw[[#This Row],[Column14]],"")</f>
        <v/>
      </c>
      <c r="O376" s="189" t="str">
        <f>IF(ISNUMBER(deployment_raw[[#This Row],[Column15]]), deployment_raw[[#This Row],[Column15]]/1048576,"")</f>
        <v/>
      </c>
      <c r="P376" s="190" t="str">
        <f>IF(ISNUMBER(deployment_raw[[#This Row],[Column12]]), (deployment_raw[[#This Row],[Column12]] * deployment_raw[[#This Row],[Column5]]),"")</f>
        <v/>
      </c>
      <c r="Q376" s="189" t="str">
        <f>IF(ISNUMBER(deployment_raw[[#This Row],[Column13]]), (deployment_raw[[#This Row],[Column13]] * deployment_raw[[#This Row],[Column5]])/1048576,"")</f>
        <v/>
      </c>
    </row>
    <row r="377" spans="1:17" ht="15.75" customHeight="1" x14ac:dyDescent="0.25">
      <c r="A377" s="37" t="str">
        <f>IF(ISNONTEXT(deployment_raw[[#This Row],[Column1]]), "", deployment_raw[[#This Row],[Column1]])</f>
        <v/>
      </c>
      <c r="B377" s="38" t="str">
        <f>IF(ISNONTEXT(deployment_raw[[#This Row],[Column2]]), "", deployment_raw[[#This Row],[Column2]])</f>
        <v/>
      </c>
      <c r="C377" s="38" t="str">
        <f>IF(ISNONTEXT(deployment_raw[[#This Row],[Column3]]), "", deployment_raw[[#This Row],[Column3]])</f>
        <v/>
      </c>
      <c r="D377" s="38" t="str">
        <f>IF(ISNONTEXT(deployment_raw[[#This Row],[Column4]]), "", deployment_raw[[#This Row],[Column4]])</f>
        <v/>
      </c>
      <c r="E377" s="39" t="str">
        <f>IF(ISNUMBER(deployment_raw[[#This Row],[Column5]]), deployment_raw[[#This Row],[Column5]],"")</f>
        <v/>
      </c>
      <c r="F377" s="174" t="str">
        <f>IF(ISNUMBER(deployment_raw[[#This Row],[Column6]]), (deployment_raw[[#This Row],[Column6]] * deployment_raw[[#This Row],[Column5]]),"")</f>
        <v/>
      </c>
      <c r="G377" s="175" t="str">
        <f>IF(ISNUMBER(deployment_raw[[#This Row],[Column7]]), (deployment_raw[[#This Row],[Column7]] * deployment_raw[[#This Row],[Column5]])/1048576,"")</f>
        <v/>
      </c>
      <c r="H377" s="175" t="str">
        <f>IF(ISNUMBER(deployment_raw[[#This Row],[Column8]]), (deployment_raw[[#This Row],[Column8]]  * deployment_raw[[#This Row],[Column5]]),"")</f>
        <v/>
      </c>
      <c r="I377" s="176" t="str">
        <f>IF(ISNUMBER(deployment_raw[[#This Row],[Column9]]), (deployment_raw[[#This Row],[Column9]] * deployment_raw[[#This Row],[Column5]])/1048576,"")</f>
        <v/>
      </c>
      <c r="J377" s="57" t="str">
        <f>IF(ISNUMBER(deployment_raw[[#This Row],[Column10]]), (deployment_raw[[#This Row],[Column10]] * deployment_raw[[#This Row],[Column5]]),"")</f>
        <v/>
      </c>
      <c r="K377" s="58" t="str">
        <f>IF(ISNUMBER(deployment_raw[[#This Row],[Column11]]), (deployment_raw[[#This Row],[Column11]] * deployment_raw[[#This Row],[Column5]])/1048576,"")</f>
        <v/>
      </c>
      <c r="L377" s="180" t="str">
        <f>IF(ISNUMBER(deployment_raw[[#This Row],[Column8]]),IF(deployment_raw[[#This Row],[Column5]] &lt;&gt; 0, MAX((deployment_raw[[#This Row],[Column12]] * deployment_raw[[#This Row],[Column5]]), ((deployment_raw[[#This Row],[Column8]] * deployment_raw[[#This Row],[Column5]]) * $L$2), ($H$2 * deployment_raw[[#This Row],[Column5]])), 0),"")</f>
        <v/>
      </c>
      <c r="M37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77" s="188" t="str">
        <f>IF(ISNUMBER(deployment_raw[[#This Row],[Column14]]), deployment_raw[[#This Row],[Column14]],"")</f>
        <v/>
      </c>
      <c r="O377" s="189" t="str">
        <f>IF(ISNUMBER(deployment_raw[[#This Row],[Column15]]), deployment_raw[[#This Row],[Column15]]/1048576,"")</f>
        <v/>
      </c>
      <c r="P377" s="190" t="str">
        <f>IF(ISNUMBER(deployment_raw[[#This Row],[Column12]]), (deployment_raw[[#This Row],[Column12]] * deployment_raw[[#This Row],[Column5]]),"")</f>
        <v/>
      </c>
      <c r="Q377" s="189" t="str">
        <f>IF(ISNUMBER(deployment_raw[[#This Row],[Column13]]), (deployment_raw[[#This Row],[Column13]] * deployment_raw[[#This Row],[Column5]])/1048576,"")</f>
        <v/>
      </c>
    </row>
    <row r="378" spans="1:17" ht="15.75" customHeight="1" x14ac:dyDescent="0.25">
      <c r="A378" s="37" t="str">
        <f>IF(ISNONTEXT(deployment_raw[[#This Row],[Column1]]), "", deployment_raw[[#This Row],[Column1]])</f>
        <v/>
      </c>
      <c r="B378" s="38" t="str">
        <f>IF(ISNONTEXT(deployment_raw[[#This Row],[Column2]]), "", deployment_raw[[#This Row],[Column2]])</f>
        <v/>
      </c>
      <c r="C378" s="38" t="str">
        <f>IF(ISNONTEXT(deployment_raw[[#This Row],[Column3]]), "", deployment_raw[[#This Row],[Column3]])</f>
        <v/>
      </c>
      <c r="D378" s="38" t="str">
        <f>IF(ISNONTEXT(deployment_raw[[#This Row],[Column4]]), "", deployment_raw[[#This Row],[Column4]])</f>
        <v/>
      </c>
      <c r="E378" s="39" t="str">
        <f>IF(ISNUMBER(deployment_raw[[#This Row],[Column5]]), deployment_raw[[#This Row],[Column5]],"")</f>
        <v/>
      </c>
      <c r="F378" s="174" t="str">
        <f>IF(ISNUMBER(deployment_raw[[#This Row],[Column6]]), (deployment_raw[[#This Row],[Column6]] * deployment_raw[[#This Row],[Column5]]),"")</f>
        <v/>
      </c>
      <c r="G378" s="175" t="str">
        <f>IF(ISNUMBER(deployment_raw[[#This Row],[Column7]]), (deployment_raw[[#This Row],[Column7]] * deployment_raw[[#This Row],[Column5]])/1048576,"")</f>
        <v/>
      </c>
      <c r="H378" s="175" t="str">
        <f>IF(ISNUMBER(deployment_raw[[#This Row],[Column8]]), (deployment_raw[[#This Row],[Column8]]  * deployment_raw[[#This Row],[Column5]]),"")</f>
        <v/>
      </c>
      <c r="I378" s="176" t="str">
        <f>IF(ISNUMBER(deployment_raw[[#This Row],[Column9]]), (deployment_raw[[#This Row],[Column9]] * deployment_raw[[#This Row],[Column5]])/1048576,"")</f>
        <v/>
      </c>
      <c r="J378" s="57" t="str">
        <f>IF(ISNUMBER(deployment_raw[[#This Row],[Column10]]), (deployment_raw[[#This Row],[Column10]] * deployment_raw[[#This Row],[Column5]]),"")</f>
        <v/>
      </c>
      <c r="K378" s="58" t="str">
        <f>IF(ISNUMBER(deployment_raw[[#This Row],[Column11]]), (deployment_raw[[#This Row],[Column11]] * deployment_raw[[#This Row],[Column5]])/1048576,"")</f>
        <v/>
      </c>
      <c r="L378" s="180" t="str">
        <f>IF(ISNUMBER(deployment_raw[[#This Row],[Column8]]),IF(deployment_raw[[#This Row],[Column5]] &lt;&gt; 0, MAX((deployment_raw[[#This Row],[Column12]] * deployment_raw[[#This Row],[Column5]]), ((deployment_raw[[#This Row],[Column8]] * deployment_raw[[#This Row],[Column5]]) * $L$2), ($H$2 * deployment_raw[[#This Row],[Column5]])), 0),"")</f>
        <v/>
      </c>
      <c r="M37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78" s="188" t="str">
        <f>IF(ISNUMBER(deployment_raw[[#This Row],[Column14]]), deployment_raw[[#This Row],[Column14]],"")</f>
        <v/>
      </c>
      <c r="O378" s="189" t="str">
        <f>IF(ISNUMBER(deployment_raw[[#This Row],[Column15]]), deployment_raw[[#This Row],[Column15]]/1048576,"")</f>
        <v/>
      </c>
      <c r="P378" s="190" t="str">
        <f>IF(ISNUMBER(deployment_raw[[#This Row],[Column12]]), (deployment_raw[[#This Row],[Column12]] * deployment_raw[[#This Row],[Column5]]),"")</f>
        <v/>
      </c>
      <c r="Q378" s="189" t="str">
        <f>IF(ISNUMBER(deployment_raw[[#This Row],[Column13]]), (deployment_raw[[#This Row],[Column13]] * deployment_raw[[#This Row],[Column5]])/1048576,"")</f>
        <v/>
      </c>
    </row>
    <row r="379" spans="1:17" ht="15.75" customHeight="1" x14ac:dyDescent="0.25">
      <c r="A379" s="37" t="str">
        <f>IF(ISNONTEXT(deployment_raw[[#This Row],[Column1]]), "", deployment_raw[[#This Row],[Column1]])</f>
        <v/>
      </c>
      <c r="B379" s="38" t="str">
        <f>IF(ISNONTEXT(deployment_raw[[#This Row],[Column2]]), "", deployment_raw[[#This Row],[Column2]])</f>
        <v/>
      </c>
      <c r="C379" s="38" t="str">
        <f>IF(ISNONTEXT(deployment_raw[[#This Row],[Column3]]), "", deployment_raw[[#This Row],[Column3]])</f>
        <v/>
      </c>
      <c r="D379" s="38" t="str">
        <f>IF(ISNONTEXT(deployment_raw[[#This Row],[Column4]]), "", deployment_raw[[#This Row],[Column4]])</f>
        <v/>
      </c>
      <c r="E379" s="39" t="str">
        <f>IF(ISNUMBER(deployment_raw[[#This Row],[Column5]]), deployment_raw[[#This Row],[Column5]],"")</f>
        <v/>
      </c>
      <c r="F379" s="174" t="str">
        <f>IF(ISNUMBER(deployment_raw[[#This Row],[Column6]]), (deployment_raw[[#This Row],[Column6]] * deployment_raw[[#This Row],[Column5]]),"")</f>
        <v/>
      </c>
      <c r="G379" s="175" t="str">
        <f>IF(ISNUMBER(deployment_raw[[#This Row],[Column7]]), (deployment_raw[[#This Row],[Column7]] * deployment_raw[[#This Row],[Column5]])/1048576,"")</f>
        <v/>
      </c>
      <c r="H379" s="175" t="str">
        <f>IF(ISNUMBER(deployment_raw[[#This Row],[Column8]]), (deployment_raw[[#This Row],[Column8]]  * deployment_raw[[#This Row],[Column5]]),"")</f>
        <v/>
      </c>
      <c r="I379" s="176" t="str">
        <f>IF(ISNUMBER(deployment_raw[[#This Row],[Column9]]), (deployment_raw[[#This Row],[Column9]] * deployment_raw[[#This Row],[Column5]])/1048576,"")</f>
        <v/>
      </c>
      <c r="J379" s="57" t="str">
        <f>IF(ISNUMBER(deployment_raw[[#This Row],[Column10]]), (deployment_raw[[#This Row],[Column10]] * deployment_raw[[#This Row],[Column5]]),"")</f>
        <v/>
      </c>
      <c r="K379" s="58" t="str">
        <f>IF(ISNUMBER(deployment_raw[[#This Row],[Column11]]), (deployment_raw[[#This Row],[Column11]] * deployment_raw[[#This Row],[Column5]])/1048576,"")</f>
        <v/>
      </c>
      <c r="L379" s="180" t="str">
        <f>IF(ISNUMBER(deployment_raw[[#This Row],[Column8]]),IF(deployment_raw[[#This Row],[Column5]] &lt;&gt; 0, MAX((deployment_raw[[#This Row],[Column12]] * deployment_raw[[#This Row],[Column5]]), ((deployment_raw[[#This Row],[Column8]] * deployment_raw[[#This Row],[Column5]]) * $L$2), ($H$2 * deployment_raw[[#This Row],[Column5]])), 0),"")</f>
        <v/>
      </c>
      <c r="M37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79" s="188" t="str">
        <f>IF(ISNUMBER(deployment_raw[[#This Row],[Column14]]), deployment_raw[[#This Row],[Column14]],"")</f>
        <v/>
      </c>
      <c r="O379" s="189" t="str">
        <f>IF(ISNUMBER(deployment_raw[[#This Row],[Column15]]), deployment_raw[[#This Row],[Column15]]/1048576,"")</f>
        <v/>
      </c>
      <c r="P379" s="190" t="str">
        <f>IF(ISNUMBER(deployment_raw[[#This Row],[Column12]]), (deployment_raw[[#This Row],[Column12]] * deployment_raw[[#This Row],[Column5]]),"")</f>
        <v/>
      </c>
      <c r="Q379" s="189" t="str">
        <f>IF(ISNUMBER(deployment_raw[[#This Row],[Column13]]), (deployment_raw[[#This Row],[Column13]] * deployment_raw[[#This Row],[Column5]])/1048576,"")</f>
        <v/>
      </c>
    </row>
    <row r="380" spans="1:17" ht="15.75" customHeight="1" x14ac:dyDescent="0.25">
      <c r="A380" s="37" t="str">
        <f>IF(ISNONTEXT(deployment_raw[[#This Row],[Column1]]), "", deployment_raw[[#This Row],[Column1]])</f>
        <v/>
      </c>
      <c r="B380" s="38" t="str">
        <f>IF(ISNONTEXT(deployment_raw[[#This Row],[Column2]]), "", deployment_raw[[#This Row],[Column2]])</f>
        <v/>
      </c>
      <c r="C380" s="38" t="str">
        <f>IF(ISNONTEXT(deployment_raw[[#This Row],[Column3]]), "", deployment_raw[[#This Row],[Column3]])</f>
        <v/>
      </c>
      <c r="D380" s="38" t="str">
        <f>IF(ISNONTEXT(deployment_raw[[#This Row],[Column4]]), "", deployment_raw[[#This Row],[Column4]])</f>
        <v/>
      </c>
      <c r="E380" s="39" t="str">
        <f>IF(ISNUMBER(deployment_raw[[#This Row],[Column5]]), deployment_raw[[#This Row],[Column5]],"")</f>
        <v/>
      </c>
      <c r="F380" s="174" t="str">
        <f>IF(ISNUMBER(deployment_raw[[#This Row],[Column6]]), (deployment_raw[[#This Row],[Column6]] * deployment_raw[[#This Row],[Column5]]),"")</f>
        <v/>
      </c>
      <c r="G380" s="175" t="str">
        <f>IF(ISNUMBER(deployment_raw[[#This Row],[Column7]]), (deployment_raw[[#This Row],[Column7]] * deployment_raw[[#This Row],[Column5]])/1048576,"")</f>
        <v/>
      </c>
      <c r="H380" s="175" t="str">
        <f>IF(ISNUMBER(deployment_raw[[#This Row],[Column8]]), (deployment_raw[[#This Row],[Column8]]  * deployment_raw[[#This Row],[Column5]]),"")</f>
        <v/>
      </c>
      <c r="I380" s="176" t="str">
        <f>IF(ISNUMBER(deployment_raw[[#This Row],[Column9]]), (deployment_raw[[#This Row],[Column9]] * deployment_raw[[#This Row],[Column5]])/1048576,"")</f>
        <v/>
      </c>
      <c r="J380" s="57" t="str">
        <f>IF(ISNUMBER(deployment_raw[[#This Row],[Column10]]), (deployment_raw[[#This Row],[Column10]] * deployment_raw[[#This Row],[Column5]]),"")</f>
        <v/>
      </c>
      <c r="K380" s="58" t="str">
        <f>IF(ISNUMBER(deployment_raw[[#This Row],[Column11]]), (deployment_raw[[#This Row],[Column11]] * deployment_raw[[#This Row],[Column5]])/1048576,"")</f>
        <v/>
      </c>
      <c r="L380" s="180" t="str">
        <f>IF(ISNUMBER(deployment_raw[[#This Row],[Column8]]),IF(deployment_raw[[#This Row],[Column5]] &lt;&gt; 0, MAX((deployment_raw[[#This Row],[Column12]] * deployment_raw[[#This Row],[Column5]]), ((deployment_raw[[#This Row],[Column8]] * deployment_raw[[#This Row],[Column5]]) * $L$2), ($H$2 * deployment_raw[[#This Row],[Column5]])), 0),"")</f>
        <v/>
      </c>
      <c r="M38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80" s="188" t="str">
        <f>IF(ISNUMBER(deployment_raw[[#This Row],[Column14]]), deployment_raw[[#This Row],[Column14]],"")</f>
        <v/>
      </c>
      <c r="O380" s="189" t="str">
        <f>IF(ISNUMBER(deployment_raw[[#This Row],[Column15]]), deployment_raw[[#This Row],[Column15]]/1048576,"")</f>
        <v/>
      </c>
      <c r="P380" s="190" t="str">
        <f>IF(ISNUMBER(deployment_raw[[#This Row],[Column12]]), (deployment_raw[[#This Row],[Column12]] * deployment_raw[[#This Row],[Column5]]),"")</f>
        <v/>
      </c>
      <c r="Q380" s="189" t="str">
        <f>IF(ISNUMBER(deployment_raw[[#This Row],[Column13]]), (deployment_raw[[#This Row],[Column13]] * deployment_raw[[#This Row],[Column5]])/1048576,"")</f>
        <v/>
      </c>
    </row>
    <row r="381" spans="1:17" ht="15.75" customHeight="1" x14ac:dyDescent="0.25">
      <c r="A381" s="37" t="str">
        <f>IF(ISNONTEXT(deployment_raw[[#This Row],[Column1]]), "", deployment_raw[[#This Row],[Column1]])</f>
        <v/>
      </c>
      <c r="B381" s="38" t="str">
        <f>IF(ISNONTEXT(deployment_raw[[#This Row],[Column2]]), "", deployment_raw[[#This Row],[Column2]])</f>
        <v/>
      </c>
      <c r="C381" s="38" t="str">
        <f>IF(ISNONTEXT(deployment_raw[[#This Row],[Column3]]), "", deployment_raw[[#This Row],[Column3]])</f>
        <v/>
      </c>
      <c r="D381" s="38" t="str">
        <f>IF(ISNONTEXT(deployment_raw[[#This Row],[Column4]]), "", deployment_raw[[#This Row],[Column4]])</f>
        <v/>
      </c>
      <c r="E381" s="39" t="str">
        <f>IF(ISNUMBER(deployment_raw[[#This Row],[Column5]]), deployment_raw[[#This Row],[Column5]],"")</f>
        <v/>
      </c>
      <c r="F381" s="174" t="str">
        <f>IF(ISNUMBER(deployment_raw[[#This Row],[Column6]]), (deployment_raw[[#This Row],[Column6]] * deployment_raw[[#This Row],[Column5]]),"")</f>
        <v/>
      </c>
      <c r="G381" s="175" t="str">
        <f>IF(ISNUMBER(deployment_raw[[#This Row],[Column7]]), (deployment_raw[[#This Row],[Column7]] * deployment_raw[[#This Row],[Column5]])/1048576,"")</f>
        <v/>
      </c>
      <c r="H381" s="175" t="str">
        <f>IF(ISNUMBER(deployment_raw[[#This Row],[Column8]]), (deployment_raw[[#This Row],[Column8]]  * deployment_raw[[#This Row],[Column5]]),"")</f>
        <v/>
      </c>
      <c r="I381" s="176" t="str">
        <f>IF(ISNUMBER(deployment_raw[[#This Row],[Column9]]), (deployment_raw[[#This Row],[Column9]] * deployment_raw[[#This Row],[Column5]])/1048576,"")</f>
        <v/>
      </c>
      <c r="J381" s="57" t="str">
        <f>IF(ISNUMBER(deployment_raw[[#This Row],[Column10]]), (deployment_raw[[#This Row],[Column10]] * deployment_raw[[#This Row],[Column5]]),"")</f>
        <v/>
      </c>
      <c r="K381" s="58" t="str">
        <f>IF(ISNUMBER(deployment_raw[[#This Row],[Column11]]), (deployment_raw[[#This Row],[Column11]] * deployment_raw[[#This Row],[Column5]])/1048576,"")</f>
        <v/>
      </c>
      <c r="L381" s="180" t="str">
        <f>IF(ISNUMBER(deployment_raw[[#This Row],[Column8]]),IF(deployment_raw[[#This Row],[Column5]] &lt;&gt; 0, MAX((deployment_raw[[#This Row],[Column12]] * deployment_raw[[#This Row],[Column5]]), ((deployment_raw[[#This Row],[Column8]] * deployment_raw[[#This Row],[Column5]]) * $L$2), ($H$2 * deployment_raw[[#This Row],[Column5]])), 0),"")</f>
        <v/>
      </c>
      <c r="M38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81" s="188" t="str">
        <f>IF(ISNUMBER(deployment_raw[[#This Row],[Column14]]), deployment_raw[[#This Row],[Column14]],"")</f>
        <v/>
      </c>
      <c r="O381" s="189" t="str">
        <f>IF(ISNUMBER(deployment_raw[[#This Row],[Column15]]), deployment_raw[[#This Row],[Column15]]/1048576,"")</f>
        <v/>
      </c>
      <c r="P381" s="190" t="str">
        <f>IF(ISNUMBER(deployment_raw[[#This Row],[Column12]]), (deployment_raw[[#This Row],[Column12]] * deployment_raw[[#This Row],[Column5]]),"")</f>
        <v/>
      </c>
      <c r="Q381" s="189" t="str">
        <f>IF(ISNUMBER(deployment_raw[[#This Row],[Column13]]), (deployment_raw[[#This Row],[Column13]] * deployment_raw[[#This Row],[Column5]])/1048576,"")</f>
        <v/>
      </c>
    </row>
    <row r="382" spans="1:17" ht="15.75" customHeight="1" x14ac:dyDescent="0.25">
      <c r="A382" s="37" t="str">
        <f>IF(ISNONTEXT(deployment_raw[[#This Row],[Column1]]), "", deployment_raw[[#This Row],[Column1]])</f>
        <v/>
      </c>
      <c r="B382" s="38" t="str">
        <f>IF(ISNONTEXT(deployment_raw[[#This Row],[Column2]]), "", deployment_raw[[#This Row],[Column2]])</f>
        <v/>
      </c>
      <c r="C382" s="38" t="str">
        <f>IF(ISNONTEXT(deployment_raw[[#This Row],[Column3]]), "", deployment_raw[[#This Row],[Column3]])</f>
        <v/>
      </c>
      <c r="D382" s="38" t="str">
        <f>IF(ISNONTEXT(deployment_raw[[#This Row],[Column4]]), "", deployment_raw[[#This Row],[Column4]])</f>
        <v/>
      </c>
      <c r="E382" s="39" t="str">
        <f>IF(ISNUMBER(deployment_raw[[#This Row],[Column5]]), deployment_raw[[#This Row],[Column5]],"")</f>
        <v/>
      </c>
      <c r="F382" s="174" t="str">
        <f>IF(ISNUMBER(deployment_raw[[#This Row],[Column6]]), (deployment_raw[[#This Row],[Column6]] * deployment_raw[[#This Row],[Column5]]),"")</f>
        <v/>
      </c>
      <c r="G382" s="175" t="str">
        <f>IF(ISNUMBER(deployment_raw[[#This Row],[Column7]]), (deployment_raw[[#This Row],[Column7]] * deployment_raw[[#This Row],[Column5]])/1048576,"")</f>
        <v/>
      </c>
      <c r="H382" s="175" t="str">
        <f>IF(ISNUMBER(deployment_raw[[#This Row],[Column8]]), (deployment_raw[[#This Row],[Column8]]  * deployment_raw[[#This Row],[Column5]]),"")</f>
        <v/>
      </c>
      <c r="I382" s="176" t="str">
        <f>IF(ISNUMBER(deployment_raw[[#This Row],[Column9]]), (deployment_raw[[#This Row],[Column9]] * deployment_raw[[#This Row],[Column5]])/1048576,"")</f>
        <v/>
      </c>
      <c r="J382" s="57" t="str">
        <f>IF(ISNUMBER(deployment_raw[[#This Row],[Column10]]), (deployment_raw[[#This Row],[Column10]] * deployment_raw[[#This Row],[Column5]]),"")</f>
        <v/>
      </c>
      <c r="K382" s="58" t="str">
        <f>IF(ISNUMBER(deployment_raw[[#This Row],[Column11]]), (deployment_raw[[#This Row],[Column11]] * deployment_raw[[#This Row],[Column5]])/1048576,"")</f>
        <v/>
      </c>
      <c r="L382" s="180" t="str">
        <f>IF(ISNUMBER(deployment_raw[[#This Row],[Column8]]),IF(deployment_raw[[#This Row],[Column5]] &lt;&gt; 0, MAX((deployment_raw[[#This Row],[Column12]] * deployment_raw[[#This Row],[Column5]]), ((deployment_raw[[#This Row],[Column8]] * deployment_raw[[#This Row],[Column5]]) * $L$2), ($H$2 * deployment_raw[[#This Row],[Column5]])), 0),"")</f>
        <v/>
      </c>
      <c r="M38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82" s="188" t="str">
        <f>IF(ISNUMBER(deployment_raw[[#This Row],[Column14]]), deployment_raw[[#This Row],[Column14]],"")</f>
        <v/>
      </c>
      <c r="O382" s="189" t="str">
        <f>IF(ISNUMBER(deployment_raw[[#This Row],[Column15]]), deployment_raw[[#This Row],[Column15]]/1048576,"")</f>
        <v/>
      </c>
      <c r="P382" s="190" t="str">
        <f>IF(ISNUMBER(deployment_raw[[#This Row],[Column12]]), (deployment_raw[[#This Row],[Column12]] * deployment_raw[[#This Row],[Column5]]),"")</f>
        <v/>
      </c>
      <c r="Q382" s="189" t="str">
        <f>IF(ISNUMBER(deployment_raw[[#This Row],[Column13]]), (deployment_raw[[#This Row],[Column13]] * deployment_raw[[#This Row],[Column5]])/1048576,"")</f>
        <v/>
      </c>
    </row>
    <row r="383" spans="1:17" ht="15.75" customHeight="1" x14ac:dyDescent="0.25">
      <c r="A383" s="37" t="str">
        <f>IF(ISNONTEXT(deployment_raw[[#This Row],[Column1]]), "", deployment_raw[[#This Row],[Column1]])</f>
        <v/>
      </c>
      <c r="B383" s="38" t="str">
        <f>IF(ISNONTEXT(deployment_raw[[#This Row],[Column2]]), "", deployment_raw[[#This Row],[Column2]])</f>
        <v/>
      </c>
      <c r="C383" s="38" t="str">
        <f>IF(ISNONTEXT(deployment_raw[[#This Row],[Column3]]), "", deployment_raw[[#This Row],[Column3]])</f>
        <v/>
      </c>
      <c r="D383" s="38" t="str">
        <f>IF(ISNONTEXT(deployment_raw[[#This Row],[Column4]]), "", deployment_raw[[#This Row],[Column4]])</f>
        <v/>
      </c>
      <c r="E383" s="39" t="str">
        <f>IF(ISNUMBER(deployment_raw[[#This Row],[Column5]]), deployment_raw[[#This Row],[Column5]],"")</f>
        <v/>
      </c>
      <c r="F383" s="174" t="str">
        <f>IF(ISNUMBER(deployment_raw[[#This Row],[Column6]]), (deployment_raw[[#This Row],[Column6]] * deployment_raw[[#This Row],[Column5]]),"")</f>
        <v/>
      </c>
      <c r="G383" s="175" t="str">
        <f>IF(ISNUMBER(deployment_raw[[#This Row],[Column7]]), (deployment_raw[[#This Row],[Column7]] * deployment_raw[[#This Row],[Column5]])/1048576,"")</f>
        <v/>
      </c>
      <c r="H383" s="175" t="str">
        <f>IF(ISNUMBER(deployment_raw[[#This Row],[Column8]]), (deployment_raw[[#This Row],[Column8]]  * deployment_raw[[#This Row],[Column5]]),"")</f>
        <v/>
      </c>
      <c r="I383" s="176" t="str">
        <f>IF(ISNUMBER(deployment_raw[[#This Row],[Column9]]), (deployment_raw[[#This Row],[Column9]] * deployment_raw[[#This Row],[Column5]])/1048576,"")</f>
        <v/>
      </c>
      <c r="J383" s="57" t="str">
        <f>IF(ISNUMBER(deployment_raw[[#This Row],[Column10]]), (deployment_raw[[#This Row],[Column10]] * deployment_raw[[#This Row],[Column5]]),"")</f>
        <v/>
      </c>
      <c r="K383" s="58" t="str">
        <f>IF(ISNUMBER(deployment_raw[[#This Row],[Column11]]), (deployment_raw[[#This Row],[Column11]] * deployment_raw[[#This Row],[Column5]])/1048576,"")</f>
        <v/>
      </c>
      <c r="L383" s="180" t="str">
        <f>IF(ISNUMBER(deployment_raw[[#This Row],[Column8]]),IF(deployment_raw[[#This Row],[Column5]] &lt;&gt; 0, MAX((deployment_raw[[#This Row],[Column12]] * deployment_raw[[#This Row],[Column5]]), ((deployment_raw[[#This Row],[Column8]] * deployment_raw[[#This Row],[Column5]]) * $L$2), ($H$2 * deployment_raw[[#This Row],[Column5]])), 0),"")</f>
        <v/>
      </c>
      <c r="M38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83" s="188" t="str">
        <f>IF(ISNUMBER(deployment_raw[[#This Row],[Column14]]), deployment_raw[[#This Row],[Column14]],"")</f>
        <v/>
      </c>
      <c r="O383" s="189" t="str">
        <f>IF(ISNUMBER(deployment_raw[[#This Row],[Column15]]), deployment_raw[[#This Row],[Column15]]/1048576,"")</f>
        <v/>
      </c>
      <c r="P383" s="190" t="str">
        <f>IF(ISNUMBER(deployment_raw[[#This Row],[Column12]]), (deployment_raw[[#This Row],[Column12]] * deployment_raw[[#This Row],[Column5]]),"")</f>
        <v/>
      </c>
      <c r="Q383" s="189" t="str">
        <f>IF(ISNUMBER(deployment_raw[[#This Row],[Column13]]), (deployment_raw[[#This Row],[Column13]] * deployment_raw[[#This Row],[Column5]])/1048576,"")</f>
        <v/>
      </c>
    </row>
    <row r="384" spans="1:17" ht="15.75" customHeight="1" x14ac:dyDescent="0.25">
      <c r="A384" s="37" t="str">
        <f>IF(ISNONTEXT(deployment_raw[[#This Row],[Column1]]), "", deployment_raw[[#This Row],[Column1]])</f>
        <v/>
      </c>
      <c r="B384" s="38" t="str">
        <f>IF(ISNONTEXT(deployment_raw[[#This Row],[Column2]]), "", deployment_raw[[#This Row],[Column2]])</f>
        <v/>
      </c>
      <c r="C384" s="38" t="str">
        <f>IF(ISNONTEXT(deployment_raw[[#This Row],[Column3]]), "", deployment_raw[[#This Row],[Column3]])</f>
        <v/>
      </c>
      <c r="D384" s="38" t="str">
        <f>IF(ISNONTEXT(deployment_raw[[#This Row],[Column4]]), "", deployment_raw[[#This Row],[Column4]])</f>
        <v/>
      </c>
      <c r="E384" s="39" t="str">
        <f>IF(ISNUMBER(deployment_raw[[#This Row],[Column5]]), deployment_raw[[#This Row],[Column5]],"")</f>
        <v/>
      </c>
      <c r="F384" s="174" t="str">
        <f>IF(ISNUMBER(deployment_raw[[#This Row],[Column6]]), (deployment_raw[[#This Row],[Column6]] * deployment_raw[[#This Row],[Column5]]),"")</f>
        <v/>
      </c>
      <c r="G384" s="175" t="str">
        <f>IF(ISNUMBER(deployment_raw[[#This Row],[Column7]]), (deployment_raw[[#This Row],[Column7]] * deployment_raw[[#This Row],[Column5]])/1048576,"")</f>
        <v/>
      </c>
      <c r="H384" s="175" t="str">
        <f>IF(ISNUMBER(deployment_raw[[#This Row],[Column8]]), (deployment_raw[[#This Row],[Column8]]  * deployment_raw[[#This Row],[Column5]]),"")</f>
        <v/>
      </c>
      <c r="I384" s="176" t="str">
        <f>IF(ISNUMBER(deployment_raw[[#This Row],[Column9]]), (deployment_raw[[#This Row],[Column9]] * deployment_raw[[#This Row],[Column5]])/1048576,"")</f>
        <v/>
      </c>
      <c r="J384" s="57" t="str">
        <f>IF(ISNUMBER(deployment_raw[[#This Row],[Column10]]), (deployment_raw[[#This Row],[Column10]] * deployment_raw[[#This Row],[Column5]]),"")</f>
        <v/>
      </c>
      <c r="K384" s="58" t="str">
        <f>IF(ISNUMBER(deployment_raw[[#This Row],[Column11]]), (deployment_raw[[#This Row],[Column11]] * deployment_raw[[#This Row],[Column5]])/1048576,"")</f>
        <v/>
      </c>
      <c r="L384" s="180" t="str">
        <f>IF(ISNUMBER(deployment_raw[[#This Row],[Column8]]),IF(deployment_raw[[#This Row],[Column5]] &lt;&gt; 0, MAX((deployment_raw[[#This Row],[Column12]] * deployment_raw[[#This Row],[Column5]]), ((deployment_raw[[#This Row],[Column8]] * deployment_raw[[#This Row],[Column5]]) * $L$2), ($H$2 * deployment_raw[[#This Row],[Column5]])), 0),"")</f>
        <v/>
      </c>
      <c r="M38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84" s="188" t="str">
        <f>IF(ISNUMBER(deployment_raw[[#This Row],[Column14]]), deployment_raw[[#This Row],[Column14]],"")</f>
        <v/>
      </c>
      <c r="O384" s="189" t="str">
        <f>IF(ISNUMBER(deployment_raw[[#This Row],[Column15]]), deployment_raw[[#This Row],[Column15]]/1048576,"")</f>
        <v/>
      </c>
      <c r="P384" s="190" t="str">
        <f>IF(ISNUMBER(deployment_raw[[#This Row],[Column12]]), (deployment_raw[[#This Row],[Column12]] * deployment_raw[[#This Row],[Column5]]),"")</f>
        <v/>
      </c>
      <c r="Q384" s="189" t="str">
        <f>IF(ISNUMBER(deployment_raw[[#This Row],[Column13]]), (deployment_raw[[#This Row],[Column13]] * deployment_raw[[#This Row],[Column5]])/1048576,"")</f>
        <v/>
      </c>
    </row>
    <row r="385" spans="1:17" ht="15.75" customHeight="1" x14ac:dyDescent="0.25">
      <c r="A385" s="37" t="str">
        <f>IF(ISNONTEXT(deployment_raw[[#This Row],[Column1]]), "", deployment_raw[[#This Row],[Column1]])</f>
        <v/>
      </c>
      <c r="B385" s="38" t="str">
        <f>IF(ISNONTEXT(deployment_raw[[#This Row],[Column2]]), "", deployment_raw[[#This Row],[Column2]])</f>
        <v/>
      </c>
      <c r="C385" s="38" t="str">
        <f>IF(ISNONTEXT(deployment_raw[[#This Row],[Column3]]), "", deployment_raw[[#This Row],[Column3]])</f>
        <v/>
      </c>
      <c r="D385" s="38" t="str">
        <f>IF(ISNONTEXT(deployment_raw[[#This Row],[Column4]]), "", deployment_raw[[#This Row],[Column4]])</f>
        <v/>
      </c>
      <c r="E385" s="39" t="str">
        <f>IF(ISNUMBER(deployment_raw[[#This Row],[Column5]]), deployment_raw[[#This Row],[Column5]],"")</f>
        <v/>
      </c>
      <c r="F385" s="174" t="str">
        <f>IF(ISNUMBER(deployment_raw[[#This Row],[Column6]]), (deployment_raw[[#This Row],[Column6]] * deployment_raw[[#This Row],[Column5]]),"")</f>
        <v/>
      </c>
      <c r="G385" s="175" t="str">
        <f>IF(ISNUMBER(deployment_raw[[#This Row],[Column7]]), (deployment_raw[[#This Row],[Column7]] * deployment_raw[[#This Row],[Column5]])/1048576,"")</f>
        <v/>
      </c>
      <c r="H385" s="175" t="str">
        <f>IF(ISNUMBER(deployment_raw[[#This Row],[Column8]]), (deployment_raw[[#This Row],[Column8]]  * deployment_raw[[#This Row],[Column5]]),"")</f>
        <v/>
      </c>
      <c r="I385" s="176" t="str">
        <f>IF(ISNUMBER(deployment_raw[[#This Row],[Column9]]), (deployment_raw[[#This Row],[Column9]] * deployment_raw[[#This Row],[Column5]])/1048576,"")</f>
        <v/>
      </c>
      <c r="J385" s="57" t="str">
        <f>IF(ISNUMBER(deployment_raw[[#This Row],[Column10]]), (deployment_raw[[#This Row],[Column10]] * deployment_raw[[#This Row],[Column5]]),"")</f>
        <v/>
      </c>
      <c r="K385" s="58" t="str">
        <f>IF(ISNUMBER(deployment_raw[[#This Row],[Column11]]), (deployment_raw[[#This Row],[Column11]] * deployment_raw[[#This Row],[Column5]])/1048576,"")</f>
        <v/>
      </c>
      <c r="L385" s="180" t="str">
        <f>IF(ISNUMBER(deployment_raw[[#This Row],[Column8]]),IF(deployment_raw[[#This Row],[Column5]] &lt;&gt; 0, MAX((deployment_raw[[#This Row],[Column12]] * deployment_raw[[#This Row],[Column5]]), ((deployment_raw[[#This Row],[Column8]] * deployment_raw[[#This Row],[Column5]]) * $L$2), ($H$2 * deployment_raw[[#This Row],[Column5]])), 0),"")</f>
        <v/>
      </c>
      <c r="M38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85" s="188" t="str">
        <f>IF(ISNUMBER(deployment_raw[[#This Row],[Column14]]), deployment_raw[[#This Row],[Column14]],"")</f>
        <v/>
      </c>
      <c r="O385" s="189" t="str">
        <f>IF(ISNUMBER(deployment_raw[[#This Row],[Column15]]), deployment_raw[[#This Row],[Column15]]/1048576,"")</f>
        <v/>
      </c>
      <c r="P385" s="190" t="str">
        <f>IF(ISNUMBER(deployment_raw[[#This Row],[Column12]]), (deployment_raw[[#This Row],[Column12]] * deployment_raw[[#This Row],[Column5]]),"")</f>
        <v/>
      </c>
      <c r="Q385" s="189" t="str">
        <f>IF(ISNUMBER(deployment_raw[[#This Row],[Column13]]), (deployment_raw[[#This Row],[Column13]] * deployment_raw[[#This Row],[Column5]])/1048576,"")</f>
        <v/>
      </c>
    </row>
    <row r="386" spans="1:17" ht="15.75" customHeight="1" x14ac:dyDescent="0.25">
      <c r="A386" s="37" t="str">
        <f>IF(ISNONTEXT(deployment_raw[[#This Row],[Column1]]), "", deployment_raw[[#This Row],[Column1]])</f>
        <v/>
      </c>
      <c r="B386" s="38" t="str">
        <f>IF(ISNONTEXT(deployment_raw[[#This Row],[Column2]]), "", deployment_raw[[#This Row],[Column2]])</f>
        <v/>
      </c>
      <c r="C386" s="38" t="str">
        <f>IF(ISNONTEXT(deployment_raw[[#This Row],[Column3]]), "", deployment_raw[[#This Row],[Column3]])</f>
        <v/>
      </c>
      <c r="D386" s="38" t="str">
        <f>IF(ISNONTEXT(deployment_raw[[#This Row],[Column4]]), "", deployment_raw[[#This Row],[Column4]])</f>
        <v/>
      </c>
      <c r="E386" s="39" t="str">
        <f>IF(ISNUMBER(deployment_raw[[#This Row],[Column5]]), deployment_raw[[#This Row],[Column5]],"")</f>
        <v/>
      </c>
      <c r="F386" s="174" t="str">
        <f>IF(ISNUMBER(deployment_raw[[#This Row],[Column6]]), (deployment_raw[[#This Row],[Column6]] * deployment_raw[[#This Row],[Column5]]),"")</f>
        <v/>
      </c>
      <c r="G386" s="175" t="str">
        <f>IF(ISNUMBER(deployment_raw[[#This Row],[Column7]]), (deployment_raw[[#This Row],[Column7]] * deployment_raw[[#This Row],[Column5]])/1048576,"")</f>
        <v/>
      </c>
      <c r="H386" s="175" t="str">
        <f>IF(ISNUMBER(deployment_raw[[#This Row],[Column8]]), (deployment_raw[[#This Row],[Column8]]  * deployment_raw[[#This Row],[Column5]]),"")</f>
        <v/>
      </c>
      <c r="I386" s="176" t="str">
        <f>IF(ISNUMBER(deployment_raw[[#This Row],[Column9]]), (deployment_raw[[#This Row],[Column9]] * deployment_raw[[#This Row],[Column5]])/1048576,"")</f>
        <v/>
      </c>
      <c r="J386" s="57" t="str">
        <f>IF(ISNUMBER(deployment_raw[[#This Row],[Column10]]), (deployment_raw[[#This Row],[Column10]] * deployment_raw[[#This Row],[Column5]]),"")</f>
        <v/>
      </c>
      <c r="K386" s="58" t="str">
        <f>IF(ISNUMBER(deployment_raw[[#This Row],[Column11]]), (deployment_raw[[#This Row],[Column11]] * deployment_raw[[#This Row],[Column5]])/1048576,"")</f>
        <v/>
      </c>
      <c r="L386" s="180" t="str">
        <f>IF(ISNUMBER(deployment_raw[[#This Row],[Column8]]),IF(deployment_raw[[#This Row],[Column5]] &lt;&gt; 0, MAX((deployment_raw[[#This Row],[Column12]] * deployment_raw[[#This Row],[Column5]]), ((deployment_raw[[#This Row],[Column8]] * deployment_raw[[#This Row],[Column5]]) * $L$2), ($H$2 * deployment_raw[[#This Row],[Column5]])), 0),"")</f>
        <v/>
      </c>
      <c r="M38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86" s="188" t="str">
        <f>IF(ISNUMBER(deployment_raw[[#This Row],[Column14]]), deployment_raw[[#This Row],[Column14]],"")</f>
        <v/>
      </c>
      <c r="O386" s="189" t="str">
        <f>IF(ISNUMBER(deployment_raw[[#This Row],[Column15]]), deployment_raw[[#This Row],[Column15]]/1048576,"")</f>
        <v/>
      </c>
      <c r="P386" s="190" t="str">
        <f>IF(ISNUMBER(deployment_raw[[#This Row],[Column12]]), (deployment_raw[[#This Row],[Column12]] * deployment_raw[[#This Row],[Column5]]),"")</f>
        <v/>
      </c>
      <c r="Q386" s="189" t="str">
        <f>IF(ISNUMBER(deployment_raw[[#This Row],[Column13]]), (deployment_raw[[#This Row],[Column13]] * deployment_raw[[#This Row],[Column5]])/1048576,"")</f>
        <v/>
      </c>
    </row>
    <row r="387" spans="1:17" ht="15.75" customHeight="1" x14ac:dyDescent="0.25">
      <c r="A387" s="37" t="str">
        <f>IF(ISNONTEXT(deployment_raw[[#This Row],[Column1]]), "", deployment_raw[[#This Row],[Column1]])</f>
        <v/>
      </c>
      <c r="B387" s="38" t="str">
        <f>IF(ISNONTEXT(deployment_raw[[#This Row],[Column2]]), "", deployment_raw[[#This Row],[Column2]])</f>
        <v/>
      </c>
      <c r="C387" s="38" t="str">
        <f>IF(ISNONTEXT(deployment_raw[[#This Row],[Column3]]), "", deployment_raw[[#This Row],[Column3]])</f>
        <v/>
      </c>
      <c r="D387" s="38" t="str">
        <f>IF(ISNONTEXT(deployment_raw[[#This Row],[Column4]]), "", deployment_raw[[#This Row],[Column4]])</f>
        <v/>
      </c>
      <c r="E387" s="39" t="str">
        <f>IF(ISNUMBER(deployment_raw[[#This Row],[Column5]]), deployment_raw[[#This Row],[Column5]],"")</f>
        <v/>
      </c>
      <c r="F387" s="174" t="str">
        <f>IF(ISNUMBER(deployment_raw[[#This Row],[Column6]]), (deployment_raw[[#This Row],[Column6]] * deployment_raw[[#This Row],[Column5]]),"")</f>
        <v/>
      </c>
      <c r="G387" s="175" t="str">
        <f>IF(ISNUMBER(deployment_raw[[#This Row],[Column7]]), (deployment_raw[[#This Row],[Column7]] * deployment_raw[[#This Row],[Column5]])/1048576,"")</f>
        <v/>
      </c>
      <c r="H387" s="175" t="str">
        <f>IF(ISNUMBER(deployment_raw[[#This Row],[Column8]]), (deployment_raw[[#This Row],[Column8]]  * deployment_raw[[#This Row],[Column5]]),"")</f>
        <v/>
      </c>
      <c r="I387" s="176" t="str">
        <f>IF(ISNUMBER(deployment_raw[[#This Row],[Column9]]), (deployment_raw[[#This Row],[Column9]] * deployment_raw[[#This Row],[Column5]])/1048576,"")</f>
        <v/>
      </c>
      <c r="J387" s="57" t="str">
        <f>IF(ISNUMBER(deployment_raw[[#This Row],[Column10]]), (deployment_raw[[#This Row],[Column10]] * deployment_raw[[#This Row],[Column5]]),"")</f>
        <v/>
      </c>
      <c r="K387" s="58" t="str">
        <f>IF(ISNUMBER(deployment_raw[[#This Row],[Column11]]), (deployment_raw[[#This Row],[Column11]] * deployment_raw[[#This Row],[Column5]])/1048576,"")</f>
        <v/>
      </c>
      <c r="L387" s="180" t="str">
        <f>IF(ISNUMBER(deployment_raw[[#This Row],[Column8]]),IF(deployment_raw[[#This Row],[Column5]] &lt;&gt; 0, MAX((deployment_raw[[#This Row],[Column12]] * deployment_raw[[#This Row],[Column5]]), ((deployment_raw[[#This Row],[Column8]] * deployment_raw[[#This Row],[Column5]]) * $L$2), ($H$2 * deployment_raw[[#This Row],[Column5]])), 0),"")</f>
        <v/>
      </c>
      <c r="M38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87" s="188" t="str">
        <f>IF(ISNUMBER(deployment_raw[[#This Row],[Column14]]), deployment_raw[[#This Row],[Column14]],"")</f>
        <v/>
      </c>
      <c r="O387" s="189" t="str">
        <f>IF(ISNUMBER(deployment_raw[[#This Row],[Column15]]), deployment_raw[[#This Row],[Column15]]/1048576,"")</f>
        <v/>
      </c>
      <c r="P387" s="190" t="str">
        <f>IF(ISNUMBER(deployment_raw[[#This Row],[Column12]]), (deployment_raw[[#This Row],[Column12]] * deployment_raw[[#This Row],[Column5]]),"")</f>
        <v/>
      </c>
      <c r="Q387" s="189" t="str">
        <f>IF(ISNUMBER(deployment_raw[[#This Row],[Column13]]), (deployment_raw[[#This Row],[Column13]] * deployment_raw[[#This Row],[Column5]])/1048576,"")</f>
        <v/>
      </c>
    </row>
    <row r="388" spans="1:17" ht="15.75" customHeight="1" x14ac:dyDescent="0.25">
      <c r="A388" s="37" t="str">
        <f>IF(ISNONTEXT(deployment_raw[[#This Row],[Column1]]), "", deployment_raw[[#This Row],[Column1]])</f>
        <v/>
      </c>
      <c r="B388" s="38" t="str">
        <f>IF(ISNONTEXT(deployment_raw[[#This Row],[Column2]]), "", deployment_raw[[#This Row],[Column2]])</f>
        <v/>
      </c>
      <c r="C388" s="38" t="str">
        <f>IF(ISNONTEXT(deployment_raw[[#This Row],[Column3]]), "", deployment_raw[[#This Row],[Column3]])</f>
        <v/>
      </c>
      <c r="D388" s="38" t="str">
        <f>IF(ISNONTEXT(deployment_raw[[#This Row],[Column4]]), "", deployment_raw[[#This Row],[Column4]])</f>
        <v/>
      </c>
      <c r="E388" s="39" t="str">
        <f>IF(ISNUMBER(deployment_raw[[#This Row],[Column5]]), deployment_raw[[#This Row],[Column5]],"")</f>
        <v/>
      </c>
      <c r="F388" s="174" t="str">
        <f>IF(ISNUMBER(deployment_raw[[#This Row],[Column6]]), (deployment_raw[[#This Row],[Column6]] * deployment_raw[[#This Row],[Column5]]),"")</f>
        <v/>
      </c>
      <c r="G388" s="175" t="str">
        <f>IF(ISNUMBER(deployment_raw[[#This Row],[Column7]]), (deployment_raw[[#This Row],[Column7]] * deployment_raw[[#This Row],[Column5]])/1048576,"")</f>
        <v/>
      </c>
      <c r="H388" s="175" t="str">
        <f>IF(ISNUMBER(deployment_raw[[#This Row],[Column8]]), (deployment_raw[[#This Row],[Column8]]  * deployment_raw[[#This Row],[Column5]]),"")</f>
        <v/>
      </c>
      <c r="I388" s="176" t="str">
        <f>IF(ISNUMBER(deployment_raw[[#This Row],[Column9]]), (deployment_raw[[#This Row],[Column9]] * deployment_raw[[#This Row],[Column5]])/1048576,"")</f>
        <v/>
      </c>
      <c r="J388" s="57" t="str">
        <f>IF(ISNUMBER(deployment_raw[[#This Row],[Column10]]), (deployment_raw[[#This Row],[Column10]] * deployment_raw[[#This Row],[Column5]]),"")</f>
        <v/>
      </c>
      <c r="K388" s="58" t="str">
        <f>IF(ISNUMBER(deployment_raw[[#This Row],[Column11]]), (deployment_raw[[#This Row],[Column11]] * deployment_raw[[#This Row],[Column5]])/1048576,"")</f>
        <v/>
      </c>
      <c r="L388" s="180" t="str">
        <f>IF(ISNUMBER(deployment_raw[[#This Row],[Column8]]),IF(deployment_raw[[#This Row],[Column5]] &lt;&gt; 0, MAX((deployment_raw[[#This Row],[Column12]] * deployment_raw[[#This Row],[Column5]]), ((deployment_raw[[#This Row],[Column8]] * deployment_raw[[#This Row],[Column5]]) * $L$2), ($H$2 * deployment_raw[[#This Row],[Column5]])), 0),"")</f>
        <v/>
      </c>
      <c r="M38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88" s="188" t="str">
        <f>IF(ISNUMBER(deployment_raw[[#This Row],[Column14]]), deployment_raw[[#This Row],[Column14]],"")</f>
        <v/>
      </c>
      <c r="O388" s="189" t="str">
        <f>IF(ISNUMBER(deployment_raw[[#This Row],[Column15]]), deployment_raw[[#This Row],[Column15]]/1048576,"")</f>
        <v/>
      </c>
      <c r="P388" s="190" t="str">
        <f>IF(ISNUMBER(deployment_raw[[#This Row],[Column12]]), (deployment_raw[[#This Row],[Column12]] * deployment_raw[[#This Row],[Column5]]),"")</f>
        <v/>
      </c>
      <c r="Q388" s="189" t="str">
        <f>IF(ISNUMBER(deployment_raw[[#This Row],[Column13]]), (deployment_raw[[#This Row],[Column13]] * deployment_raw[[#This Row],[Column5]])/1048576,"")</f>
        <v/>
      </c>
    </row>
    <row r="389" spans="1:17" ht="15.75" customHeight="1" x14ac:dyDescent="0.25">
      <c r="A389" s="37" t="str">
        <f>IF(ISNONTEXT(deployment_raw[[#This Row],[Column1]]), "", deployment_raw[[#This Row],[Column1]])</f>
        <v/>
      </c>
      <c r="B389" s="38" t="str">
        <f>IF(ISNONTEXT(deployment_raw[[#This Row],[Column2]]), "", deployment_raw[[#This Row],[Column2]])</f>
        <v/>
      </c>
      <c r="C389" s="38" t="str">
        <f>IF(ISNONTEXT(deployment_raw[[#This Row],[Column3]]), "", deployment_raw[[#This Row],[Column3]])</f>
        <v/>
      </c>
      <c r="D389" s="38" t="str">
        <f>IF(ISNONTEXT(deployment_raw[[#This Row],[Column4]]), "", deployment_raw[[#This Row],[Column4]])</f>
        <v/>
      </c>
      <c r="E389" s="39" t="str">
        <f>IF(ISNUMBER(deployment_raw[[#This Row],[Column5]]), deployment_raw[[#This Row],[Column5]],"")</f>
        <v/>
      </c>
      <c r="F389" s="174" t="str">
        <f>IF(ISNUMBER(deployment_raw[[#This Row],[Column6]]), (deployment_raw[[#This Row],[Column6]] * deployment_raw[[#This Row],[Column5]]),"")</f>
        <v/>
      </c>
      <c r="G389" s="175" t="str">
        <f>IF(ISNUMBER(deployment_raw[[#This Row],[Column7]]), (deployment_raw[[#This Row],[Column7]] * deployment_raw[[#This Row],[Column5]])/1048576,"")</f>
        <v/>
      </c>
      <c r="H389" s="175" t="str">
        <f>IF(ISNUMBER(deployment_raw[[#This Row],[Column8]]), (deployment_raw[[#This Row],[Column8]]  * deployment_raw[[#This Row],[Column5]]),"")</f>
        <v/>
      </c>
      <c r="I389" s="176" t="str">
        <f>IF(ISNUMBER(deployment_raw[[#This Row],[Column9]]), (deployment_raw[[#This Row],[Column9]] * deployment_raw[[#This Row],[Column5]])/1048576,"")</f>
        <v/>
      </c>
      <c r="J389" s="57" t="str">
        <f>IF(ISNUMBER(deployment_raw[[#This Row],[Column10]]), (deployment_raw[[#This Row],[Column10]] * deployment_raw[[#This Row],[Column5]]),"")</f>
        <v/>
      </c>
      <c r="K389" s="58" t="str">
        <f>IF(ISNUMBER(deployment_raw[[#This Row],[Column11]]), (deployment_raw[[#This Row],[Column11]] * deployment_raw[[#This Row],[Column5]])/1048576,"")</f>
        <v/>
      </c>
      <c r="L389" s="180" t="str">
        <f>IF(ISNUMBER(deployment_raw[[#This Row],[Column8]]),IF(deployment_raw[[#This Row],[Column5]] &lt;&gt; 0, MAX((deployment_raw[[#This Row],[Column12]] * deployment_raw[[#This Row],[Column5]]), ((deployment_raw[[#This Row],[Column8]] * deployment_raw[[#This Row],[Column5]]) * $L$2), ($H$2 * deployment_raw[[#This Row],[Column5]])), 0),"")</f>
        <v/>
      </c>
      <c r="M38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89" s="188" t="str">
        <f>IF(ISNUMBER(deployment_raw[[#This Row],[Column14]]), deployment_raw[[#This Row],[Column14]],"")</f>
        <v/>
      </c>
      <c r="O389" s="189" t="str">
        <f>IF(ISNUMBER(deployment_raw[[#This Row],[Column15]]), deployment_raw[[#This Row],[Column15]]/1048576,"")</f>
        <v/>
      </c>
      <c r="P389" s="190" t="str">
        <f>IF(ISNUMBER(deployment_raw[[#This Row],[Column12]]), (deployment_raw[[#This Row],[Column12]] * deployment_raw[[#This Row],[Column5]]),"")</f>
        <v/>
      </c>
      <c r="Q389" s="189" t="str">
        <f>IF(ISNUMBER(deployment_raw[[#This Row],[Column13]]), (deployment_raw[[#This Row],[Column13]] * deployment_raw[[#This Row],[Column5]])/1048576,"")</f>
        <v/>
      </c>
    </row>
    <row r="390" spans="1:17" ht="15.75" customHeight="1" x14ac:dyDescent="0.25">
      <c r="A390" s="37" t="str">
        <f>IF(ISNONTEXT(deployment_raw[[#This Row],[Column1]]), "", deployment_raw[[#This Row],[Column1]])</f>
        <v/>
      </c>
      <c r="B390" s="38" t="str">
        <f>IF(ISNONTEXT(deployment_raw[[#This Row],[Column2]]), "", deployment_raw[[#This Row],[Column2]])</f>
        <v/>
      </c>
      <c r="C390" s="38" t="str">
        <f>IF(ISNONTEXT(deployment_raw[[#This Row],[Column3]]), "", deployment_raw[[#This Row],[Column3]])</f>
        <v/>
      </c>
      <c r="D390" s="38" t="str">
        <f>IF(ISNONTEXT(deployment_raw[[#This Row],[Column4]]), "", deployment_raw[[#This Row],[Column4]])</f>
        <v/>
      </c>
      <c r="E390" s="39" t="str">
        <f>IF(ISNUMBER(deployment_raw[[#This Row],[Column5]]), deployment_raw[[#This Row],[Column5]],"")</f>
        <v/>
      </c>
      <c r="F390" s="174" t="str">
        <f>IF(ISNUMBER(deployment_raw[[#This Row],[Column6]]), (deployment_raw[[#This Row],[Column6]] * deployment_raw[[#This Row],[Column5]]),"")</f>
        <v/>
      </c>
      <c r="G390" s="175" t="str">
        <f>IF(ISNUMBER(deployment_raw[[#This Row],[Column7]]), (deployment_raw[[#This Row],[Column7]] * deployment_raw[[#This Row],[Column5]])/1048576,"")</f>
        <v/>
      </c>
      <c r="H390" s="175" t="str">
        <f>IF(ISNUMBER(deployment_raw[[#This Row],[Column8]]), (deployment_raw[[#This Row],[Column8]]  * deployment_raw[[#This Row],[Column5]]),"")</f>
        <v/>
      </c>
      <c r="I390" s="176" t="str">
        <f>IF(ISNUMBER(deployment_raw[[#This Row],[Column9]]), (deployment_raw[[#This Row],[Column9]] * deployment_raw[[#This Row],[Column5]])/1048576,"")</f>
        <v/>
      </c>
      <c r="J390" s="57" t="str">
        <f>IF(ISNUMBER(deployment_raw[[#This Row],[Column10]]), (deployment_raw[[#This Row],[Column10]] * deployment_raw[[#This Row],[Column5]]),"")</f>
        <v/>
      </c>
      <c r="K390" s="58" t="str">
        <f>IF(ISNUMBER(deployment_raw[[#This Row],[Column11]]), (deployment_raw[[#This Row],[Column11]] * deployment_raw[[#This Row],[Column5]])/1048576,"")</f>
        <v/>
      </c>
      <c r="L390" s="180" t="str">
        <f>IF(ISNUMBER(deployment_raw[[#This Row],[Column8]]),IF(deployment_raw[[#This Row],[Column5]] &lt;&gt; 0, MAX((deployment_raw[[#This Row],[Column12]] * deployment_raw[[#This Row],[Column5]]), ((deployment_raw[[#This Row],[Column8]] * deployment_raw[[#This Row],[Column5]]) * $L$2), ($H$2 * deployment_raw[[#This Row],[Column5]])), 0),"")</f>
        <v/>
      </c>
      <c r="M39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90" s="188" t="str">
        <f>IF(ISNUMBER(deployment_raw[[#This Row],[Column14]]), deployment_raw[[#This Row],[Column14]],"")</f>
        <v/>
      </c>
      <c r="O390" s="189" t="str">
        <f>IF(ISNUMBER(deployment_raw[[#This Row],[Column15]]), deployment_raw[[#This Row],[Column15]]/1048576,"")</f>
        <v/>
      </c>
      <c r="P390" s="190" t="str">
        <f>IF(ISNUMBER(deployment_raw[[#This Row],[Column12]]), (deployment_raw[[#This Row],[Column12]] * deployment_raw[[#This Row],[Column5]]),"")</f>
        <v/>
      </c>
      <c r="Q390" s="189" t="str">
        <f>IF(ISNUMBER(deployment_raw[[#This Row],[Column13]]), (deployment_raw[[#This Row],[Column13]] * deployment_raw[[#This Row],[Column5]])/1048576,"")</f>
        <v/>
      </c>
    </row>
    <row r="391" spans="1:17" ht="15.75" customHeight="1" x14ac:dyDescent="0.25">
      <c r="A391" s="37" t="str">
        <f>IF(ISNONTEXT(deployment_raw[[#This Row],[Column1]]), "", deployment_raw[[#This Row],[Column1]])</f>
        <v/>
      </c>
      <c r="B391" s="38" t="str">
        <f>IF(ISNONTEXT(deployment_raw[[#This Row],[Column2]]), "", deployment_raw[[#This Row],[Column2]])</f>
        <v/>
      </c>
      <c r="C391" s="38" t="str">
        <f>IF(ISNONTEXT(deployment_raw[[#This Row],[Column3]]), "", deployment_raw[[#This Row],[Column3]])</f>
        <v/>
      </c>
      <c r="D391" s="38" t="str">
        <f>IF(ISNONTEXT(deployment_raw[[#This Row],[Column4]]), "", deployment_raw[[#This Row],[Column4]])</f>
        <v/>
      </c>
      <c r="E391" s="39" t="str">
        <f>IF(ISNUMBER(deployment_raw[[#This Row],[Column5]]), deployment_raw[[#This Row],[Column5]],"")</f>
        <v/>
      </c>
      <c r="F391" s="174" t="str">
        <f>IF(ISNUMBER(deployment_raw[[#This Row],[Column6]]), (deployment_raw[[#This Row],[Column6]] * deployment_raw[[#This Row],[Column5]]),"")</f>
        <v/>
      </c>
      <c r="G391" s="175" t="str">
        <f>IF(ISNUMBER(deployment_raw[[#This Row],[Column7]]), (deployment_raw[[#This Row],[Column7]] * deployment_raw[[#This Row],[Column5]])/1048576,"")</f>
        <v/>
      </c>
      <c r="H391" s="175" t="str">
        <f>IF(ISNUMBER(deployment_raw[[#This Row],[Column8]]), (deployment_raw[[#This Row],[Column8]]  * deployment_raw[[#This Row],[Column5]]),"")</f>
        <v/>
      </c>
      <c r="I391" s="176" t="str">
        <f>IF(ISNUMBER(deployment_raw[[#This Row],[Column9]]), (deployment_raw[[#This Row],[Column9]] * deployment_raw[[#This Row],[Column5]])/1048576,"")</f>
        <v/>
      </c>
      <c r="J391" s="57" t="str">
        <f>IF(ISNUMBER(deployment_raw[[#This Row],[Column10]]), (deployment_raw[[#This Row],[Column10]] * deployment_raw[[#This Row],[Column5]]),"")</f>
        <v/>
      </c>
      <c r="K391" s="58" t="str">
        <f>IF(ISNUMBER(deployment_raw[[#This Row],[Column11]]), (deployment_raw[[#This Row],[Column11]] * deployment_raw[[#This Row],[Column5]])/1048576,"")</f>
        <v/>
      </c>
      <c r="L391" s="180" t="str">
        <f>IF(ISNUMBER(deployment_raw[[#This Row],[Column8]]),IF(deployment_raw[[#This Row],[Column5]] &lt;&gt; 0, MAX((deployment_raw[[#This Row],[Column12]] * deployment_raw[[#This Row],[Column5]]), ((deployment_raw[[#This Row],[Column8]] * deployment_raw[[#This Row],[Column5]]) * $L$2), ($H$2 * deployment_raw[[#This Row],[Column5]])), 0),"")</f>
        <v/>
      </c>
      <c r="M39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91" s="188" t="str">
        <f>IF(ISNUMBER(deployment_raw[[#This Row],[Column14]]), deployment_raw[[#This Row],[Column14]],"")</f>
        <v/>
      </c>
      <c r="O391" s="189" t="str">
        <f>IF(ISNUMBER(deployment_raw[[#This Row],[Column15]]), deployment_raw[[#This Row],[Column15]]/1048576,"")</f>
        <v/>
      </c>
      <c r="P391" s="190" t="str">
        <f>IF(ISNUMBER(deployment_raw[[#This Row],[Column12]]), (deployment_raw[[#This Row],[Column12]] * deployment_raw[[#This Row],[Column5]]),"")</f>
        <v/>
      </c>
      <c r="Q391" s="189" t="str">
        <f>IF(ISNUMBER(deployment_raw[[#This Row],[Column13]]), (deployment_raw[[#This Row],[Column13]] * deployment_raw[[#This Row],[Column5]])/1048576,"")</f>
        <v/>
      </c>
    </row>
    <row r="392" spans="1:17" ht="15.75" customHeight="1" x14ac:dyDescent="0.25">
      <c r="A392" s="37" t="str">
        <f>IF(ISNONTEXT(deployment_raw[[#This Row],[Column1]]), "", deployment_raw[[#This Row],[Column1]])</f>
        <v/>
      </c>
      <c r="B392" s="38" t="str">
        <f>IF(ISNONTEXT(deployment_raw[[#This Row],[Column2]]), "", deployment_raw[[#This Row],[Column2]])</f>
        <v/>
      </c>
      <c r="C392" s="38" t="str">
        <f>IF(ISNONTEXT(deployment_raw[[#This Row],[Column3]]), "", deployment_raw[[#This Row],[Column3]])</f>
        <v/>
      </c>
      <c r="D392" s="38" t="str">
        <f>IF(ISNONTEXT(deployment_raw[[#This Row],[Column4]]), "", deployment_raw[[#This Row],[Column4]])</f>
        <v/>
      </c>
      <c r="E392" s="39" t="str">
        <f>IF(ISNUMBER(deployment_raw[[#This Row],[Column5]]), deployment_raw[[#This Row],[Column5]],"")</f>
        <v/>
      </c>
      <c r="F392" s="174" t="str">
        <f>IF(ISNUMBER(deployment_raw[[#This Row],[Column6]]), (deployment_raw[[#This Row],[Column6]] * deployment_raw[[#This Row],[Column5]]),"")</f>
        <v/>
      </c>
      <c r="G392" s="175" t="str">
        <f>IF(ISNUMBER(deployment_raw[[#This Row],[Column7]]), (deployment_raw[[#This Row],[Column7]] * deployment_raw[[#This Row],[Column5]])/1048576,"")</f>
        <v/>
      </c>
      <c r="H392" s="175" t="str">
        <f>IF(ISNUMBER(deployment_raw[[#This Row],[Column8]]), (deployment_raw[[#This Row],[Column8]]  * deployment_raw[[#This Row],[Column5]]),"")</f>
        <v/>
      </c>
      <c r="I392" s="176" t="str">
        <f>IF(ISNUMBER(deployment_raw[[#This Row],[Column9]]), (deployment_raw[[#This Row],[Column9]] * deployment_raw[[#This Row],[Column5]])/1048576,"")</f>
        <v/>
      </c>
      <c r="J392" s="57" t="str">
        <f>IF(ISNUMBER(deployment_raw[[#This Row],[Column10]]), (deployment_raw[[#This Row],[Column10]] * deployment_raw[[#This Row],[Column5]]),"")</f>
        <v/>
      </c>
      <c r="K392" s="58" t="str">
        <f>IF(ISNUMBER(deployment_raw[[#This Row],[Column11]]), (deployment_raw[[#This Row],[Column11]] * deployment_raw[[#This Row],[Column5]])/1048576,"")</f>
        <v/>
      </c>
      <c r="L392" s="180" t="str">
        <f>IF(ISNUMBER(deployment_raw[[#This Row],[Column8]]),IF(deployment_raw[[#This Row],[Column5]] &lt;&gt; 0, MAX((deployment_raw[[#This Row],[Column12]] * deployment_raw[[#This Row],[Column5]]), ((deployment_raw[[#This Row],[Column8]] * deployment_raw[[#This Row],[Column5]]) * $L$2), ($H$2 * deployment_raw[[#This Row],[Column5]])), 0),"")</f>
        <v/>
      </c>
      <c r="M39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92" s="188" t="str">
        <f>IF(ISNUMBER(deployment_raw[[#This Row],[Column14]]), deployment_raw[[#This Row],[Column14]],"")</f>
        <v/>
      </c>
      <c r="O392" s="189" t="str">
        <f>IF(ISNUMBER(deployment_raw[[#This Row],[Column15]]), deployment_raw[[#This Row],[Column15]]/1048576,"")</f>
        <v/>
      </c>
      <c r="P392" s="190" t="str">
        <f>IF(ISNUMBER(deployment_raw[[#This Row],[Column12]]), (deployment_raw[[#This Row],[Column12]] * deployment_raw[[#This Row],[Column5]]),"")</f>
        <v/>
      </c>
      <c r="Q392" s="189" t="str">
        <f>IF(ISNUMBER(deployment_raw[[#This Row],[Column13]]), (deployment_raw[[#This Row],[Column13]] * deployment_raw[[#This Row],[Column5]])/1048576,"")</f>
        <v/>
      </c>
    </row>
    <row r="393" spans="1:17" ht="15.75" customHeight="1" x14ac:dyDescent="0.25">
      <c r="A393" s="37" t="str">
        <f>IF(ISNONTEXT(deployment_raw[[#This Row],[Column1]]), "", deployment_raw[[#This Row],[Column1]])</f>
        <v/>
      </c>
      <c r="B393" s="38" t="str">
        <f>IF(ISNONTEXT(deployment_raw[[#This Row],[Column2]]), "", deployment_raw[[#This Row],[Column2]])</f>
        <v/>
      </c>
      <c r="C393" s="38" t="str">
        <f>IF(ISNONTEXT(deployment_raw[[#This Row],[Column3]]), "", deployment_raw[[#This Row],[Column3]])</f>
        <v/>
      </c>
      <c r="D393" s="38" t="str">
        <f>IF(ISNONTEXT(deployment_raw[[#This Row],[Column4]]), "", deployment_raw[[#This Row],[Column4]])</f>
        <v/>
      </c>
      <c r="E393" s="39" t="str">
        <f>IF(ISNUMBER(deployment_raw[[#This Row],[Column5]]), deployment_raw[[#This Row],[Column5]],"")</f>
        <v/>
      </c>
      <c r="F393" s="174" t="str">
        <f>IF(ISNUMBER(deployment_raw[[#This Row],[Column6]]), (deployment_raw[[#This Row],[Column6]] * deployment_raw[[#This Row],[Column5]]),"")</f>
        <v/>
      </c>
      <c r="G393" s="175" t="str">
        <f>IF(ISNUMBER(deployment_raw[[#This Row],[Column7]]), (deployment_raw[[#This Row],[Column7]] * deployment_raw[[#This Row],[Column5]])/1048576,"")</f>
        <v/>
      </c>
      <c r="H393" s="175" t="str">
        <f>IF(ISNUMBER(deployment_raw[[#This Row],[Column8]]), (deployment_raw[[#This Row],[Column8]]  * deployment_raw[[#This Row],[Column5]]),"")</f>
        <v/>
      </c>
      <c r="I393" s="176" t="str">
        <f>IF(ISNUMBER(deployment_raw[[#This Row],[Column9]]), (deployment_raw[[#This Row],[Column9]] * deployment_raw[[#This Row],[Column5]])/1048576,"")</f>
        <v/>
      </c>
      <c r="J393" s="57" t="str">
        <f>IF(ISNUMBER(deployment_raw[[#This Row],[Column10]]), (deployment_raw[[#This Row],[Column10]] * deployment_raw[[#This Row],[Column5]]),"")</f>
        <v/>
      </c>
      <c r="K393" s="58" t="str">
        <f>IF(ISNUMBER(deployment_raw[[#This Row],[Column11]]), (deployment_raw[[#This Row],[Column11]] * deployment_raw[[#This Row],[Column5]])/1048576,"")</f>
        <v/>
      </c>
      <c r="L393" s="180" t="str">
        <f>IF(ISNUMBER(deployment_raw[[#This Row],[Column8]]),IF(deployment_raw[[#This Row],[Column5]] &lt;&gt; 0, MAX((deployment_raw[[#This Row],[Column12]] * deployment_raw[[#This Row],[Column5]]), ((deployment_raw[[#This Row],[Column8]] * deployment_raw[[#This Row],[Column5]]) * $L$2), ($H$2 * deployment_raw[[#This Row],[Column5]])), 0),"")</f>
        <v/>
      </c>
      <c r="M39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93" s="188" t="str">
        <f>IF(ISNUMBER(deployment_raw[[#This Row],[Column14]]), deployment_raw[[#This Row],[Column14]],"")</f>
        <v/>
      </c>
      <c r="O393" s="189" t="str">
        <f>IF(ISNUMBER(deployment_raw[[#This Row],[Column15]]), deployment_raw[[#This Row],[Column15]]/1048576,"")</f>
        <v/>
      </c>
      <c r="P393" s="190" t="str">
        <f>IF(ISNUMBER(deployment_raw[[#This Row],[Column12]]), (deployment_raw[[#This Row],[Column12]] * deployment_raw[[#This Row],[Column5]]),"")</f>
        <v/>
      </c>
      <c r="Q393" s="189" t="str">
        <f>IF(ISNUMBER(deployment_raw[[#This Row],[Column13]]), (deployment_raw[[#This Row],[Column13]] * deployment_raw[[#This Row],[Column5]])/1048576,"")</f>
        <v/>
      </c>
    </row>
    <row r="394" spans="1:17" ht="15.75" customHeight="1" x14ac:dyDescent="0.25">
      <c r="A394" s="37" t="str">
        <f>IF(ISNONTEXT(deployment_raw[[#This Row],[Column1]]), "", deployment_raw[[#This Row],[Column1]])</f>
        <v/>
      </c>
      <c r="B394" s="38" t="str">
        <f>IF(ISNONTEXT(deployment_raw[[#This Row],[Column2]]), "", deployment_raw[[#This Row],[Column2]])</f>
        <v/>
      </c>
      <c r="C394" s="38" t="str">
        <f>IF(ISNONTEXT(deployment_raw[[#This Row],[Column3]]), "", deployment_raw[[#This Row],[Column3]])</f>
        <v/>
      </c>
      <c r="D394" s="38" t="str">
        <f>IF(ISNONTEXT(deployment_raw[[#This Row],[Column4]]), "", deployment_raw[[#This Row],[Column4]])</f>
        <v/>
      </c>
      <c r="E394" s="39" t="str">
        <f>IF(ISNUMBER(deployment_raw[[#This Row],[Column5]]), deployment_raw[[#This Row],[Column5]],"")</f>
        <v/>
      </c>
      <c r="F394" s="174" t="str">
        <f>IF(ISNUMBER(deployment_raw[[#This Row],[Column6]]), (deployment_raw[[#This Row],[Column6]] * deployment_raw[[#This Row],[Column5]]),"")</f>
        <v/>
      </c>
      <c r="G394" s="175" t="str">
        <f>IF(ISNUMBER(deployment_raw[[#This Row],[Column7]]), (deployment_raw[[#This Row],[Column7]] * deployment_raw[[#This Row],[Column5]])/1048576,"")</f>
        <v/>
      </c>
      <c r="H394" s="175" t="str">
        <f>IF(ISNUMBER(deployment_raw[[#This Row],[Column8]]), (deployment_raw[[#This Row],[Column8]]  * deployment_raw[[#This Row],[Column5]]),"")</f>
        <v/>
      </c>
      <c r="I394" s="176" t="str">
        <f>IF(ISNUMBER(deployment_raw[[#This Row],[Column9]]), (deployment_raw[[#This Row],[Column9]] * deployment_raw[[#This Row],[Column5]])/1048576,"")</f>
        <v/>
      </c>
      <c r="J394" s="57" t="str">
        <f>IF(ISNUMBER(deployment_raw[[#This Row],[Column10]]), (deployment_raw[[#This Row],[Column10]] * deployment_raw[[#This Row],[Column5]]),"")</f>
        <v/>
      </c>
      <c r="K394" s="58" t="str">
        <f>IF(ISNUMBER(deployment_raw[[#This Row],[Column11]]), (deployment_raw[[#This Row],[Column11]] * deployment_raw[[#This Row],[Column5]])/1048576,"")</f>
        <v/>
      </c>
      <c r="L394" s="180" t="str">
        <f>IF(ISNUMBER(deployment_raw[[#This Row],[Column8]]),IF(deployment_raw[[#This Row],[Column5]] &lt;&gt; 0, MAX((deployment_raw[[#This Row],[Column12]] * deployment_raw[[#This Row],[Column5]]), ((deployment_raw[[#This Row],[Column8]] * deployment_raw[[#This Row],[Column5]]) * $L$2), ($H$2 * deployment_raw[[#This Row],[Column5]])), 0),"")</f>
        <v/>
      </c>
      <c r="M39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94" s="188" t="str">
        <f>IF(ISNUMBER(deployment_raw[[#This Row],[Column14]]), deployment_raw[[#This Row],[Column14]],"")</f>
        <v/>
      </c>
      <c r="O394" s="189" t="str">
        <f>IF(ISNUMBER(deployment_raw[[#This Row],[Column15]]), deployment_raw[[#This Row],[Column15]]/1048576,"")</f>
        <v/>
      </c>
      <c r="P394" s="190" t="str">
        <f>IF(ISNUMBER(deployment_raw[[#This Row],[Column12]]), (deployment_raw[[#This Row],[Column12]] * deployment_raw[[#This Row],[Column5]]),"")</f>
        <v/>
      </c>
      <c r="Q394" s="189" t="str">
        <f>IF(ISNUMBER(deployment_raw[[#This Row],[Column13]]), (deployment_raw[[#This Row],[Column13]] * deployment_raw[[#This Row],[Column5]])/1048576,"")</f>
        <v/>
      </c>
    </row>
    <row r="395" spans="1:17" ht="15.75" customHeight="1" x14ac:dyDescent="0.25">
      <c r="A395" s="37" t="str">
        <f>IF(ISNONTEXT(deployment_raw[[#This Row],[Column1]]), "", deployment_raw[[#This Row],[Column1]])</f>
        <v/>
      </c>
      <c r="B395" s="38" t="str">
        <f>IF(ISNONTEXT(deployment_raw[[#This Row],[Column2]]), "", deployment_raw[[#This Row],[Column2]])</f>
        <v/>
      </c>
      <c r="C395" s="38" t="str">
        <f>IF(ISNONTEXT(deployment_raw[[#This Row],[Column3]]), "", deployment_raw[[#This Row],[Column3]])</f>
        <v/>
      </c>
      <c r="D395" s="38" t="str">
        <f>IF(ISNONTEXT(deployment_raw[[#This Row],[Column4]]), "", deployment_raw[[#This Row],[Column4]])</f>
        <v/>
      </c>
      <c r="E395" s="39" t="str">
        <f>IF(ISNUMBER(deployment_raw[[#This Row],[Column5]]), deployment_raw[[#This Row],[Column5]],"")</f>
        <v/>
      </c>
      <c r="F395" s="174" t="str">
        <f>IF(ISNUMBER(deployment_raw[[#This Row],[Column6]]), (deployment_raw[[#This Row],[Column6]] * deployment_raw[[#This Row],[Column5]]),"")</f>
        <v/>
      </c>
      <c r="G395" s="175" t="str">
        <f>IF(ISNUMBER(deployment_raw[[#This Row],[Column7]]), (deployment_raw[[#This Row],[Column7]] * deployment_raw[[#This Row],[Column5]])/1048576,"")</f>
        <v/>
      </c>
      <c r="H395" s="175" t="str">
        <f>IF(ISNUMBER(deployment_raw[[#This Row],[Column8]]), (deployment_raw[[#This Row],[Column8]]  * deployment_raw[[#This Row],[Column5]]),"")</f>
        <v/>
      </c>
      <c r="I395" s="176" t="str">
        <f>IF(ISNUMBER(deployment_raw[[#This Row],[Column9]]), (deployment_raw[[#This Row],[Column9]] * deployment_raw[[#This Row],[Column5]])/1048576,"")</f>
        <v/>
      </c>
      <c r="J395" s="57" t="str">
        <f>IF(ISNUMBER(deployment_raw[[#This Row],[Column10]]), (deployment_raw[[#This Row],[Column10]] * deployment_raw[[#This Row],[Column5]]),"")</f>
        <v/>
      </c>
      <c r="K395" s="58" t="str">
        <f>IF(ISNUMBER(deployment_raw[[#This Row],[Column11]]), (deployment_raw[[#This Row],[Column11]] * deployment_raw[[#This Row],[Column5]])/1048576,"")</f>
        <v/>
      </c>
      <c r="L395" s="180" t="str">
        <f>IF(ISNUMBER(deployment_raw[[#This Row],[Column8]]),IF(deployment_raw[[#This Row],[Column5]] &lt;&gt; 0, MAX((deployment_raw[[#This Row],[Column12]] * deployment_raw[[#This Row],[Column5]]), ((deployment_raw[[#This Row],[Column8]] * deployment_raw[[#This Row],[Column5]]) * $L$2), ($H$2 * deployment_raw[[#This Row],[Column5]])), 0),"")</f>
        <v/>
      </c>
      <c r="M39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95" s="188" t="str">
        <f>IF(ISNUMBER(deployment_raw[[#This Row],[Column14]]), deployment_raw[[#This Row],[Column14]],"")</f>
        <v/>
      </c>
      <c r="O395" s="189" t="str">
        <f>IF(ISNUMBER(deployment_raw[[#This Row],[Column15]]), deployment_raw[[#This Row],[Column15]]/1048576,"")</f>
        <v/>
      </c>
      <c r="P395" s="190" t="str">
        <f>IF(ISNUMBER(deployment_raw[[#This Row],[Column12]]), (deployment_raw[[#This Row],[Column12]] * deployment_raw[[#This Row],[Column5]]),"")</f>
        <v/>
      </c>
      <c r="Q395" s="189" t="str">
        <f>IF(ISNUMBER(deployment_raw[[#This Row],[Column13]]), (deployment_raw[[#This Row],[Column13]] * deployment_raw[[#This Row],[Column5]])/1048576,"")</f>
        <v/>
      </c>
    </row>
    <row r="396" spans="1:17" ht="15.75" customHeight="1" x14ac:dyDescent="0.25">
      <c r="A396" s="37" t="str">
        <f>IF(ISNONTEXT(deployment_raw[[#This Row],[Column1]]), "", deployment_raw[[#This Row],[Column1]])</f>
        <v/>
      </c>
      <c r="B396" s="38" t="str">
        <f>IF(ISNONTEXT(deployment_raw[[#This Row],[Column2]]), "", deployment_raw[[#This Row],[Column2]])</f>
        <v/>
      </c>
      <c r="C396" s="38" t="str">
        <f>IF(ISNONTEXT(deployment_raw[[#This Row],[Column3]]), "", deployment_raw[[#This Row],[Column3]])</f>
        <v/>
      </c>
      <c r="D396" s="38" t="str">
        <f>IF(ISNONTEXT(deployment_raw[[#This Row],[Column4]]), "", deployment_raw[[#This Row],[Column4]])</f>
        <v/>
      </c>
      <c r="E396" s="39" t="str">
        <f>IF(ISNUMBER(deployment_raw[[#This Row],[Column5]]), deployment_raw[[#This Row],[Column5]],"")</f>
        <v/>
      </c>
      <c r="F396" s="174" t="str">
        <f>IF(ISNUMBER(deployment_raw[[#This Row],[Column6]]), (deployment_raw[[#This Row],[Column6]] * deployment_raw[[#This Row],[Column5]]),"")</f>
        <v/>
      </c>
      <c r="G396" s="175" t="str">
        <f>IF(ISNUMBER(deployment_raw[[#This Row],[Column7]]), (deployment_raw[[#This Row],[Column7]] * deployment_raw[[#This Row],[Column5]])/1048576,"")</f>
        <v/>
      </c>
      <c r="H396" s="175" t="str">
        <f>IF(ISNUMBER(deployment_raw[[#This Row],[Column8]]), (deployment_raw[[#This Row],[Column8]]  * deployment_raw[[#This Row],[Column5]]),"")</f>
        <v/>
      </c>
      <c r="I396" s="176" t="str">
        <f>IF(ISNUMBER(deployment_raw[[#This Row],[Column9]]), (deployment_raw[[#This Row],[Column9]] * deployment_raw[[#This Row],[Column5]])/1048576,"")</f>
        <v/>
      </c>
      <c r="J396" s="57" t="str">
        <f>IF(ISNUMBER(deployment_raw[[#This Row],[Column10]]), (deployment_raw[[#This Row],[Column10]] * deployment_raw[[#This Row],[Column5]]),"")</f>
        <v/>
      </c>
      <c r="K396" s="58" t="str">
        <f>IF(ISNUMBER(deployment_raw[[#This Row],[Column11]]), (deployment_raw[[#This Row],[Column11]] * deployment_raw[[#This Row],[Column5]])/1048576,"")</f>
        <v/>
      </c>
      <c r="L396" s="180" t="str">
        <f>IF(ISNUMBER(deployment_raw[[#This Row],[Column8]]),IF(deployment_raw[[#This Row],[Column5]] &lt;&gt; 0, MAX((deployment_raw[[#This Row],[Column12]] * deployment_raw[[#This Row],[Column5]]), ((deployment_raw[[#This Row],[Column8]] * deployment_raw[[#This Row],[Column5]]) * $L$2), ($H$2 * deployment_raw[[#This Row],[Column5]])), 0),"")</f>
        <v/>
      </c>
      <c r="M39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96" s="188" t="str">
        <f>IF(ISNUMBER(deployment_raw[[#This Row],[Column14]]), deployment_raw[[#This Row],[Column14]],"")</f>
        <v/>
      </c>
      <c r="O396" s="189" t="str">
        <f>IF(ISNUMBER(deployment_raw[[#This Row],[Column15]]), deployment_raw[[#This Row],[Column15]]/1048576,"")</f>
        <v/>
      </c>
      <c r="P396" s="190" t="str">
        <f>IF(ISNUMBER(deployment_raw[[#This Row],[Column12]]), (deployment_raw[[#This Row],[Column12]] * deployment_raw[[#This Row],[Column5]]),"")</f>
        <v/>
      </c>
      <c r="Q396" s="189" t="str">
        <f>IF(ISNUMBER(deployment_raw[[#This Row],[Column13]]), (deployment_raw[[#This Row],[Column13]] * deployment_raw[[#This Row],[Column5]])/1048576,"")</f>
        <v/>
      </c>
    </row>
    <row r="397" spans="1:17" ht="15.75" customHeight="1" x14ac:dyDescent="0.25">
      <c r="A397" s="37" t="str">
        <f>IF(ISNONTEXT(deployment_raw[[#This Row],[Column1]]), "", deployment_raw[[#This Row],[Column1]])</f>
        <v/>
      </c>
      <c r="B397" s="38" t="str">
        <f>IF(ISNONTEXT(deployment_raw[[#This Row],[Column2]]), "", deployment_raw[[#This Row],[Column2]])</f>
        <v/>
      </c>
      <c r="C397" s="38" t="str">
        <f>IF(ISNONTEXT(deployment_raw[[#This Row],[Column3]]), "", deployment_raw[[#This Row],[Column3]])</f>
        <v/>
      </c>
      <c r="D397" s="38" t="str">
        <f>IF(ISNONTEXT(deployment_raw[[#This Row],[Column4]]), "", deployment_raw[[#This Row],[Column4]])</f>
        <v/>
      </c>
      <c r="E397" s="39" t="str">
        <f>IF(ISNUMBER(deployment_raw[[#This Row],[Column5]]), deployment_raw[[#This Row],[Column5]],"")</f>
        <v/>
      </c>
      <c r="F397" s="174" t="str">
        <f>IF(ISNUMBER(deployment_raw[[#This Row],[Column6]]), (deployment_raw[[#This Row],[Column6]] * deployment_raw[[#This Row],[Column5]]),"")</f>
        <v/>
      </c>
      <c r="G397" s="175" t="str">
        <f>IF(ISNUMBER(deployment_raw[[#This Row],[Column7]]), (deployment_raw[[#This Row],[Column7]] * deployment_raw[[#This Row],[Column5]])/1048576,"")</f>
        <v/>
      </c>
      <c r="H397" s="175" t="str">
        <f>IF(ISNUMBER(deployment_raw[[#This Row],[Column8]]), (deployment_raw[[#This Row],[Column8]]  * deployment_raw[[#This Row],[Column5]]),"")</f>
        <v/>
      </c>
      <c r="I397" s="176" t="str">
        <f>IF(ISNUMBER(deployment_raw[[#This Row],[Column9]]), (deployment_raw[[#This Row],[Column9]] * deployment_raw[[#This Row],[Column5]])/1048576,"")</f>
        <v/>
      </c>
      <c r="J397" s="57" t="str">
        <f>IF(ISNUMBER(deployment_raw[[#This Row],[Column10]]), (deployment_raw[[#This Row],[Column10]] * deployment_raw[[#This Row],[Column5]]),"")</f>
        <v/>
      </c>
      <c r="K397" s="58" t="str">
        <f>IF(ISNUMBER(deployment_raw[[#This Row],[Column11]]), (deployment_raw[[#This Row],[Column11]] * deployment_raw[[#This Row],[Column5]])/1048576,"")</f>
        <v/>
      </c>
      <c r="L397" s="180" t="str">
        <f>IF(ISNUMBER(deployment_raw[[#This Row],[Column8]]),IF(deployment_raw[[#This Row],[Column5]] &lt;&gt; 0, MAX((deployment_raw[[#This Row],[Column12]] * deployment_raw[[#This Row],[Column5]]), ((deployment_raw[[#This Row],[Column8]] * deployment_raw[[#This Row],[Column5]]) * $L$2), ($H$2 * deployment_raw[[#This Row],[Column5]])), 0),"")</f>
        <v/>
      </c>
      <c r="M39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97" s="188" t="str">
        <f>IF(ISNUMBER(deployment_raw[[#This Row],[Column14]]), deployment_raw[[#This Row],[Column14]],"")</f>
        <v/>
      </c>
      <c r="O397" s="189" t="str">
        <f>IF(ISNUMBER(deployment_raw[[#This Row],[Column15]]), deployment_raw[[#This Row],[Column15]]/1048576,"")</f>
        <v/>
      </c>
      <c r="P397" s="190" t="str">
        <f>IF(ISNUMBER(deployment_raw[[#This Row],[Column12]]), (deployment_raw[[#This Row],[Column12]] * deployment_raw[[#This Row],[Column5]]),"")</f>
        <v/>
      </c>
      <c r="Q397" s="189" t="str">
        <f>IF(ISNUMBER(deployment_raw[[#This Row],[Column13]]), (deployment_raw[[#This Row],[Column13]] * deployment_raw[[#This Row],[Column5]])/1048576,"")</f>
        <v/>
      </c>
    </row>
    <row r="398" spans="1:17" ht="15.75" customHeight="1" x14ac:dyDescent="0.25">
      <c r="A398" s="37" t="str">
        <f>IF(ISNONTEXT(deployment_raw[[#This Row],[Column1]]), "", deployment_raw[[#This Row],[Column1]])</f>
        <v/>
      </c>
      <c r="B398" s="38" t="str">
        <f>IF(ISNONTEXT(deployment_raw[[#This Row],[Column2]]), "", deployment_raw[[#This Row],[Column2]])</f>
        <v/>
      </c>
      <c r="C398" s="38" t="str">
        <f>IF(ISNONTEXT(deployment_raw[[#This Row],[Column3]]), "", deployment_raw[[#This Row],[Column3]])</f>
        <v/>
      </c>
      <c r="D398" s="38" t="str">
        <f>IF(ISNONTEXT(deployment_raw[[#This Row],[Column4]]), "", deployment_raw[[#This Row],[Column4]])</f>
        <v/>
      </c>
      <c r="E398" s="39" t="str">
        <f>IF(ISNUMBER(deployment_raw[[#This Row],[Column5]]), deployment_raw[[#This Row],[Column5]],"")</f>
        <v/>
      </c>
      <c r="F398" s="174" t="str">
        <f>IF(ISNUMBER(deployment_raw[[#This Row],[Column6]]), (deployment_raw[[#This Row],[Column6]] * deployment_raw[[#This Row],[Column5]]),"")</f>
        <v/>
      </c>
      <c r="G398" s="175" t="str">
        <f>IF(ISNUMBER(deployment_raw[[#This Row],[Column7]]), (deployment_raw[[#This Row],[Column7]] * deployment_raw[[#This Row],[Column5]])/1048576,"")</f>
        <v/>
      </c>
      <c r="H398" s="175" t="str">
        <f>IF(ISNUMBER(deployment_raw[[#This Row],[Column8]]), (deployment_raw[[#This Row],[Column8]]  * deployment_raw[[#This Row],[Column5]]),"")</f>
        <v/>
      </c>
      <c r="I398" s="176" t="str">
        <f>IF(ISNUMBER(deployment_raw[[#This Row],[Column9]]), (deployment_raw[[#This Row],[Column9]] * deployment_raw[[#This Row],[Column5]])/1048576,"")</f>
        <v/>
      </c>
      <c r="J398" s="57" t="str">
        <f>IF(ISNUMBER(deployment_raw[[#This Row],[Column10]]), (deployment_raw[[#This Row],[Column10]] * deployment_raw[[#This Row],[Column5]]),"")</f>
        <v/>
      </c>
      <c r="K398" s="58" t="str">
        <f>IF(ISNUMBER(deployment_raw[[#This Row],[Column11]]), (deployment_raw[[#This Row],[Column11]] * deployment_raw[[#This Row],[Column5]])/1048576,"")</f>
        <v/>
      </c>
      <c r="L398" s="180" t="str">
        <f>IF(ISNUMBER(deployment_raw[[#This Row],[Column8]]),IF(deployment_raw[[#This Row],[Column5]] &lt;&gt; 0, MAX((deployment_raw[[#This Row],[Column12]] * deployment_raw[[#This Row],[Column5]]), ((deployment_raw[[#This Row],[Column8]] * deployment_raw[[#This Row],[Column5]]) * $L$2), ($H$2 * deployment_raw[[#This Row],[Column5]])), 0),"")</f>
        <v/>
      </c>
      <c r="M39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98" s="188" t="str">
        <f>IF(ISNUMBER(deployment_raw[[#This Row],[Column14]]), deployment_raw[[#This Row],[Column14]],"")</f>
        <v/>
      </c>
      <c r="O398" s="189" t="str">
        <f>IF(ISNUMBER(deployment_raw[[#This Row],[Column15]]), deployment_raw[[#This Row],[Column15]]/1048576,"")</f>
        <v/>
      </c>
      <c r="P398" s="190" t="str">
        <f>IF(ISNUMBER(deployment_raw[[#This Row],[Column12]]), (deployment_raw[[#This Row],[Column12]] * deployment_raw[[#This Row],[Column5]]),"")</f>
        <v/>
      </c>
      <c r="Q398" s="189" t="str">
        <f>IF(ISNUMBER(deployment_raw[[#This Row],[Column13]]), (deployment_raw[[#This Row],[Column13]] * deployment_raw[[#This Row],[Column5]])/1048576,"")</f>
        <v/>
      </c>
    </row>
    <row r="399" spans="1:17" ht="15.75" customHeight="1" x14ac:dyDescent="0.25">
      <c r="A399" s="37" t="str">
        <f>IF(ISNONTEXT(deployment_raw[[#This Row],[Column1]]), "", deployment_raw[[#This Row],[Column1]])</f>
        <v/>
      </c>
      <c r="B399" s="38" t="str">
        <f>IF(ISNONTEXT(deployment_raw[[#This Row],[Column2]]), "", deployment_raw[[#This Row],[Column2]])</f>
        <v/>
      </c>
      <c r="C399" s="38" t="str">
        <f>IF(ISNONTEXT(deployment_raw[[#This Row],[Column3]]), "", deployment_raw[[#This Row],[Column3]])</f>
        <v/>
      </c>
      <c r="D399" s="38" t="str">
        <f>IF(ISNONTEXT(deployment_raw[[#This Row],[Column4]]), "", deployment_raw[[#This Row],[Column4]])</f>
        <v/>
      </c>
      <c r="E399" s="39" t="str">
        <f>IF(ISNUMBER(deployment_raw[[#This Row],[Column5]]), deployment_raw[[#This Row],[Column5]],"")</f>
        <v/>
      </c>
      <c r="F399" s="174" t="str">
        <f>IF(ISNUMBER(deployment_raw[[#This Row],[Column6]]), (deployment_raw[[#This Row],[Column6]] * deployment_raw[[#This Row],[Column5]]),"")</f>
        <v/>
      </c>
      <c r="G399" s="175" t="str">
        <f>IF(ISNUMBER(deployment_raw[[#This Row],[Column7]]), (deployment_raw[[#This Row],[Column7]] * deployment_raw[[#This Row],[Column5]])/1048576,"")</f>
        <v/>
      </c>
      <c r="H399" s="175" t="str">
        <f>IF(ISNUMBER(deployment_raw[[#This Row],[Column8]]), (deployment_raw[[#This Row],[Column8]]  * deployment_raw[[#This Row],[Column5]]),"")</f>
        <v/>
      </c>
      <c r="I399" s="176" t="str">
        <f>IF(ISNUMBER(deployment_raw[[#This Row],[Column9]]), (deployment_raw[[#This Row],[Column9]] * deployment_raw[[#This Row],[Column5]])/1048576,"")</f>
        <v/>
      </c>
      <c r="J399" s="57" t="str">
        <f>IF(ISNUMBER(deployment_raw[[#This Row],[Column10]]), (deployment_raw[[#This Row],[Column10]] * deployment_raw[[#This Row],[Column5]]),"")</f>
        <v/>
      </c>
      <c r="K399" s="58" t="str">
        <f>IF(ISNUMBER(deployment_raw[[#This Row],[Column11]]), (deployment_raw[[#This Row],[Column11]] * deployment_raw[[#This Row],[Column5]])/1048576,"")</f>
        <v/>
      </c>
      <c r="L399" s="180" t="str">
        <f>IF(ISNUMBER(deployment_raw[[#This Row],[Column8]]),IF(deployment_raw[[#This Row],[Column5]] &lt;&gt; 0, MAX((deployment_raw[[#This Row],[Column12]] * deployment_raw[[#This Row],[Column5]]), ((deployment_raw[[#This Row],[Column8]] * deployment_raw[[#This Row],[Column5]]) * $L$2), ($H$2 * deployment_raw[[#This Row],[Column5]])), 0),"")</f>
        <v/>
      </c>
      <c r="M39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399" s="188" t="str">
        <f>IF(ISNUMBER(deployment_raw[[#This Row],[Column14]]), deployment_raw[[#This Row],[Column14]],"")</f>
        <v/>
      </c>
      <c r="O399" s="189" t="str">
        <f>IF(ISNUMBER(deployment_raw[[#This Row],[Column15]]), deployment_raw[[#This Row],[Column15]]/1048576,"")</f>
        <v/>
      </c>
      <c r="P399" s="190" t="str">
        <f>IF(ISNUMBER(deployment_raw[[#This Row],[Column12]]), (deployment_raw[[#This Row],[Column12]] * deployment_raw[[#This Row],[Column5]]),"")</f>
        <v/>
      </c>
      <c r="Q399" s="189" t="str">
        <f>IF(ISNUMBER(deployment_raw[[#This Row],[Column13]]), (deployment_raw[[#This Row],[Column13]] * deployment_raw[[#This Row],[Column5]])/1048576,"")</f>
        <v/>
      </c>
    </row>
    <row r="400" spans="1:17" ht="15.75" customHeight="1" x14ac:dyDescent="0.25">
      <c r="A400" s="37" t="str">
        <f>IF(ISNONTEXT(deployment_raw[[#This Row],[Column1]]), "", deployment_raw[[#This Row],[Column1]])</f>
        <v/>
      </c>
      <c r="B400" s="38" t="str">
        <f>IF(ISNONTEXT(deployment_raw[[#This Row],[Column2]]), "", deployment_raw[[#This Row],[Column2]])</f>
        <v/>
      </c>
      <c r="C400" s="38" t="str">
        <f>IF(ISNONTEXT(deployment_raw[[#This Row],[Column3]]), "", deployment_raw[[#This Row],[Column3]])</f>
        <v/>
      </c>
      <c r="D400" s="38" t="str">
        <f>IF(ISNONTEXT(deployment_raw[[#This Row],[Column4]]), "", deployment_raw[[#This Row],[Column4]])</f>
        <v/>
      </c>
      <c r="E400" s="39" t="str">
        <f>IF(ISNUMBER(deployment_raw[[#This Row],[Column5]]), deployment_raw[[#This Row],[Column5]],"")</f>
        <v/>
      </c>
      <c r="F400" s="174" t="str">
        <f>IF(ISNUMBER(deployment_raw[[#This Row],[Column6]]), (deployment_raw[[#This Row],[Column6]] * deployment_raw[[#This Row],[Column5]]),"")</f>
        <v/>
      </c>
      <c r="G400" s="175" t="str">
        <f>IF(ISNUMBER(deployment_raw[[#This Row],[Column7]]), (deployment_raw[[#This Row],[Column7]] * deployment_raw[[#This Row],[Column5]])/1048576,"")</f>
        <v/>
      </c>
      <c r="H400" s="175" t="str">
        <f>IF(ISNUMBER(deployment_raw[[#This Row],[Column8]]), (deployment_raw[[#This Row],[Column8]]  * deployment_raw[[#This Row],[Column5]]),"")</f>
        <v/>
      </c>
      <c r="I400" s="176" t="str">
        <f>IF(ISNUMBER(deployment_raw[[#This Row],[Column9]]), (deployment_raw[[#This Row],[Column9]] * deployment_raw[[#This Row],[Column5]])/1048576,"")</f>
        <v/>
      </c>
      <c r="J400" s="57" t="str">
        <f>IF(ISNUMBER(deployment_raw[[#This Row],[Column10]]), (deployment_raw[[#This Row],[Column10]] * deployment_raw[[#This Row],[Column5]]),"")</f>
        <v/>
      </c>
      <c r="K400" s="58" t="str">
        <f>IF(ISNUMBER(deployment_raw[[#This Row],[Column11]]), (deployment_raw[[#This Row],[Column11]] * deployment_raw[[#This Row],[Column5]])/1048576,"")</f>
        <v/>
      </c>
      <c r="L400" s="180" t="str">
        <f>IF(ISNUMBER(deployment_raw[[#This Row],[Column8]]),IF(deployment_raw[[#This Row],[Column5]] &lt;&gt; 0, MAX((deployment_raw[[#This Row],[Column12]] * deployment_raw[[#This Row],[Column5]]), ((deployment_raw[[#This Row],[Column8]] * deployment_raw[[#This Row],[Column5]]) * $L$2), ($H$2 * deployment_raw[[#This Row],[Column5]])), 0),"")</f>
        <v/>
      </c>
      <c r="M40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00" s="188" t="str">
        <f>IF(ISNUMBER(deployment_raw[[#This Row],[Column14]]), deployment_raw[[#This Row],[Column14]],"")</f>
        <v/>
      </c>
      <c r="O400" s="189" t="str">
        <f>IF(ISNUMBER(deployment_raw[[#This Row],[Column15]]), deployment_raw[[#This Row],[Column15]]/1048576,"")</f>
        <v/>
      </c>
      <c r="P400" s="190" t="str">
        <f>IF(ISNUMBER(deployment_raw[[#This Row],[Column12]]), (deployment_raw[[#This Row],[Column12]] * deployment_raw[[#This Row],[Column5]]),"")</f>
        <v/>
      </c>
      <c r="Q400" s="189" t="str">
        <f>IF(ISNUMBER(deployment_raw[[#This Row],[Column13]]), (deployment_raw[[#This Row],[Column13]] * deployment_raw[[#This Row],[Column5]])/1048576,"")</f>
        <v/>
      </c>
    </row>
    <row r="401" spans="1:17" ht="15.75" customHeight="1" x14ac:dyDescent="0.25">
      <c r="A401" s="37" t="str">
        <f>IF(ISNONTEXT(deployment_raw[[#This Row],[Column1]]), "", deployment_raw[[#This Row],[Column1]])</f>
        <v/>
      </c>
      <c r="B401" s="38" t="str">
        <f>IF(ISNONTEXT(deployment_raw[[#This Row],[Column2]]), "", deployment_raw[[#This Row],[Column2]])</f>
        <v/>
      </c>
      <c r="C401" s="38" t="str">
        <f>IF(ISNONTEXT(deployment_raw[[#This Row],[Column3]]), "", deployment_raw[[#This Row],[Column3]])</f>
        <v/>
      </c>
      <c r="D401" s="38" t="str">
        <f>IF(ISNONTEXT(deployment_raw[[#This Row],[Column4]]), "", deployment_raw[[#This Row],[Column4]])</f>
        <v/>
      </c>
      <c r="E401" s="39" t="str">
        <f>IF(ISNUMBER(deployment_raw[[#This Row],[Column5]]), deployment_raw[[#This Row],[Column5]],"")</f>
        <v/>
      </c>
      <c r="F401" s="174" t="str">
        <f>IF(ISNUMBER(deployment_raw[[#This Row],[Column6]]), (deployment_raw[[#This Row],[Column6]] * deployment_raw[[#This Row],[Column5]]),"")</f>
        <v/>
      </c>
      <c r="G401" s="175" t="str">
        <f>IF(ISNUMBER(deployment_raw[[#This Row],[Column7]]), (deployment_raw[[#This Row],[Column7]] * deployment_raw[[#This Row],[Column5]])/1048576,"")</f>
        <v/>
      </c>
      <c r="H401" s="175" t="str">
        <f>IF(ISNUMBER(deployment_raw[[#This Row],[Column8]]), (deployment_raw[[#This Row],[Column8]]  * deployment_raw[[#This Row],[Column5]]),"")</f>
        <v/>
      </c>
      <c r="I401" s="176" t="str">
        <f>IF(ISNUMBER(deployment_raw[[#This Row],[Column9]]), (deployment_raw[[#This Row],[Column9]] * deployment_raw[[#This Row],[Column5]])/1048576,"")</f>
        <v/>
      </c>
      <c r="J401" s="57" t="str">
        <f>IF(ISNUMBER(deployment_raw[[#This Row],[Column10]]), (deployment_raw[[#This Row],[Column10]] * deployment_raw[[#This Row],[Column5]]),"")</f>
        <v/>
      </c>
      <c r="K401" s="58" t="str">
        <f>IF(ISNUMBER(deployment_raw[[#This Row],[Column11]]), (deployment_raw[[#This Row],[Column11]] * deployment_raw[[#This Row],[Column5]])/1048576,"")</f>
        <v/>
      </c>
      <c r="L401" s="180" t="str">
        <f>IF(ISNUMBER(deployment_raw[[#This Row],[Column8]]),IF(deployment_raw[[#This Row],[Column5]] &lt;&gt; 0, MAX((deployment_raw[[#This Row],[Column12]] * deployment_raw[[#This Row],[Column5]]), ((deployment_raw[[#This Row],[Column8]] * deployment_raw[[#This Row],[Column5]]) * $L$2), ($H$2 * deployment_raw[[#This Row],[Column5]])), 0),"")</f>
        <v/>
      </c>
      <c r="M40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01" s="188" t="str">
        <f>IF(ISNUMBER(deployment_raw[[#This Row],[Column14]]), deployment_raw[[#This Row],[Column14]],"")</f>
        <v/>
      </c>
      <c r="O401" s="189" t="str">
        <f>IF(ISNUMBER(deployment_raw[[#This Row],[Column15]]), deployment_raw[[#This Row],[Column15]]/1048576,"")</f>
        <v/>
      </c>
      <c r="P401" s="190" t="str">
        <f>IF(ISNUMBER(deployment_raw[[#This Row],[Column12]]), (deployment_raw[[#This Row],[Column12]] * deployment_raw[[#This Row],[Column5]]),"")</f>
        <v/>
      </c>
      <c r="Q401" s="189" t="str">
        <f>IF(ISNUMBER(deployment_raw[[#This Row],[Column13]]), (deployment_raw[[#This Row],[Column13]] * deployment_raw[[#This Row],[Column5]])/1048576,"")</f>
        <v/>
      </c>
    </row>
    <row r="402" spans="1:17" ht="15.75" customHeight="1" x14ac:dyDescent="0.25">
      <c r="A402" s="37" t="str">
        <f>IF(ISNONTEXT(deployment_raw[[#This Row],[Column1]]), "", deployment_raw[[#This Row],[Column1]])</f>
        <v/>
      </c>
      <c r="B402" s="38" t="str">
        <f>IF(ISNONTEXT(deployment_raw[[#This Row],[Column2]]), "", deployment_raw[[#This Row],[Column2]])</f>
        <v/>
      </c>
      <c r="C402" s="38" t="str">
        <f>IF(ISNONTEXT(deployment_raw[[#This Row],[Column3]]), "", deployment_raw[[#This Row],[Column3]])</f>
        <v/>
      </c>
      <c r="D402" s="38" t="str">
        <f>IF(ISNONTEXT(deployment_raw[[#This Row],[Column4]]), "", deployment_raw[[#This Row],[Column4]])</f>
        <v/>
      </c>
      <c r="E402" s="39" t="str">
        <f>IF(ISNUMBER(deployment_raw[[#This Row],[Column5]]), deployment_raw[[#This Row],[Column5]],"")</f>
        <v/>
      </c>
      <c r="F402" s="174" t="str">
        <f>IF(ISNUMBER(deployment_raw[[#This Row],[Column6]]), (deployment_raw[[#This Row],[Column6]] * deployment_raw[[#This Row],[Column5]]),"")</f>
        <v/>
      </c>
      <c r="G402" s="175" t="str">
        <f>IF(ISNUMBER(deployment_raw[[#This Row],[Column7]]), (deployment_raw[[#This Row],[Column7]] * deployment_raw[[#This Row],[Column5]])/1048576,"")</f>
        <v/>
      </c>
      <c r="H402" s="175" t="str">
        <f>IF(ISNUMBER(deployment_raw[[#This Row],[Column8]]), (deployment_raw[[#This Row],[Column8]]  * deployment_raw[[#This Row],[Column5]]),"")</f>
        <v/>
      </c>
      <c r="I402" s="176" t="str">
        <f>IF(ISNUMBER(deployment_raw[[#This Row],[Column9]]), (deployment_raw[[#This Row],[Column9]] * deployment_raw[[#This Row],[Column5]])/1048576,"")</f>
        <v/>
      </c>
      <c r="J402" s="57" t="str">
        <f>IF(ISNUMBER(deployment_raw[[#This Row],[Column10]]), (deployment_raw[[#This Row],[Column10]] * deployment_raw[[#This Row],[Column5]]),"")</f>
        <v/>
      </c>
      <c r="K402" s="58" t="str">
        <f>IF(ISNUMBER(deployment_raw[[#This Row],[Column11]]), (deployment_raw[[#This Row],[Column11]] * deployment_raw[[#This Row],[Column5]])/1048576,"")</f>
        <v/>
      </c>
      <c r="L402" s="180" t="str">
        <f>IF(ISNUMBER(deployment_raw[[#This Row],[Column8]]),IF(deployment_raw[[#This Row],[Column5]] &lt;&gt; 0, MAX((deployment_raw[[#This Row],[Column12]] * deployment_raw[[#This Row],[Column5]]), ((deployment_raw[[#This Row],[Column8]] * deployment_raw[[#This Row],[Column5]]) * $L$2), ($H$2 * deployment_raw[[#This Row],[Column5]])), 0),"")</f>
        <v/>
      </c>
      <c r="M40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02" s="188" t="str">
        <f>IF(ISNUMBER(deployment_raw[[#This Row],[Column14]]), deployment_raw[[#This Row],[Column14]],"")</f>
        <v/>
      </c>
      <c r="O402" s="189" t="str">
        <f>IF(ISNUMBER(deployment_raw[[#This Row],[Column15]]), deployment_raw[[#This Row],[Column15]]/1048576,"")</f>
        <v/>
      </c>
      <c r="P402" s="190" t="str">
        <f>IF(ISNUMBER(deployment_raw[[#This Row],[Column12]]), (deployment_raw[[#This Row],[Column12]] * deployment_raw[[#This Row],[Column5]]),"")</f>
        <v/>
      </c>
      <c r="Q402" s="189" t="str">
        <f>IF(ISNUMBER(deployment_raw[[#This Row],[Column13]]), (deployment_raw[[#This Row],[Column13]] * deployment_raw[[#This Row],[Column5]])/1048576,"")</f>
        <v/>
      </c>
    </row>
    <row r="403" spans="1:17" ht="15.75" customHeight="1" x14ac:dyDescent="0.25">
      <c r="A403" s="37" t="str">
        <f>IF(ISNONTEXT(deployment_raw[[#This Row],[Column1]]), "", deployment_raw[[#This Row],[Column1]])</f>
        <v/>
      </c>
      <c r="B403" s="38" t="str">
        <f>IF(ISNONTEXT(deployment_raw[[#This Row],[Column2]]), "", deployment_raw[[#This Row],[Column2]])</f>
        <v/>
      </c>
      <c r="C403" s="38" t="str">
        <f>IF(ISNONTEXT(deployment_raw[[#This Row],[Column3]]), "", deployment_raw[[#This Row],[Column3]])</f>
        <v/>
      </c>
      <c r="D403" s="38" t="str">
        <f>IF(ISNONTEXT(deployment_raw[[#This Row],[Column4]]), "", deployment_raw[[#This Row],[Column4]])</f>
        <v/>
      </c>
      <c r="E403" s="39" t="str">
        <f>IF(ISNUMBER(deployment_raw[[#This Row],[Column5]]), deployment_raw[[#This Row],[Column5]],"")</f>
        <v/>
      </c>
      <c r="F403" s="174" t="str">
        <f>IF(ISNUMBER(deployment_raw[[#This Row],[Column6]]), (deployment_raw[[#This Row],[Column6]] * deployment_raw[[#This Row],[Column5]]),"")</f>
        <v/>
      </c>
      <c r="G403" s="175" t="str">
        <f>IF(ISNUMBER(deployment_raw[[#This Row],[Column7]]), (deployment_raw[[#This Row],[Column7]] * deployment_raw[[#This Row],[Column5]])/1048576,"")</f>
        <v/>
      </c>
      <c r="H403" s="175" t="str">
        <f>IF(ISNUMBER(deployment_raw[[#This Row],[Column8]]), (deployment_raw[[#This Row],[Column8]]  * deployment_raw[[#This Row],[Column5]]),"")</f>
        <v/>
      </c>
      <c r="I403" s="176" t="str">
        <f>IF(ISNUMBER(deployment_raw[[#This Row],[Column9]]), (deployment_raw[[#This Row],[Column9]] * deployment_raw[[#This Row],[Column5]])/1048576,"")</f>
        <v/>
      </c>
      <c r="J403" s="57" t="str">
        <f>IF(ISNUMBER(deployment_raw[[#This Row],[Column10]]), (deployment_raw[[#This Row],[Column10]] * deployment_raw[[#This Row],[Column5]]),"")</f>
        <v/>
      </c>
      <c r="K403" s="58" t="str">
        <f>IF(ISNUMBER(deployment_raw[[#This Row],[Column11]]), (deployment_raw[[#This Row],[Column11]] * deployment_raw[[#This Row],[Column5]])/1048576,"")</f>
        <v/>
      </c>
      <c r="L403" s="180" t="str">
        <f>IF(ISNUMBER(deployment_raw[[#This Row],[Column8]]),IF(deployment_raw[[#This Row],[Column5]] &lt;&gt; 0, MAX((deployment_raw[[#This Row],[Column12]] * deployment_raw[[#This Row],[Column5]]), ((deployment_raw[[#This Row],[Column8]] * deployment_raw[[#This Row],[Column5]]) * $L$2), ($H$2 * deployment_raw[[#This Row],[Column5]])), 0),"")</f>
        <v/>
      </c>
      <c r="M40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03" s="188" t="str">
        <f>IF(ISNUMBER(deployment_raw[[#This Row],[Column14]]), deployment_raw[[#This Row],[Column14]],"")</f>
        <v/>
      </c>
      <c r="O403" s="189" t="str">
        <f>IF(ISNUMBER(deployment_raw[[#This Row],[Column15]]), deployment_raw[[#This Row],[Column15]]/1048576,"")</f>
        <v/>
      </c>
      <c r="P403" s="190" t="str">
        <f>IF(ISNUMBER(deployment_raw[[#This Row],[Column12]]), (deployment_raw[[#This Row],[Column12]] * deployment_raw[[#This Row],[Column5]]),"")</f>
        <v/>
      </c>
      <c r="Q403" s="189" t="str">
        <f>IF(ISNUMBER(deployment_raw[[#This Row],[Column13]]), (deployment_raw[[#This Row],[Column13]] * deployment_raw[[#This Row],[Column5]])/1048576,"")</f>
        <v/>
      </c>
    </row>
    <row r="404" spans="1:17" ht="15.75" customHeight="1" x14ac:dyDescent="0.25">
      <c r="A404" s="37" t="str">
        <f>IF(ISNONTEXT(deployment_raw[[#This Row],[Column1]]), "", deployment_raw[[#This Row],[Column1]])</f>
        <v/>
      </c>
      <c r="B404" s="38" t="str">
        <f>IF(ISNONTEXT(deployment_raw[[#This Row],[Column2]]), "", deployment_raw[[#This Row],[Column2]])</f>
        <v/>
      </c>
      <c r="C404" s="38" t="str">
        <f>IF(ISNONTEXT(deployment_raw[[#This Row],[Column3]]), "", deployment_raw[[#This Row],[Column3]])</f>
        <v/>
      </c>
      <c r="D404" s="38" t="str">
        <f>IF(ISNONTEXT(deployment_raw[[#This Row],[Column4]]), "", deployment_raw[[#This Row],[Column4]])</f>
        <v/>
      </c>
      <c r="E404" s="39" t="str">
        <f>IF(ISNUMBER(deployment_raw[[#This Row],[Column5]]), deployment_raw[[#This Row],[Column5]],"")</f>
        <v/>
      </c>
      <c r="F404" s="174" t="str">
        <f>IF(ISNUMBER(deployment_raw[[#This Row],[Column6]]), (deployment_raw[[#This Row],[Column6]] * deployment_raw[[#This Row],[Column5]]),"")</f>
        <v/>
      </c>
      <c r="G404" s="175" t="str">
        <f>IF(ISNUMBER(deployment_raw[[#This Row],[Column7]]), (deployment_raw[[#This Row],[Column7]] * deployment_raw[[#This Row],[Column5]])/1048576,"")</f>
        <v/>
      </c>
      <c r="H404" s="175" t="str">
        <f>IF(ISNUMBER(deployment_raw[[#This Row],[Column8]]), (deployment_raw[[#This Row],[Column8]]  * deployment_raw[[#This Row],[Column5]]),"")</f>
        <v/>
      </c>
      <c r="I404" s="176" t="str">
        <f>IF(ISNUMBER(deployment_raw[[#This Row],[Column9]]), (deployment_raw[[#This Row],[Column9]] * deployment_raw[[#This Row],[Column5]])/1048576,"")</f>
        <v/>
      </c>
      <c r="J404" s="57" t="str">
        <f>IF(ISNUMBER(deployment_raw[[#This Row],[Column10]]), (deployment_raw[[#This Row],[Column10]] * deployment_raw[[#This Row],[Column5]]),"")</f>
        <v/>
      </c>
      <c r="K404" s="58" t="str">
        <f>IF(ISNUMBER(deployment_raw[[#This Row],[Column11]]), (deployment_raw[[#This Row],[Column11]] * deployment_raw[[#This Row],[Column5]])/1048576,"")</f>
        <v/>
      </c>
      <c r="L404" s="180" t="str">
        <f>IF(ISNUMBER(deployment_raw[[#This Row],[Column8]]),IF(deployment_raw[[#This Row],[Column5]] &lt;&gt; 0, MAX((deployment_raw[[#This Row],[Column12]] * deployment_raw[[#This Row],[Column5]]), ((deployment_raw[[#This Row],[Column8]] * deployment_raw[[#This Row],[Column5]]) * $L$2), ($H$2 * deployment_raw[[#This Row],[Column5]])), 0),"")</f>
        <v/>
      </c>
      <c r="M40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04" s="188" t="str">
        <f>IF(ISNUMBER(deployment_raw[[#This Row],[Column14]]), deployment_raw[[#This Row],[Column14]],"")</f>
        <v/>
      </c>
      <c r="O404" s="189" t="str">
        <f>IF(ISNUMBER(deployment_raw[[#This Row],[Column15]]), deployment_raw[[#This Row],[Column15]]/1048576,"")</f>
        <v/>
      </c>
      <c r="P404" s="190" t="str">
        <f>IF(ISNUMBER(deployment_raw[[#This Row],[Column12]]), (deployment_raw[[#This Row],[Column12]] * deployment_raw[[#This Row],[Column5]]),"")</f>
        <v/>
      </c>
      <c r="Q404" s="189" t="str">
        <f>IF(ISNUMBER(deployment_raw[[#This Row],[Column13]]), (deployment_raw[[#This Row],[Column13]] * deployment_raw[[#This Row],[Column5]])/1048576,"")</f>
        <v/>
      </c>
    </row>
    <row r="405" spans="1:17" ht="15.75" customHeight="1" x14ac:dyDescent="0.25">
      <c r="A405" s="37" t="str">
        <f>IF(ISNONTEXT(deployment_raw[[#This Row],[Column1]]), "", deployment_raw[[#This Row],[Column1]])</f>
        <v/>
      </c>
      <c r="B405" s="38" t="str">
        <f>IF(ISNONTEXT(deployment_raw[[#This Row],[Column2]]), "", deployment_raw[[#This Row],[Column2]])</f>
        <v/>
      </c>
      <c r="C405" s="38" t="str">
        <f>IF(ISNONTEXT(deployment_raw[[#This Row],[Column3]]), "", deployment_raw[[#This Row],[Column3]])</f>
        <v/>
      </c>
      <c r="D405" s="38" t="str">
        <f>IF(ISNONTEXT(deployment_raw[[#This Row],[Column4]]), "", deployment_raw[[#This Row],[Column4]])</f>
        <v/>
      </c>
      <c r="E405" s="39" t="str">
        <f>IF(ISNUMBER(deployment_raw[[#This Row],[Column5]]), deployment_raw[[#This Row],[Column5]],"")</f>
        <v/>
      </c>
      <c r="F405" s="174" t="str">
        <f>IF(ISNUMBER(deployment_raw[[#This Row],[Column6]]), (deployment_raw[[#This Row],[Column6]] * deployment_raw[[#This Row],[Column5]]),"")</f>
        <v/>
      </c>
      <c r="G405" s="175" t="str">
        <f>IF(ISNUMBER(deployment_raw[[#This Row],[Column7]]), (deployment_raw[[#This Row],[Column7]] * deployment_raw[[#This Row],[Column5]])/1048576,"")</f>
        <v/>
      </c>
      <c r="H405" s="175" t="str">
        <f>IF(ISNUMBER(deployment_raw[[#This Row],[Column8]]), (deployment_raw[[#This Row],[Column8]]  * deployment_raw[[#This Row],[Column5]]),"")</f>
        <v/>
      </c>
      <c r="I405" s="176" t="str">
        <f>IF(ISNUMBER(deployment_raw[[#This Row],[Column9]]), (deployment_raw[[#This Row],[Column9]] * deployment_raw[[#This Row],[Column5]])/1048576,"")</f>
        <v/>
      </c>
      <c r="J405" s="57" t="str">
        <f>IF(ISNUMBER(deployment_raw[[#This Row],[Column10]]), (deployment_raw[[#This Row],[Column10]] * deployment_raw[[#This Row],[Column5]]),"")</f>
        <v/>
      </c>
      <c r="K405" s="58" t="str">
        <f>IF(ISNUMBER(deployment_raw[[#This Row],[Column11]]), (deployment_raw[[#This Row],[Column11]] * deployment_raw[[#This Row],[Column5]])/1048576,"")</f>
        <v/>
      </c>
      <c r="L405" s="180" t="str">
        <f>IF(ISNUMBER(deployment_raw[[#This Row],[Column8]]),IF(deployment_raw[[#This Row],[Column5]] &lt;&gt; 0, MAX((deployment_raw[[#This Row],[Column12]] * deployment_raw[[#This Row],[Column5]]), ((deployment_raw[[#This Row],[Column8]] * deployment_raw[[#This Row],[Column5]]) * $L$2), ($H$2 * deployment_raw[[#This Row],[Column5]])), 0),"")</f>
        <v/>
      </c>
      <c r="M40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05" s="188" t="str">
        <f>IF(ISNUMBER(deployment_raw[[#This Row],[Column14]]), deployment_raw[[#This Row],[Column14]],"")</f>
        <v/>
      </c>
      <c r="O405" s="189" t="str">
        <f>IF(ISNUMBER(deployment_raw[[#This Row],[Column15]]), deployment_raw[[#This Row],[Column15]]/1048576,"")</f>
        <v/>
      </c>
      <c r="P405" s="190" t="str">
        <f>IF(ISNUMBER(deployment_raw[[#This Row],[Column12]]), (deployment_raw[[#This Row],[Column12]] * deployment_raw[[#This Row],[Column5]]),"")</f>
        <v/>
      </c>
      <c r="Q405" s="189" t="str">
        <f>IF(ISNUMBER(deployment_raw[[#This Row],[Column13]]), (deployment_raw[[#This Row],[Column13]] * deployment_raw[[#This Row],[Column5]])/1048576,"")</f>
        <v/>
      </c>
    </row>
    <row r="406" spans="1:17" ht="15.75" customHeight="1" x14ac:dyDescent="0.25">
      <c r="A406" s="37" t="str">
        <f>IF(ISNONTEXT(deployment_raw[[#This Row],[Column1]]), "", deployment_raw[[#This Row],[Column1]])</f>
        <v/>
      </c>
      <c r="B406" s="38" t="str">
        <f>IF(ISNONTEXT(deployment_raw[[#This Row],[Column2]]), "", deployment_raw[[#This Row],[Column2]])</f>
        <v/>
      </c>
      <c r="C406" s="38" t="str">
        <f>IF(ISNONTEXT(deployment_raw[[#This Row],[Column3]]), "", deployment_raw[[#This Row],[Column3]])</f>
        <v/>
      </c>
      <c r="D406" s="38" t="str">
        <f>IF(ISNONTEXT(deployment_raw[[#This Row],[Column4]]), "", deployment_raw[[#This Row],[Column4]])</f>
        <v/>
      </c>
      <c r="E406" s="39" t="str">
        <f>IF(ISNUMBER(deployment_raw[[#This Row],[Column5]]), deployment_raw[[#This Row],[Column5]],"")</f>
        <v/>
      </c>
      <c r="F406" s="174" t="str">
        <f>IF(ISNUMBER(deployment_raw[[#This Row],[Column6]]), (deployment_raw[[#This Row],[Column6]] * deployment_raw[[#This Row],[Column5]]),"")</f>
        <v/>
      </c>
      <c r="G406" s="175" t="str">
        <f>IF(ISNUMBER(deployment_raw[[#This Row],[Column7]]), (deployment_raw[[#This Row],[Column7]] * deployment_raw[[#This Row],[Column5]])/1048576,"")</f>
        <v/>
      </c>
      <c r="H406" s="175" t="str">
        <f>IF(ISNUMBER(deployment_raw[[#This Row],[Column8]]), (deployment_raw[[#This Row],[Column8]]  * deployment_raw[[#This Row],[Column5]]),"")</f>
        <v/>
      </c>
      <c r="I406" s="176" t="str">
        <f>IF(ISNUMBER(deployment_raw[[#This Row],[Column9]]), (deployment_raw[[#This Row],[Column9]] * deployment_raw[[#This Row],[Column5]])/1048576,"")</f>
        <v/>
      </c>
      <c r="J406" s="57" t="str">
        <f>IF(ISNUMBER(deployment_raw[[#This Row],[Column10]]), (deployment_raw[[#This Row],[Column10]] * deployment_raw[[#This Row],[Column5]]),"")</f>
        <v/>
      </c>
      <c r="K406" s="58" t="str">
        <f>IF(ISNUMBER(deployment_raw[[#This Row],[Column11]]), (deployment_raw[[#This Row],[Column11]] * deployment_raw[[#This Row],[Column5]])/1048576,"")</f>
        <v/>
      </c>
      <c r="L406" s="180" t="str">
        <f>IF(ISNUMBER(deployment_raw[[#This Row],[Column8]]),IF(deployment_raw[[#This Row],[Column5]] &lt;&gt; 0, MAX((deployment_raw[[#This Row],[Column12]] * deployment_raw[[#This Row],[Column5]]), ((deployment_raw[[#This Row],[Column8]] * deployment_raw[[#This Row],[Column5]]) * $L$2), ($H$2 * deployment_raw[[#This Row],[Column5]])), 0),"")</f>
        <v/>
      </c>
      <c r="M40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06" s="188" t="str">
        <f>IF(ISNUMBER(deployment_raw[[#This Row],[Column14]]), deployment_raw[[#This Row],[Column14]],"")</f>
        <v/>
      </c>
      <c r="O406" s="189" t="str">
        <f>IF(ISNUMBER(deployment_raw[[#This Row],[Column15]]), deployment_raw[[#This Row],[Column15]]/1048576,"")</f>
        <v/>
      </c>
      <c r="P406" s="190" t="str">
        <f>IF(ISNUMBER(deployment_raw[[#This Row],[Column12]]), (deployment_raw[[#This Row],[Column12]] * deployment_raw[[#This Row],[Column5]]),"")</f>
        <v/>
      </c>
      <c r="Q406" s="189" t="str">
        <f>IF(ISNUMBER(deployment_raw[[#This Row],[Column13]]), (deployment_raw[[#This Row],[Column13]] * deployment_raw[[#This Row],[Column5]])/1048576,"")</f>
        <v/>
      </c>
    </row>
    <row r="407" spans="1:17" ht="15.75" customHeight="1" x14ac:dyDescent="0.25">
      <c r="A407" s="37" t="str">
        <f>IF(ISNONTEXT(deployment_raw[[#This Row],[Column1]]), "", deployment_raw[[#This Row],[Column1]])</f>
        <v/>
      </c>
      <c r="B407" s="38" t="str">
        <f>IF(ISNONTEXT(deployment_raw[[#This Row],[Column2]]), "", deployment_raw[[#This Row],[Column2]])</f>
        <v/>
      </c>
      <c r="C407" s="38" t="str">
        <f>IF(ISNONTEXT(deployment_raw[[#This Row],[Column3]]), "", deployment_raw[[#This Row],[Column3]])</f>
        <v/>
      </c>
      <c r="D407" s="38" t="str">
        <f>IF(ISNONTEXT(deployment_raw[[#This Row],[Column4]]), "", deployment_raw[[#This Row],[Column4]])</f>
        <v/>
      </c>
      <c r="E407" s="39" t="str">
        <f>IF(ISNUMBER(deployment_raw[[#This Row],[Column5]]), deployment_raw[[#This Row],[Column5]],"")</f>
        <v/>
      </c>
      <c r="F407" s="174" t="str">
        <f>IF(ISNUMBER(deployment_raw[[#This Row],[Column6]]), (deployment_raw[[#This Row],[Column6]] * deployment_raw[[#This Row],[Column5]]),"")</f>
        <v/>
      </c>
      <c r="G407" s="175" t="str">
        <f>IF(ISNUMBER(deployment_raw[[#This Row],[Column7]]), (deployment_raw[[#This Row],[Column7]] * deployment_raw[[#This Row],[Column5]])/1048576,"")</f>
        <v/>
      </c>
      <c r="H407" s="175" t="str">
        <f>IF(ISNUMBER(deployment_raw[[#This Row],[Column8]]), (deployment_raw[[#This Row],[Column8]]  * deployment_raw[[#This Row],[Column5]]),"")</f>
        <v/>
      </c>
      <c r="I407" s="176" t="str">
        <f>IF(ISNUMBER(deployment_raw[[#This Row],[Column9]]), (deployment_raw[[#This Row],[Column9]] * deployment_raw[[#This Row],[Column5]])/1048576,"")</f>
        <v/>
      </c>
      <c r="J407" s="57" t="str">
        <f>IF(ISNUMBER(deployment_raw[[#This Row],[Column10]]), (deployment_raw[[#This Row],[Column10]] * deployment_raw[[#This Row],[Column5]]),"")</f>
        <v/>
      </c>
      <c r="K407" s="58" t="str">
        <f>IF(ISNUMBER(deployment_raw[[#This Row],[Column11]]), (deployment_raw[[#This Row],[Column11]] * deployment_raw[[#This Row],[Column5]])/1048576,"")</f>
        <v/>
      </c>
      <c r="L407" s="180" t="str">
        <f>IF(ISNUMBER(deployment_raw[[#This Row],[Column8]]),IF(deployment_raw[[#This Row],[Column5]] &lt;&gt; 0, MAX((deployment_raw[[#This Row],[Column12]] * deployment_raw[[#This Row],[Column5]]), ((deployment_raw[[#This Row],[Column8]] * deployment_raw[[#This Row],[Column5]]) * $L$2), ($H$2 * deployment_raw[[#This Row],[Column5]])), 0),"")</f>
        <v/>
      </c>
      <c r="M40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07" s="188" t="str">
        <f>IF(ISNUMBER(deployment_raw[[#This Row],[Column14]]), deployment_raw[[#This Row],[Column14]],"")</f>
        <v/>
      </c>
      <c r="O407" s="189" t="str">
        <f>IF(ISNUMBER(deployment_raw[[#This Row],[Column15]]), deployment_raw[[#This Row],[Column15]]/1048576,"")</f>
        <v/>
      </c>
      <c r="P407" s="190" t="str">
        <f>IF(ISNUMBER(deployment_raw[[#This Row],[Column12]]), (deployment_raw[[#This Row],[Column12]] * deployment_raw[[#This Row],[Column5]]),"")</f>
        <v/>
      </c>
      <c r="Q407" s="189" t="str">
        <f>IF(ISNUMBER(deployment_raw[[#This Row],[Column13]]), (deployment_raw[[#This Row],[Column13]] * deployment_raw[[#This Row],[Column5]])/1048576,"")</f>
        <v/>
      </c>
    </row>
    <row r="408" spans="1:17" ht="15.75" customHeight="1" x14ac:dyDescent="0.25">
      <c r="A408" s="37" t="str">
        <f>IF(ISNONTEXT(deployment_raw[[#This Row],[Column1]]), "", deployment_raw[[#This Row],[Column1]])</f>
        <v/>
      </c>
      <c r="B408" s="38" t="str">
        <f>IF(ISNONTEXT(deployment_raw[[#This Row],[Column2]]), "", deployment_raw[[#This Row],[Column2]])</f>
        <v/>
      </c>
      <c r="C408" s="38" t="str">
        <f>IF(ISNONTEXT(deployment_raw[[#This Row],[Column3]]), "", deployment_raw[[#This Row],[Column3]])</f>
        <v/>
      </c>
      <c r="D408" s="38" t="str">
        <f>IF(ISNONTEXT(deployment_raw[[#This Row],[Column4]]), "", deployment_raw[[#This Row],[Column4]])</f>
        <v/>
      </c>
      <c r="E408" s="39" t="str">
        <f>IF(ISNUMBER(deployment_raw[[#This Row],[Column5]]), deployment_raw[[#This Row],[Column5]],"")</f>
        <v/>
      </c>
      <c r="F408" s="174" t="str">
        <f>IF(ISNUMBER(deployment_raw[[#This Row],[Column6]]), (deployment_raw[[#This Row],[Column6]] * deployment_raw[[#This Row],[Column5]]),"")</f>
        <v/>
      </c>
      <c r="G408" s="175" t="str">
        <f>IF(ISNUMBER(deployment_raw[[#This Row],[Column7]]), (deployment_raw[[#This Row],[Column7]] * deployment_raw[[#This Row],[Column5]])/1048576,"")</f>
        <v/>
      </c>
      <c r="H408" s="175" t="str">
        <f>IF(ISNUMBER(deployment_raw[[#This Row],[Column8]]), (deployment_raw[[#This Row],[Column8]]  * deployment_raw[[#This Row],[Column5]]),"")</f>
        <v/>
      </c>
      <c r="I408" s="176" t="str">
        <f>IF(ISNUMBER(deployment_raw[[#This Row],[Column9]]), (deployment_raw[[#This Row],[Column9]] * deployment_raw[[#This Row],[Column5]])/1048576,"")</f>
        <v/>
      </c>
      <c r="J408" s="57" t="str">
        <f>IF(ISNUMBER(deployment_raw[[#This Row],[Column10]]), (deployment_raw[[#This Row],[Column10]] * deployment_raw[[#This Row],[Column5]]),"")</f>
        <v/>
      </c>
      <c r="K408" s="58" t="str">
        <f>IF(ISNUMBER(deployment_raw[[#This Row],[Column11]]), (deployment_raw[[#This Row],[Column11]] * deployment_raw[[#This Row],[Column5]])/1048576,"")</f>
        <v/>
      </c>
      <c r="L408" s="180" t="str">
        <f>IF(ISNUMBER(deployment_raw[[#This Row],[Column8]]),IF(deployment_raw[[#This Row],[Column5]] &lt;&gt; 0, MAX((deployment_raw[[#This Row],[Column12]] * deployment_raw[[#This Row],[Column5]]), ((deployment_raw[[#This Row],[Column8]] * deployment_raw[[#This Row],[Column5]]) * $L$2), ($H$2 * deployment_raw[[#This Row],[Column5]])), 0),"")</f>
        <v/>
      </c>
      <c r="M40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08" s="188" t="str">
        <f>IF(ISNUMBER(deployment_raw[[#This Row],[Column14]]), deployment_raw[[#This Row],[Column14]],"")</f>
        <v/>
      </c>
      <c r="O408" s="189" t="str">
        <f>IF(ISNUMBER(deployment_raw[[#This Row],[Column15]]), deployment_raw[[#This Row],[Column15]]/1048576,"")</f>
        <v/>
      </c>
      <c r="P408" s="190" t="str">
        <f>IF(ISNUMBER(deployment_raw[[#This Row],[Column12]]), (deployment_raw[[#This Row],[Column12]] * deployment_raw[[#This Row],[Column5]]),"")</f>
        <v/>
      </c>
      <c r="Q408" s="189" t="str">
        <f>IF(ISNUMBER(deployment_raw[[#This Row],[Column13]]), (deployment_raw[[#This Row],[Column13]] * deployment_raw[[#This Row],[Column5]])/1048576,"")</f>
        <v/>
      </c>
    </row>
    <row r="409" spans="1:17" ht="15.75" customHeight="1" x14ac:dyDescent="0.25">
      <c r="A409" s="37" t="str">
        <f>IF(ISNONTEXT(deployment_raw[[#This Row],[Column1]]), "", deployment_raw[[#This Row],[Column1]])</f>
        <v/>
      </c>
      <c r="B409" s="38" t="str">
        <f>IF(ISNONTEXT(deployment_raw[[#This Row],[Column2]]), "", deployment_raw[[#This Row],[Column2]])</f>
        <v/>
      </c>
      <c r="C409" s="38" t="str">
        <f>IF(ISNONTEXT(deployment_raw[[#This Row],[Column3]]), "", deployment_raw[[#This Row],[Column3]])</f>
        <v/>
      </c>
      <c r="D409" s="38" t="str">
        <f>IF(ISNONTEXT(deployment_raw[[#This Row],[Column4]]), "", deployment_raw[[#This Row],[Column4]])</f>
        <v/>
      </c>
      <c r="E409" s="39" t="str">
        <f>IF(ISNUMBER(deployment_raw[[#This Row],[Column5]]), deployment_raw[[#This Row],[Column5]],"")</f>
        <v/>
      </c>
      <c r="F409" s="174" t="str">
        <f>IF(ISNUMBER(deployment_raw[[#This Row],[Column6]]), (deployment_raw[[#This Row],[Column6]] * deployment_raw[[#This Row],[Column5]]),"")</f>
        <v/>
      </c>
      <c r="G409" s="175" t="str">
        <f>IF(ISNUMBER(deployment_raw[[#This Row],[Column7]]), (deployment_raw[[#This Row],[Column7]] * deployment_raw[[#This Row],[Column5]])/1048576,"")</f>
        <v/>
      </c>
      <c r="H409" s="175" t="str">
        <f>IF(ISNUMBER(deployment_raw[[#This Row],[Column8]]), (deployment_raw[[#This Row],[Column8]]  * deployment_raw[[#This Row],[Column5]]),"")</f>
        <v/>
      </c>
      <c r="I409" s="176" t="str">
        <f>IF(ISNUMBER(deployment_raw[[#This Row],[Column9]]), (deployment_raw[[#This Row],[Column9]] * deployment_raw[[#This Row],[Column5]])/1048576,"")</f>
        <v/>
      </c>
      <c r="J409" s="57" t="str">
        <f>IF(ISNUMBER(deployment_raw[[#This Row],[Column10]]), (deployment_raw[[#This Row],[Column10]] * deployment_raw[[#This Row],[Column5]]),"")</f>
        <v/>
      </c>
      <c r="K409" s="58" t="str">
        <f>IF(ISNUMBER(deployment_raw[[#This Row],[Column11]]), (deployment_raw[[#This Row],[Column11]] * deployment_raw[[#This Row],[Column5]])/1048576,"")</f>
        <v/>
      </c>
      <c r="L409" s="180" t="str">
        <f>IF(ISNUMBER(deployment_raw[[#This Row],[Column8]]),IF(deployment_raw[[#This Row],[Column5]] &lt;&gt; 0, MAX((deployment_raw[[#This Row],[Column12]] * deployment_raw[[#This Row],[Column5]]), ((deployment_raw[[#This Row],[Column8]] * deployment_raw[[#This Row],[Column5]]) * $L$2), ($H$2 * deployment_raw[[#This Row],[Column5]])), 0),"")</f>
        <v/>
      </c>
      <c r="M40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09" s="188" t="str">
        <f>IF(ISNUMBER(deployment_raw[[#This Row],[Column14]]), deployment_raw[[#This Row],[Column14]],"")</f>
        <v/>
      </c>
      <c r="O409" s="189" t="str">
        <f>IF(ISNUMBER(deployment_raw[[#This Row],[Column15]]), deployment_raw[[#This Row],[Column15]]/1048576,"")</f>
        <v/>
      </c>
      <c r="P409" s="190" t="str">
        <f>IF(ISNUMBER(deployment_raw[[#This Row],[Column12]]), (deployment_raw[[#This Row],[Column12]] * deployment_raw[[#This Row],[Column5]]),"")</f>
        <v/>
      </c>
      <c r="Q409" s="189" t="str">
        <f>IF(ISNUMBER(deployment_raw[[#This Row],[Column13]]), (deployment_raw[[#This Row],[Column13]] * deployment_raw[[#This Row],[Column5]])/1048576,"")</f>
        <v/>
      </c>
    </row>
    <row r="410" spans="1:17" ht="15.75" customHeight="1" x14ac:dyDescent="0.25">
      <c r="A410" s="37" t="str">
        <f>IF(ISNONTEXT(deployment_raw[[#This Row],[Column1]]), "", deployment_raw[[#This Row],[Column1]])</f>
        <v/>
      </c>
      <c r="B410" s="38" t="str">
        <f>IF(ISNONTEXT(deployment_raw[[#This Row],[Column2]]), "", deployment_raw[[#This Row],[Column2]])</f>
        <v/>
      </c>
      <c r="C410" s="38" t="str">
        <f>IF(ISNONTEXT(deployment_raw[[#This Row],[Column3]]), "", deployment_raw[[#This Row],[Column3]])</f>
        <v/>
      </c>
      <c r="D410" s="38" t="str">
        <f>IF(ISNONTEXT(deployment_raw[[#This Row],[Column4]]), "", deployment_raw[[#This Row],[Column4]])</f>
        <v/>
      </c>
      <c r="E410" s="39" t="str">
        <f>IF(ISNUMBER(deployment_raw[[#This Row],[Column5]]), deployment_raw[[#This Row],[Column5]],"")</f>
        <v/>
      </c>
      <c r="F410" s="174" t="str">
        <f>IF(ISNUMBER(deployment_raw[[#This Row],[Column6]]), (deployment_raw[[#This Row],[Column6]] * deployment_raw[[#This Row],[Column5]]),"")</f>
        <v/>
      </c>
      <c r="G410" s="175" t="str">
        <f>IF(ISNUMBER(deployment_raw[[#This Row],[Column7]]), (deployment_raw[[#This Row],[Column7]] * deployment_raw[[#This Row],[Column5]])/1048576,"")</f>
        <v/>
      </c>
      <c r="H410" s="175" t="str">
        <f>IF(ISNUMBER(deployment_raw[[#This Row],[Column8]]), (deployment_raw[[#This Row],[Column8]]  * deployment_raw[[#This Row],[Column5]]),"")</f>
        <v/>
      </c>
      <c r="I410" s="176" t="str">
        <f>IF(ISNUMBER(deployment_raw[[#This Row],[Column9]]), (deployment_raw[[#This Row],[Column9]] * deployment_raw[[#This Row],[Column5]])/1048576,"")</f>
        <v/>
      </c>
      <c r="J410" s="57" t="str">
        <f>IF(ISNUMBER(deployment_raw[[#This Row],[Column10]]), (deployment_raw[[#This Row],[Column10]] * deployment_raw[[#This Row],[Column5]]),"")</f>
        <v/>
      </c>
      <c r="K410" s="58" t="str">
        <f>IF(ISNUMBER(deployment_raw[[#This Row],[Column11]]), (deployment_raw[[#This Row],[Column11]] * deployment_raw[[#This Row],[Column5]])/1048576,"")</f>
        <v/>
      </c>
      <c r="L410" s="180" t="str">
        <f>IF(ISNUMBER(deployment_raw[[#This Row],[Column8]]),IF(deployment_raw[[#This Row],[Column5]] &lt;&gt; 0, MAX((deployment_raw[[#This Row],[Column12]] * deployment_raw[[#This Row],[Column5]]), ((deployment_raw[[#This Row],[Column8]] * deployment_raw[[#This Row],[Column5]]) * $L$2), ($H$2 * deployment_raw[[#This Row],[Column5]])), 0),"")</f>
        <v/>
      </c>
      <c r="M41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10" s="188" t="str">
        <f>IF(ISNUMBER(deployment_raw[[#This Row],[Column14]]), deployment_raw[[#This Row],[Column14]],"")</f>
        <v/>
      </c>
      <c r="O410" s="189" t="str">
        <f>IF(ISNUMBER(deployment_raw[[#This Row],[Column15]]), deployment_raw[[#This Row],[Column15]]/1048576,"")</f>
        <v/>
      </c>
      <c r="P410" s="190" t="str">
        <f>IF(ISNUMBER(deployment_raw[[#This Row],[Column12]]), (deployment_raw[[#This Row],[Column12]] * deployment_raw[[#This Row],[Column5]]),"")</f>
        <v/>
      </c>
      <c r="Q410" s="189" t="str">
        <f>IF(ISNUMBER(deployment_raw[[#This Row],[Column13]]), (deployment_raw[[#This Row],[Column13]] * deployment_raw[[#This Row],[Column5]])/1048576,"")</f>
        <v/>
      </c>
    </row>
    <row r="411" spans="1:17" ht="15.75" customHeight="1" x14ac:dyDescent="0.25">
      <c r="A411" s="37" t="str">
        <f>IF(ISNONTEXT(deployment_raw[[#This Row],[Column1]]), "", deployment_raw[[#This Row],[Column1]])</f>
        <v/>
      </c>
      <c r="B411" s="38" t="str">
        <f>IF(ISNONTEXT(deployment_raw[[#This Row],[Column2]]), "", deployment_raw[[#This Row],[Column2]])</f>
        <v/>
      </c>
      <c r="C411" s="38" t="str">
        <f>IF(ISNONTEXT(deployment_raw[[#This Row],[Column3]]), "", deployment_raw[[#This Row],[Column3]])</f>
        <v/>
      </c>
      <c r="D411" s="38" t="str">
        <f>IF(ISNONTEXT(deployment_raw[[#This Row],[Column4]]), "", deployment_raw[[#This Row],[Column4]])</f>
        <v/>
      </c>
      <c r="E411" s="39" t="str">
        <f>IF(ISNUMBER(deployment_raw[[#This Row],[Column5]]), deployment_raw[[#This Row],[Column5]],"")</f>
        <v/>
      </c>
      <c r="F411" s="174" t="str">
        <f>IF(ISNUMBER(deployment_raw[[#This Row],[Column6]]), (deployment_raw[[#This Row],[Column6]] * deployment_raw[[#This Row],[Column5]]),"")</f>
        <v/>
      </c>
      <c r="G411" s="175" t="str">
        <f>IF(ISNUMBER(deployment_raw[[#This Row],[Column7]]), (deployment_raw[[#This Row],[Column7]] * deployment_raw[[#This Row],[Column5]])/1048576,"")</f>
        <v/>
      </c>
      <c r="H411" s="175" t="str">
        <f>IF(ISNUMBER(deployment_raw[[#This Row],[Column8]]), (deployment_raw[[#This Row],[Column8]]  * deployment_raw[[#This Row],[Column5]]),"")</f>
        <v/>
      </c>
      <c r="I411" s="176" t="str">
        <f>IF(ISNUMBER(deployment_raw[[#This Row],[Column9]]), (deployment_raw[[#This Row],[Column9]] * deployment_raw[[#This Row],[Column5]])/1048576,"")</f>
        <v/>
      </c>
      <c r="J411" s="57" t="str">
        <f>IF(ISNUMBER(deployment_raw[[#This Row],[Column10]]), (deployment_raw[[#This Row],[Column10]] * deployment_raw[[#This Row],[Column5]]),"")</f>
        <v/>
      </c>
      <c r="K411" s="58" t="str">
        <f>IF(ISNUMBER(deployment_raw[[#This Row],[Column11]]), (deployment_raw[[#This Row],[Column11]] * deployment_raw[[#This Row],[Column5]])/1048576,"")</f>
        <v/>
      </c>
      <c r="L411" s="180" t="str">
        <f>IF(ISNUMBER(deployment_raw[[#This Row],[Column8]]),IF(deployment_raw[[#This Row],[Column5]] &lt;&gt; 0, MAX((deployment_raw[[#This Row],[Column12]] * deployment_raw[[#This Row],[Column5]]), ((deployment_raw[[#This Row],[Column8]] * deployment_raw[[#This Row],[Column5]]) * $L$2), ($H$2 * deployment_raw[[#This Row],[Column5]])), 0),"")</f>
        <v/>
      </c>
      <c r="M41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11" s="188" t="str">
        <f>IF(ISNUMBER(deployment_raw[[#This Row],[Column14]]), deployment_raw[[#This Row],[Column14]],"")</f>
        <v/>
      </c>
      <c r="O411" s="189" t="str">
        <f>IF(ISNUMBER(deployment_raw[[#This Row],[Column15]]), deployment_raw[[#This Row],[Column15]]/1048576,"")</f>
        <v/>
      </c>
      <c r="P411" s="190" t="str">
        <f>IF(ISNUMBER(deployment_raw[[#This Row],[Column12]]), (deployment_raw[[#This Row],[Column12]] * deployment_raw[[#This Row],[Column5]]),"")</f>
        <v/>
      </c>
      <c r="Q411" s="189" t="str">
        <f>IF(ISNUMBER(deployment_raw[[#This Row],[Column13]]), (deployment_raw[[#This Row],[Column13]] * deployment_raw[[#This Row],[Column5]])/1048576,"")</f>
        <v/>
      </c>
    </row>
    <row r="412" spans="1:17" ht="15.75" customHeight="1" x14ac:dyDescent="0.25">
      <c r="A412" s="37" t="str">
        <f>IF(ISNONTEXT(deployment_raw[[#This Row],[Column1]]), "", deployment_raw[[#This Row],[Column1]])</f>
        <v/>
      </c>
      <c r="B412" s="38" t="str">
        <f>IF(ISNONTEXT(deployment_raw[[#This Row],[Column2]]), "", deployment_raw[[#This Row],[Column2]])</f>
        <v/>
      </c>
      <c r="C412" s="38" t="str">
        <f>IF(ISNONTEXT(deployment_raw[[#This Row],[Column3]]), "", deployment_raw[[#This Row],[Column3]])</f>
        <v/>
      </c>
      <c r="D412" s="38" t="str">
        <f>IF(ISNONTEXT(deployment_raw[[#This Row],[Column4]]), "", deployment_raw[[#This Row],[Column4]])</f>
        <v/>
      </c>
      <c r="E412" s="39" t="str">
        <f>IF(ISNUMBER(deployment_raw[[#This Row],[Column5]]), deployment_raw[[#This Row],[Column5]],"")</f>
        <v/>
      </c>
      <c r="F412" s="174" t="str">
        <f>IF(ISNUMBER(deployment_raw[[#This Row],[Column6]]), (deployment_raw[[#This Row],[Column6]] * deployment_raw[[#This Row],[Column5]]),"")</f>
        <v/>
      </c>
      <c r="G412" s="175" t="str">
        <f>IF(ISNUMBER(deployment_raw[[#This Row],[Column7]]), (deployment_raw[[#This Row],[Column7]] * deployment_raw[[#This Row],[Column5]])/1048576,"")</f>
        <v/>
      </c>
      <c r="H412" s="175" t="str">
        <f>IF(ISNUMBER(deployment_raw[[#This Row],[Column8]]), (deployment_raw[[#This Row],[Column8]]  * deployment_raw[[#This Row],[Column5]]),"")</f>
        <v/>
      </c>
      <c r="I412" s="176" t="str">
        <f>IF(ISNUMBER(deployment_raw[[#This Row],[Column9]]), (deployment_raw[[#This Row],[Column9]] * deployment_raw[[#This Row],[Column5]])/1048576,"")</f>
        <v/>
      </c>
      <c r="J412" s="57" t="str">
        <f>IF(ISNUMBER(deployment_raw[[#This Row],[Column10]]), (deployment_raw[[#This Row],[Column10]] * deployment_raw[[#This Row],[Column5]]),"")</f>
        <v/>
      </c>
      <c r="K412" s="58" t="str">
        <f>IF(ISNUMBER(deployment_raw[[#This Row],[Column11]]), (deployment_raw[[#This Row],[Column11]] * deployment_raw[[#This Row],[Column5]])/1048576,"")</f>
        <v/>
      </c>
      <c r="L412" s="180" t="str">
        <f>IF(ISNUMBER(deployment_raw[[#This Row],[Column8]]),IF(deployment_raw[[#This Row],[Column5]] &lt;&gt; 0, MAX((deployment_raw[[#This Row],[Column12]] * deployment_raw[[#This Row],[Column5]]), ((deployment_raw[[#This Row],[Column8]] * deployment_raw[[#This Row],[Column5]]) * $L$2), ($H$2 * deployment_raw[[#This Row],[Column5]])), 0),"")</f>
        <v/>
      </c>
      <c r="M41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12" s="188" t="str">
        <f>IF(ISNUMBER(deployment_raw[[#This Row],[Column14]]), deployment_raw[[#This Row],[Column14]],"")</f>
        <v/>
      </c>
      <c r="O412" s="189" t="str">
        <f>IF(ISNUMBER(deployment_raw[[#This Row],[Column15]]), deployment_raw[[#This Row],[Column15]]/1048576,"")</f>
        <v/>
      </c>
      <c r="P412" s="190" t="str">
        <f>IF(ISNUMBER(deployment_raw[[#This Row],[Column12]]), (deployment_raw[[#This Row],[Column12]] * deployment_raw[[#This Row],[Column5]]),"")</f>
        <v/>
      </c>
      <c r="Q412" s="189" t="str">
        <f>IF(ISNUMBER(deployment_raw[[#This Row],[Column13]]), (deployment_raw[[#This Row],[Column13]] * deployment_raw[[#This Row],[Column5]])/1048576,"")</f>
        <v/>
      </c>
    </row>
    <row r="413" spans="1:17" ht="15.75" customHeight="1" x14ac:dyDescent="0.25">
      <c r="A413" s="37" t="str">
        <f>IF(ISNONTEXT(deployment_raw[[#This Row],[Column1]]), "", deployment_raw[[#This Row],[Column1]])</f>
        <v/>
      </c>
      <c r="B413" s="38" t="str">
        <f>IF(ISNONTEXT(deployment_raw[[#This Row],[Column2]]), "", deployment_raw[[#This Row],[Column2]])</f>
        <v/>
      </c>
      <c r="C413" s="38" t="str">
        <f>IF(ISNONTEXT(deployment_raw[[#This Row],[Column3]]), "", deployment_raw[[#This Row],[Column3]])</f>
        <v/>
      </c>
      <c r="D413" s="38" t="str">
        <f>IF(ISNONTEXT(deployment_raw[[#This Row],[Column4]]), "", deployment_raw[[#This Row],[Column4]])</f>
        <v/>
      </c>
      <c r="E413" s="39" t="str">
        <f>IF(ISNUMBER(deployment_raw[[#This Row],[Column5]]), deployment_raw[[#This Row],[Column5]],"")</f>
        <v/>
      </c>
      <c r="F413" s="174" t="str">
        <f>IF(ISNUMBER(deployment_raw[[#This Row],[Column6]]), (deployment_raw[[#This Row],[Column6]] * deployment_raw[[#This Row],[Column5]]),"")</f>
        <v/>
      </c>
      <c r="G413" s="175" t="str">
        <f>IF(ISNUMBER(deployment_raw[[#This Row],[Column7]]), (deployment_raw[[#This Row],[Column7]] * deployment_raw[[#This Row],[Column5]])/1048576,"")</f>
        <v/>
      </c>
      <c r="H413" s="175" t="str">
        <f>IF(ISNUMBER(deployment_raw[[#This Row],[Column8]]), (deployment_raw[[#This Row],[Column8]]  * deployment_raw[[#This Row],[Column5]]),"")</f>
        <v/>
      </c>
      <c r="I413" s="176" t="str">
        <f>IF(ISNUMBER(deployment_raw[[#This Row],[Column9]]), (deployment_raw[[#This Row],[Column9]] * deployment_raw[[#This Row],[Column5]])/1048576,"")</f>
        <v/>
      </c>
      <c r="J413" s="57" t="str">
        <f>IF(ISNUMBER(deployment_raw[[#This Row],[Column10]]), (deployment_raw[[#This Row],[Column10]] * deployment_raw[[#This Row],[Column5]]),"")</f>
        <v/>
      </c>
      <c r="K413" s="58" t="str">
        <f>IF(ISNUMBER(deployment_raw[[#This Row],[Column11]]), (deployment_raw[[#This Row],[Column11]] * deployment_raw[[#This Row],[Column5]])/1048576,"")</f>
        <v/>
      </c>
      <c r="L413" s="180" t="str">
        <f>IF(ISNUMBER(deployment_raw[[#This Row],[Column8]]),IF(deployment_raw[[#This Row],[Column5]] &lt;&gt; 0, MAX((deployment_raw[[#This Row],[Column12]] * deployment_raw[[#This Row],[Column5]]), ((deployment_raw[[#This Row],[Column8]] * deployment_raw[[#This Row],[Column5]]) * $L$2), ($H$2 * deployment_raw[[#This Row],[Column5]])), 0),"")</f>
        <v/>
      </c>
      <c r="M41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13" s="188" t="str">
        <f>IF(ISNUMBER(deployment_raw[[#This Row],[Column14]]), deployment_raw[[#This Row],[Column14]],"")</f>
        <v/>
      </c>
      <c r="O413" s="189" t="str">
        <f>IF(ISNUMBER(deployment_raw[[#This Row],[Column15]]), deployment_raw[[#This Row],[Column15]]/1048576,"")</f>
        <v/>
      </c>
      <c r="P413" s="190" t="str">
        <f>IF(ISNUMBER(deployment_raw[[#This Row],[Column12]]), (deployment_raw[[#This Row],[Column12]] * deployment_raw[[#This Row],[Column5]]),"")</f>
        <v/>
      </c>
      <c r="Q413" s="189" t="str">
        <f>IF(ISNUMBER(deployment_raw[[#This Row],[Column13]]), (deployment_raw[[#This Row],[Column13]] * deployment_raw[[#This Row],[Column5]])/1048576,"")</f>
        <v/>
      </c>
    </row>
    <row r="414" spans="1:17" ht="15.75" customHeight="1" x14ac:dyDescent="0.25">
      <c r="A414" s="37" t="str">
        <f>IF(ISNONTEXT(deployment_raw[[#This Row],[Column1]]), "", deployment_raw[[#This Row],[Column1]])</f>
        <v/>
      </c>
      <c r="B414" s="38" t="str">
        <f>IF(ISNONTEXT(deployment_raw[[#This Row],[Column2]]), "", deployment_raw[[#This Row],[Column2]])</f>
        <v/>
      </c>
      <c r="C414" s="38" t="str">
        <f>IF(ISNONTEXT(deployment_raw[[#This Row],[Column3]]), "", deployment_raw[[#This Row],[Column3]])</f>
        <v/>
      </c>
      <c r="D414" s="38" t="str">
        <f>IF(ISNONTEXT(deployment_raw[[#This Row],[Column4]]), "", deployment_raw[[#This Row],[Column4]])</f>
        <v/>
      </c>
      <c r="E414" s="39" t="str">
        <f>IF(ISNUMBER(deployment_raw[[#This Row],[Column5]]), deployment_raw[[#This Row],[Column5]],"")</f>
        <v/>
      </c>
      <c r="F414" s="174" t="str">
        <f>IF(ISNUMBER(deployment_raw[[#This Row],[Column6]]), (deployment_raw[[#This Row],[Column6]] * deployment_raw[[#This Row],[Column5]]),"")</f>
        <v/>
      </c>
      <c r="G414" s="175" t="str">
        <f>IF(ISNUMBER(deployment_raw[[#This Row],[Column7]]), (deployment_raw[[#This Row],[Column7]] * deployment_raw[[#This Row],[Column5]])/1048576,"")</f>
        <v/>
      </c>
      <c r="H414" s="175" t="str">
        <f>IF(ISNUMBER(deployment_raw[[#This Row],[Column8]]), (deployment_raw[[#This Row],[Column8]]  * deployment_raw[[#This Row],[Column5]]),"")</f>
        <v/>
      </c>
      <c r="I414" s="176" t="str">
        <f>IF(ISNUMBER(deployment_raw[[#This Row],[Column9]]), (deployment_raw[[#This Row],[Column9]] * deployment_raw[[#This Row],[Column5]])/1048576,"")</f>
        <v/>
      </c>
      <c r="J414" s="57" t="str">
        <f>IF(ISNUMBER(deployment_raw[[#This Row],[Column10]]), (deployment_raw[[#This Row],[Column10]] * deployment_raw[[#This Row],[Column5]]),"")</f>
        <v/>
      </c>
      <c r="K414" s="58" t="str">
        <f>IF(ISNUMBER(deployment_raw[[#This Row],[Column11]]), (deployment_raw[[#This Row],[Column11]] * deployment_raw[[#This Row],[Column5]])/1048576,"")</f>
        <v/>
      </c>
      <c r="L414" s="180" t="str">
        <f>IF(ISNUMBER(deployment_raw[[#This Row],[Column8]]),IF(deployment_raw[[#This Row],[Column5]] &lt;&gt; 0, MAX((deployment_raw[[#This Row],[Column12]] * deployment_raw[[#This Row],[Column5]]), ((deployment_raw[[#This Row],[Column8]] * deployment_raw[[#This Row],[Column5]]) * $L$2), ($H$2 * deployment_raw[[#This Row],[Column5]])), 0),"")</f>
        <v/>
      </c>
      <c r="M41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14" s="188" t="str">
        <f>IF(ISNUMBER(deployment_raw[[#This Row],[Column14]]), deployment_raw[[#This Row],[Column14]],"")</f>
        <v/>
      </c>
      <c r="O414" s="189" t="str">
        <f>IF(ISNUMBER(deployment_raw[[#This Row],[Column15]]), deployment_raw[[#This Row],[Column15]]/1048576,"")</f>
        <v/>
      </c>
      <c r="P414" s="190" t="str">
        <f>IF(ISNUMBER(deployment_raw[[#This Row],[Column12]]), (deployment_raw[[#This Row],[Column12]] * deployment_raw[[#This Row],[Column5]]),"")</f>
        <v/>
      </c>
      <c r="Q414" s="189" t="str">
        <f>IF(ISNUMBER(deployment_raw[[#This Row],[Column13]]), (deployment_raw[[#This Row],[Column13]] * deployment_raw[[#This Row],[Column5]])/1048576,"")</f>
        <v/>
      </c>
    </row>
    <row r="415" spans="1:17" ht="15.75" customHeight="1" x14ac:dyDescent="0.25">
      <c r="A415" s="37" t="str">
        <f>IF(ISNONTEXT(deployment_raw[[#This Row],[Column1]]), "", deployment_raw[[#This Row],[Column1]])</f>
        <v/>
      </c>
      <c r="B415" s="38" t="str">
        <f>IF(ISNONTEXT(deployment_raw[[#This Row],[Column2]]), "", deployment_raw[[#This Row],[Column2]])</f>
        <v/>
      </c>
      <c r="C415" s="38" t="str">
        <f>IF(ISNONTEXT(deployment_raw[[#This Row],[Column3]]), "", deployment_raw[[#This Row],[Column3]])</f>
        <v/>
      </c>
      <c r="D415" s="38" t="str">
        <f>IF(ISNONTEXT(deployment_raw[[#This Row],[Column4]]), "", deployment_raw[[#This Row],[Column4]])</f>
        <v/>
      </c>
      <c r="E415" s="39" t="str">
        <f>IF(ISNUMBER(deployment_raw[[#This Row],[Column5]]), deployment_raw[[#This Row],[Column5]],"")</f>
        <v/>
      </c>
      <c r="F415" s="174" t="str">
        <f>IF(ISNUMBER(deployment_raw[[#This Row],[Column6]]), (deployment_raw[[#This Row],[Column6]] * deployment_raw[[#This Row],[Column5]]),"")</f>
        <v/>
      </c>
      <c r="G415" s="175" t="str">
        <f>IF(ISNUMBER(deployment_raw[[#This Row],[Column7]]), (deployment_raw[[#This Row],[Column7]] * deployment_raw[[#This Row],[Column5]])/1048576,"")</f>
        <v/>
      </c>
      <c r="H415" s="175" t="str">
        <f>IF(ISNUMBER(deployment_raw[[#This Row],[Column8]]), (deployment_raw[[#This Row],[Column8]]  * deployment_raw[[#This Row],[Column5]]),"")</f>
        <v/>
      </c>
      <c r="I415" s="176" t="str">
        <f>IF(ISNUMBER(deployment_raw[[#This Row],[Column9]]), (deployment_raw[[#This Row],[Column9]] * deployment_raw[[#This Row],[Column5]])/1048576,"")</f>
        <v/>
      </c>
      <c r="J415" s="57" t="str">
        <f>IF(ISNUMBER(deployment_raw[[#This Row],[Column10]]), (deployment_raw[[#This Row],[Column10]] * deployment_raw[[#This Row],[Column5]]),"")</f>
        <v/>
      </c>
      <c r="K415" s="58" t="str">
        <f>IF(ISNUMBER(deployment_raw[[#This Row],[Column11]]), (deployment_raw[[#This Row],[Column11]] * deployment_raw[[#This Row],[Column5]])/1048576,"")</f>
        <v/>
      </c>
      <c r="L415" s="180" t="str">
        <f>IF(ISNUMBER(deployment_raw[[#This Row],[Column8]]),IF(deployment_raw[[#This Row],[Column5]] &lt;&gt; 0, MAX((deployment_raw[[#This Row],[Column12]] * deployment_raw[[#This Row],[Column5]]), ((deployment_raw[[#This Row],[Column8]] * deployment_raw[[#This Row],[Column5]]) * $L$2), ($H$2 * deployment_raw[[#This Row],[Column5]])), 0),"")</f>
        <v/>
      </c>
      <c r="M41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15" s="188" t="str">
        <f>IF(ISNUMBER(deployment_raw[[#This Row],[Column14]]), deployment_raw[[#This Row],[Column14]],"")</f>
        <v/>
      </c>
      <c r="O415" s="189" t="str">
        <f>IF(ISNUMBER(deployment_raw[[#This Row],[Column15]]), deployment_raw[[#This Row],[Column15]]/1048576,"")</f>
        <v/>
      </c>
      <c r="P415" s="190" t="str">
        <f>IF(ISNUMBER(deployment_raw[[#This Row],[Column12]]), (deployment_raw[[#This Row],[Column12]] * deployment_raw[[#This Row],[Column5]]),"")</f>
        <v/>
      </c>
      <c r="Q415" s="189" t="str">
        <f>IF(ISNUMBER(deployment_raw[[#This Row],[Column13]]), (deployment_raw[[#This Row],[Column13]] * deployment_raw[[#This Row],[Column5]])/1048576,"")</f>
        <v/>
      </c>
    </row>
    <row r="416" spans="1:17" ht="15.75" customHeight="1" x14ac:dyDescent="0.25">
      <c r="A416" s="37" t="str">
        <f>IF(ISNONTEXT(deployment_raw[[#This Row],[Column1]]), "", deployment_raw[[#This Row],[Column1]])</f>
        <v/>
      </c>
      <c r="B416" s="38" t="str">
        <f>IF(ISNONTEXT(deployment_raw[[#This Row],[Column2]]), "", deployment_raw[[#This Row],[Column2]])</f>
        <v/>
      </c>
      <c r="C416" s="38" t="str">
        <f>IF(ISNONTEXT(deployment_raw[[#This Row],[Column3]]), "", deployment_raw[[#This Row],[Column3]])</f>
        <v/>
      </c>
      <c r="D416" s="38" t="str">
        <f>IF(ISNONTEXT(deployment_raw[[#This Row],[Column4]]), "", deployment_raw[[#This Row],[Column4]])</f>
        <v/>
      </c>
      <c r="E416" s="39" t="str">
        <f>IF(ISNUMBER(deployment_raw[[#This Row],[Column5]]), deployment_raw[[#This Row],[Column5]],"")</f>
        <v/>
      </c>
      <c r="F416" s="174" t="str">
        <f>IF(ISNUMBER(deployment_raw[[#This Row],[Column6]]), (deployment_raw[[#This Row],[Column6]] * deployment_raw[[#This Row],[Column5]]),"")</f>
        <v/>
      </c>
      <c r="G416" s="175" t="str">
        <f>IF(ISNUMBER(deployment_raw[[#This Row],[Column7]]), (deployment_raw[[#This Row],[Column7]] * deployment_raw[[#This Row],[Column5]])/1048576,"")</f>
        <v/>
      </c>
      <c r="H416" s="175" t="str">
        <f>IF(ISNUMBER(deployment_raw[[#This Row],[Column8]]), (deployment_raw[[#This Row],[Column8]]  * deployment_raw[[#This Row],[Column5]]),"")</f>
        <v/>
      </c>
      <c r="I416" s="176" t="str">
        <f>IF(ISNUMBER(deployment_raw[[#This Row],[Column9]]), (deployment_raw[[#This Row],[Column9]] * deployment_raw[[#This Row],[Column5]])/1048576,"")</f>
        <v/>
      </c>
      <c r="J416" s="57" t="str">
        <f>IF(ISNUMBER(deployment_raw[[#This Row],[Column10]]), (deployment_raw[[#This Row],[Column10]] * deployment_raw[[#This Row],[Column5]]),"")</f>
        <v/>
      </c>
      <c r="K416" s="58" t="str">
        <f>IF(ISNUMBER(deployment_raw[[#This Row],[Column11]]), (deployment_raw[[#This Row],[Column11]] * deployment_raw[[#This Row],[Column5]])/1048576,"")</f>
        <v/>
      </c>
      <c r="L416" s="180" t="str">
        <f>IF(ISNUMBER(deployment_raw[[#This Row],[Column8]]),IF(deployment_raw[[#This Row],[Column5]] &lt;&gt; 0, MAX((deployment_raw[[#This Row],[Column12]] * deployment_raw[[#This Row],[Column5]]), ((deployment_raw[[#This Row],[Column8]] * deployment_raw[[#This Row],[Column5]]) * $L$2), ($H$2 * deployment_raw[[#This Row],[Column5]])), 0),"")</f>
        <v/>
      </c>
      <c r="M41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16" s="188" t="str">
        <f>IF(ISNUMBER(deployment_raw[[#This Row],[Column14]]), deployment_raw[[#This Row],[Column14]],"")</f>
        <v/>
      </c>
      <c r="O416" s="189" t="str">
        <f>IF(ISNUMBER(deployment_raw[[#This Row],[Column15]]), deployment_raw[[#This Row],[Column15]]/1048576,"")</f>
        <v/>
      </c>
      <c r="P416" s="190" t="str">
        <f>IF(ISNUMBER(deployment_raw[[#This Row],[Column12]]), (deployment_raw[[#This Row],[Column12]] * deployment_raw[[#This Row],[Column5]]),"")</f>
        <v/>
      </c>
      <c r="Q416" s="189" t="str">
        <f>IF(ISNUMBER(deployment_raw[[#This Row],[Column13]]), (deployment_raw[[#This Row],[Column13]] * deployment_raw[[#This Row],[Column5]])/1048576,"")</f>
        <v/>
      </c>
    </row>
    <row r="417" spans="1:17" ht="15.75" customHeight="1" x14ac:dyDescent="0.25">
      <c r="A417" s="37" t="str">
        <f>IF(ISNONTEXT(deployment_raw[[#This Row],[Column1]]), "", deployment_raw[[#This Row],[Column1]])</f>
        <v/>
      </c>
      <c r="B417" s="38" t="str">
        <f>IF(ISNONTEXT(deployment_raw[[#This Row],[Column2]]), "", deployment_raw[[#This Row],[Column2]])</f>
        <v/>
      </c>
      <c r="C417" s="38" t="str">
        <f>IF(ISNONTEXT(deployment_raw[[#This Row],[Column3]]), "", deployment_raw[[#This Row],[Column3]])</f>
        <v/>
      </c>
      <c r="D417" s="38" t="str">
        <f>IF(ISNONTEXT(deployment_raw[[#This Row],[Column4]]), "", deployment_raw[[#This Row],[Column4]])</f>
        <v/>
      </c>
      <c r="E417" s="39" t="str">
        <f>IF(ISNUMBER(deployment_raw[[#This Row],[Column5]]), deployment_raw[[#This Row],[Column5]],"")</f>
        <v/>
      </c>
      <c r="F417" s="174" t="str">
        <f>IF(ISNUMBER(deployment_raw[[#This Row],[Column6]]), (deployment_raw[[#This Row],[Column6]] * deployment_raw[[#This Row],[Column5]]),"")</f>
        <v/>
      </c>
      <c r="G417" s="175" t="str">
        <f>IF(ISNUMBER(deployment_raw[[#This Row],[Column7]]), (deployment_raw[[#This Row],[Column7]] * deployment_raw[[#This Row],[Column5]])/1048576,"")</f>
        <v/>
      </c>
      <c r="H417" s="175" t="str">
        <f>IF(ISNUMBER(deployment_raw[[#This Row],[Column8]]), (deployment_raw[[#This Row],[Column8]]  * deployment_raw[[#This Row],[Column5]]),"")</f>
        <v/>
      </c>
      <c r="I417" s="176" t="str">
        <f>IF(ISNUMBER(deployment_raw[[#This Row],[Column9]]), (deployment_raw[[#This Row],[Column9]] * deployment_raw[[#This Row],[Column5]])/1048576,"")</f>
        <v/>
      </c>
      <c r="J417" s="57" t="str">
        <f>IF(ISNUMBER(deployment_raw[[#This Row],[Column10]]), (deployment_raw[[#This Row],[Column10]] * deployment_raw[[#This Row],[Column5]]),"")</f>
        <v/>
      </c>
      <c r="K417" s="58" t="str">
        <f>IF(ISNUMBER(deployment_raw[[#This Row],[Column11]]), (deployment_raw[[#This Row],[Column11]] * deployment_raw[[#This Row],[Column5]])/1048576,"")</f>
        <v/>
      </c>
      <c r="L417" s="180" t="str">
        <f>IF(ISNUMBER(deployment_raw[[#This Row],[Column8]]),IF(deployment_raw[[#This Row],[Column5]] &lt;&gt; 0, MAX((deployment_raw[[#This Row],[Column12]] * deployment_raw[[#This Row],[Column5]]), ((deployment_raw[[#This Row],[Column8]] * deployment_raw[[#This Row],[Column5]]) * $L$2), ($H$2 * deployment_raw[[#This Row],[Column5]])), 0),"")</f>
        <v/>
      </c>
      <c r="M41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17" s="188" t="str">
        <f>IF(ISNUMBER(deployment_raw[[#This Row],[Column14]]), deployment_raw[[#This Row],[Column14]],"")</f>
        <v/>
      </c>
      <c r="O417" s="189" t="str">
        <f>IF(ISNUMBER(deployment_raw[[#This Row],[Column15]]), deployment_raw[[#This Row],[Column15]]/1048576,"")</f>
        <v/>
      </c>
      <c r="P417" s="190" t="str">
        <f>IF(ISNUMBER(deployment_raw[[#This Row],[Column12]]), (deployment_raw[[#This Row],[Column12]] * deployment_raw[[#This Row],[Column5]]),"")</f>
        <v/>
      </c>
      <c r="Q417" s="189" t="str">
        <f>IF(ISNUMBER(deployment_raw[[#This Row],[Column13]]), (deployment_raw[[#This Row],[Column13]] * deployment_raw[[#This Row],[Column5]])/1048576,"")</f>
        <v/>
      </c>
    </row>
    <row r="418" spans="1:17" ht="15.75" customHeight="1" x14ac:dyDescent="0.25">
      <c r="A418" s="37" t="str">
        <f>IF(ISNONTEXT(deployment_raw[[#This Row],[Column1]]), "", deployment_raw[[#This Row],[Column1]])</f>
        <v/>
      </c>
      <c r="B418" s="38" t="str">
        <f>IF(ISNONTEXT(deployment_raw[[#This Row],[Column2]]), "", deployment_raw[[#This Row],[Column2]])</f>
        <v/>
      </c>
      <c r="C418" s="38" t="str">
        <f>IF(ISNONTEXT(deployment_raw[[#This Row],[Column3]]), "", deployment_raw[[#This Row],[Column3]])</f>
        <v/>
      </c>
      <c r="D418" s="38" t="str">
        <f>IF(ISNONTEXT(deployment_raw[[#This Row],[Column4]]), "", deployment_raw[[#This Row],[Column4]])</f>
        <v/>
      </c>
      <c r="E418" s="39" t="str">
        <f>IF(ISNUMBER(deployment_raw[[#This Row],[Column5]]), deployment_raw[[#This Row],[Column5]],"")</f>
        <v/>
      </c>
      <c r="F418" s="174" t="str">
        <f>IF(ISNUMBER(deployment_raw[[#This Row],[Column6]]), (deployment_raw[[#This Row],[Column6]] * deployment_raw[[#This Row],[Column5]]),"")</f>
        <v/>
      </c>
      <c r="G418" s="175" t="str">
        <f>IF(ISNUMBER(deployment_raw[[#This Row],[Column7]]), (deployment_raw[[#This Row],[Column7]] * deployment_raw[[#This Row],[Column5]])/1048576,"")</f>
        <v/>
      </c>
      <c r="H418" s="175" t="str">
        <f>IF(ISNUMBER(deployment_raw[[#This Row],[Column8]]), (deployment_raw[[#This Row],[Column8]]  * deployment_raw[[#This Row],[Column5]]),"")</f>
        <v/>
      </c>
      <c r="I418" s="176" t="str">
        <f>IF(ISNUMBER(deployment_raw[[#This Row],[Column9]]), (deployment_raw[[#This Row],[Column9]] * deployment_raw[[#This Row],[Column5]])/1048576,"")</f>
        <v/>
      </c>
      <c r="J418" s="57" t="str">
        <f>IF(ISNUMBER(deployment_raw[[#This Row],[Column10]]), (deployment_raw[[#This Row],[Column10]] * deployment_raw[[#This Row],[Column5]]),"")</f>
        <v/>
      </c>
      <c r="K418" s="58" t="str">
        <f>IF(ISNUMBER(deployment_raw[[#This Row],[Column11]]), (deployment_raw[[#This Row],[Column11]] * deployment_raw[[#This Row],[Column5]])/1048576,"")</f>
        <v/>
      </c>
      <c r="L418" s="180" t="str">
        <f>IF(ISNUMBER(deployment_raw[[#This Row],[Column8]]),IF(deployment_raw[[#This Row],[Column5]] &lt;&gt; 0, MAX((deployment_raw[[#This Row],[Column12]] * deployment_raw[[#This Row],[Column5]]), ((deployment_raw[[#This Row],[Column8]] * deployment_raw[[#This Row],[Column5]]) * $L$2), ($H$2 * deployment_raw[[#This Row],[Column5]])), 0),"")</f>
        <v/>
      </c>
      <c r="M41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18" s="188" t="str">
        <f>IF(ISNUMBER(deployment_raw[[#This Row],[Column14]]), deployment_raw[[#This Row],[Column14]],"")</f>
        <v/>
      </c>
      <c r="O418" s="189" t="str">
        <f>IF(ISNUMBER(deployment_raw[[#This Row],[Column15]]), deployment_raw[[#This Row],[Column15]]/1048576,"")</f>
        <v/>
      </c>
      <c r="P418" s="190" t="str">
        <f>IF(ISNUMBER(deployment_raw[[#This Row],[Column12]]), (deployment_raw[[#This Row],[Column12]] * deployment_raw[[#This Row],[Column5]]),"")</f>
        <v/>
      </c>
      <c r="Q418" s="189" t="str">
        <f>IF(ISNUMBER(deployment_raw[[#This Row],[Column13]]), (deployment_raw[[#This Row],[Column13]] * deployment_raw[[#This Row],[Column5]])/1048576,"")</f>
        <v/>
      </c>
    </row>
    <row r="419" spans="1:17" ht="15.75" customHeight="1" x14ac:dyDescent="0.25">
      <c r="A419" s="37" t="str">
        <f>IF(ISNONTEXT(deployment_raw[[#This Row],[Column1]]), "", deployment_raw[[#This Row],[Column1]])</f>
        <v/>
      </c>
      <c r="B419" s="38" t="str">
        <f>IF(ISNONTEXT(deployment_raw[[#This Row],[Column2]]), "", deployment_raw[[#This Row],[Column2]])</f>
        <v/>
      </c>
      <c r="C419" s="38" t="str">
        <f>IF(ISNONTEXT(deployment_raw[[#This Row],[Column3]]), "", deployment_raw[[#This Row],[Column3]])</f>
        <v/>
      </c>
      <c r="D419" s="38" t="str">
        <f>IF(ISNONTEXT(deployment_raw[[#This Row],[Column4]]), "", deployment_raw[[#This Row],[Column4]])</f>
        <v/>
      </c>
      <c r="E419" s="39" t="str">
        <f>IF(ISNUMBER(deployment_raw[[#This Row],[Column5]]), deployment_raw[[#This Row],[Column5]],"")</f>
        <v/>
      </c>
      <c r="F419" s="174" t="str">
        <f>IF(ISNUMBER(deployment_raw[[#This Row],[Column6]]), (deployment_raw[[#This Row],[Column6]] * deployment_raw[[#This Row],[Column5]]),"")</f>
        <v/>
      </c>
      <c r="G419" s="175" t="str">
        <f>IF(ISNUMBER(deployment_raw[[#This Row],[Column7]]), (deployment_raw[[#This Row],[Column7]] * deployment_raw[[#This Row],[Column5]])/1048576,"")</f>
        <v/>
      </c>
      <c r="H419" s="175" t="str">
        <f>IF(ISNUMBER(deployment_raw[[#This Row],[Column8]]), (deployment_raw[[#This Row],[Column8]]  * deployment_raw[[#This Row],[Column5]]),"")</f>
        <v/>
      </c>
      <c r="I419" s="176" t="str">
        <f>IF(ISNUMBER(deployment_raw[[#This Row],[Column9]]), (deployment_raw[[#This Row],[Column9]] * deployment_raw[[#This Row],[Column5]])/1048576,"")</f>
        <v/>
      </c>
      <c r="J419" s="57" t="str">
        <f>IF(ISNUMBER(deployment_raw[[#This Row],[Column10]]), (deployment_raw[[#This Row],[Column10]] * deployment_raw[[#This Row],[Column5]]),"")</f>
        <v/>
      </c>
      <c r="K419" s="58" t="str">
        <f>IF(ISNUMBER(deployment_raw[[#This Row],[Column11]]), (deployment_raw[[#This Row],[Column11]] * deployment_raw[[#This Row],[Column5]])/1048576,"")</f>
        <v/>
      </c>
      <c r="L419" s="180" t="str">
        <f>IF(ISNUMBER(deployment_raw[[#This Row],[Column8]]),IF(deployment_raw[[#This Row],[Column5]] &lt;&gt; 0, MAX((deployment_raw[[#This Row],[Column12]] * deployment_raw[[#This Row],[Column5]]), ((deployment_raw[[#This Row],[Column8]] * deployment_raw[[#This Row],[Column5]]) * $L$2), ($H$2 * deployment_raw[[#This Row],[Column5]])), 0),"")</f>
        <v/>
      </c>
      <c r="M41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19" s="188" t="str">
        <f>IF(ISNUMBER(deployment_raw[[#This Row],[Column14]]), deployment_raw[[#This Row],[Column14]],"")</f>
        <v/>
      </c>
      <c r="O419" s="189" t="str">
        <f>IF(ISNUMBER(deployment_raw[[#This Row],[Column15]]), deployment_raw[[#This Row],[Column15]]/1048576,"")</f>
        <v/>
      </c>
      <c r="P419" s="190" t="str">
        <f>IF(ISNUMBER(deployment_raw[[#This Row],[Column12]]), (deployment_raw[[#This Row],[Column12]] * deployment_raw[[#This Row],[Column5]]),"")</f>
        <v/>
      </c>
      <c r="Q419" s="189" t="str">
        <f>IF(ISNUMBER(deployment_raw[[#This Row],[Column13]]), (deployment_raw[[#This Row],[Column13]] * deployment_raw[[#This Row],[Column5]])/1048576,"")</f>
        <v/>
      </c>
    </row>
    <row r="420" spans="1:17" ht="15.75" customHeight="1" x14ac:dyDescent="0.25">
      <c r="A420" s="37" t="str">
        <f>IF(ISNONTEXT(deployment_raw[[#This Row],[Column1]]), "", deployment_raw[[#This Row],[Column1]])</f>
        <v/>
      </c>
      <c r="B420" s="38" t="str">
        <f>IF(ISNONTEXT(deployment_raw[[#This Row],[Column2]]), "", deployment_raw[[#This Row],[Column2]])</f>
        <v/>
      </c>
      <c r="C420" s="38" t="str">
        <f>IF(ISNONTEXT(deployment_raw[[#This Row],[Column3]]), "", deployment_raw[[#This Row],[Column3]])</f>
        <v/>
      </c>
      <c r="D420" s="38" t="str">
        <f>IF(ISNONTEXT(deployment_raw[[#This Row],[Column4]]), "", deployment_raw[[#This Row],[Column4]])</f>
        <v/>
      </c>
      <c r="E420" s="39" t="str">
        <f>IF(ISNUMBER(deployment_raw[[#This Row],[Column5]]), deployment_raw[[#This Row],[Column5]],"")</f>
        <v/>
      </c>
      <c r="F420" s="174" t="str">
        <f>IF(ISNUMBER(deployment_raw[[#This Row],[Column6]]), (deployment_raw[[#This Row],[Column6]] * deployment_raw[[#This Row],[Column5]]),"")</f>
        <v/>
      </c>
      <c r="G420" s="175" t="str">
        <f>IF(ISNUMBER(deployment_raw[[#This Row],[Column7]]), (deployment_raw[[#This Row],[Column7]] * deployment_raw[[#This Row],[Column5]])/1048576,"")</f>
        <v/>
      </c>
      <c r="H420" s="175" t="str">
        <f>IF(ISNUMBER(deployment_raw[[#This Row],[Column8]]), (deployment_raw[[#This Row],[Column8]]  * deployment_raw[[#This Row],[Column5]]),"")</f>
        <v/>
      </c>
      <c r="I420" s="176" t="str">
        <f>IF(ISNUMBER(deployment_raw[[#This Row],[Column9]]), (deployment_raw[[#This Row],[Column9]] * deployment_raw[[#This Row],[Column5]])/1048576,"")</f>
        <v/>
      </c>
      <c r="J420" s="57" t="str">
        <f>IF(ISNUMBER(deployment_raw[[#This Row],[Column10]]), (deployment_raw[[#This Row],[Column10]] * deployment_raw[[#This Row],[Column5]]),"")</f>
        <v/>
      </c>
      <c r="K420" s="58" t="str">
        <f>IF(ISNUMBER(deployment_raw[[#This Row],[Column11]]), (deployment_raw[[#This Row],[Column11]] * deployment_raw[[#This Row],[Column5]])/1048576,"")</f>
        <v/>
      </c>
      <c r="L420" s="180" t="str">
        <f>IF(ISNUMBER(deployment_raw[[#This Row],[Column8]]),IF(deployment_raw[[#This Row],[Column5]] &lt;&gt; 0, MAX((deployment_raw[[#This Row],[Column12]] * deployment_raw[[#This Row],[Column5]]), ((deployment_raw[[#This Row],[Column8]] * deployment_raw[[#This Row],[Column5]]) * $L$2), ($H$2 * deployment_raw[[#This Row],[Column5]])), 0),"")</f>
        <v/>
      </c>
      <c r="M42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20" s="188" t="str">
        <f>IF(ISNUMBER(deployment_raw[[#This Row],[Column14]]), deployment_raw[[#This Row],[Column14]],"")</f>
        <v/>
      </c>
      <c r="O420" s="189" t="str">
        <f>IF(ISNUMBER(deployment_raw[[#This Row],[Column15]]), deployment_raw[[#This Row],[Column15]]/1048576,"")</f>
        <v/>
      </c>
      <c r="P420" s="190" t="str">
        <f>IF(ISNUMBER(deployment_raw[[#This Row],[Column12]]), (deployment_raw[[#This Row],[Column12]] * deployment_raw[[#This Row],[Column5]]),"")</f>
        <v/>
      </c>
      <c r="Q420" s="189" t="str">
        <f>IF(ISNUMBER(deployment_raw[[#This Row],[Column13]]), (deployment_raw[[#This Row],[Column13]] * deployment_raw[[#This Row],[Column5]])/1048576,"")</f>
        <v/>
      </c>
    </row>
    <row r="421" spans="1:17" ht="15.75" customHeight="1" x14ac:dyDescent="0.25">
      <c r="A421" s="37" t="str">
        <f>IF(ISNONTEXT(deployment_raw[[#This Row],[Column1]]), "", deployment_raw[[#This Row],[Column1]])</f>
        <v/>
      </c>
      <c r="B421" s="38" t="str">
        <f>IF(ISNONTEXT(deployment_raw[[#This Row],[Column2]]), "", deployment_raw[[#This Row],[Column2]])</f>
        <v/>
      </c>
      <c r="C421" s="38" t="str">
        <f>IF(ISNONTEXT(deployment_raw[[#This Row],[Column3]]), "", deployment_raw[[#This Row],[Column3]])</f>
        <v/>
      </c>
      <c r="D421" s="38" t="str">
        <f>IF(ISNONTEXT(deployment_raw[[#This Row],[Column4]]), "", deployment_raw[[#This Row],[Column4]])</f>
        <v/>
      </c>
      <c r="E421" s="39" t="str">
        <f>IF(ISNUMBER(deployment_raw[[#This Row],[Column5]]), deployment_raw[[#This Row],[Column5]],"")</f>
        <v/>
      </c>
      <c r="F421" s="174" t="str">
        <f>IF(ISNUMBER(deployment_raw[[#This Row],[Column6]]), (deployment_raw[[#This Row],[Column6]] * deployment_raw[[#This Row],[Column5]]),"")</f>
        <v/>
      </c>
      <c r="G421" s="175" t="str">
        <f>IF(ISNUMBER(deployment_raw[[#This Row],[Column7]]), (deployment_raw[[#This Row],[Column7]] * deployment_raw[[#This Row],[Column5]])/1048576,"")</f>
        <v/>
      </c>
      <c r="H421" s="175" t="str">
        <f>IF(ISNUMBER(deployment_raw[[#This Row],[Column8]]), (deployment_raw[[#This Row],[Column8]]  * deployment_raw[[#This Row],[Column5]]),"")</f>
        <v/>
      </c>
      <c r="I421" s="176" t="str">
        <f>IF(ISNUMBER(deployment_raw[[#This Row],[Column9]]), (deployment_raw[[#This Row],[Column9]] * deployment_raw[[#This Row],[Column5]])/1048576,"")</f>
        <v/>
      </c>
      <c r="J421" s="57" t="str">
        <f>IF(ISNUMBER(deployment_raw[[#This Row],[Column10]]), (deployment_raw[[#This Row],[Column10]] * deployment_raw[[#This Row],[Column5]]),"")</f>
        <v/>
      </c>
      <c r="K421" s="58" t="str">
        <f>IF(ISNUMBER(deployment_raw[[#This Row],[Column11]]), (deployment_raw[[#This Row],[Column11]] * deployment_raw[[#This Row],[Column5]])/1048576,"")</f>
        <v/>
      </c>
      <c r="L421" s="180" t="str">
        <f>IF(ISNUMBER(deployment_raw[[#This Row],[Column8]]),IF(deployment_raw[[#This Row],[Column5]] &lt;&gt; 0, MAX((deployment_raw[[#This Row],[Column12]] * deployment_raw[[#This Row],[Column5]]), ((deployment_raw[[#This Row],[Column8]] * deployment_raw[[#This Row],[Column5]]) * $L$2), ($H$2 * deployment_raw[[#This Row],[Column5]])), 0),"")</f>
        <v/>
      </c>
      <c r="M42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21" s="188" t="str">
        <f>IF(ISNUMBER(deployment_raw[[#This Row],[Column14]]), deployment_raw[[#This Row],[Column14]],"")</f>
        <v/>
      </c>
      <c r="O421" s="189" t="str">
        <f>IF(ISNUMBER(deployment_raw[[#This Row],[Column15]]), deployment_raw[[#This Row],[Column15]]/1048576,"")</f>
        <v/>
      </c>
      <c r="P421" s="190" t="str">
        <f>IF(ISNUMBER(deployment_raw[[#This Row],[Column12]]), (deployment_raw[[#This Row],[Column12]] * deployment_raw[[#This Row],[Column5]]),"")</f>
        <v/>
      </c>
      <c r="Q421" s="189" t="str">
        <f>IF(ISNUMBER(deployment_raw[[#This Row],[Column13]]), (deployment_raw[[#This Row],[Column13]] * deployment_raw[[#This Row],[Column5]])/1048576,"")</f>
        <v/>
      </c>
    </row>
    <row r="422" spans="1:17" ht="15.75" customHeight="1" x14ac:dyDescent="0.25">
      <c r="A422" s="37" t="str">
        <f>IF(ISNONTEXT(deployment_raw[[#This Row],[Column1]]), "", deployment_raw[[#This Row],[Column1]])</f>
        <v/>
      </c>
      <c r="B422" s="38" t="str">
        <f>IF(ISNONTEXT(deployment_raw[[#This Row],[Column2]]), "", deployment_raw[[#This Row],[Column2]])</f>
        <v/>
      </c>
      <c r="C422" s="38" t="str">
        <f>IF(ISNONTEXT(deployment_raw[[#This Row],[Column3]]), "", deployment_raw[[#This Row],[Column3]])</f>
        <v/>
      </c>
      <c r="D422" s="38" t="str">
        <f>IF(ISNONTEXT(deployment_raw[[#This Row],[Column4]]), "", deployment_raw[[#This Row],[Column4]])</f>
        <v/>
      </c>
      <c r="E422" s="39" t="str">
        <f>IF(ISNUMBER(deployment_raw[[#This Row],[Column5]]), deployment_raw[[#This Row],[Column5]],"")</f>
        <v/>
      </c>
      <c r="F422" s="174" t="str">
        <f>IF(ISNUMBER(deployment_raw[[#This Row],[Column6]]), (deployment_raw[[#This Row],[Column6]] * deployment_raw[[#This Row],[Column5]]),"")</f>
        <v/>
      </c>
      <c r="G422" s="175" t="str">
        <f>IF(ISNUMBER(deployment_raw[[#This Row],[Column7]]), (deployment_raw[[#This Row],[Column7]] * deployment_raw[[#This Row],[Column5]])/1048576,"")</f>
        <v/>
      </c>
      <c r="H422" s="175" t="str">
        <f>IF(ISNUMBER(deployment_raw[[#This Row],[Column8]]), (deployment_raw[[#This Row],[Column8]]  * deployment_raw[[#This Row],[Column5]]),"")</f>
        <v/>
      </c>
      <c r="I422" s="176" t="str">
        <f>IF(ISNUMBER(deployment_raw[[#This Row],[Column9]]), (deployment_raw[[#This Row],[Column9]] * deployment_raw[[#This Row],[Column5]])/1048576,"")</f>
        <v/>
      </c>
      <c r="J422" s="57" t="str">
        <f>IF(ISNUMBER(deployment_raw[[#This Row],[Column10]]), (deployment_raw[[#This Row],[Column10]] * deployment_raw[[#This Row],[Column5]]),"")</f>
        <v/>
      </c>
      <c r="K422" s="58" t="str">
        <f>IF(ISNUMBER(deployment_raw[[#This Row],[Column11]]), (deployment_raw[[#This Row],[Column11]] * deployment_raw[[#This Row],[Column5]])/1048576,"")</f>
        <v/>
      </c>
      <c r="L422" s="180" t="str">
        <f>IF(ISNUMBER(deployment_raw[[#This Row],[Column8]]),IF(deployment_raw[[#This Row],[Column5]] &lt;&gt; 0, MAX((deployment_raw[[#This Row],[Column12]] * deployment_raw[[#This Row],[Column5]]), ((deployment_raw[[#This Row],[Column8]] * deployment_raw[[#This Row],[Column5]]) * $L$2), ($H$2 * deployment_raw[[#This Row],[Column5]])), 0),"")</f>
        <v/>
      </c>
      <c r="M42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22" s="188" t="str">
        <f>IF(ISNUMBER(deployment_raw[[#This Row],[Column14]]), deployment_raw[[#This Row],[Column14]],"")</f>
        <v/>
      </c>
      <c r="O422" s="189" t="str">
        <f>IF(ISNUMBER(deployment_raw[[#This Row],[Column15]]), deployment_raw[[#This Row],[Column15]]/1048576,"")</f>
        <v/>
      </c>
      <c r="P422" s="190" t="str">
        <f>IF(ISNUMBER(deployment_raw[[#This Row],[Column12]]), (deployment_raw[[#This Row],[Column12]] * deployment_raw[[#This Row],[Column5]]),"")</f>
        <v/>
      </c>
      <c r="Q422" s="189" t="str">
        <f>IF(ISNUMBER(deployment_raw[[#This Row],[Column13]]), (deployment_raw[[#This Row],[Column13]] * deployment_raw[[#This Row],[Column5]])/1048576,"")</f>
        <v/>
      </c>
    </row>
    <row r="423" spans="1:17" ht="15.75" customHeight="1" x14ac:dyDescent="0.25">
      <c r="A423" s="37" t="str">
        <f>IF(ISNONTEXT(deployment_raw[[#This Row],[Column1]]), "", deployment_raw[[#This Row],[Column1]])</f>
        <v/>
      </c>
      <c r="B423" s="38" t="str">
        <f>IF(ISNONTEXT(deployment_raw[[#This Row],[Column2]]), "", deployment_raw[[#This Row],[Column2]])</f>
        <v/>
      </c>
      <c r="C423" s="38" t="str">
        <f>IF(ISNONTEXT(deployment_raw[[#This Row],[Column3]]), "", deployment_raw[[#This Row],[Column3]])</f>
        <v/>
      </c>
      <c r="D423" s="38" t="str">
        <f>IF(ISNONTEXT(deployment_raw[[#This Row],[Column4]]), "", deployment_raw[[#This Row],[Column4]])</f>
        <v/>
      </c>
      <c r="E423" s="39" t="str">
        <f>IF(ISNUMBER(deployment_raw[[#This Row],[Column5]]), deployment_raw[[#This Row],[Column5]],"")</f>
        <v/>
      </c>
      <c r="F423" s="174" t="str">
        <f>IF(ISNUMBER(deployment_raw[[#This Row],[Column6]]), (deployment_raw[[#This Row],[Column6]] * deployment_raw[[#This Row],[Column5]]),"")</f>
        <v/>
      </c>
      <c r="G423" s="175" t="str">
        <f>IF(ISNUMBER(deployment_raw[[#This Row],[Column7]]), (deployment_raw[[#This Row],[Column7]] * deployment_raw[[#This Row],[Column5]])/1048576,"")</f>
        <v/>
      </c>
      <c r="H423" s="175" t="str">
        <f>IF(ISNUMBER(deployment_raw[[#This Row],[Column8]]), (deployment_raw[[#This Row],[Column8]]  * deployment_raw[[#This Row],[Column5]]),"")</f>
        <v/>
      </c>
      <c r="I423" s="176" t="str">
        <f>IF(ISNUMBER(deployment_raw[[#This Row],[Column9]]), (deployment_raw[[#This Row],[Column9]] * deployment_raw[[#This Row],[Column5]])/1048576,"")</f>
        <v/>
      </c>
      <c r="J423" s="57" t="str">
        <f>IF(ISNUMBER(deployment_raw[[#This Row],[Column10]]), (deployment_raw[[#This Row],[Column10]] * deployment_raw[[#This Row],[Column5]]),"")</f>
        <v/>
      </c>
      <c r="K423" s="58" t="str">
        <f>IF(ISNUMBER(deployment_raw[[#This Row],[Column11]]), (deployment_raw[[#This Row],[Column11]] * deployment_raw[[#This Row],[Column5]])/1048576,"")</f>
        <v/>
      </c>
      <c r="L423" s="180" t="str">
        <f>IF(ISNUMBER(deployment_raw[[#This Row],[Column8]]),IF(deployment_raw[[#This Row],[Column5]] &lt;&gt; 0, MAX((deployment_raw[[#This Row],[Column12]] * deployment_raw[[#This Row],[Column5]]), ((deployment_raw[[#This Row],[Column8]] * deployment_raw[[#This Row],[Column5]]) * $L$2), ($H$2 * deployment_raw[[#This Row],[Column5]])), 0),"")</f>
        <v/>
      </c>
      <c r="M42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23" s="188" t="str">
        <f>IF(ISNUMBER(deployment_raw[[#This Row],[Column14]]), deployment_raw[[#This Row],[Column14]],"")</f>
        <v/>
      </c>
      <c r="O423" s="189" t="str">
        <f>IF(ISNUMBER(deployment_raw[[#This Row],[Column15]]), deployment_raw[[#This Row],[Column15]]/1048576,"")</f>
        <v/>
      </c>
      <c r="P423" s="190" t="str">
        <f>IF(ISNUMBER(deployment_raw[[#This Row],[Column12]]), (deployment_raw[[#This Row],[Column12]] * deployment_raw[[#This Row],[Column5]]),"")</f>
        <v/>
      </c>
      <c r="Q423" s="189" t="str">
        <f>IF(ISNUMBER(deployment_raw[[#This Row],[Column13]]), (deployment_raw[[#This Row],[Column13]] * deployment_raw[[#This Row],[Column5]])/1048576,"")</f>
        <v/>
      </c>
    </row>
    <row r="424" spans="1:17" ht="15.75" customHeight="1" x14ac:dyDescent="0.25">
      <c r="A424" s="37" t="str">
        <f>IF(ISNONTEXT(deployment_raw[[#This Row],[Column1]]), "", deployment_raw[[#This Row],[Column1]])</f>
        <v/>
      </c>
      <c r="B424" s="38" t="str">
        <f>IF(ISNONTEXT(deployment_raw[[#This Row],[Column2]]), "", deployment_raw[[#This Row],[Column2]])</f>
        <v/>
      </c>
      <c r="C424" s="38" t="str">
        <f>IF(ISNONTEXT(deployment_raw[[#This Row],[Column3]]), "", deployment_raw[[#This Row],[Column3]])</f>
        <v/>
      </c>
      <c r="D424" s="38" t="str">
        <f>IF(ISNONTEXT(deployment_raw[[#This Row],[Column4]]), "", deployment_raw[[#This Row],[Column4]])</f>
        <v/>
      </c>
      <c r="E424" s="39" t="str">
        <f>IF(ISNUMBER(deployment_raw[[#This Row],[Column5]]), deployment_raw[[#This Row],[Column5]],"")</f>
        <v/>
      </c>
      <c r="F424" s="174" t="str">
        <f>IF(ISNUMBER(deployment_raw[[#This Row],[Column6]]), (deployment_raw[[#This Row],[Column6]] * deployment_raw[[#This Row],[Column5]]),"")</f>
        <v/>
      </c>
      <c r="G424" s="175" t="str">
        <f>IF(ISNUMBER(deployment_raw[[#This Row],[Column7]]), (deployment_raw[[#This Row],[Column7]] * deployment_raw[[#This Row],[Column5]])/1048576,"")</f>
        <v/>
      </c>
      <c r="H424" s="175" t="str">
        <f>IF(ISNUMBER(deployment_raw[[#This Row],[Column8]]), (deployment_raw[[#This Row],[Column8]]  * deployment_raw[[#This Row],[Column5]]),"")</f>
        <v/>
      </c>
      <c r="I424" s="176" t="str">
        <f>IF(ISNUMBER(deployment_raw[[#This Row],[Column9]]), (deployment_raw[[#This Row],[Column9]] * deployment_raw[[#This Row],[Column5]])/1048576,"")</f>
        <v/>
      </c>
      <c r="J424" s="57" t="str">
        <f>IF(ISNUMBER(deployment_raw[[#This Row],[Column10]]), (deployment_raw[[#This Row],[Column10]] * deployment_raw[[#This Row],[Column5]]),"")</f>
        <v/>
      </c>
      <c r="K424" s="58" t="str">
        <f>IF(ISNUMBER(deployment_raw[[#This Row],[Column11]]), (deployment_raw[[#This Row],[Column11]] * deployment_raw[[#This Row],[Column5]])/1048576,"")</f>
        <v/>
      </c>
      <c r="L424" s="180" t="str">
        <f>IF(ISNUMBER(deployment_raw[[#This Row],[Column8]]),IF(deployment_raw[[#This Row],[Column5]] &lt;&gt; 0, MAX((deployment_raw[[#This Row],[Column12]] * deployment_raw[[#This Row],[Column5]]), ((deployment_raw[[#This Row],[Column8]] * deployment_raw[[#This Row],[Column5]]) * $L$2), ($H$2 * deployment_raw[[#This Row],[Column5]])), 0),"")</f>
        <v/>
      </c>
      <c r="M42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24" s="188" t="str">
        <f>IF(ISNUMBER(deployment_raw[[#This Row],[Column14]]), deployment_raw[[#This Row],[Column14]],"")</f>
        <v/>
      </c>
      <c r="O424" s="189" t="str">
        <f>IF(ISNUMBER(deployment_raw[[#This Row],[Column15]]), deployment_raw[[#This Row],[Column15]]/1048576,"")</f>
        <v/>
      </c>
      <c r="P424" s="190" t="str">
        <f>IF(ISNUMBER(deployment_raw[[#This Row],[Column12]]), (deployment_raw[[#This Row],[Column12]] * deployment_raw[[#This Row],[Column5]]),"")</f>
        <v/>
      </c>
      <c r="Q424" s="189" t="str">
        <f>IF(ISNUMBER(deployment_raw[[#This Row],[Column13]]), (deployment_raw[[#This Row],[Column13]] * deployment_raw[[#This Row],[Column5]])/1048576,"")</f>
        <v/>
      </c>
    </row>
    <row r="425" spans="1:17" ht="15.75" customHeight="1" x14ac:dyDescent="0.25">
      <c r="A425" s="37" t="str">
        <f>IF(ISNONTEXT(deployment_raw[[#This Row],[Column1]]), "", deployment_raw[[#This Row],[Column1]])</f>
        <v/>
      </c>
      <c r="B425" s="38" t="str">
        <f>IF(ISNONTEXT(deployment_raw[[#This Row],[Column2]]), "", deployment_raw[[#This Row],[Column2]])</f>
        <v/>
      </c>
      <c r="C425" s="38" t="str">
        <f>IF(ISNONTEXT(deployment_raw[[#This Row],[Column3]]), "", deployment_raw[[#This Row],[Column3]])</f>
        <v/>
      </c>
      <c r="D425" s="38" t="str">
        <f>IF(ISNONTEXT(deployment_raw[[#This Row],[Column4]]), "", deployment_raw[[#This Row],[Column4]])</f>
        <v/>
      </c>
      <c r="E425" s="39" t="str">
        <f>IF(ISNUMBER(deployment_raw[[#This Row],[Column5]]), deployment_raw[[#This Row],[Column5]],"")</f>
        <v/>
      </c>
      <c r="F425" s="174" t="str">
        <f>IF(ISNUMBER(deployment_raw[[#This Row],[Column6]]), (deployment_raw[[#This Row],[Column6]] * deployment_raw[[#This Row],[Column5]]),"")</f>
        <v/>
      </c>
      <c r="G425" s="175" t="str">
        <f>IF(ISNUMBER(deployment_raw[[#This Row],[Column7]]), (deployment_raw[[#This Row],[Column7]] * deployment_raw[[#This Row],[Column5]])/1048576,"")</f>
        <v/>
      </c>
      <c r="H425" s="175" t="str">
        <f>IF(ISNUMBER(deployment_raw[[#This Row],[Column8]]), (deployment_raw[[#This Row],[Column8]]  * deployment_raw[[#This Row],[Column5]]),"")</f>
        <v/>
      </c>
      <c r="I425" s="176" t="str">
        <f>IF(ISNUMBER(deployment_raw[[#This Row],[Column9]]), (deployment_raw[[#This Row],[Column9]] * deployment_raw[[#This Row],[Column5]])/1048576,"")</f>
        <v/>
      </c>
      <c r="J425" s="57" t="str">
        <f>IF(ISNUMBER(deployment_raw[[#This Row],[Column10]]), (deployment_raw[[#This Row],[Column10]] * deployment_raw[[#This Row],[Column5]]),"")</f>
        <v/>
      </c>
      <c r="K425" s="58" t="str">
        <f>IF(ISNUMBER(deployment_raw[[#This Row],[Column11]]), (deployment_raw[[#This Row],[Column11]] * deployment_raw[[#This Row],[Column5]])/1048576,"")</f>
        <v/>
      </c>
      <c r="L425" s="180" t="str">
        <f>IF(ISNUMBER(deployment_raw[[#This Row],[Column8]]),IF(deployment_raw[[#This Row],[Column5]] &lt;&gt; 0, MAX((deployment_raw[[#This Row],[Column12]] * deployment_raw[[#This Row],[Column5]]), ((deployment_raw[[#This Row],[Column8]] * deployment_raw[[#This Row],[Column5]]) * $L$2), ($H$2 * deployment_raw[[#This Row],[Column5]])), 0),"")</f>
        <v/>
      </c>
      <c r="M42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25" s="188" t="str">
        <f>IF(ISNUMBER(deployment_raw[[#This Row],[Column14]]), deployment_raw[[#This Row],[Column14]],"")</f>
        <v/>
      </c>
      <c r="O425" s="189" t="str">
        <f>IF(ISNUMBER(deployment_raw[[#This Row],[Column15]]), deployment_raw[[#This Row],[Column15]]/1048576,"")</f>
        <v/>
      </c>
      <c r="P425" s="190" t="str">
        <f>IF(ISNUMBER(deployment_raw[[#This Row],[Column12]]), (deployment_raw[[#This Row],[Column12]] * deployment_raw[[#This Row],[Column5]]),"")</f>
        <v/>
      </c>
      <c r="Q425" s="189" t="str">
        <f>IF(ISNUMBER(deployment_raw[[#This Row],[Column13]]), (deployment_raw[[#This Row],[Column13]] * deployment_raw[[#This Row],[Column5]])/1048576,"")</f>
        <v/>
      </c>
    </row>
    <row r="426" spans="1:17" ht="15.75" customHeight="1" x14ac:dyDescent="0.25">
      <c r="A426" s="37" t="str">
        <f>IF(ISNONTEXT(deployment_raw[[#This Row],[Column1]]), "", deployment_raw[[#This Row],[Column1]])</f>
        <v/>
      </c>
      <c r="B426" s="38" t="str">
        <f>IF(ISNONTEXT(deployment_raw[[#This Row],[Column2]]), "", deployment_raw[[#This Row],[Column2]])</f>
        <v/>
      </c>
      <c r="C426" s="38" t="str">
        <f>IF(ISNONTEXT(deployment_raw[[#This Row],[Column3]]), "", deployment_raw[[#This Row],[Column3]])</f>
        <v/>
      </c>
      <c r="D426" s="38" t="str">
        <f>IF(ISNONTEXT(deployment_raw[[#This Row],[Column4]]), "", deployment_raw[[#This Row],[Column4]])</f>
        <v/>
      </c>
      <c r="E426" s="39" t="str">
        <f>IF(ISNUMBER(deployment_raw[[#This Row],[Column5]]), deployment_raw[[#This Row],[Column5]],"")</f>
        <v/>
      </c>
      <c r="F426" s="174" t="str">
        <f>IF(ISNUMBER(deployment_raw[[#This Row],[Column6]]), (deployment_raw[[#This Row],[Column6]] * deployment_raw[[#This Row],[Column5]]),"")</f>
        <v/>
      </c>
      <c r="G426" s="175" t="str">
        <f>IF(ISNUMBER(deployment_raw[[#This Row],[Column7]]), (deployment_raw[[#This Row],[Column7]] * deployment_raw[[#This Row],[Column5]])/1048576,"")</f>
        <v/>
      </c>
      <c r="H426" s="175" t="str">
        <f>IF(ISNUMBER(deployment_raw[[#This Row],[Column8]]), (deployment_raw[[#This Row],[Column8]]  * deployment_raw[[#This Row],[Column5]]),"")</f>
        <v/>
      </c>
      <c r="I426" s="176" t="str">
        <f>IF(ISNUMBER(deployment_raw[[#This Row],[Column9]]), (deployment_raw[[#This Row],[Column9]] * deployment_raw[[#This Row],[Column5]])/1048576,"")</f>
        <v/>
      </c>
      <c r="J426" s="57" t="str">
        <f>IF(ISNUMBER(deployment_raw[[#This Row],[Column10]]), (deployment_raw[[#This Row],[Column10]] * deployment_raw[[#This Row],[Column5]]),"")</f>
        <v/>
      </c>
      <c r="K426" s="58" t="str">
        <f>IF(ISNUMBER(deployment_raw[[#This Row],[Column11]]), (deployment_raw[[#This Row],[Column11]] * deployment_raw[[#This Row],[Column5]])/1048576,"")</f>
        <v/>
      </c>
      <c r="L426" s="180" t="str">
        <f>IF(ISNUMBER(deployment_raw[[#This Row],[Column8]]),IF(deployment_raw[[#This Row],[Column5]] &lt;&gt; 0, MAX((deployment_raw[[#This Row],[Column12]] * deployment_raw[[#This Row],[Column5]]), ((deployment_raw[[#This Row],[Column8]] * deployment_raw[[#This Row],[Column5]]) * $L$2), ($H$2 * deployment_raw[[#This Row],[Column5]])), 0),"")</f>
        <v/>
      </c>
      <c r="M42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26" s="188" t="str">
        <f>IF(ISNUMBER(deployment_raw[[#This Row],[Column14]]), deployment_raw[[#This Row],[Column14]],"")</f>
        <v/>
      </c>
      <c r="O426" s="189" t="str">
        <f>IF(ISNUMBER(deployment_raw[[#This Row],[Column15]]), deployment_raw[[#This Row],[Column15]]/1048576,"")</f>
        <v/>
      </c>
      <c r="P426" s="190" t="str">
        <f>IF(ISNUMBER(deployment_raw[[#This Row],[Column12]]), (deployment_raw[[#This Row],[Column12]] * deployment_raw[[#This Row],[Column5]]),"")</f>
        <v/>
      </c>
      <c r="Q426" s="189" t="str">
        <f>IF(ISNUMBER(deployment_raw[[#This Row],[Column13]]), (deployment_raw[[#This Row],[Column13]] * deployment_raw[[#This Row],[Column5]])/1048576,"")</f>
        <v/>
      </c>
    </row>
    <row r="427" spans="1:17" ht="15.75" customHeight="1" x14ac:dyDescent="0.25">
      <c r="A427" s="37" t="str">
        <f>IF(ISNONTEXT(deployment_raw[[#This Row],[Column1]]), "", deployment_raw[[#This Row],[Column1]])</f>
        <v/>
      </c>
      <c r="B427" s="38" t="str">
        <f>IF(ISNONTEXT(deployment_raw[[#This Row],[Column2]]), "", deployment_raw[[#This Row],[Column2]])</f>
        <v/>
      </c>
      <c r="C427" s="38" t="str">
        <f>IF(ISNONTEXT(deployment_raw[[#This Row],[Column3]]), "", deployment_raw[[#This Row],[Column3]])</f>
        <v/>
      </c>
      <c r="D427" s="38" t="str">
        <f>IF(ISNONTEXT(deployment_raw[[#This Row],[Column4]]), "", deployment_raw[[#This Row],[Column4]])</f>
        <v/>
      </c>
      <c r="E427" s="39" t="str">
        <f>IF(ISNUMBER(deployment_raw[[#This Row],[Column5]]), deployment_raw[[#This Row],[Column5]],"")</f>
        <v/>
      </c>
      <c r="F427" s="174" t="str">
        <f>IF(ISNUMBER(deployment_raw[[#This Row],[Column6]]), (deployment_raw[[#This Row],[Column6]] * deployment_raw[[#This Row],[Column5]]),"")</f>
        <v/>
      </c>
      <c r="G427" s="175" t="str">
        <f>IF(ISNUMBER(deployment_raw[[#This Row],[Column7]]), (deployment_raw[[#This Row],[Column7]] * deployment_raw[[#This Row],[Column5]])/1048576,"")</f>
        <v/>
      </c>
      <c r="H427" s="175" t="str">
        <f>IF(ISNUMBER(deployment_raw[[#This Row],[Column8]]), (deployment_raw[[#This Row],[Column8]]  * deployment_raw[[#This Row],[Column5]]),"")</f>
        <v/>
      </c>
      <c r="I427" s="176" t="str">
        <f>IF(ISNUMBER(deployment_raw[[#This Row],[Column9]]), (deployment_raw[[#This Row],[Column9]] * deployment_raw[[#This Row],[Column5]])/1048576,"")</f>
        <v/>
      </c>
      <c r="J427" s="57" t="str">
        <f>IF(ISNUMBER(deployment_raw[[#This Row],[Column10]]), (deployment_raw[[#This Row],[Column10]] * deployment_raw[[#This Row],[Column5]]),"")</f>
        <v/>
      </c>
      <c r="K427" s="58" t="str">
        <f>IF(ISNUMBER(deployment_raw[[#This Row],[Column11]]), (deployment_raw[[#This Row],[Column11]] * deployment_raw[[#This Row],[Column5]])/1048576,"")</f>
        <v/>
      </c>
      <c r="L427" s="180" t="str">
        <f>IF(ISNUMBER(deployment_raw[[#This Row],[Column8]]),IF(deployment_raw[[#This Row],[Column5]] &lt;&gt; 0, MAX((deployment_raw[[#This Row],[Column12]] * deployment_raw[[#This Row],[Column5]]), ((deployment_raw[[#This Row],[Column8]] * deployment_raw[[#This Row],[Column5]]) * $L$2), ($H$2 * deployment_raw[[#This Row],[Column5]])), 0),"")</f>
        <v/>
      </c>
      <c r="M42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27" s="188" t="str">
        <f>IF(ISNUMBER(deployment_raw[[#This Row],[Column14]]), deployment_raw[[#This Row],[Column14]],"")</f>
        <v/>
      </c>
      <c r="O427" s="189" t="str">
        <f>IF(ISNUMBER(deployment_raw[[#This Row],[Column15]]), deployment_raw[[#This Row],[Column15]]/1048576,"")</f>
        <v/>
      </c>
      <c r="P427" s="190" t="str">
        <f>IF(ISNUMBER(deployment_raw[[#This Row],[Column12]]), (deployment_raw[[#This Row],[Column12]] * deployment_raw[[#This Row],[Column5]]),"")</f>
        <v/>
      </c>
      <c r="Q427" s="189" t="str">
        <f>IF(ISNUMBER(deployment_raw[[#This Row],[Column13]]), (deployment_raw[[#This Row],[Column13]] * deployment_raw[[#This Row],[Column5]])/1048576,"")</f>
        <v/>
      </c>
    </row>
    <row r="428" spans="1:17" ht="15.75" customHeight="1" x14ac:dyDescent="0.25">
      <c r="A428" s="37" t="str">
        <f>IF(ISNONTEXT(deployment_raw[[#This Row],[Column1]]), "", deployment_raw[[#This Row],[Column1]])</f>
        <v/>
      </c>
      <c r="B428" s="38" t="str">
        <f>IF(ISNONTEXT(deployment_raw[[#This Row],[Column2]]), "", deployment_raw[[#This Row],[Column2]])</f>
        <v/>
      </c>
      <c r="C428" s="38" t="str">
        <f>IF(ISNONTEXT(deployment_raw[[#This Row],[Column3]]), "", deployment_raw[[#This Row],[Column3]])</f>
        <v/>
      </c>
      <c r="D428" s="38" t="str">
        <f>IF(ISNONTEXT(deployment_raw[[#This Row],[Column4]]), "", deployment_raw[[#This Row],[Column4]])</f>
        <v/>
      </c>
      <c r="E428" s="39" t="str">
        <f>IF(ISNUMBER(deployment_raw[[#This Row],[Column5]]), deployment_raw[[#This Row],[Column5]],"")</f>
        <v/>
      </c>
      <c r="F428" s="174" t="str">
        <f>IF(ISNUMBER(deployment_raw[[#This Row],[Column6]]), (deployment_raw[[#This Row],[Column6]] * deployment_raw[[#This Row],[Column5]]),"")</f>
        <v/>
      </c>
      <c r="G428" s="175" t="str">
        <f>IF(ISNUMBER(deployment_raw[[#This Row],[Column7]]), (deployment_raw[[#This Row],[Column7]] * deployment_raw[[#This Row],[Column5]])/1048576,"")</f>
        <v/>
      </c>
      <c r="H428" s="175" t="str">
        <f>IF(ISNUMBER(deployment_raw[[#This Row],[Column8]]), (deployment_raw[[#This Row],[Column8]]  * deployment_raw[[#This Row],[Column5]]),"")</f>
        <v/>
      </c>
      <c r="I428" s="176" t="str">
        <f>IF(ISNUMBER(deployment_raw[[#This Row],[Column9]]), (deployment_raw[[#This Row],[Column9]] * deployment_raw[[#This Row],[Column5]])/1048576,"")</f>
        <v/>
      </c>
      <c r="J428" s="57" t="str">
        <f>IF(ISNUMBER(deployment_raw[[#This Row],[Column10]]), (deployment_raw[[#This Row],[Column10]] * deployment_raw[[#This Row],[Column5]]),"")</f>
        <v/>
      </c>
      <c r="K428" s="58" t="str">
        <f>IF(ISNUMBER(deployment_raw[[#This Row],[Column11]]), (deployment_raw[[#This Row],[Column11]] * deployment_raw[[#This Row],[Column5]])/1048576,"")</f>
        <v/>
      </c>
      <c r="L428" s="180" t="str">
        <f>IF(ISNUMBER(deployment_raw[[#This Row],[Column8]]),IF(deployment_raw[[#This Row],[Column5]] &lt;&gt; 0, MAX((deployment_raw[[#This Row],[Column12]] * deployment_raw[[#This Row],[Column5]]), ((deployment_raw[[#This Row],[Column8]] * deployment_raw[[#This Row],[Column5]]) * $L$2), ($H$2 * deployment_raw[[#This Row],[Column5]])), 0),"")</f>
        <v/>
      </c>
      <c r="M42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28" s="188" t="str">
        <f>IF(ISNUMBER(deployment_raw[[#This Row],[Column14]]), deployment_raw[[#This Row],[Column14]],"")</f>
        <v/>
      </c>
      <c r="O428" s="189" t="str">
        <f>IF(ISNUMBER(deployment_raw[[#This Row],[Column15]]), deployment_raw[[#This Row],[Column15]]/1048576,"")</f>
        <v/>
      </c>
      <c r="P428" s="190" t="str">
        <f>IF(ISNUMBER(deployment_raw[[#This Row],[Column12]]), (deployment_raw[[#This Row],[Column12]] * deployment_raw[[#This Row],[Column5]]),"")</f>
        <v/>
      </c>
      <c r="Q428" s="189" t="str">
        <f>IF(ISNUMBER(deployment_raw[[#This Row],[Column13]]), (deployment_raw[[#This Row],[Column13]] * deployment_raw[[#This Row],[Column5]])/1048576,"")</f>
        <v/>
      </c>
    </row>
    <row r="429" spans="1:17" ht="15.75" customHeight="1" x14ac:dyDescent="0.25">
      <c r="A429" s="37" t="str">
        <f>IF(ISNONTEXT(deployment_raw[[#This Row],[Column1]]), "", deployment_raw[[#This Row],[Column1]])</f>
        <v/>
      </c>
      <c r="B429" s="38" t="str">
        <f>IF(ISNONTEXT(deployment_raw[[#This Row],[Column2]]), "", deployment_raw[[#This Row],[Column2]])</f>
        <v/>
      </c>
      <c r="C429" s="38" t="str">
        <f>IF(ISNONTEXT(deployment_raw[[#This Row],[Column3]]), "", deployment_raw[[#This Row],[Column3]])</f>
        <v/>
      </c>
      <c r="D429" s="38" t="str">
        <f>IF(ISNONTEXT(deployment_raw[[#This Row],[Column4]]), "", deployment_raw[[#This Row],[Column4]])</f>
        <v/>
      </c>
      <c r="E429" s="39" t="str">
        <f>IF(ISNUMBER(deployment_raw[[#This Row],[Column5]]), deployment_raw[[#This Row],[Column5]],"")</f>
        <v/>
      </c>
      <c r="F429" s="174" t="str">
        <f>IF(ISNUMBER(deployment_raw[[#This Row],[Column6]]), (deployment_raw[[#This Row],[Column6]] * deployment_raw[[#This Row],[Column5]]),"")</f>
        <v/>
      </c>
      <c r="G429" s="175" t="str">
        <f>IF(ISNUMBER(deployment_raw[[#This Row],[Column7]]), (deployment_raw[[#This Row],[Column7]] * deployment_raw[[#This Row],[Column5]])/1048576,"")</f>
        <v/>
      </c>
      <c r="H429" s="175" t="str">
        <f>IF(ISNUMBER(deployment_raw[[#This Row],[Column8]]), (deployment_raw[[#This Row],[Column8]]  * deployment_raw[[#This Row],[Column5]]),"")</f>
        <v/>
      </c>
      <c r="I429" s="176" t="str">
        <f>IF(ISNUMBER(deployment_raw[[#This Row],[Column9]]), (deployment_raw[[#This Row],[Column9]] * deployment_raw[[#This Row],[Column5]])/1048576,"")</f>
        <v/>
      </c>
      <c r="J429" s="57" t="str">
        <f>IF(ISNUMBER(deployment_raw[[#This Row],[Column10]]), (deployment_raw[[#This Row],[Column10]] * deployment_raw[[#This Row],[Column5]]),"")</f>
        <v/>
      </c>
      <c r="K429" s="58" t="str">
        <f>IF(ISNUMBER(deployment_raw[[#This Row],[Column11]]), (deployment_raw[[#This Row],[Column11]] * deployment_raw[[#This Row],[Column5]])/1048576,"")</f>
        <v/>
      </c>
      <c r="L429" s="180" t="str">
        <f>IF(ISNUMBER(deployment_raw[[#This Row],[Column8]]),IF(deployment_raw[[#This Row],[Column5]] &lt;&gt; 0, MAX((deployment_raw[[#This Row],[Column12]] * deployment_raw[[#This Row],[Column5]]), ((deployment_raw[[#This Row],[Column8]] * deployment_raw[[#This Row],[Column5]]) * $L$2), ($H$2 * deployment_raw[[#This Row],[Column5]])), 0),"")</f>
        <v/>
      </c>
      <c r="M42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29" s="188" t="str">
        <f>IF(ISNUMBER(deployment_raw[[#This Row],[Column14]]), deployment_raw[[#This Row],[Column14]],"")</f>
        <v/>
      </c>
      <c r="O429" s="189" t="str">
        <f>IF(ISNUMBER(deployment_raw[[#This Row],[Column15]]), deployment_raw[[#This Row],[Column15]]/1048576,"")</f>
        <v/>
      </c>
      <c r="P429" s="190" t="str">
        <f>IF(ISNUMBER(deployment_raw[[#This Row],[Column12]]), (deployment_raw[[#This Row],[Column12]] * deployment_raw[[#This Row],[Column5]]),"")</f>
        <v/>
      </c>
      <c r="Q429" s="189" t="str">
        <f>IF(ISNUMBER(deployment_raw[[#This Row],[Column13]]), (deployment_raw[[#This Row],[Column13]] * deployment_raw[[#This Row],[Column5]])/1048576,"")</f>
        <v/>
      </c>
    </row>
    <row r="430" spans="1:17" ht="15.75" customHeight="1" x14ac:dyDescent="0.25">
      <c r="A430" s="37" t="str">
        <f>IF(ISNONTEXT(deployment_raw[[#This Row],[Column1]]), "", deployment_raw[[#This Row],[Column1]])</f>
        <v/>
      </c>
      <c r="B430" s="38" t="str">
        <f>IF(ISNONTEXT(deployment_raw[[#This Row],[Column2]]), "", deployment_raw[[#This Row],[Column2]])</f>
        <v/>
      </c>
      <c r="C430" s="38" t="str">
        <f>IF(ISNONTEXT(deployment_raw[[#This Row],[Column3]]), "", deployment_raw[[#This Row],[Column3]])</f>
        <v/>
      </c>
      <c r="D430" s="38" t="str">
        <f>IF(ISNONTEXT(deployment_raw[[#This Row],[Column4]]), "", deployment_raw[[#This Row],[Column4]])</f>
        <v/>
      </c>
      <c r="E430" s="39" t="str">
        <f>IF(ISNUMBER(deployment_raw[[#This Row],[Column5]]), deployment_raw[[#This Row],[Column5]],"")</f>
        <v/>
      </c>
      <c r="F430" s="174" t="str">
        <f>IF(ISNUMBER(deployment_raw[[#This Row],[Column6]]), (deployment_raw[[#This Row],[Column6]] * deployment_raw[[#This Row],[Column5]]),"")</f>
        <v/>
      </c>
      <c r="G430" s="175" t="str">
        <f>IF(ISNUMBER(deployment_raw[[#This Row],[Column7]]), (deployment_raw[[#This Row],[Column7]] * deployment_raw[[#This Row],[Column5]])/1048576,"")</f>
        <v/>
      </c>
      <c r="H430" s="175" t="str">
        <f>IF(ISNUMBER(deployment_raw[[#This Row],[Column8]]), (deployment_raw[[#This Row],[Column8]]  * deployment_raw[[#This Row],[Column5]]),"")</f>
        <v/>
      </c>
      <c r="I430" s="176" t="str">
        <f>IF(ISNUMBER(deployment_raw[[#This Row],[Column9]]), (deployment_raw[[#This Row],[Column9]] * deployment_raw[[#This Row],[Column5]])/1048576,"")</f>
        <v/>
      </c>
      <c r="J430" s="57" t="str">
        <f>IF(ISNUMBER(deployment_raw[[#This Row],[Column10]]), (deployment_raw[[#This Row],[Column10]] * deployment_raw[[#This Row],[Column5]]),"")</f>
        <v/>
      </c>
      <c r="K430" s="58" t="str">
        <f>IF(ISNUMBER(deployment_raw[[#This Row],[Column11]]), (deployment_raw[[#This Row],[Column11]] * deployment_raw[[#This Row],[Column5]])/1048576,"")</f>
        <v/>
      </c>
      <c r="L430" s="180" t="str">
        <f>IF(ISNUMBER(deployment_raw[[#This Row],[Column8]]),IF(deployment_raw[[#This Row],[Column5]] &lt;&gt; 0, MAX((deployment_raw[[#This Row],[Column12]] * deployment_raw[[#This Row],[Column5]]), ((deployment_raw[[#This Row],[Column8]] * deployment_raw[[#This Row],[Column5]]) * $L$2), ($H$2 * deployment_raw[[#This Row],[Column5]])), 0),"")</f>
        <v/>
      </c>
      <c r="M43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30" s="188" t="str">
        <f>IF(ISNUMBER(deployment_raw[[#This Row],[Column14]]), deployment_raw[[#This Row],[Column14]],"")</f>
        <v/>
      </c>
      <c r="O430" s="189" t="str">
        <f>IF(ISNUMBER(deployment_raw[[#This Row],[Column15]]), deployment_raw[[#This Row],[Column15]]/1048576,"")</f>
        <v/>
      </c>
      <c r="P430" s="190" t="str">
        <f>IF(ISNUMBER(deployment_raw[[#This Row],[Column12]]), (deployment_raw[[#This Row],[Column12]] * deployment_raw[[#This Row],[Column5]]),"")</f>
        <v/>
      </c>
      <c r="Q430" s="189" t="str">
        <f>IF(ISNUMBER(deployment_raw[[#This Row],[Column13]]), (deployment_raw[[#This Row],[Column13]] * deployment_raw[[#This Row],[Column5]])/1048576,"")</f>
        <v/>
      </c>
    </row>
    <row r="431" spans="1:17" ht="15.75" customHeight="1" x14ac:dyDescent="0.25">
      <c r="A431" s="37" t="str">
        <f>IF(ISNONTEXT(deployment_raw[[#This Row],[Column1]]), "", deployment_raw[[#This Row],[Column1]])</f>
        <v/>
      </c>
      <c r="B431" s="38" t="str">
        <f>IF(ISNONTEXT(deployment_raw[[#This Row],[Column2]]), "", deployment_raw[[#This Row],[Column2]])</f>
        <v/>
      </c>
      <c r="C431" s="38" t="str">
        <f>IF(ISNONTEXT(deployment_raw[[#This Row],[Column3]]), "", deployment_raw[[#This Row],[Column3]])</f>
        <v/>
      </c>
      <c r="D431" s="38" t="str">
        <f>IF(ISNONTEXT(deployment_raw[[#This Row],[Column4]]), "", deployment_raw[[#This Row],[Column4]])</f>
        <v/>
      </c>
      <c r="E431" s="39" t="str">
        <f>IF(ISNUMBER(deployment_raw[[#This Row],[Column5]]), deployment_raw[[#This Row],[Column5]],"")</f>
        <v/>
      </c>
      <c r="F431" s="174" t="str">
        <f>IF(ISNUMBER(deployment_raw[[#This Row],[Column6]]), (deployment_raw[[#This Row],[Column6]] * deployment_raw[[#This Row],[Column5]]),"")</f>
        <v/>
      </c>
      <c r="G431" s="175" t="str">
        <f>IF(ISNUMBER(deployment_raw[[#This Row],[Column7]]), (deployment_raw[[#This Row],[Column7]] * deployment_raw[[#This Row],[Column5]])/1048576,"")</f>
        <v/>
      </c>
      <c r="H431" s="175" t="str">
        <f>IF(ISNUMBER(deployment_raw[[#This Row],[Column8]]), (deployment_raw[[#This Row],[Column8]]  * deployment_raw[[#This Row],[Column5]]),"")</f>
        <v/>
      </c>
      <c r="I431" s="176" t="str">
        <f>IF(ISNUMBER(deployment_raw[[#This Row],[Column9]]), (deployment_raw[[#This Row],[Column9]] * deployment_raw[[#This Row],[Column5]])/1048576,"")</f>
        <v/>
      </c>
      <c r="J431" s="57" t="str">
        <f>IF(ISNUMBER(deployment_raw[[#This Row],[Column10]]), (deployment_raw[[#This Row],[Column10]] * deployment_raw[[#This Row],[Column5]]),"")</f>
        <v/>
      </c>
      <c r="K431" s="58" t="str">
        <f>IF(ISNUMBER(deployment_raw[[#This Row],[Column11]]), (deployment_raw[[#This Row],[Column11]] * deployment_raw[[#This Row],[Column5]])/1048576,"")</f>
        <v/>
      </c>
      <c r="L431" s="180" t="str">
        <f>IF(ISNUMBER(deployment_raw[[#This Row],[Column8]]),IF(deployment_raw[[#This Row],[Column5]] &lt;&gt; 0, MAX((deployment_raw[[#This Row],[Column12]] * deployment_raw[[#This Row],[Column5]]), ((deployment_raw[[#This Row],[Column8]] * deployment_raw[[#This Row],[Column5]]) * $L$2), ($H$2 * deployment_raw[[#This Row],[Column5]])), 0),"")</f>
        <v/>
      </c>
      <c r="M43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31" s="188" t="str">
        <f>IF(ISNUMBER(deployment_raw[[#This Row],[Column14]]), deployment_raw[[#This Row],[Column14]],"")</f>
        <v/>
      </c>
      <c r="O431" s="189" t="str">
        <f>IF(ISNUMBER(deployment_raw[[#This Row],[Column15]]), deployment_raw[[#This Row],[Column15]]/1048576,"")</f>
        <v/>
      </c>
      <c r="P431" s="190" t="str">
        <f>IF(ISNUMBER(deployment_raw[[#This Row],[Column12]]), (deployment_raw[[#This Row],[Column12]] * deployment_raw[[#This Row],[Column5]]),"")</f>
        <v/>
      </c>
      <c r="Q431" s="189" t="str">
        <f>IF(ISNUMBER(deployment_raw[[#This Row],[Column13]]), (deployment_raw[[#This Row],[Column13]] * deployment_raw[[#This Row],[Column5]])/1048576,"")</f>
        <v/>
      </c>
    </row>
    <row r="432" spans="1:17" ht="15.75" customHeight="1" x14ac:dyDescent="0.25">
      <c r="A432" s="37" t="str">
        <f>IF(ISNONTEXT(deployment_raw[[#This Row],[Column1]]), "", deployment_raw[[#This Row],[Column1]])</f>
        <v/>
      </c>
      <c r="B432" s="38" t="str">
        <f>IF(ISNONTEXT(deployment_raw[[#This Row],[Column2]]), "", deployment_raw[[#This Row],[Column2]])</f>
        <v/>
      </c>
      <c r="C432" s="38" t="str">
        <f>IF(ISNONTEXT(deployment_raw[[#This Row],[Column3]]), "", deployment_raw[[#This Row],[Column3]])</f>
        <v/>
      </c>
      <c r="D432" s="38" t="str">
        <f>IF(ISNONTEXT(deployment_raw[[#This Row],[Column4]]), "", deployment_raw[[#This Row],[Column4]])</f>
        <v/>
      </c>
      <c r="E432" s="39" t="str">
        <f>IF(ISNUMBER(deployment_raw[[#This Row],[Column5]]), deployment_raw[[#This Row],[Column5]],"")</f>
        <v/>
      </c>
      <c r="F432" s="174" t="str">
        <f>IF(ISNUMBER(deployment_raw[[#This Row],[Column6]]), (deployment_raw[[#This Row],[Column6]] * deployment_raw[[#This Row],[Column5]]),"")</f>
        <v/>
      </c>
      <c r="G432" s="175" t="str">
        <f>IF(ISNUMBER(deployment_raw[[#This Row],[Column7]]), (deployment_raw[[#This Row],[Column7]] * deployment_raw[[#This Row],[Column5]])/1048576,"")</f>
        <v/>
      </c>
      <c r="H432" s="175" t="str">
        <f>IF(ISNUMBER(deployment_raw[[#This Row],[Column8]]), (deployment_raw[[#This Row],[Column8]]  * deployment_raw[[#This Row],[Column5]]),"")</f>
        <v/>
      </c>
      <c r="I432" s="176" t="str">
        <f>IF(ISNUMBER(deployment_raw[[#This Row],[Column9]]), (deployment_raw[[#This Row],[Column9]] * deployment_raw[[#This Row],[Column5]])/1048576,"")</f>
        <v/>
      </c>
      <c r="J432" s="57" t="str">
        <f>IF(ISNUMBER(deployment_raw[[#This Row],[Column10]]), (deployment_raw[[#This Row],[Column10]] * deployment_raw[[#This Row],[Column5]]),"")</f>
        <v/>
      </c>
      <c r="K432" s="58" t="str">
        <f>IF(ISNUMBER(deployment_raw[[#This Row],[Column11]]), (deployment_raw[[#This Row],[Column11]] * deployment_raw[[#This Row],[Column5]])/1048576,"")</f>
        <v/>
      </c>
      <c r="L432" s="180" t="str">
        <f>IF(ISNUMBER(deployment_raw[[#This Row],[Column8]]),IF(deployment_raw[[#This Row],[Column5]] &lt;&gt; 0, MAX((deployment_raw[[#This Row],[Column12]] * deployment_raw[[#This Row],[Column5]]), ((deployment_raw[[#This Row],[Column8]] * deployment_raw[[#This Row],[Column5]]) * $L$2), ($H$2 * deployment_raw[[#This Row],[Column5]])), 0),"")</f>
        <v/>
      </c>
      <c r="M43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32" s="188" t="str">
        <f>IF(ISNUMBER(deployment_raw[[#This Row],[Column14]]), deployment_raw[[#This Row],[Column14]],"")</f>
        <v/>
      </c>
      <c r="O432" s="189" t="str">
        <f>IF(ISNUMBER(deployment_raw[[#This Row],[Column15]]), deployment_raw[[#This Row],[Column15]]/1048576,"")</f>
        <v/>
      </c>
      <c r="P432" s="190" t="str">
        <f>IF(ISNUMBER(deployment_raw[[#This Row],[Column12]]), (deployment_raw[[#This Row],[Column12]] * deployment_raw[[#This Row],[Column5]]),"")</f>
        <v/>
      </c>
      <c r="Q432" s="189" t="str">
        <f>IF(ISNUMBER(deployment_raw[[#This Row],[Column13]]), (deployment_raw[[#This Row],[Column13]] * deployment_raw[[#This Row],[Column5]])/1048576,"")</f>
        <v/>
      </c>
    </row>
    <row r="433" spans="1:17" ht="15.75" customHeight="1" x14ac:dyDescent="0.25">
      <c r="A433" s="37" t="str">
        <f>IF(ISNONTEXT(deployment_raw[[#This Row],[Column1]]), "", deployment_raw[[#This Row],[Column1]])</f>
        <v/>
      </c>
      <c r="B433" s="38" t="str">
        <f>IF(ISNONTEXT(deployment_raw[[#This Row],[Column2]]), "", deployment_raw[[#This Row],[Column2]])</f>
        <v/>
      </c>
      <c r="C433" s="38" t="str">
        <f>IF(ISNONTEXT(deployment_raw[[#This Row],[Column3]]), "", deployment_raw[[#This Row],[Column3]])</f>
        <v/>
      </c>
      <c r="D433" s="38" t="str">
        <f>IF(ISNONTEXT(deployment_raw[[#This Row],[Column4]]), "", deployment_raw[[#This Row],[Column4]])</f>
        <v/>
      </c>
      <c r="E433" s="39" t="str">
        <f>IF(ISNUMBER(deployment_raw[[#This Row],[Column5]]), deployment_raw[[#This Row],[Column5]],"")</f>
        <v/>
      </c>
      <c r="F433" s="174" t="str">
        <f>IF(ISNUMBER(deployment_raw[[#This Row],[Column6]]), (deployment_raw[[#This Row],[Column6]] * deployment_raw[[#This Row],[Column5]]),"")</f>
        <v/>
      </c>
      <c r="G433" s="175" t="str">
        <f>IF(ISNUMBER(deployment_raw[[#This Row],[Column7]]), (deployment_raw[[#This Row],[Column7]] * deployment_raw[[#This Row],[Column5]])/1048576,"")</f>
        <v/>
      </c>
      <c r="H433" s="175" t="str">
        <f>IF(ISNUMBER(deployment_raw[[#This Row],[Column8]]), (deployment_raw[[#This Row],[Column8]]  * deployment_raw[[#This Row],[Column5]]),"")</f>
        <v/>
      </c>
      <c r="I433" s="176" t="str">
        <f>IF(ISNUMBER(deployment_raw[[#This Row],[Column9]]), (deployment_raw[[#This Row],[Column9]] * deployment_raw[[#This Row],[Column5]])/1048576,"")</f>
        <v/>
      </c>
      <c r="J433" s="57" t="str">
        <f>IF(ISNUMBER(deployment_raw[[#This Row],[Column10]]), (deployment_raw[[#This Row],[Column10]] * deployment_raw[[#This Row],[Column5]]),"")</f>
        <v/>
      </c>
      <c r="K433" s="58" t="str">
        <f>IF(ISNUMBER(deployment_raw[[#This Row],[Column11]]), (deployment_raw[[#This Row],[Column11]] * deployment_raw[[#This Row],[Column5]])/1048576,"")</f>
        <v/>
      </c>
      <c r="L433" s="180" t="str">
        <f>IF(ISNUMBER(deployment_raw[[#This Row],[Column8]]),IF(deployment_raw[[#This Row],[Column5]] &lt;&gt; 0, MAX((deployment_raw[[#This Row],[Column12]] * deployment_raw[[#This Row],[Column5]]), ((deployment_raw[[#This Row],[Column8]] * deployment_raw[[#This Row],[Column5]]) * $L$2), ($H$2 * deployment_raw[[#This Row],[Column5]])), 0),"")</f>
        <v/>
      </c>
      <c r="M43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33" s="188" t="str">
        <f>IF(ISNUMBER(deployment_raw[[#This Row],[Column14]]), deployment_raw[[#This Row],[Column14]],"")</f>
        <v/>
      </c>
      <c r="O433" s="189" t="str">
        <f>IF(ISNUMBER(deployment_raw[[#This Row],[Column15]]), deployment_raw[[#This Row],[Column15]]/1048576,"")</f>
        <v/>
      </c>
      <c r="P433" s="190" t="str">
        <f>IF(ISNUMBER(deployment_raw[[#This Row],[Column12]]), (deployment_raw[[#This Row],[Column12]] * deployment_raw[[#This Row],[Column5]]),"")</f>
        <v/>
      </c>
      <c r="Q433" s="189" t="str">
        <f>IF(ISNUMBER(deployment_raw[[#This Row],[Column13]]), (deployment_raw[[#This Row],[Column13]] * deployment_raw[[#This Row],[Column5]])/1048576,"")</f>
        <v/>
      </c>
    </row>
    <row r="434" spans="1:17" ht="15.75" customHeight="1" x14ac:dyDescent="0.25">
      <c r="A434" s="37" t="str">
        <f>IF(ISNONTEXT(deployment_raw[[#This Row],[Column1]]), "", deployment_raw[[#This Row],[Column1]])</f>
        <v/>
      </c>
      <c r="B434" s="38" t="str">
        <f>IF(ISNONTEXT(deployment_raw[[#This Row],[Column2]]), "", deployment_raw[[#This Row],[Column2]])</f>
        <v/>
      </c>
      <c r="C434" s="38" t="str">
        <f>IF(ISNONTEXT(deployment_raw[[#This Row],[Column3]]), "", deployment_raw[[#This Row],[Column3]])</f>
        <v/>
      </c>
      <c r="D434" s="38" t="str">
        <f>IF(ISNONTEXT(deployment_raw[[#This Row],[Column4]]), "", deployment_raw[[#This Row],[Column4]])</f>
        <v/>
      </c>
      <c r="E434" s="39" t="str">
        <f>IF(ISNUMBER(deployment_raw[[#This Row],[Column5]]), deployment_raw[[#This Row],[Column5]],"")</f>
        <v/>
      </c>
      <c r="F434" s="174" t="str">
        <f>IF(ISNUMBER(deployment_raw[[#This Row],[Column6]]), (deployment_raw[[#This Row],[Column6]] * deployment_raw[[#This Row],[Column5]]),"")</f>
        <v/>
      </c>
      <c r="G434" s="175" t="str">
        <f>IF(ISNUMBER(deployment_raw[[#This Row],[Column7]]), (deployment_raw[[#This Row],[Column7]] * deployment_raw[[#This Row],[Column5]])/1048576,"")</f>
        <v/>
      </c>
      <c r="H434" s="175" t="str">
        <f>IF(ISNUMBER(deployment_raw[[#This Row],[Column8]]), (deployment_raw[[#This Row],[Column8]]  * deployment_raw[[#This Row],[Column5]]),"")</f>
        <v/>
      </c>
      <c r="I434" s="176" t="str">
        <f>IF(ISNUMBER(deployment_raw[[#This Row],[Column9]]), (deployment_raw[[#This Row],[Column9]] * deployment_raw[[#This Row],[Column5]])/1048576,"")</f>
        <v/>
      </c>
      <c r="J434" s="57" t="str">
        <f>IF(ISNUMBER(deployment_raw[[#This Row],[Column10]]), (deployment_raw[[#This Row],[Column10]] * deployment_raw[[#This Row],[Column5]]),"")</f>
        <v/>
      </c>
      <c r="K434" s="58" t="str">
        <f>IF(ISNUMBER(deployment_raw[[#This Row],[Column11]]), (deployment_raw[[#This Row],[Column11]] * deployment_raw[[#This Row],[Column5]])/1048576,"")</f>
        <v/>
      </c>
      <c r="L434" s="180" t="str">
        <f>IF(ISNUMBER(deployment_raw[[#This Row],[Column8]]),IF(deployment_raw[[#This Row],[Column5]] &lt;&gt; 0, MAX((deployment_raw[[#This Row],[Column12]] * deployment_raw[[#This Row],[Column5]]), ((deployment_raw[[#This Row],[Column8]] * deployment_raw[[#This Row],[Column5]]) * $L$2), ($H$2 * deployment_raw[[#This Row],[Column5]])), 0),"")</f>
        <v/>
      </c>
      <c r="M43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34" s="188" t="str">
        <f>IF(ISNUMBER(deployment_raw[[#This Row],[Column14]]), deployment_raw[[#This Row],[Column14]],"")</f>
        <v/>
      </c>
      <c r="O434" s="189" t="str">
        <f>IF(ISNUMBER(deployment_raw[[#This Row],[Column15]]), deployment_raw[[#This Row],[Column15]]/1048576,"")</f>
        <v/>
      </c>
      <c r="P434" s="190" t="str">
        <f>IF(ISNUMBER(deployment_raw[[#This Row],[Column12]]), (deployment_raw[[#This Row],[Column12]] * deployment_raw[[#This Row],[Column5]]),"")</f>
        <v/>
      </c>
      <c r="Q434" s="189" t="str">
        <f>IF(ISNUMBER(deployment_raw[[#This Row],[Column13]]), (deployment_raw[[#This Row],[Column13]] * deployment_raw[[#This Row],[Column5]])/1048576,"")</f>
        <v/>
      </c>
    </row>
    <row r="435" spans="1:17" ht="15.75" customHeight="1" x14ac:dyDescent="0.25">
      <c r="A435" s="37" t="str">
        <f>IF(ISNONTEXT(deployment_raw[[#This Row],[Column1]]), "", deployment_raw[[#This Row],[Column1]])</f>
        <v/>
      </c>
      <c r="B435" s="38" t="str">
        <f>IF(ISNONTEXT(deployment_raw[[#This Row],[Column2]]), "", deployment_raw[[#This Row],[Column2]])</f>
        <v/>
      </c>
      <c r="C435" s="38" t="str">
        <f>IF(ISNONTEXT(deployment_raw[[#This Row],[Column3]]), "", deployment_raw[[#This Row],[Column3]])</f>
        <v/>
      </c>
      <c r="D435" s="38" t="str">
        <f>IF(ISNONTEXT(deployment_raw[[#This Row],[Column4]]), "", deployment_raw[[#This Row],[Column4]])</f>
        <v/>
      </c>
      <c r="E435" s="39" t="str">
        <f>IF(ISNUMBER(deployment_raw[[#This Row],[Column5]]), deployment_raw[[#This Row],[Column5]],"")</f>
        <v/>
      </c>
      <c r="F435" s="174" t="str">
        <f>IF(ISNUMBER(deployment_raw[[#This Row],[Column6]]), (deployment_raw[[#This Row],[Column6]] * deployment_raw[[#This Row],[Column5]]),"")</f>
        <v/>
      </c>
      <c r="G435" s="175" t="str">
        <f>IF(ISNUMBER(deployment_raw[[#This Row],[Column7]]), (deployment_raw[[#This Row],[Column7]] * deployment_raw[[#This Row],[Column5]])/1048576,"")</f>
        <v/>
      </c>
      <c r="H435" s="175" t="str">
        <f>IF(ISNUMBER(deployment_raw[[#This Row],[Column8]]), (deployment_raw[[#This Row],[Column8]]  * deployment_raw[[#This Row],[Column5]]),"")</f>
        <v/>
      </c>
      <c r="I435" s="176" t="str">
        <f>IF(ISNUMBER(deployment_raw[[#This Row],[Column9]]), (deployment_raw[[#This Row],[Column9]] * deployment_raw[[#This Row],[Column5]])/1048576,"")</f>
        <v/>
      </c>
      <c r="J435" s="57" t="str">
        <f>IF(ISNUMBER(deployment_raw[[#This Row],[Column10]]), (deployment_raw[[#This Row],[Column10]] * deployment_raw[[#This Row],[Column5]]),"")</f>
        <v/>
      </c>
      <c r="K435" s="58" t="str">
        <f>IF(ISNUMBER(deployment_raw[[#This Row],[Column11]]), (deployment_raw[[#This Row],[Column11]] * deployment_raw[[#This Row],[Column5]])/1048576,"")</f>
        <v/>
      </c>
      <c r="L435" s="180" t="str">
        <f>IF(ISNUMBER(deployment_raw[[#This Row],[Column8]]),IF(deployment_raw[[#This Row],[Column5]] &lt;&gt; 0, MAX((deployment_raw[[#This Row],[Column12]] * deployment_raw[[#This Row],[Column5]]), ((deployment_raw[[#This Row],[Column8]] * deployment_raw[[#This Row],[Column5]]) * $L$2), ($H$2 * deployment_raw[[#This Row],[Column5]])), 0),"")</f>
        <v/>
      </c>
      <c r="M43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35" s="188" t="str">
        <f>IF(ISNUMBER(deployment_raw[[#This Row],[Column14]]), deployment_raw[[#This Row],[Column14]],"")</f>
        <v/>
      </c>
      <c r="O435" s="189" t="str">
        <f>IF(ISNUMBER(deployment_raw[[#This Row],[Column15]]), deployment_raw[[#This Row],[Column15]]/1048576,"")</f>
        <v/>
      </c>
      <c r="P435" s="190" t="str">
        <f>IF(ISNUMBER(deployment_raw[[#This Row],[Column12]]), (deployment_raw[[#This Row],[Column12]] * deployment_raw[[#This Row],[Column5]]),"")</f>
        <v/>
      </c>
      <c r="Q435" s="189" t="str">
        <f>IF(ISNUMBER(deployment_raw[[#This Row],[Column13]]), (deployment_raw[[#This Row],[Column13]] * deployment_raw[[#This Row],[Column5]])/1048576,"")</f>
        <v/>
      </c>
    </row>
    <row r="436" spans="1:17" ht="15.75" customHeight="1" x14ac:dyDescent="0.25">
      <c r="A436" s="37" t="str">
        <f>IF(ISNONTEXT(deployment_raw[[#This Row],[Column1]]), "", deployment_raw[[#This Row],[Column1]])</f>
        <v/>
      </c>
      <c r="B436" s="38" t="str">
        <f>IF(ISNONTEXT(deployment_raw[[#This Row],[Column2]]), "", deployment_raw[[#This Row],[Column2]])</f>
        <v/>
      </c>
      <c r="C436" s="38" t="str">
        <f>IF(ISNONTEXT(deployment_raw[[#This Row],[Column3]]), "", deployment_raw[[#This Row],[Column3]])</f>
        <v/>
      </c>
      <c r="D436" s="38" t="str">
        <f>IF(ISNONTEXT(deployment_raw[[#This Row],[Column4]]), "", deployment_raw[[#This Row],[Column4]])</f>
        <v/>
      </c>
      <c r="E436" s="39" t="str">
        <f>IF(ISNUMBER(deployment_raw[[#This Row],[Column5]]), deployment_raw[[#This Row],[Column5]],"")</f>
        <v/>
      </c>
      <c r="F436" s="174" t="str">
        <f>IF(ISNUMBER(deployment_raw[[#This Row],[Column6]]), (deployment_raw[[#This Row],[Column6]] * deployment_raw[[#This Row],[Column5]]),"")</f>
        <v/>
      </c>
      <c r="G436" s="175" t="str">
        <f>IF(ISNUMBER(deployment_raw[[#This Row],[Column7]]), (deployment_raw[[#This Row],[Column7]] * deployment_raw[[#This Row],[Column5]])/1048576,"")</f>
        <v/>
      </c>
      <c r="H436" s="175" t="str">
        <f>IF(ISNUMBER(deployment_raw[[#This Row],[Column8]]), (deployment_raw[[#This Row],[Column8]]  * deployment_raw[[#This Row],[Column5]]),"")</f>
        <v/>
      </c>
      <c r="I436" s="176" t="str">
        <f>IF(ISNUMBER(deployment_raw[[#This Row],[Column9]]), (deployment_raw[[#This Row],[Column9]] * deployment_raw[[#This Row],[Column5]])/1048576,"")</f>
        <v/>
      </c>
      <c r="J436" s="57" t="str">
        <f>IF(ISNUMBER(deployment_raw[[#This Row],[Column10]]), (deployment_raw[[#This Row],[Column10]] * deployment_raw[[#This Row],[Column5]]),"")</f>
        <v/>
      </c>
      <c r="K436" s="58" t="str">
        <f>IF(ISNUMBER(deployment_raw[[#This Row],[Column11]]), (deployment_raw[[#This Row],[Column11]] * deployment_raw[[#This Row],[Column5]])/1048576,"")</f>
        <v/>
      </c>
      <c r="L436" s="180" t="str">
        <f>IF(ISNUMBER(deployment_raw[[#This Row],[Column8]]),IF(deployment_raw[[#This Row],[Column5]] &lt;&gt; 0, MAX((deployment_raw[[#This Row],[Column12]] * deployment_raw[[#This Row],[Column5]]), ((deployment_raw[[#This Row],[Column8]] * deployment_raw[[#This Row],[Column5]]) * $L$2), ($H$2 * deployment_raw[[#This Row],[Column5]])), 0),"")</f>
        <v/>
      </c>
      <c r="M43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36" s="188" t="str">
        <f>IF(ISNUMBER(deployment_raw[[#This Row],[Column14]]), deployment_raw[[#This Row],[Column14]],"")</f>
        <v/>
      </c>
      <c r="O436" s="189" t="str">
        <f>IF(ISNUMBER(deployment_raw[[#This Row],[Column15]]), deployment_raw[[#This Row],[Column15]]/1048576,"")</f>
        <v/>
      </c>
      <c r="P436" s="190" t="str">
        <f>IF(ISNUMBER(deployment_raw[[#This Row],[Column12]]), (deployment_raw[[#This Row],[Column12]] * deployment_raw[[#This Row],[Column5]]),"")</f>
        <v/>
      </c>
      <c r="Q436" s="189" t="str">
        <f>IF(ISNUMBER(deployment_raw[[#This Row],[Column13]]), (deployment_raw[[#This Row],[Column13]] * deployment_raw[[#This Row],[Column5]])/1048576,"")</f>
        <v/>
      </c>
    </row>
    <row r="437" spans="1:17" ht="15.75" customHeight="1" x14ac:dyDescent="0.25">
      <c r="A437" s="37" t="str">
        <f>IF(ISNONTEXT(deployment_raw[[#This Row],[Column1]]), "", deployment_raw[[#This Row],[Column1]])</f>
        <v/>
      </c>
      <c r="B437" s="38" t="str">
        <f>IF(ISNONTEXT(deployment_raw[[#This Row],[Column2]]), "", deployment_raw[[#This Row],[Column2]])</f>
        <v/>
      </c>
      <c r="C437" s="38" t="str">
        <f>IF(ISNONTEXT(deployment_raw[[#This Row],[Column3]]), "", deployment_raw[[#This Row],[Column3]])</f>
        <v/>
      </c>
      <c r="D437" s="38" t="str">
        <f>IF(ISNONTEXT(deployment_raw[[#This Row],[Column4]]), "", deployment_raw[[#This Row],[Column4]])</f>
        <v/>
      </c>
      <c r="E437" s="39" t="str">
        <f>IF(ISNUMBER(deployment_raw[[#This Row],[Column5]]), deployment_raw[[#This Row],[Column5]],"")</f>
        <v/>
      </c>
      <c r="F437" s="174" t="str">
        <f>IF(ISNUMBER(deployment_raw[[#This Row],[Column6]]), (deployment_raw[[#This Row],[Column6]] * deployment_raw[[#This Row],[Column5]]),"")</f>
        <v/>
      </c>
      <c r="G437" s="175" t="str">
        <f>IF(ISNUMBER(deployment_raw[[#This Row],[Column7]]), (deployment_raw[[#This Row],[Column7]] * deployment_raw[[#This Row],[Column5]])/1048576,"")</f>
        <v/>
      </c>
      <c r="H437" s="175" t="str">
        <f>IF(ISNUMBER(deployment_raw[[#This Row],[Column8]]), (deployment_raw[[#This Row],[Column8]]  * deployment_raw[[#This Row],[Column5]]),"")</f>
        <v/>
      </c>
      <c r="I437" s="176" t="str">
        <f>IF(ISNUMBER(deployment_raw[[#This Row],[Column9]]), (deployment_raw[[#This Row],[Column9]] * deployment_raw[[#This Row],[Column5]])/1048576,"")</f>
        <v/>
      </c>
      <c r="J437" s="57" t="str">
        <f>IF(ISNUMBER(deployment_raw[[#This Row],[Column10]]), (deployment_raw[[#This Row],[Column10]] * deployment_raw[[#This Row],[Column5]]),"")</f>
        <v/>
      </c>
      <c r="K437" s="58" t="str">
        <f>IF(ISNUMBER(deployment_raw[[#This Row],[Column11]]), (deployment_raw[[#This Row],[Column11]] * deployment_raw[[#This Row],[Column5]])/1048576,"")</f>
        <v/>
      </c>
      <c r="L437" s="180" t="str">
        <f>IF(ISNUMBER(deployment_raw[[#This Row],[Column8]]),IF(deployment_raw[[#This Row],[Column5]] &lt;&gt; 0, MAX((deployment_raw[[#This Row],[Column12]] * deployment_raw[[#This Row],[Column5]]), ((deployment_raw[[#This Row],[Column8]] * deployment_raw[[#This Row],[Column5]]) * $L$2), ($H$2 * deployment_raw[[#This Row],[Column5]])), 0),"")</f>
        <v/>
      </c>
      <c r="M43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37" s="188" t="str">
        <f>IF(ISNUMBER(deployment_raw[[#This Row],[Column14]]), deployment_raw[[#This Row],[Column14]],"")</f>
        <v/>
      </c>
      <c r="O437" s="189" t="str">
        <f>IF(ISNUMBER(deployment_raw[[#This Row],[Column15]]), deployment_raw[[#This Row],[Column15]]/1048576,"")</f>
        <v/>
      </c>
      <c r="P437" s="190" t="str">
        <f>IF(ISNUMBER(deployment_raw[[#This Row],[Column12]]), (deployment_raw[[#This Row],[Column12]] * deployment_raw[[#This Row],[Column5]]),"")</f>
        <v/>
      </c>
      <c r="Q437" s="189" t="str">
        <f>IF(ISNUMBER(deployment_raw[[#This Row],[Column13]]), (deployment_raw[[#This Row],[Column13]] * deployment_raw[[#This Row],[Column5]])/1048576,"")</f>
        <v/>
      </c>
    </row>
    <row r="438" spans="1:17" ht="15.75" customHeight="1" x14ac:dyDescent="0.25">
      <c r="A438" s="37" t="str">
        <f>IF(ISNONTEXT(deployment_raw[[#This Row],[Column1]]), "", deployment_raw[[#This Row],[Column1]])</f>
        <v/>
      </c>
      <c r="B438" s="38" t="str">
        <f>IF(ISNONTEXT(deployment_raw[[#This Row],[Column2]]), "", deployment_raw[[#This Row],[Column2]])</f>
        <v/>
      </c>
      <c r="C438" s="38" t="str">
        <f>IF(ISNONTEXT(deployment_raw[[#This Row],[Column3]]), "", deployment_raw[[#This Row],[Column3]])</f>
        <v/>
      </c>
      <c r="D438" s="38" t="str">
        <f>IF(ISNONTEXT(deployment_raw[[#This Row],[Column4]]), "", deployment_raw[[#This Row],[Column4]])</f>
        <v/>
      </c>
      <c r="E438" s="39" t="str">
        <f>IF(ISNUMBER(deployment_raw[[#This Row],[Column5]]), deployment_raw[[#This Row],[Column5]],"")</f>
        <v/>
      </c>
      <c r="F438" s="174" t="str">
        <f>IF(ISNUMBER(deployment_raw[[#This Row],[Column6]]), (deployment_raw[[#This Row],[Column6]] * deployment_raw[[#This Row],[Column5]]),"")</f>
        <v/>
      </c>
      <c r="G438" s="175" t="str">
        <f>IF(ISNUMBER(deployment_raw[[#This Row],[Column7]]), (deployment_raw[[#This Row],[Column7]] * deployment_raw[[#This Row],[Column5]])/1048576,"")</f>
        <v/>
      </c>
      <c r="H438" s="175" t="str">
        <f>IF(ISNUMBER(deployment_raw[[#This Row],[Column8]]), (deployment_raw[[#This Row],[Column8]]  * deployment_raw[[#This Row],[Column5]]),"")</f>
        <v/>
      </c>
      <c r="I438" s="176" t="str">
        <f>IF(ISNUMBER(deployment_raw[[#This Row],[Column9]]), (deployment_raw[[#This Row],[Column9]] * deployment_raw[[#This Row],[Column5]])/1048576,"")</f>
        <v/>
      </c>
      <c r="J438" s="57" t="str">
        <f>IF(ISNUMBER(deployment_raw[[#This Row],[Column10]]), (deployment_raw[[#This Row],[Column10]] * deployment_raw[[#This Row],[Column5]]),"")</f>
        <v/>
      </c>
      <c r="K438" s="58" t="str">
        <f>IF(ISNUMBER(deployment_raw[[#This Row],[Column11]]), (deployment_raw[[#This Row],[Column11]] * deployment_raw[[#This Row],[Column5]])/1048576,"")</f>
        <v/>
      </c>
      <c r="L438" s="180" t="str">
        <f>IF(ISNUMBER(deployment_raw[[#This Row],[Column8]]),IF(deployment_raw[[#This Row],[Column5]] &lt;&gt; 0, MAX((deployment_raw[[#This Row],[Column12]] * deployment_raw[[#This Row],[Column5]]), ((deployment_raw[[#This Row],[Column8]] * deployment_raw[[#This Row],[Column5]]) * $L$2), ($H$2 * deployment_raw[[#This Row],[Column5]])), 0),"")</f>
        <v/>
      </c>
      <c r="M43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38" s="188" t="str">
        <f>IF(ISNUMBER(deployment_raw[[#This Row],[Column14]]), deployment_raw[[#This Row],[Column14]],"")</f>
        <v/>
      </c>
      <c r="O438" s="189" t="str">
        <f>IF(ISNUMBER(deployment_raw[[#This Row],[Column15]]), deployment_raw[[#This Row],[Column15]]/1048576,"")</f>
        <v/>
      </c>
      <c r="P438" s="190" t="str">
        <f>IF(ISNUMBER(deployment_raw[[#This Row],[Column12]]), (deployment_raw[[#This Row],[Column12]] * deployment_raw[[#This Row],[Column5]]),"")</f>
        <v/>
      </c>
      <c r="Q438" s="189" t="str">
        <f>IF(ISNUMBER(deployment_raw[[#This Row],[Column13]]), (deployment_raw[[#This Row],[Column13]] * deployment_raw[[#This Row],[Column5]])/1048576,"")</f>
        <v/>
      </c>
    </row>
    <row r="439" spans="1:17" ht="15.75" customHeight="1" x14ac:dyDescent="0.25">
      <c r="A439" s="37" t="str">
        <f>IF(ISNONTEXT(deployment_raw[[#This Row],[Column1]]), "", deployment_raw[[#This Row],[Column1]])</f>
        <v/>
      </c>
      <c r="B439" s="38" t="str">
        <f>IF(ISNONTEXT(deployment_raw[[#This Row],[Column2]]), "", deployment_raw[[#This Row],[Column2]])</f>
        <v/>
      </c>
      <c r="C439" s="38" t="str">
        <f>IF(ISNONTEXT(deployment_raw[[#This Row],[Column3]]), "", deployment_raw[[#This Row],[Column3]])</f>
        <v/>
      </c>
      <c r="D439" s="38" t="str">
        <f>IF(ISNONTEXT(deployment_raw[[#This Row],[Column4]]), "", deployment_raw[[#This Row],[Column4]])</f>
        <v/>
      </c>
      <c r="E439" s="39" t="str">
        <f>IF(ISNUMBER(deployment_raw[[#This Row],[Column5]]), deployment_raw[[#This Row],[Column5]],"")</f>
        <v/>
      </c>
      <c r="F439" s="174" t="str">
        <f>IF(ISNUMBER(deployment_raw[[#This Row],[Column6]]), (deployment_raw[[#This Row],[Column6]] * deployment_raw[[#This Row],[Column5]]),"")</f>
        <v/>
      </c>
      <c r="G439" s="175" t="str">
        <f>IF(ISNUMBER(deployment_raw[[#This Row],[Column7]]), (deployment_raw[[#This Row],[Column7]] * deployment_raw[[#This Row],[Column5]])/1048576,"")</f>
        <v/>
      </c>
      <c r="H439" s="175" t="str">
        <f>IF(ISNUMBER(deployment_raw[[#This Row],[Column8]]), (deployment_raw[[#This Row],[Column8]]  * deployment_raw[[#This Row],[Column5]]),"")</f>
        <v/>
      </c>
      <c r="I439" s="176" t="str">
        <f>IF(ISNUMBER(deployment_raw[[#This Row],[Column9]]), (deployment_raw[[#This Row],[Column9]] * deployment_raw[[#This Row],[Column5]])/1048576,"")</f>
        <v/>
      </c>
      <c r="J439" s="57" t="str">
        <f>IF(ISNUMBER(deployment_raw[[#This Row],[Column10]]), (deployment_raw[[#This Row],[Column10]] * deployment_raw[[#This Row],[Column5]]),"")</f>
        <v/>
      </c>
      <c r="K439" s="58" t="str">
        <f>IF(ISNUMBER(deployment_raw[[#This Row],[Column11]]), (deployment_raw[[#This Row],[Column11]] * deployment_raw[[#This Row],[Column5]])/1048576,"")</f>
        <v/>
      </c>
      <c r="L439" s="180" t="str">
        <f>IF(ISNUMBER(deployment_raw[[#This Row],[Column8]]),IF(deployment_raw[[#This Row],[Column5]] &lt;&gt; 0, MAX((deployment_raw[[#This Row],[Column12]] * deployment_raw[[#This Row],[Column5]]), ((deployment_raw[[#This Row],[Column8]] * deployment_raw[[#This Row],[Column5]]) * $L$2), ($H$2 * deployment_raw[[#This Row],[Column5]])), 0),"")</f>
        <v/>
      </c>
      <c r="M43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39" s="188" t="str">
        <f>IF(ISNUMBER(deployment_raw[[#This Row],[Column14]]), deployment_raw[[#This Row],[Column14]],"")</f>
        <v/>
      </c>
      <c r="O439" s="189" t="str">
        <f>IF(ISNUMBER(deployment_raw[[#This Row],[Column15]]), deployment_raw[[#This Row],[Column15]]/1048576,"")</f>
        <v/>
      </c>
      <c r="P439" s="190" t="str">
        <f>IF(ISNUMBER(deployment_raw[[#This Row],[Column12]]), (deployment_raw[[#This Row],[Column12]] * deployment_raw[[#This Row],[Column5]]),"")</f>
        <v/>
      </c>
      <c r="Q439" s="189" t="str">
        <f>IF(ISNUMBER(deployment_raw[[#This Row],[Column13]]), (deployment_raw[[#This Row],[Column13]] * deployment_raw[[#This Row],[Column5]])/1048576,"")</f>
        <v/>
      </c>
    </row>
    <row r="440" spans="1:17" ht="15.75" customHeight="1" x14ac:dyDescent="0.25">
      <c r="A440" s="37" t="str">
        <f>IF(ISNONTEXT(deployment_raw[[#This Row],[Column1]]), "", deployment_raw[[#This Row],[Column1]])</f>
        <v/>
      </c>
      <c r="B440" s="38" t="str">
        <f>IF(ISNONTEXT(deployment_raw[[#This Row],[Column2]]), "", deployment_raw[[#This Row],[Column2]])</f>
        <v/>
      </c>
      <c r="C440" s="38" t="str">
        <f>IF(ISNONTEXT(deployment_raw[[#This Row],[Column3]]), "", deployment_raw[[#This Row],[Column3]])</f>
        <v/>
      </c>
      <c r="D440" s="38" t="str">
        <f>IF(ISNONTEXT(deployment_raw[[#This Row],[Column4]]), "", deployment_raw[[#This Row],[Column4]])</f>
        <v/>
      </c>
      <c r="E440" s="39" t="str">
        <f>IF(ISNUMBER(deployment_raw[[#This Row],[Column5]]), deployment_raw[[#This Row],[Column5]],"")</f>
        <v/>
      </c>
      <c r="F440" s="174" t="str">
        <f>IF(ISNUMBER(deployment_raw[[#This Row],[Column6]]), (deployment_raw[[#This Row],[Column6]] * deployment_raw[[#This Row],[Column5]]),"")</f>
        <v/>
      </c>
      <c r="G440" s="175" t="str">
        <f>IF(ISNUMBER(deployment_raw[[#This Row],[Column7]]), (deployment_raw[[#This Row],[Column7]] * deployment_raw[[#This Row],[Column5]])/1048576,"")</f>
        <v/>
      </c>
      <c r="H440" s="175" t="str">
        <f>IF(ISNUMBER(deployment_raw[[#This Row],[Column8]]), (deployment_raw[[#This Row],[Column8]]  * deployment_raw[[#This Row],[Column5]]),"")</f>
        <v/>
      </c>
      <c r="I440" s="176" t="str">
        <f>IF(ISNUMBER(deployment_raw[[#This Row],[Column9]]), (deployment_raw[[#This Row],[Column9]] * deployment_raw[[#This Row],[Column5]])/1048576,"")</f>
        <v/>
      </c>
      <c r="J440" s="57" t="str">
        <f>IF(ISNUMBER(deployment_raw[[#This Row],[Column10]]), (deployment_raw[[#This Row],[Column10]] * deployment_raw[[#This Row],[Column5]]),"")</f>
        <v/>
      </c>
      <c r="K440" s="58" t="str">
        <f>IF(ISNUMBER(deployment_raw[[#This Row],[Column11]]), (deployment_raw[[#This Row],[Column11]] * deployment_raw[[#This Row],[Column5]])/1048576,"")</f>
        <v/>
      </c>
      <c r="L440" s="180" t="str">
        <f>IF(ISNUMBER(deployment_raw[[#This Row],[Column8]]),IF(deployment_raw[[#This Row],[Column5]] &lt;&gt; 0, MAX((deployment_raw[[#This Row],[Column12]] * deployment_raw[[#This Row],[Column5]]), ((deployment_raw[[#This Row],[Column8]] * deployment_raw[[#This Row],[Column5]]) * $L$2), ($H$2 * deployment_raw[[#This Row],[Column5]])), 0),"")</f>
        <v/>
      </c>
      <c r="M44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40" s="188" t="str">
        <f>IF(ISNUMBER(deployment_raw[[#This Row],[Column14]]), deployment_raw[[#This Row],[Column14]],"")</f>
        <v/>
      </c>
      <c r="O440" s="189" t="str">
        <f>IF(ISNUMBER(deployment_raw[[#This Row],[Column15]]), deployment_raw[[#This Row],[Column15]]/1048576,"")</f>
        <v/>
      </c>
      <c r="P440" s="190" t="str">
        <f>IF(ISNUMBER(deployment_raw[[#This Row],[Column12]]), (deployment_raw[[#This Row],[Column12]] * deployment_raw[[#This Row],[Column5]]),"")</f>
        <v/>
      </c>
      <c r="Q440" s="189" t="str">
        <f>IF(ISNUMBER(deployment_raw[[#This Row],[Column13]]), (deployment_raw[[#This Row],[Column13]] * deployment_raw[[#This Row],[Column5]])/1048576,"")</f>
        <v/>
      </c>
    </row>
    <row r="441" spans="1:17" ht="15.75" customHeight="1" x14ac:dyDescent="0.25">
      <c r="A441" s="37" t="str">
        <f>IF(ISNONTEXT(deployment_raw[[#This Row],[Column1]]), "", deployment_raw[[#This Row],[Column1]])</f>
        <v/>
      </c>
      <c r="B441" s="38" t="str">
        <f>IF(ISNONTEXT(deployment_raw[[#This Row],[Column2]]), "", deployment_raw[[#This Row],[Column2]])</f>
        <v/>
      </c>
      <c r="C441" s="38" t="str">
        <f>IF(ISNONTEXT(deployment_raw[[#This Row],[Column3]]), "", deployment_raw[[#This Row],[Column3]])</f>
        <v/>
      </c>
      <c r="D441" s="38" t="str">
        <f>IF(ISNONTEXT(deployment_raw[[#This Row],[Column4]]), "", deployment_raw[[#This Row],[Column4]])</f>
        <v/>
      </c>
      <c r="E441" s="39" t="str">
        <f>IF(ISNUMBER(deployment_raw[[#This Row],[Column5]]), deployment_raw[[#This Row],[Column5]],"")</f>
        <v/>
      </c>
      <c r="F441" s="174" t="str">
        <f>IF(ISNUMBER(deployment_raw[[#This Row],[Column6]]), (deployment_raw[[#This Row],[Column6]] * deployment_raw[[#This Row],[Column5]]),"")</f>
        <v/>
      </c>
      <c r="G441" s="175" t="str">
        <f>IF(ISNUMBER(deployment_raw[[#This Row],[Column7]]), (deployment_raw[[#This Row],[Column7]] * deployment_raw[[#This Row],[Column5]])/1048576,"")</f>
        <v/>
      </c>
      <c r="H441" s="175" t="str">
        <f>IF(ISNUMBER(deployment_raw[[#This Row],[Column8]]), (deployment_raw[[#This Row],[Column8]]  * deployment_raw[[#This Row],[Column5]]),"")</f>
        <v/>
      </c>
      <c r="I441" s="176" t="str">
        <f>IF(ISNUMBER(deployment_raw[[#This Row],[Column9]]), (deployment_raw[[#This Row],[Column9]] * deployment_raw[[#This Row],[Column5]])/1048576,"")</f>
        <v/>
      </c>
      <c r="J441" s="57" t="str">
        <f>IF(ISNUMBER(deployment_raw[[#This Row],[Column10]]), (deployment_raw[[#This Row],[Column10]] * deployment_raw[[#This Row],[Column5]]),"")</f>
        <v/>
      </c>
      <c r="K441" s="58" t="str">
        <f>IF(ISNUMBER(deployment_raw[[#This Row],[Column11]]), (deployment_raw[[#This Row],[Column11]] * deployment_raw[[#This Row],[Column5]])/1048576,"")</f>
        <v/>
      </c>
      <c r="L441" s="180" t="str">
        <f>IF(ISNUMBER(deployment_raw[[#This Row],[Column8]]),IF(deployment_raw[[#This Row],[Column5]] &lt;&gt; 0, MAX((deployment_raw[[#This Row],[Column12]] * deployment_raw[[#This Row],[Column5]]), ((deployment_raw[[#This Row],[Column8]] * deployment_raw[[#This Row],[Column5]]) * $L$2), ($H$2 * deployment_raw[[#This Row],[Column5]])), 0),"")</f>
        <v/>
      </c>
      <c r="M44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41" s="188" t="str">
        <f>IF(ISNUMBER(deployment_raw[[#This Row],[Column14]]), deployment_raw[[#This Row],[Column14]],"")</f>
        <v/>
      </c>
      <c r="O441" s="189" t="str">
        <f>IF(ISNUMBER(deployment_raw[[#This Row],[Column15]]), deployment_raw[[#This Row],[Column15]]/1048576,"")</f>
        <v/>
      </c>
      <c r="P441" s="190" t="str">
        <f>IF(ISNUMBER(deployment_raw[[#This Row],[Column12]]), (deployment_raw[[#This Row],[Column12]] * deployment_raw[[#This Row],[Column5]]),"")</f>
        <v/>
      </c>
      <c r="Q441" s="189" t="str">
        <f>IF(ISNUMBER(deployment_raw[[#This Row],[Column13]]), (deployment_raw[[#This Row],[Column13]] * deployment_raw[[#This Row],[Column5]])/1048576,"")</f>
        <v/>
      </c>
    </row>
    <row r="442" spans="1:17" ht="15.75" customHeight="1" x14ac:dyDescent="0.25">
      <c r="A442" s="37" t="str">
        <f>IF(ISNONTEXT(deployment_raw[[#This Row],[Column1]]), "", deployment_raw[[#This Row],[Column1]])</f>
        <v/>
      </c>
      <c r="B442" s="38" t="str">
        <f>IF(ISNONTEXT(deployment_raw[[#This Row],[Column2]]), "", deployment_raw[[#This Row],[Column2]])</f>
        <v/>
      </c>
      <c r="C442" s="38" t="str">
        <f>IF(ISNONTEXT(deployment_raw[[#This Row],[Column3]]), "", deployment_raw[[#This Row],[Column3]])</f>
        <v/>
      </c>
      <c r="D442" s="38" t="str">
        <f>IF(ISNONTEXT(deployment_raw[[#This Row],[Column4]]), "", deployment_raw[[#This Row],[Column4]])</f>
        <v/>
      </c>
      <c r="E442" s="39" t="str">
        <f>IF(ISNUMBER(deployment_raw[[#This Row],[Column5]]), deployment_raw[[#This Row],[Column5]],"")</f>
        <v/>
      </c>
      <c r="F442" s="174" t="str">
        <f>IF(ISNUMBER(deployment_raw[[#This Row],[Column6]]), (deployment_raw[[#This Row],[Column6]] * deployment_raw[[#This Row],[Column5]]),"")</f>
        <v/>
      </c>
      <c r="G442" s="175" t="str">
        <f>IF(ISNUMBER(deployment_raw[[#This Row],[Column7]]), (deployment_raw[[#This Row],[Column7]] * deployment_raw[[#This Row],[Column5]])/1048576,"")</f>
        <v/>
      </c>
      <c r="H442" s="175" t="str">
        <f>IF(ISNUMBER(deployment_raw[[#This Row],[Column8]]), (deployment_raw[[#This Row],[Column8]]  * deployment_raw[[#This Row],[Column5]]),"")</f>
        <v/>
      </c>
      <c r="I442" s="176" t="str">
        <f>IF(ISNUMBER(deployment_raw[[#This Row],[Column9]]), (deployment_raw[[#This Row],[Column9]] * deployment_raw[[#This Row],[Column5]])/1048576,"")</f>
        <v/>
      </c>
      <c r="J442" s="57" t="str">
        <f>IF(ISNUMBER(deployment_raw[[#This Row],[Column10]]), (deployment_raw[[#This Row],[Column10]] * deployment_raw[[#This Row],[Column5]]),"")</f>
        <v/>
      </c>
      <c r="K442" s="58" t="str">
        <f>IF(ISNUMBER(deployment_raw[[#This Row],[Column11]]), (deployment_raw[[#This Row],[Column11]] * deployment_raw[[#This Row],[Column5]])/1048576,"")</f>
        <v/>
      </c>
      <c r="L442" s="180" t="str">
        <f>IF(ISNUMBER(deployment_raw[[#This Row],[Column8]]),IF(deployment_raw[[#This Row],[Column5]] &lt;&gt; 0, MAX((deployment_raw[[#This Row],[Column12]] * deployment_raw[[#This Row],[Column5]]), ((deployment_raw[[#This Row],[Column8]] * deployment_raw[[#This Row],[Column5]]) * $L$2), ($H$2 * deployment_raw[[#This Row],[Column5]])), 0),"")</f>
        <v/>
      </c>
      <c r="M44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42" s="188" t="str">
        <f>IF(ISNUMBER(deployment_raw[[#This Row],[Column14]]), deployment_raw[[#This Row],[Column14]],"")</f>
        <v/>
      </c>
      <c r="O442" s="189" t="str">
        <f>IF(ISNUMBER(deployment_raw[[#This Row],[Column15]]), deployment_raw[[#This Row],[Column15]]/1048576,"")</f>
        <v/>
      </c>
      <c r="P442" s="190" t="str">
        <f>IF(ISNUMBER(deployment_raw[[#This Row],[Column12]]), (deployment_raw[[#This Row],[Column12]] * deployment_raw[[#This Row],[Column5]]),"")</f>
        <v/>
      </c>
      <c r="Q442" s="189" t="str">
        <f>IF(ISNUMBER(deployment_raw[[#This Row],[Column13]]), (deployment_raw[[#This Row],[Column13]] * deployment_raw[[#This Row],[Column5]])/1048576,"")</f>
        <v/>
      </c>
    </row>
    <row r="443" spans="1:17" ht="15.75" customHeight="1" x14ac:dyDescent="0.25">
      <c r="A443" s="37" t="str">
        <f>IF(ISNONTEXT(deployment_raw[[#This Row],[Column1]]), "", deployment_raw[[#This Row],[Column1]])</f>
        <v/>
      </c>
      <c r="B443" s="38" t="str">
        <f>IF(ISNONTEXT(deployment_raw[[#This Row],[Column2]]), "", deployment_raw[[#This Row],[Column2]])</f>
        <v/>
      </c>
      <c r="C443" s="38" t="str">
        <f>IF(ISNONTEXT(deployment_raw[[#This Row],[Column3]]), "", deployment_raw[[#This Row],[Column3]])</f>
        <v/>
      </c>
      <c r="D443" s="38" t="str">
        <f>IF(ISNONTEXT(deployment_raw[[#This Row],[Column4]]), "", deployment_raw[[#This Row],[Column4]])</f>
        <v/>
      </c>
      <c r="E443" s="39" t="str">
        <f>IF(ISNUMBER(deployment_raw[[#This Row],[Column5]]), deployment_raw[[#This Row],[Column5]],"")</f>
        <v/>
      </c>
      <c r="F443" s="174" t="str">
        <f>IF(ISNUMBER(deployment_raw[[#This Row],[Column6]]), (deployment_raw[[#This Row],[Column6]] * deployment_raw[[#This Row],[Column5]]),"")</f>
        <v/>
      </c>
      <c r="G443" s="175" t="str">
        <f>IF(ISNUMBER(deployment_raw[[#This Row],[Column7]]), (deployment_raw[[#This Row],[Column7]] * deployment_raw[[#This Row],[Column5]])/1048576,"")</f>
        <v/>
      </c>
      <c r="H443" s="175" t="str">
        <f>IF(ISNUMBER(deployment_raw[[#This Row],[Column8]]), (deployment_raw[[#This Row],[Column8]]  * deployment_raw[[#This Row],[Column5]]),"")</f>
        <v/>
      </c>
      <c r="I443" s="176" t="str">
        <f>IF(ISNUMBER(deployment_raw[[#This Row],[Column9]]), (deployment_raw[[#This Row],[Column9]] * deployment_raw[[#This Row],[Column5]])/1048576,"")</f>
        <v/>
      </c>
      <c r="J443" s="57" t="str">
        <f>IF(ISNUMBER(deployment_raw[[#This Row],[Column10]]), (deployment_raw[[#This Row],[Column10]] * deployment_raw[[#This Row],[Column5]]),"")</f>
        <v/>
      </c>
      <c r="K443" s="58" t="str">
        <f>IF(ISNUMBER(deployment_raw[[#This Row],[Column11]]), (deployment_raw[[#This Row],[Column11]] * deployment_raw[[#This Row],[Column5]])/1048576,"")</f>
        <v/>
      </c>
      <c r="L443" s="180" t="str">
        <f>IF(ISNUMBER(deployment_raw[[#This Row],[Column8]]),IF(deployment_raw[[#This Row],[Column5]] &lt;&gt; 0, MAX((deployment_raw[[#This Row],[Column12]] * deployment_raw[[#This Row],[Column5]]), ((deployment_raw[[#This Row],[Column8]] * deployment_raw[[#This Row],[Column5]]) * $L$2), ($H$2 * deployment_raw[[#This Row],[Column5]])), 0),"")</f>
        <v/>
      </c>
      <c r="M44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43" s="188" t="str">
        <f>IF(ISNUMBER(deployment_raw[[#This Row],[Column14]]), deployment_raw[[#This Row],[Column14]],"")</f>
        <v/>
      </c>
      <c r="O443" s="189" t="str">
        <f>IF(ISNUMBER(deployment_raw[[#This Row],[Column15]]), deployment_raw[[#This Row],[Column15]]/1048576,"")</f>
        <v/>
      </c>
      <c r="P443" s="190" t="str">
        <f>IF(ISNUMBER(deployment_raw[[#This Row],[Column12]]), (deployment_raw[[#This Row],[Column12]] * deployment_raw[[#This Row],[Column5]]),"")</f>
        <v/>
      </c>
      <c r="Q443" s="189" t="str">
        <f>IF(ISNUMBER(deployment_raw[[#This Row],[Column13]]), (deployment_raw[[#This Row],[Column13]] * deployment_raw[[#This Row],[Column5]])/1048576,"")</f>
        <v/>
      </c>
    </row>
    <row r="444" spans="1:17" ht="15.75" customHeight="1" x14ac:dyDescent="0.25">
      <c r="A444" s="37" t="str">
        <f>IF(ISNONTEXT(deployment_raw[[#This Row],[Column1]]), "", deployment_raw[[#This Row],[Column1]])</f>
        <v/>
      </c>
      <c r="B444" s="38" t="str">
        <f>IF(ISNONTEXT(deployment_raw[[#This Row],[Column2]]), "", deployment_raw[[#This Row],[Column2]])</f>
        <v/>
      </c>
      <c r="C444" s="38" t="str">
        <f>IF(ISNONTEXT(deployment_raw[[#This Row],[Column3]]), "", deployment_raw[[#This Row],[Column3]])</f>
        <v/>
      </c>
      <c r="D444" s="38" t="str">
        <f>IF(ISNONTEXT(deployment_raw[[#This Row],[Column4]]), "", deployment_raw[[#This Row],[Column4]])</f>
        <v/>
      </c>
      <c r="E444" s="39" t="str">
        <f>IF(ISNUMBER(deployment_raw[[#This Row],[Column5]]), deployment_raw[[#This Row],[Column5]],"")</f>
        <v/>
      </c>
      <c r="F444" s="174" t="str">
        <f>IF(ISNUMBER(deployment_raw[[#This Row],[Column6]]), (deployment_raw[[#This Row],[Column6]] * deployment_raw[[#This Row],[Column5]]),"")</f>
        <v/>
      </c>
      <c r="G444" s="175" t="str">
        <f>IF(ISNUMBER(deployment_raw[[#This Row],[Column7]]), (deployment_raw[[#This Row],[Column7]] * deployment_raw[[#This Row],[Column5]])/1048576,"")</f>
        <v/>
      </c>
      <c r="H444" s="175" t="str">
        <f>IF(ISNUMBER(deployment_raw[[#This Row],[Column8]]), (deployment_raw[[#This Row],[Column8]]  * deployment_raw[[#This Row],[Column5]]),"")</f>
        <v/>
      </c>
      <c r="I444" s="176" t="str">
        <f>IF(ISNUMBER(deployment_raw[[#This Row],[Column9]]), (deployment_raw[[#This Row],[Column9]] * deployment_raw[[#This Row],[Column5]])/1048576,"")</f>
        <v/>
      </c>
      <c r="J444" s="57" t="str">
        <f>IF(ISNUMBER(deployment_raw[[#This Row],[Column10]]), (deployment_raw[[#This Row],[Column10]] * deployment_raw[[#This Row],[Column5]]),"")</f>
        <v/>
      </c>
      <c r="K444" s="58" t="str">
        <f>IF(ISNUMBER(deployment_raw[[#This Row],[Column11]]), (deployment_raw[[#This Row],[Column11]] * deployment_raw[[#This Row],[Column5]])/1048576,"")</f>
        <v/>
      </c>
      <c r="L444" s="180" t="str">
        <f>IF(ISNUMBER(deployment_raw[[#This Row],[Column8]]),IF(deployment_raw[[#This Row],[Column5]] &lt;&gt; 0, MAX((deployment_raw[[#This Row],[Column12]] * deployment_raw[[#This Row],[Column5]]), ((deployment_raw[[#This Row],[Column8]] * deployment_raw[[#This Row],[Column5]]) * $L$2), ($H$2 * deployment_raw[[#This Row],[Column5]])), 0),"")</f>
        <v/>
      </c>
      <c r="M44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44" s="188" t="str">
        <f>IF(ISNUMBER(deployment_raw[[#This Row],[Column14]]), deployment_raw[[#This Row],[Column14]],"")</f>
        <v/>
      </c>
      <c r="O444" s="189" t="str">
        <f>IF(ISNUMBER(deployment_raw[[#This Row],[Column15]]), deployment_raw[[#This Row],[Column15]]/1048576,"")</f>
        <v/>
      </c>
      <c r="P444" s="190" t="str">
        <f>IF(ISNUMBER(deployment_raw[[#This Row],[Column12]]), (deployment_raw[[#This Row],[Column12]] * deployment_raw[[#This Row],[Column5]]),"")</f>
        <v/>
      </c>
      <c r="Q444" s="189" t="str">
        <f>IF(ISNUMBER(deployment_raw[[#This Row],[Column13]]), (deployment_raw[[#This Row],[Column13]] * deployment_raw[[#This Row],[Column5]])/1048576,"")</f>
        <v/>
      </c>
    </row>
    <row r="445" spans="1:17" ht="15.75" customHeight="1" x14ac:dyDescent="0.25">
      <c r="A445" s="37" t="str">
        <f>IF(ISNONTEXT(deployment_raw[[#This Row],[Column1]]), "", deployment_raw[[#This Row],[Column1]])</f>
        <v/>
      </c>
      <c r="B445" s="38" t="str">
        <f>IF(ISNONTEXT(deployment_raw[[#This Row],[Column2]]), "", deployment_raw[[#This Row],[Column2]])</f>
        <v/>
      </c>
      <c r="C445" s="38" t="str">
        <f>IF(ISNONTEXT(deployment_raw[[#This Row],[Column3]]), "", deployment_raw[[#This Row],[Column3]])</f>
        <v/>
      </c>
      <c r="D445" s="38" t="str">
        <f>IF(ISNONTEXT(deployment_raw[[#This Row],[Column4]]), "", deployment_raw[[#This Row],[Column4]])</f>
        <v/>
      </c>
      <c r="E445" s="39" t="str">
        <f>IF(ISNUMBER(deployment_raw[[#This Row],[Column5]]), deployment_raw[[#This Row],[Column5]],"")</f>
        <v/>
      </c>
      <c r="F445" s="174" t="str">
        <f>IF(ISNUMBER(deployment_raw[[#This Row],[Column6]]), (deployment_raw[[#This Row],[Column6]] * deployment_raw[[#This Row],[Column5]]),"")</f>
        <v/>
      </c>
      <c r="G445" s="175" t="str">
        <f>IF(ISNUMBER(deployment_raw[[#This Row],[Column7]]), (deployment_raw[[#This Row],[Column7]] * deployment_raw[[#This Row],[Column5]])/1048576,"")</f>
        <v/>
      </c>
      <c r="H445" s="175" t="str">
        <f>IF(ISNUMBER(deployment_raw[[#This Row],[Column8]]), (deployment_raw[[#This Row],[Column8]]  * deployment_raw[[#This Row],[Column5]]),"")</f>
        <v/>
      </c>
      <c r="I445" s="176" t="str">
        <f>IF(ISNUMBER(deployment_raw[[#This Row],[Column9]]), (deployment_raw[[#This Row],[Column9]] * deployment_raw[[#This Row],[Column5]])/1048576,"")</f>
        <v/>
      </c>
      <c r="J445" s="57" t="str">
        <f>IF(ISNUMBER(deployment_raw[[#This Row],[Column10]]), (deployment_raw[[#This Row],[Column10]] * deployment_raw[[#This Row],[Column5]]),"")</f>
        <v/>
      </c>
      <c r="K445" s="58" t="str">
        <f>IF(ISNUMBER(deployment_raw[[#This Row],[Column11]]), (deployment_raw[[#This Row],[Column11]] * deployment_raw[[#This Row],[Column5]])/1048576,"")</f>
        <v/>
      </c>
      <c r="L445" s="180" t="str">
        <f>IF(ISNUMBER(deployment_raw[[#This Row],[Column8]]),IF(deployment_raw[[#This Row],[Column5]] &lt;&gt; 0, MAX((deployment_raw[[#This Row],[Column12]] * deployment_raw[[#This Row],[Column5]]), ((deployment_raw[[#This Row],[Column8]] * deployment_raw[[#This Row],[Column5]]) * $L$2), ($H$2 * deployment_raw[[#This Row],[Column5]])), 0),"")</f>
        <v/>
      </c>
      <c r="M44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45" s="188" t="str">
        <f>IF(ISNUMBER(deployment_raw[[#This Row],[Column14]]), deployment_raw[[#This Row],[Column14]],"")</f>
        <v/>
      </c>
      <c r="O445" s="189" t="str">
        <f>IF(ISNUMBER(deployment_raw[[#This Row],[Column15]]), deployment_raw[[#This Row],[Column15]]/1048576,"")</f>
        <v/>
      </c>
      <c r="P445" s="190" t="str">
        <f>IF(ISNUMBER(deployment_raw[[#This Row],[Column12]]), (deployment_raw[[#This Row],[Column12]] * deployment_raw[[#This Row],[Column5]]),"")</f>
        <v/>
      </c>
      <c r="Q445" s="189" t="str">
        <f>IF(ISNUMBER(deployment_raw[[#This Row],[Column13]]), (deployment_raw[[#This Row],[Column13]] * deployment_raw[[#This Row],[Column5]])/1048576,"")</f>
        <v/>
      </c>
    </row>
    <row r="446" spans="1:17" ht="15.75" customHeight="1" x14ac:dyDescent="0.25">
      <c r="A446" s="37" t="str">
        <f>IF(ISNONTEXT(deployment_raw[[#This Row],[Column1]]), "", deployment_raw[[#This Row],[Column1]])</f>
        <v/>
      </c>
      <c r="B446" s="38" t="str">
        <f>IF(ISNONTEXT(deployment_raw[[#This Row],[Column2]]), "", deployment_raw[[#This Row],[Column2]])</f>
        <v/>
      </c>
      <c r="C446" s="38" t="str">
        <f>IF(ISNONTEXT(deployment_raw[[#This Row],[Column3]]), "", deployment_raw[[#This Row],[Column3]])</f>
        <v/>
      </c>
      <c r="D446" s="38" t="str">
        <f>IF(ISNONTEXT(deployment_raw[[#This Row],[Column4]]), "", deployment_raw[[#This Row],[Column4]])</f>
        <v/>
      </c>
      <c r="E446" s="39" t="str">
        <f>IF(ISNUMBER(deployment_raw[[#This Row],[Column5]]), deployment_raw[[#This Row],[Column5]],"")</f>
        <v/>
      </c>
      <c r="F446" s="174" t="str">
        <f>IF(ISNUMBER(deployment_raw[[#This Row],[Column6]]), (deployment_raw[[#This Row],[Column6]] * deployment_raw[[#This Row],[Column5]]),"")</f>
        <v/>
      </c>
      <c r="G446" s="175" t="str">
        <f>IF(ISNUMBER(deployment_raw[[#This Row],[Column7]]), (deployment_raw[[#This Row],[Column7]] * deployment_raw[[#This Row],[Column5]])/1048576,"")</f>
        <v/>
      </c>
      <c r="H446" s="175" t="str">
        <f>IF(ISNUMBER(deployment_raw[[#This Row],[Column8]]), (deployment_raw[[#This Row],[Column8]]  * deployment_raw[[#This Row],[Column5]]),"")</f>
        <v/>
      </c>
      <c r="I446" s="176" t="str">
        <f>IF(ISNUMBER(deployment_raw[[#This Row],[Column9]]), (deployment_raw[[#This Row],[Column9]] * deployment_raw[[#This Row],[Column5]])/1048576,"")</f>
        <v/>
      </c>
      <c r="J446" s="57" t="str">
        <f>IF(ISNUMBER(deployment_raw[[#This Row],[Column10]]), (deployment_raw[[#This Row],[Column10]] * deployment_raw[[#This Row],[Column5]]),"")</f>
        <v/>
      </c>
      <c r="K446" s="58" t="str">
        <f>IF(ISNUMBER(deployment_raw[[#This Row],[Column11]]), (deployment_raw[[#This Row],[Column11]] * deployment_raw[[#This Row],[Column5]])/1048576,"")</f>
        <v/>
      </c>
      <c r="L446" s="180" t="str">
        <f>IF(ISNUMBER(deployment_raw[[#This Row],[Column8]]),IF(deployment_raw[[#This Row],[Column5]] &lt;&gt; 0, MAX((deployment_raw[[#This Row],[Column12]] * deployment_raw[[#This Row],[Column5]]), ((deployment_raw[[#This Row],[Column8]] * deployment_raw[[#This Row],[Column5]]) * $L$2), ($H$2 * deployment_raw[[#This Row],[Column5]])), 0),"")</f>
        <v/>
      </c>
      <c r="M44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46" s="188" t="str">
        <f>IF(ISNUMBER(deployment_raw[[#This Row],[Column14]]), deployment_raw[[#This Row],[Column14]],"")</f>
        <v/>
      </c>
      <c r="O446" s="189" t="str">
        <f>IF(ISNUMBER(deployment_raw[[#This Row],[Column15]]), deployment_raw[[#This Row],[Column15]]/1048576,"")</f>
        <v/>
      </c>
      <c r="P446" s="190" t="str">
        <f>IF(ISNUMBER(deployment_raw[[#This Row],[Column12]]), (deployment_raw[[#This Row],[Column12]] * deployment_raw[[#This Row],[Column5]]),"")</f>
        <v/>
      </c>
      <c r="Q446" s="189" t="str">
        <f>IF(ISNUMBER(deployment_raw[[#This Row],[Column13]]), (deployment_raw[[#This Row],[Column13]] * deployment_raw[[#This Row],[Column5]])/1048576,"")</f>
        <v/>
      </c>
    </row>
    <row r="447" spans="1:17" ht="15.75" customHeight="1" x14ac:dyDescent="0.25">
      <c r="A447" s="37" t="str">
        <f>IF(ISNONTEXT(deployment_raw[[#This Row],[Column1]]), "", deployment_raw[[#This Row],[Column1]])</f>
        <v/>
      </c>
      <c r="B447" s="38" t="str">
        <f>IF(ISNONTEXT(deployment_raw[[#This Row],[Column2]]), "", deployment_raw[[#This Row],[Column2]])</f>
        <v/>
      </c>
      <c r="C447" s="38" t="str">
        <f>IF(ISNONTEXT(deployment_raw[[#This Row],[Column3]]), "", deployment_raw[[#This Row],[Column3]])</f>
        <v/>
      </c>
      <c r="D447" s="38" t="str">
        <f>IF(ISNONTEXT(deployment_raw[[#This Row],[Column4]]), "", deployment_raw[[#This Row],[Column4]])</f>
        <v/>
      </c>
      <c r="E447" s="39" t="str">
        <f>IF(ISNUMBER(deployment_raw[[#This Row],[Column5]]), deployment_raw[[#This Row],[Column5]],"")</f>
        <v/>
      </c>
      <c r="F447" s="174" t="str">
        <f>IF(ISNUMBER(deployment_raw[[#This Row],[Column6]]), (deployment_raw[[#This Row],[Column6]] * deployment_raw[[#This Row],[Column5]]),"")</f>
        <v/>
      </c>
      <c r="G447" s="175" t="str">
        <f>IF(ISNUMBER(deployment_raw[[#This Row],[Column7]]), (deployment_raw[[#This Row],[Column7]] * deployment_raw[[#This Row],[Column5]])/1048576,"")</f>
        <v/>
      </c>
      <c r="H447" s="175" t="str">
        <f>IF(ISNUMBER(deployment_raw[[#This Row],[Column8]]), (deployment_raw[[#This Row],[Column8]]  * deployment_raw[[#This Row],[Column5]]),"")</f>
        <v/>
      </c>
      <c r="I447" s="176" t="str">
        <f>IF(ISNUMBER(deployment_raw[[#This Row],[Column9]]), (deployment_raw[[#This Row],[Column9]] * deployment_raw[[#This Row],[Column5]])/1048576,"")</f>
        <v/>
      </c>
      <c r="J447" s="57" t="str">
        <f>IF(ISNUMBER(deployment_raw[[#This Row],[Column10]]), (deployment_raw[[#This Row],[Column10]] * deployment_raw[[#This Row],[Column5]]),"")</f>
        <v/>
      </c>
      <c r="K447" s="58" t="str">
        <f>IF(ISNUMBER(deployment_raw[[#This Row],[Column11]]), (deployment_raw[[#This Row],[Column11]] * deployment_raw[[#This Row],[Column5]])/1048576,"")</f>
        <v/>
      </c>
      <c r="L447" s="180" t="str">
        <f>IF(ISNUMBER(deployment_raw[[#This Row],[Column8]]),IF(deployment_raw[[#This Row],[Column5]] &lt;&gt; 0, MAX((deployment_raw[[#This Row],[Column12]] * deployment_raw[[#This Row],[Column5]]), ((deployment_raw[[#This Row],[Column8]] * deployment_raw[[#This Row],[Column5]]) * $L$2), ($H$2 * deployment_raw[[#This Row],[Column5]])), 0),"")</f>
        <v/>
      </c>
      <c r="M44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47" s="188" t="str">
        <f>IF(ISNUMBER(deployment_raw[[#This Row],[Column14]]), deployment_raw[[#This Row],[Column14]],"")</f>
        <v/>
      </c>
      <c r="O447" s="189" t="str">
        <f>IF(ISNUMBER(deployment_raw[[#This Row],[Column15]]), deployment_raw[[#This Row],[Column15]]/1048576,"")</f>
        <v/>
      </c>
      <c r="P447" s="190" t="str">
        <f>IF(ISNUMBER(deployment_raw[[#This Row],[Column12]]), (deployment_raw[[#This Row],[Column12]] * deployment_raw[[#This Row],[Column5]]),"")</f>
        <v/>
      </c>
      <c r="Q447" s="189" t="str">
        <f>IF(ISNUMBER(deployment_raw[[#This Row],[Column13]]), (deployment_raw[[#This Row],[Column13]] * deployment_raw[[#This Row],[Column5]])/1048576,"")</f>
        <v/>
      </c>
    </row>
    <row r="448" spans="1:17" ht="15.75" customHeight="1" x14ac:dyDescent="0.25">
      <c r="A448" s="37" t="str">
        <f>IF(ISNONTEXT(deployment_raw[[#This Row],[Column1]]), "", deployment_raw[[#This Row],[Column1]])</f>
        <v/>
      </c>
      <c r="B448" s="38" t="str">
        <f>IF(ISNONTEXT(deployment_raw[[#This Row],[Column2]]), "", deployment_raw[[#This Row],[Column2]])</f>
        <v/>
      </c>
      <c r="C448" s="38" t="str">
        <f>IF(ISNONTEXT(deployment_raw[[#This Row],[Column3]]), "", deployment_raw[[#This Row],[Column3]])</f>
        <v/>
      </c>
      <c r="D448" s="38" t="str">
        <f>IF(ISNONTEXT(deployment_raw[[#This Row],[Column4]]), "", deployment_raw[[#This Row],[Column4]])</f>
        <v/>
      </c>
      <c r="E448" s="39" t="str">
        <f>IF(ISNUMBER(deployment_raw[[#This Row],[Column5]]), deployment_raw[[#This Row],[Column5]],"")</f>
        <v/>
      </c>
      <c r="F448" s="174" t="str">
        <f>IF(ISNUMBER(deployment_raw[[#This Row],[Column6]]), (deployment_raw[[#This Row],[Column6]] * deployment_raw[[#This Row],[Column5]]),"")</f>
        <v/>
      </c>
      <c r="G448" s="175" t="str">
        <f>IF(ISNUMBER(deployment_raw[[#This Row],[Column7]]), (deployment_raw[[#This Row],[Column7]] * deployment_raw[[#This Row],[Column5]])/1048576,"")</f>
        <v/>
      </c>
      <c r="H448" s="175" t="str">
        <f>IF(ISNUMBER(deployment_raw[[#This Row],[Column8]]), (deployment_raw[[#This Row],[Column8]]  * deployment_raw[[#This Row],[Column5]]),"")</f>
        <v/>
      </c>
      <c r="I448" s="176" t="str">
        <f>IF(ISNUMBER(deployment_raw[[#This Row],[Column9]]), (deployment_raw[[#This Row],[Column9]] * deployment_raw[[#This Row],[Column5]])/1048576,"")</f>
        <v/>
      </c>
      <c r="J448" s="57" t="str">
        <f>IF(ISNUMBER(deployment_raw[[#This Row],[Column10]]), (deployment_raw[[#This Row],[Column10]] * deployment_raw[[#This Row],[Column5]]),"")</f>
        <v/>
      </c>
      <c r="K448" s="58" t="str">
        <f>IF(ISNUMBER(deployment_raw[[#This Row],[Column11]]), (deployment_raw[[#This Row],[Column11]] * deployment_raw[[#This Row],[Column5]])/1048576,"")</f>
        <v/>
      </c>
      <c r="L448" s="180" t="str">
        <f>IF(ISNUMBER(deployment_raw[[#This Row],[Column8]]),IF(deployment_raw[[#This Row],[Column5]] &lt;&gt; 0, MAX((deployment_raw[[#This Row],[Column12]] * deployment_raw[[#This Row],[Column5]]), ((deployment_raw[[#This Row],[Column8]] * deployment_raw[[#This Row],[Column5]]) * $L$2), ($H$2 * deployment_raw[[#This Row],[Column5]])), 0),"")</f>
        <v/>
      </c>
      <c r="M44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48" s="188" t="str">
        <f>IF(ISNUMBER(deployment_raw[[#This Row],[Column14]]), deployment_raw[[#This Row],[Column14]],"")</f>
        <v/>
      </c>
      <c r="O448" s="189" t="str">
        <f>IF(ISNUMBER(deployment_raw[[#This Row],[Column15]]), deployment_raw[[#This Row],[Column15]]/1048576,"")</f>
        <v/>
      </c>
      <c r="P448" s="190" t="str">
        <f>IF(ISNUMBER(deployment_raw[[#This Row],[Column12]]), (deployment_raw[[#This Row],[Column12]] * deployment_raw[[#This Row],[Column5]]),"")</f>
        <v/>
      </c>
      <c r="Q448" s="189" t="str">
        <f>IF(ISNUMBER(deployment_raw[[#This Row],[Column13]]), (deployment_raw[[#This Row],[Column13]] * deployment_raw[[#This Row],[Column5]])/1048576,"")</f>
        <v/>
      </c>
    </row>
    <row r="449" spans="1:17" ht="15.75" customHeight="1" x14ac:dyDescent="0.25">
      <c r="A449" s="37" t="str">
        <f>IF(ISNONTEXT(deployment_raw[[#This Row],[Column1]]), "", deployment_raw[[#This Row],[Column1]])</f>
        <v/>
      </c>
      <c r="B449" s="38" t="str">
        <f>IF(ISNONTEXT(deployment_raw[[#This Row],[Column2]]), "", deployment_raw[[#This Row],[Column2]])</f>
        <v/>
      </c>
      <c r="C449" s="38" t="str">
        <f>IF(ISNONTEXT(deployment_raw[[#This Row],[Column3]]), "", deployment_raw[[#This Row],[Column3]])</f>
        <v/>
      </c>
      <c r="D449" s="38" t="str">
        <f>IF(ISNONTEXT(deployment_raw[[#This Row],[Column4]]), "", deployment_raw[[#This Row],[Column4]])</f>
        <v/>
      </c>
      <c r="E449" s="39" t="str">
        <f>IF(ISNUMBER(deployment_raw[[#This Row],[Column5]]), deployment_raw[[#This Row],[Column5]],"")</f>
        <v/>
      </c>
      <c r="F449" s="174" t="str">
        <f>IF(ISNUMBER(deployment_raw[[#This Row],[Column6]]), (deployment_raw[[#This Row],[Column6]] * deployment_raw[[#This Row],[Column5]]),"")</f>
        <v/>
      </c>
      <c r="G449" s="175" t="str">
        <f>IF(ISNUMBER(deployment_raw[[#This Row],[Column7]]), (deployment_raw[[#This Row],[Column7]] * deployment_raw[[#This Row],[Column5]])/1048576,"")</f>
        <v/>
      </c>
      <c r="H449" s="175" t="str">
        <f>IF(ISNUMBER(deployment_raw[[#This Row],[Column8]]), (deployment_raw[[#This Row],[Column8]]  * deployment_raw[[#This Row],[Column5]]),"")</f>
        <v/>
      </c>
      <c r="I449" s="176" t="str">
        <f>IF(ISNUMBER(deployment_raw[[#This Row],[Column9]]), (deployment_raw[[#This Row],[Column9]] * deployment_raw[[#This Row],[Column5]])/1048576,"")</f>
        <v/>
      </c>
      <c r="J449" s="57" t="str">
        <f>IF(ISNUMBER(deployment_raw[[#This Row],[Column10]]), (deployment_raw[[#This Row],[Column10]] * deployment_raw[[#This Row],[Column5]]),"")</f>
        <v/>
      </c>
      <c r="K449" s="58" t="str">
        <f>IF(ISNUMBER(deployment_raw[[#This Row],[Column11]]), (deployment_raw[[#This Row],[Column11]] * deployment_raw[[#This Row],[Column5]])/1048576,"")</f>
        <v/>
      </c>
      <c r="L449" s="180" t="str">
        <f>IF(ISNUMBER(deployment_raw[[#This Row],[Column8]]),IF(deployment_raw[[#This Row],[Column5]] &lt;&gt; 0, MAX((deployment_raw[[#This Row],[Column12]] * deployment_raw[[#This Row],[Column5]]), ((deployment_raw[[#This Row],[Column8]] * deployment_raw[[#This Row],[Column5]]) * $L$2), ($H$2 * deployment_raw[[#This Row],[Column5]])), 0),"")</f>
        <v/>
      </c>
      <c r="M44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49" s="188" t="str">
        <f>IF(ISNUMBER(deployment_raw[[#This Row],[Column14]]), deployment_raw[[#This Row],[Column14]],"")</f>
        <v/>
      </c>
      <c r="O449" s="189" t="str">
        <f>IF(ISNUMBER(deployment_raw[[#This Row],[Column15]]), deployment_raw[[#This Row],[Column15]]/1048576,"")</f>
        <v/>
      </c>
      <c r="P449" s="190" t="str">
        <f>IF(ISNUMBER(deployment_raw[[#This Row],[Column12]]), (deployment_raw[[#This Row],[Column12]] * deployment_raw[[#This Row],[Column5]]),"")</f>
        <v/>
      </c>
      <c r="Q449" s="189" t="str">
        <f>IF(ISNUMBER(deployment_raw[[#This Row],[Column13]]), (deployment_raw[[#This Row],[Column13]] * deployment_raw[[#This Row],[Column5]])/1048576,"")</f>
        <v/>
      </c>
    </row>
    <row r="450" spans="1:17" ht="15.75" customHeight="1" x14ac:dyDescent="0.25">
      <c r="A450" s="37" t="str">
        <f>IF(ISNONTEXT(deployment_raw[[#This Row],[Column1]]), "", deployment_raw[[#This Row],[Column1]])</f>
        <v/>
      </c>
      <c r="B450" s="38" t="str">
        <f>IF(ISNONTEXT(deployment_raw[[#This Row],[Column2]]), "", deployment_raw[[#This Row],[Column2]])</f>
        <v/>
      </c>
      <c r="C450" s="38" t="str">
        <f>IF(ISNONTEXT(deployment_raw[[#This Row],[Column3]]), "", deployment_raw[[#This Row],[Column3]])</f>
        <v/>
      </c>
      <c r="D450" s="38" t="str">
        <f>IF(ISNONTEXT(deployment_raw[[#This Row],[Column4]]), "", deployment_raw[[#This Row],[Column4]])</f>
        <v/>
      </c>
      <c r="E450" s="39" t="str">
        <f>IF(ISNUMBER(deployment_raw[[#This Row],[Column5]]), deployment_raw[[#This Row],[Column5]],"")</f>
        <v/>
      </c>
      <c r="F450" s="174" t="str">
        <f>IF(ISNUMBER(deployment_raw[[#This Row],[Column6]]), (deployment_raw[[#This Row],[Column6]] * deployment_raw[[#This Row],[Column5]]),"")</f>
        <v/>
      </c>
      <c r="G450" s="175" t="str">
        <f>IF(ISNUMBER(deployment_raw[[#This Row],[Column7]]), (deployment_raw[[#This Row],[Column7]] * deployment_raw[[#This Row],[Column5]])/1048576,"")</f>
        <v/>
      </c>
      <c r="H450" s="175" t="str">
        <f>IF(ISNUMBER(deployment_raw[[#This Row],[Column8]]), (deployment_raw[[#This Row],[Column8]]  * deployment_raw[[#This Row],[Column5]]),"")</f>
        <v/>
      </c>
      <c r="I450" s="176" t="str">
        <f>IF(ISNUMBER(deployment_raw[[#This Row],[Column9]]), (deployment_raw[[#This Row],[Column9]] * deployment_raw[[#This Row],[Column5]])/1048576,"")</f>
        <v/>
      </c>
      <c r="J450" s="57" t="str">
        <f>IF(ISNUMBER(deployment_raw[[#This Row],[Column10]]), (deployment_raw[[#This Row],[Column10]] * deployment_raw[[#This Row],[Column5]]),"")</f>
        <v/>
      </c>
      <c r="K450" s="58" t="str">
        <f>IF(ISNUMBER(deployment_raw[[#This Row],[Column11]]), (deployment_raw[[#This Row],[Column11]] * deployment_raw[[#This Row],[Column5]])/1048576,"")</f>
        <v/>
      </c>
      <c r="L450" s="180" t="str">
        <f>IF(ISNUMBER(deployment_raw[[#This Row],[Column8]]),IF(deployment_raw[[#This Row],[Column5]] &lt;&gt; 0, MAX((deployment_raw[[#This Row],[Column12]] * deployment_raw[[#This Row],[Column5]]), ((deployment_raw[[#This Row],[Column8]] * deployment_raw[[#This Row],[Column5]]) * $L$2), ($H$2 * deployment_raw[[#This Row],[Column5]])), 0),"")</f>
        <v/>
      </c>
      <c r="M45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50" s="188" t="str">
        <f>IF(ISNUMBER(deployment_raw[[#This Row],[Column14]]), deployment_raw[[#This Row],[Column14]],"")</f>
        <v/>
      </c>
      <c r="O450" s="189" t="str">
        <f>IF(ISNUMBER(deployment_raw[[#This Row],[Column15]]), deployment_raw[[#This Row],[Column15]]/1048576,"")</f>
        <v/>
      </c>
      <c r="P450" s="190" t="str">
        <f>IF(ISNUMBER(deployment_raw[[#This Row],[Column12]]), (deployment_raw[[#This Row],[Column12]] * deployment_raw[[#This Row],[Column5]]),"")</f>
        <v/>
      </c>
      <c r="Q450" s="189" t="str">
        <f>IF(ISNUMBER(deployment_raw[[#This Row],[Column13]]), (deployment_raw[[#This Row],[Column13]] * deployment_raw[[#This Row],[Column5]])/1048576,"")</f>
        <v/>
      </c>
    </row>
    <row r="451" spans="1:17" ht="15.75" customHeight="1" x14ac:dyDescent="0.25">
      <c r="A451" s="37" t="str">
        <f>IF(ISNONTEXT(deployment_raw[[#This Row],[Column1]]), "", deployment_raw[[#This Row],[Column1]])</f>
        <v/>
      </c>
      <c r="B451" s="38" t="str">
        <f>IF(ISNONTEXT(deployment_raw[[#This Row],[Column2]]), "", deployment_raw[[#This Row],[Column2]])</f>
        <v/>
      </c>
      <c r="C451" s="38" t="str">
        <f>IF(ISNONTEXT(deployment_raw[[#This Row],[Column3]]), "", deployment_raw[[#This Row],[Column3]])</f>
        <v/>
      </c>
      <c r="D451" s="38" t="str">
        <f>IF(ISNONTEXT(deployment_raw[[#This Row],[Column4]]), "", deployment_raw[[#This Row],[Column4]])</f>
        <v/>
      </c>
      <c r="E451" s="39" t="str">
        <f>IF(ISNUMBER(deployment_raw[[#This Row],[Column5]]), deployment_raw[[#This Row],[Column5]],"")</f>
        <v/>
      </c>
      <c r="F451" s="174" t="str">
        <f>IF(ISNUMBER(deployment_raw[[#This Row],[Column6]]), (deployment_raw[[#This Row],[Column6]] * deployment_raw[[#This Row],[Column5]]),"")</f>
        <v/>
      </c>
      <c r="G451" s="175" t="str">
        <f>IF(ISNUMBER(deployment_raw[[#This Row],[Column7]]), (deployment_raw[[#This Row],[Column7]] * deployment_raw[[#This Row],[Column5]])/1048576,"")</f>
        <v/>
      </c>
      <c r="H451" s="175" t="str">
        <f>IF(ISNUMBER(deployment_raw[[#This Row],[Column8]]), (deployment_raw[[#This Row],[Column8]]  * deployment_raw[[#This Row],[Column5]]),"")</f>
        <v/>
      </c>
      <c r="I451" s="176" t="str">
        <f>IF(ISNUMBER(deployment_raw[[#This Row],[Column9]]), (deployment_raw[[#This Row],[Column9]] * deployment_raw[[#This Row],[Column5]])/1048576,"")</f>
        <v/>
      </c>
      <c r="J451" s="57" t="str">
        <f>IF(ISNUMBER(deployment_raw[[#This Row],[Column10]]), (deployment_raw[[#This Row],[Column10]] * deployment_raw[[#This Row],[Column5]]),"")</f>
        <v/>
      </c>
      <c r="K451" s="58" t="str">
        <f>IF(ISNUMBER(deployment_raw[[#This Row],[Column11]]), (deployment_raw[[#This Row],[Column11]] * deployment_raw[[#This Row],[Column5]])/1048576,"")</f>
        <v/>
      </c>
      <c r="L451" s="180" t="str">
        <f>IF(ISNUMBER(deployment_raw[[#This Row],[Column8]]),IF(deployment_raw[[#This Row],[Column5]] &lt;&gt; 0, MAX((deployment_raw[[#This Row],[Column12]] * deployment_raw[[#This Row],[Column5]]), ((deployment_raw[[#This Row],[Column8]] * deployment_raw[[#This Row],[Column5]]) * $L$2), ($H$2 * deployment_raw[[#This Row],[Column5]])), 0),"")</f>
        <v/>
      </c>
      <c r="M45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51" s="188" t="str">
        <f>IF(ISNUMBER(deployment_raw[[#This Row],[Column14]]), deployment_raw[[#This Row],[Column14]],"")</f>
        <v/>
      </c>
      <c r="O451" s="189" t="str">
        <f>IF(ISNUMBER(deployment_raw[[#This Row],[Column15]]), deployment_raw[[#This Row],[Column15]]/1048576,"")</f>
        <v/>
      </c>
      <c r="P451" s="190" t="str">
        <f>IF(ISNUMBER(deployment_raw[[#This Row],[Column12]]), (deployment_raw[[#This Row],[Column12]] * deployment_raw[[#This Row],[Column5]]),"")</f>
        <v/>
      </c>
      <c r="Q451" s="189" t="str">
        <f>IF(ISNUMBER(deployment_raw[[#This Row],[Column13]]), (deployment_raw[[#This Row],[Column13]] * deployment_raw[[#This Row],[Column5]])/1048576,"")</f>
        <v/>
      </c>
    </row>
    <row r="452" spans="1:17" ht="15.75" customHeight="1" x14ac:dyDescent="0.25">
      <c r="A452" s="37" t="str">
        <f>IF(ISNONTEXT(deployment_raw[[#This Row],[Column1]]), "", deployment_raw[[#This Row],[Column1]])</f>
        <v/>
      </c>
      <c r="B452" s="38" t="str">
        <f>IF(ISNONTEXT(deployment_raw[[#This Row],[Column2]]), "", deployment_raw[[#This Row],[Column2]])</f>
        <v/>
      </c>
      <c r="C452" s="38" t="str">
        <f>IF(ISNONTEXT(deployment_raw[[#This Row],[Column3]]), "", deployment_raw[[#This Row],[Column3]])</f>
        <v/>
      </c>
      <c r="D452" s="38" t="str">
        <f>IF(ISNONTEXT(deployment_raw[[#This Row],[Column4]]), "", deployment_raw[[#This Row],[Column4]])</f>
        <v/>
      </c>
      <c r="E452" s="39" t="str">
        <f>IF(ISNUMBER(deployment_raw[[#This Row],[Column5]]), deployment_raw[[#This Row],[Column5]],"")</f>
        <v/>
      </c>
      <c r="F452" s="174" t="str">
        <f>IF(ISNUMBER(deployment_raw[[#This Row],[Column6]]), (deployment_raw[[#This Row],[Column6]] * deployment_raw[[#This Row],[Column5]]),"")</f>
        <v/>
      </c>
      <c r="G452" s="175" t="str">
        <f>IF(ISNUMBER(deployment_raw[[#This Row],[Column7]]), (deployment_raw[[#This Row],[Column7]] * deployment_raw[[#This Row],[Column5]])/1048576,"")</f>
        <v/>
      </c>
      <c r="H452" s="175" t="str">
        <f>IF(ISNUMBER(deployment_raw[[#This Row],[Column8]]), (deployment_raw[[#This Row],[Column8]]  * deployment_raw[[#This Row],[Column5]]),"")</f>
        <v/>
      </c>
      <c r="I452" s="176" t="str">
        <f>IF(ISNUMBER(deployment_raw[[#This Row],[Column9]]), (deployment_raw[[#This Row],[Column9]] * deployment_raw[[#This Row],[Column5]])/1048576,"")</f>
        <v/>
      </c>
      <c r="J452" s="57" t="str">
        <f>IF(ISNUMBER(deployment_raw[[#This Row],[Column10]]), (deployment_raw[[#This Row],[Column10]] * deployment_raw[[#This Row],[Column5]]),"")</f>
        <v/>
      </c>
      <c r="K452" s="58" t="str">
        <f>IF(ISNUMBER(deployment_raw[[#This Row],[Column11]]), (deployment_raw[[#This Row],[Column11]] * deployment_raw[[#This Row],[Column5]])/1048576,"")</f>
        <v/>
      </c>
      <c r="L452" s="180" t="str">
        <f>IF(ISNUMBER(deployment_raw[[#This Row],[Column8]]),IF(deployment_raw[[#This Row],[Column5]] &lt;&gt; 0, MAX((deployment_raw[[#This Row],[Column12]] * deployment_raw[[#This Row],[Column5]]), ((deployment_raw[[#This Row],[Column8]] * deployment_raw[[#This Row],[Column5]]) * $L$2), ($H$2 * deployment_raw[[#This Row],[Column5]])), 0),"")</f>
        <v/>
      </c>
      <c r="M45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52" s="188" t="str">
        <f>IF(ISNUMBER(deployment_raw[[#This Row],[Column14]]), deployment_raw[[#This Row],[Column14]],"")</f>
        <v/>
      </c>
      <c r="O452" s="189" t="str">
        <f>IF(ISNUMBER(deployment_raw[[#This Row],[Column15]]), deployment_raw[[#This Row],[Column15]]/1048576,"")</f>
        <v/>
      </c>
      <c r="P452" s="190" t="str">
        <f>IF(ISNUMBER(deployment_raw[[#This Row],[Column12]]), (deployment_raw[[#This Row],[Column12]] * deployment_raw[[#This Row],[Column5]]),"")</f>
        <v/>
      </c>
      <c r="Q452" s="189" t="str">
        <f>IF(ISNUMBER(deployment_raw[[#This Row],[Column13]]), (deployment_raw[[#This Row],[Column13]] * deployment_raw[[#This Row],[Column5]])/1048576,"")</f>
        <v/>
      </c>
    </row>
    <row r="453" spans="1:17" ht="15.75" customHeight="1" x14ac:dyDescent="0.25">
      <c r="A453" s="37" t="str">
        <f>IF(ISNONTEXT(deployment_raw[[#This Row],[Column1]]), "", deployment_raw[[#This Row],[Column1]])</f>
        <v/>
      </c>
      <c r="B453" s="38" t="str">
        <f>IF(ISNONTEXT(deployment_raw[[#This Row],[Column2]]), "", deployment_raw[[#This Row],[Column2]])</f>
        <v/>
      </c>
      <c r="C453" s="38" t="str">
        <f>IF(ISNONTEXT(deployment_raw[[#This Row],[Column3]]), "", deployment_raw[[#This Row],[Column3]])</f>
        <v/>
      </c>
      <c r="D453" s="38" t="str">
        <f>IF(ISNONTEXT(deployment_raw[[#This Row],[Column4]]), "", deployment_raw[[#This Row],[Column4]])</f>
        <v/>
      </c>
      <c r="E453" s="39" t="str">
        <f>IF(ISNUMBER(deployment_raw[[#This Row],[Column5]]), deployment_raw[[#This Row],[Column5]],"")</f>
        <v/>
      </c>
      <c r="F453" s="174" t="str">
        <f>IF(ISNUMBER(deployment_raw[[#This Row],[Column6]]), (deployment_raw[[#This Row],[Column6]] * deployment_raw[[#This Row],[Column5]]),"")</f>
        <v/>
      </c>
      <c r="G453" s="175" t="str">
        <f>IF(ISNUMBER(deployment_raw[[#This Row],[Column7]]), (deployment_raw[[#This Row],[Column7]] * deployment_raw[[#This Row],[Column5]])/1048576,"")</f>
        <v/>
      </c>
      <c r="H453" s="175" t="str">
        <f>IF(ISNUMBER(deployment_raw[[#This Row],[Column8]]), (deployment_raw[[#This Row],[Column8]]  * deployment_raw[[#This Row],[Column5]]),"")</f>
        <v/>
      </c>
      <c r="I453" s="176" t="str">
        <f>IF(ISNUMBER(deployment_raw[[#This Row],[Column9]]), (deployment_raw[[#This Row],[Column9]] * deployment_raw[[#This Row],[Column5]])/1048576,"")</f>
        <v/>
      </c>
      <c r="J453" s="57" t="str">
        <f>IF(ISNUMBER(deployment_raw[[#This Row],[Column10]]), (deployment_raw[[#This Row],[Column10]] * deployment_raw[[#This Row],[Column5]]),"")</f>
        <v/>
      </c>
      <c r="K453" s="58" t="str">
        <f>IF(ISNUMBER(deployment_raw[[#This Row],[Column11]]), (deployment_raw[[#This Row],[Column11]] * deployment_raw[[#This Row],[Column5]])/1048576,"")</f>
        <v/>
      </c>
      <c r="L453" s="180" t="str">
        <f>IF(ISNUMBER(deployment_raw[[#This Row],[Column8]]),IF(deployment_raw[[#This Row],[Column5]] &lt;&gt; 0, MAX((deployment_raw[[#This Row],[Column12]] * deployment_raw[[#This Row],[Column5]]), ((deployment_raw[[#This Row],[Column8]] * deployment_raw[[#This Row],[Column5]]) * $L$2), ($H$2 * deployment_raw[[#This Row],[Column5]])), 0),"")</f>
        <v/>
      </c>
      <c r="M45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53" s="188" t="str">
        <f>IF(ISNUMBER(deployment_raw[[#This Row],[Column14]]), deployment_raw[[#This Row],[Column14]],"")</f>
        <v/>
      </c>
      <c r="O453" s="189" t="str">
        <f>IF(ISNUMBER(deployment_raw[[#This Row],[Column15]]), deployment_raw[[#This Row],[Column15]]/1048576,"")</f>
        <v/>
      </c>
      <c r="P453" s="190" t="str">
        <f>IF(ISNUMBER(deployment_raw[[#This Row],[Column12]]), (deployment_raw[[#This Row],[Column12]] * deployment_raw[[#This Row],[Column5]]),"")</f>
        <v/>
      </c>
      <c r="Q453" s="189" t="str">
        <f>IF(ISNUMBER(deployment_raw[[#This Row],[Column13]]), (deployment_raw[[#This Row],[Column13]] * deployment_raw[[#This Row],[Column5]])/1048576,"")</f>
        <v/>
      </c>
    </row>
    <row r="454" spans="1:17" ht="15.75" customHeight="1" x14ac:dyDescent="0.25">
      <c r="A454" s="37" t="str">
        <f>IF(ISNONTEXT(deployment_raw[[#This Row],[Column1]]), "", deployment_raw[[#This Row],[Column1]])</f>
        <v/>
      </c>
      <c r="B454" s="38" t="str">
        <f>IF(ISNONTEXT(deployment_raw[[#This Row],[Column2]]), "", deployment_raw[[#This Row],[Column2]])</f>
        <v/>
      </c>
      <c r="C454" s="38" t="str">
        <f>IF(ISNONTEXT(deployment_raw[[#This Row],[Column3]]), "", deployment_raw[[#This Row],[Column3]])</f>
        <v/>
      </c>
      <c r="D454" s="38" t="str">
        <f>IF(ISNONTEXT(deployment_raw[[#This Row],[Column4]]), "", deployment_raw[[#This Row],[Column4]])</f>
        <v/>
      </c>
      <c r="E454" s="39" t="str">
        <f>IF(ISNUMBER(deployment_raw[[#This Row],[Column5]]), deployment_raw[[#This Row],[Column5]],"")</f>
        <v/>
      </c>
      <c r="F454" s="174" t="str">
        <f>IF(ISNUMBER(deployment_raw[[#This Row],[Column6]]), (deployment_raw[[#This Row],[Column6]] * deployment_raw[[#This Row],[Column5]]),"")</f>
        <v/>
      </c>
      <c r="G454" s="175" t="str">
        <f>IF(ISNUMBER(deployment_raw[[#This Row],[Column7]]), (deployment_raw[[#This Row],[Column7]] * deployment_raw[[#This Row],[Column5]])/1048576,"")</f>
        <v/>
      </c>
      <c r="H454" s="175" t="str">
        <f>IF(ISNUMBER(deployment_raw[[#This Row],[Column8]]), (deployment_raw[[#This Row],[Column8]]  * deployment_raw[[#This Row],[Column5]]),"")</f>
        <v/>
      </c>
      <c r="I454" s="176" t="str">
        <f>IF(ISNUMBER(deployment_raw[[#This Row],[Column9]]), (deployment_raw[[#This Row],[Column9]] * deployment_raw[[#This Row],[Column5]])/1048576,"")</f>
        <v/>
      </c>
      <c r="J454" s="57" t="str">
        <f>IF(ISNUMBER(deployment_raw[[#This Row],[Column10]]), (deployment_raw[[#This Row],[Column10]] * deployment_raw[[#This Row],[Column5]]),"")</f>
        <v/>
      </c>
      <c r="K454" s="58" t="str">
        <f>IF(ISNUMBER(deployment_raw[[#This Row],[Column11]]), (deployment_raw[[#This Row],[Column11]] * deployment_raw[[#This Row],[Column5]])/1048576,"")</f>
        <v/>
      </c>
      <c r="L454" s="180" t="str">
        <f>IF(ISNUMBER(deployment_raw[[#This Row],[Column8]]),IF(deployment_raw[[#This Row],[Column5]] &lt;&gt; 0, MAX((deployment_raw[[#This Row],[Column12]] * deployment_raw[[#This Row],[Column5]]), ((deployment_raw[[#This Row],[Column8]] * deployment_raw[[#This Row],[Column5]]) * $L$2), ($H$2 * deployment_raw[[#This Row],[Column5]])), 0),"")</f>
        <v/>
      </c>
      <c r="M45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54" s="188" t="str">
        <f>IF(ISNUMBER(deployment_raw[[#This Row],[Column14]]), deployment_raw[[#This Row],[Column14]],"")</f>
        <v/>
      </c>
      <c r="O454" s="189" t="str">
        <f>IF(ISNUMBER(deployment_raw[[#This Row],[Column15]]), deployment_raw[[#This Row],[Column15]]/1048576,"")</f>
        <v/>
      </c>
      <c r="P454" s="190" t="str">
        <f>IF(ISNUMBER(deployment_raw[[#This Row],[Column12]]), (deployment_raw[[#This Row],[Column12]] * deployment_raw[[#This Row],[Column5]]),"")</f>
        <v/>
      </c>
      <c r="Q454" s="189" t="str">
        <f>IF(ISNUMBER(deployment_raw[[#This Row],[Column13]]), (deployment_raw[[#This Row],[Column13]] * deployment_raw[[#This Row],[Column5]])/1048576,"")</f>
        <v/>
      </c>
    </row>
    <row r="455" spans="1:17" ht="15.75" customHeight="1" x14ac:dyDescent="0.25">
      <c r="A455" s="37" t="str">
        <f>IF(ISNONTEXT(deployment_raw[[#This Row],[Column1]]), "", deployment_raw[[#This Row],[Column1]])</f>
        <v/>
      </c>
      <c r="B455" s="38" t="str">
        <f>IF(ISNONTEXT(deployment_raw[[#This Row],[Column2]]), "", deployment_raw[[#This Row],[Column2]])</f>
        <v/>
      </c>
      <c r="C455" s="38" t="str">
        <f>IF(ISNONTEXT(deployment_raw[[#This Row],[Column3]]), "", deployment_raw[[#This Row],[Column3]])</f>
        <v/>
      </c>
      <c r="D455" s="38" t="str">
        <f>IF(ISNONTEXT(deployment_raw[[#This Row],[Column4]]), "", deployment_raw[[#This Row],[Column4]])</f>
        <v/>
      </c>
      <c r="E455" s="39" t="str">
        <f>IF(ISNUMBER(deployment_raw[[#This Row],[Column5]]), deployment_raw[[#This Row],[Column5]],"")</f>
        <v/>
      </c>
      <c r="F455" s="174" t="str">
        <f>IF(ISNUMBER(deployment_raw[[#This Row],[Column6]]), (deployment_raw[[#This Row],[Column6]] * deployment_raw[[#This Row],[Column5]]),"")</f>
        <v/>
      </c>
      <c r="G455" s="175" t="str">
        <f>IF(ISNUMBER(deployment_raw[[#This Row],[Column7]]), (deployment_raw[[#This Row],[Column7]] * deployment_raw[[#This Row],[Column5]])/1048576,"")</f>
        <v/>
      </c>
      <c r="H455" s="175" t="str">
        <f>IF(ISNUMBER(deployment_raw[[#This Row],[Column8]]), (deployment_raw[[#This Row],[Column8]]  * deployment_raw[[#This Row],[Column5]]),"")</f>
        <v/>
      </c>
      <c r="I455" s="176" t="str">
        <f>IF(ISNUMBER(deployment_raw[[#This Row],[Column9]]), (deployment_raw[[#This Row],[Column9]] * deployment_raw[[#This Row],[Column5]])/1048576,"")</f>
        <v/>
      </c>
      <c r="J455" s="57" t="str">
        <f>IF(ISNUMBER(deployment_raw[[#This Row],[Column10]]), (deployment_raw[[#This Row],[Column10]] * deployment_raw[[#This Row],[Column5]]),"")</f>
        <v/>
      </c>
      <c r="K455" s="58" t="str">
        <f>IF(ISNUMBER(deployment_raw[[#This Row],[Column11]]), (deployment_raw[[#This Row],[Column11]] * deployment_raw[[#This Row],[Column5]])/1048576,"")</f>
        <v/>
      </c>
      <c r="L455" s="180" t="str">
        <f>IF(ISNUMBER(deployment_raw[[#This Row],[Column8]]),IF(deployment_raw[[#This Row],[Column5]] &lt;&gt; 0, MAX((deployment_raw[[#This Row],[Column12]] * deployment_raw[[#This Row],[Column5]]), ((deployment_raw[[#This Row],[Column8]] * deployment_raw[[#This Row],[Column5]]) * $L$2), ($H$2 * deployment_raw[[#This Row],[Column5]])), 0),"")</f>
        <v/>
      </c>
      <c r="M45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55" s="188" t="str">
        <f>IF(ISNUMBER(deployment_raw[[#This Row],[Column14]]), deployment_raw[[#This Row],[Column14]],"")</f>
        <v/>
      </c>
      <c r="O455" s="189" t="str">
        <f>IF(ISNUMBER(deployment_raw[[#This Row],[Column15]]), deployment_raw[[#This Row],[Column15]]/1048576,"")</f>
        <v/>
      </c>
      <c r="P455" s="190" t="str">
        <f>IF(ISNUMBER(deployment_raw[[#This Row],[Column12]]), (deployment_raw[[#This Row],[Column12]] * deployment_raw[[#This Row],[Column5]]),"")</f>
        <v/>
      </c>
      <c r="Q455" s="189" t="str">
        <f>IF(ISNUMBER(deployment_raw[[#This Row],[Column13]]), (deployment_raw[[#This Row],[Column13]] * deployment_raw[[#This Row],[Column5]])/1048576,"")</f>
        <v/>
      </c>
    </row>
    <row r="456" spans="1:17" ht="15.75" customHeight="1" x14ac:dyDescent="0.25">
      <c r="A456" s="37" t="str">
        <f>IF(ISNONTEXT(deployment_raw[[#This Row],[Column1]]), "", deployment_raw[[#This Row],[Column1]])</f>
        <v/>
      </c>
      <c r="B456" s="38" t="str">
        <f>IF(ISNONTEXT(deployment_raw[[#This Row],[Column2]]), "", deployment_raw[[#This Row],[Column2]])</f>
        <v/>
      </c>
      <c r="C456" s="38" t="str">
        <f>IF(ISNONTEXT(deployment_raw[[#This Row],[Column3]]), "", deployment_raw[[#This Row],[Column3]])</f>
        <v/>
      </c>
      <c r="D456" s="38" t="str">
        <f>IF(ISNONTEXT(deployment_raw[[#This Row],[Column4]]), "", deployment_raw[[#This Row],[Column4]])</f>
        <v/>
      </c>
      <c r="E456" s="39" t="str">
        <f>IF(ISNUMBER(deployment_raw[[#This Row],[Column5]]), deployment_raw[[#This Row],[Column5]],"")</f>
        <v/>
      </c>
      <c r="F456" s="174" t="str">
        <f>IF(ISNUMBER(deployment_raw[[#This Row],[Column6]]), (deployment_raw[[#This Row],[Column6]] * deployment_raw[[#This Row],[Column5]]),"")</f>
        <v/>
      </c>
      <c r="G456" s="175" t="str">
        <f>IF(ISNUMBER(deployment_raw[[#This Row],[Column7]]), (deployment_raw[[#This Row],[Column7]] * deployment_raw[[#This Row],[Column5]])/1048576,"")</f>
        <v/>
      </c>
      <c r="H456" s="175" t="str">
        <f>IF(ISNUMBER(deployment_raw[[#This Row],[Column8]]), (deployment_raw[[#This Row],[Column8]]  * deployment_raw[[#This Row],[Column5]]),"")</f>
        <v/>
      </c>
      <c r="I456" s="176" t="str">
        <f>IF(ISNUMBER(deployment_raw[[#This Row],[Column9]]), (deployment_raw[[#This Row],[Column9]] * deployment_raw[[#This Row],[Column5]])/1048576,"")</f>
        <v/>
      </c>
      <c r="J456" s="57" t="str">
        <f>IF(ISNUMBER(deployment_raw[[#This Row],[Column10]]), (deployment_raw[[#This Row],[Column10]] * deployment_raw[[#This Row],[Column5]]),"")</f>
        <v/>
      </c>
      <c r="K456" s="58" t="str">
        <f>IF(ISNUMBER(deployment_raw[[#This Row],[Column11]]), (deployment_raw[[#This Row],[Column11]] * deployment_raw[[#This Row],[Column5]])/1048576,"")</f>
        <v/>
      </c>
      <c r="L456" s="180" t="str">
        <f>IF(ISNUMBER(deployment_raw[[#This Row],[Column8]]),IF(deployment_raw[[#This Row],[Column5]] &lt;&gt; 0, MAX((deployment_raw[[#This Row],[Column12]] * deployment_raw[[#This Row],[Column5]]), ((deployment_raw[[#This Row],[Column8]] * deployment_raw[[#This Row],[Column5]]) * $L$2), ($H$2 * deployment_raw[[#This Row],[Column5]])), 0),"")</f>
        <v/>
      </c>
      <c r="M45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56" s="188" t="str">
        <f>IF(ISNUMBER(deployment_raw[[#This Row],[Column14]]), deployment_raw[[#This Row],[Column14]],"")</f>
        <v/>
      </c>
      <c r="O456" s="189" t="str">
        <f>IF(ISNUMBER(deployment_raw[[#This Row],[Column15]]), deployment_raw[[#This Row],[Column15]]/1048576,"")</f>
        <v/>
      </c>
      <c r="P456" s="190" t="str">
        <f>IF(ISNUMBER(deployment_raw[[#This Row],[Column12]]), (deployment_raw[[#This Row],[Column12]] * deployment_raw[[#This Row],[Column5]]),"")</f>
        <v/>
      </c>
      <c r="Q456" s="189" t="str">
        <f>IF(ISNUMBER(deployment_raw[[#This Row],[Column13]]), (deployment_raw[[#This Row],[Column13]] * deployment_raw[[#This Row],[Column5]])/1048576,"")</f>
        <v/>
      </c>
    </row>
    <row r="457" spans="1:17" ht="15.75" customHeight="1" x14ac:dyDescent="0.25">
      <c r="A457" s="37" t="str">
        <f>IF(ISNONTEXT(deployment_raw[[#This Row],[Column1]]), "", deployment_raw[[#This Row],[Column1]])</f>
        <v/>
      </c>
      <c r="B457" s="38" t="str">
        <f>IF(ISNONTEXT(deployment_raw[[#This Row],[Column2]]), "", deployment_raw[[#This Row],[Column2]])</f>
        <v/>
      </c>
      <c r="C457" s="38" t="str">
        <f>IF(ISNONTEXT(deployment_raw[[#This Row],[Column3]]), "", deployment_raw[[#This Row],[Column3]])</f>
        <v/>
      </c>
      <c r="D457" s="38" t="str">
        <f>IF(ISNONTEXT(deployment_raw[[#This Row],[Column4]]), "", deployment_raw[[#This Row],[Column4]])</f>
        <v/>
      </c>
      <c r="E457" s="39" t="str">
        <f>IF(ISNUMBER(deployment_raw[[#This Row],[Column5]]), deployment_raw[[#This Row],[Column5]],"")</f>
        <v/>
      </c>
      <c r="F457" s="174" t="str">
        <f>IF(ISNUMBER(deployment_raw[[#This Row],[Column6]]), (deployment_raw[[#This Row],[Column6]] * deployment_raw[[#This Row],[Column5]]),"")</f>
        <v/>
      </c>
      <c r="G457" s="175" t="str">
        <f>IF(ISNUMBER(deployment_raw[[#This Row],[Column7]]), (deployment_raw[[#This Row],[Column7]] * deployment_raw[[#This Row],[Column5]])/1048576,"")</f>
        <v/>
      </c>
      <c r="H457" s="175" t="str">
        <f>IF(ISNUMBER(deployment_raw[[#This Row],[Column8]]), (deployment_raw[[#This Row],[Column8]]  * deployment_raw[[#This Row],[Column5]]),"")</f>
        <v/>
      </c>
      <c r="I457" s="176" t="str">
        <f>IF(ISNUMBER(deployment_raw[[#This Row],[Column9]]), (deployment_raw[[#This Row],[Column9]] * deployment_raw[[#This Row],[Column5]])/1048576,"")</f>
        <v/>
      </c>
      <c r="J457" s="57" t="str">
        <f>IF(ISNUMBER(deployment_raw[[#This Row],[Column10]]), (deployment_raw[[#This Row],[Column10]] * deployment_raw[[#This Row],[Column5]]),"")</f>
        <v/>
      </c>
      <c r="K457" s="58" t="str">
        <f>IF(ISNUMBER(deployment_raw[[#This Row],[Column11]]), (deployment_raw[[#This Row],[Column11]] * deployment_raw[[#This Row],[Column5]])/1048576,"")</f>
        <v/>
      </c>
      <c r="L457" s="180" t="str">
        <f>IF(ISNUMBER(deployment_raw[[#This Row],[Column8]]),IF(deployment_raw[[#This Row],[Column5]] &lt;&gt; 0, MAX((deployment_raw[[#This Row],[Column12]] * deployment_raw[[#This Row],[Column5]]), ((deployment_raw[[#This Row],[Column8]] * deployment_raw[[#This Row],[Column5]]) * $L$2), ($H$2 * deployment_raw[[#This Row],[Column5]])), 0),"")</f>
        <v/>
      </c>
      <c r="M45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57" s="188" t="str">
        <f>IF(ISNUMBER(deployment_raw[[#This Row],[Column14]]), deployment_raw[[#This Row],[Column14]],"")</f>
        <v/>
      </c>
      <c r="O457" s="189" t="str">
        <f>IF(ISNUMBER(deployment_raw[[#This Row],[Column15]]), deployment_raw[[#This Row],[Column15]]/1048576,"")</f>
        <v/>
      </c>
      <c r="P457" s="190" t="str">
        <f>IF(ISNUMBER(deployment_raw[[#This Row],[Column12]]), (deployment_raw[[#This Row],[Column12]] * deployment_raw[[#This Row],[Column5]]),"")</f>
        <v/>
      </c>
      <c r="Q457" s="189" t="str">
        <f>IF(ISNUMBER(deployment_raw[[#This Row],[Column13]]), (deployment_raw[[#This Row],[Column13]] * deployment_raw[[#This Row],[Column5]])/1048576,"")</f>
        <v/>
      </c>
    </row>
    <row r="458" spans="1:17" ht="15.75" customHeight="1" x14ac:dyDescent="0.25">
      <c r="A458" s="37" t="str">
        <f>IF(ISNONTEXT(deployment_raw[[#This Row],[Column1]]), "", deployment_raw[[#This Row],[Column1]])</f>
        <v/>
      </c>
      <c r="B458" s="38" t="str">
        <f>IF(ISNONTEXT(deployment_raw[[#This Row],[Column2]]), "", deployment_raw[[#This Row],[Column2]])</f>
        <v/>
      </c>
      <c r="C458" s="38" t="str">
        <f>IF(ISNONTEXT(deployment_raw[[#This Row],[Column3]]), "", deployment_raw[[#This Row],[Column3]])</f>
        <v/>
      </c>
      <c r="D458" s="38" t="str">
        <f>IF(ISNONTEXT(deployment_raw[[#This Row],[Column4]]), "", deployment_raw[[#This Row],[Column4]])</f>
        <v/>
      </c>
      <c r="E458" s="39" t="str">
        <f>IF(ISNUMBER(deployment_raw[[#This Row],[Column5]]), deployment_raw[[#This Row],[Column5]],"")</f>
        <v/>
      </c>
      <c r="F458" s="174" t="str">
        <f>IF(ISNUMBER(deployment_raw[[#This Row],[Column6]]), (deployment_raw[[#This Row],[Column6]] * deployment_raw[[#This Row],[Column5]]),"")</f>
        <v/>
      </c>
      <c r="G458" s="175" t="str">
        <f>IF(ISNUMBER(deployment_raw[[#This Row],[Column7]]), (deployment_raw[[#This Row],[Column7]] * deployment_raw[[#This Row],[Column5]])/1048576,"")</f>
        <v/>
      </c>
      <c r="H458" s="175" t="str">
        <f>IF(ISNUMBER(deployment_raw[[#This Row],[Column8]]), (deployment_raw[[#This Row],[Column8]]  * deployment_raw[[#This Row],[Column5]]),"")</f>
        <v/>
      </c>
      <c r="I458" s="176" t="str">
        <f>IF(ISNUMBER(deployment_raw[[#This Row],[Column9]]), (deployment_raw[[#This Row],[Column9]] * deployment_raw[[#This Row],[Column5]])/1048576,"")</f>
        <v/>
      </c>
      <c r="J458" s="57" t="str">
        <f>IF(ISNUMBER(deployment_raw[[#This Row],[Column10]]), (deployment_raw[[#This Row],[Column10]] * deployment_raw[[#This Row],[Column5]]),"")</f>
        <v/>
      </c>
      <c r="K458" s="58" t="str">
        <f>IF(ISNUMBER(deployment_raw[[#This Row],[Column11]]), (deployment_raw[[#This Row],[Column11]] * deployment_raw[[#This Row],[Column5]])/1048576,"")</f>
        <v/>
      </c>
      <c r="L458" s="180" t="str">
        <f>IF(ISNUMBER(deployment_raw[[#This Row],[Column8]]),IF(deployment_raw[[#This Row],[Column5]] &lt;&gt; 0, MAX((deployment_raw[[#This Row],[Column12]] * deployment_raw[[#This Row],[Column5]]), ((deployment_raw[[#This Row],[Column8]] * deployment_raw[[#This Row],[Column5]]) * $L$2), ($H$2 * deployment_raw[[#This Row],[Column5]])), 0),"")</f>
        <v/>
      </c>
      <c r="M45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58" s="188" t="str">
        <f>IF(ISNUMBER(deployment_raw[[#This Row],[Column14]]), deployment_raw[[#This Row],[Column14]],"")</f>
        <v/>
      </c>
      <c r="O458" s="189" t="str">
        <f>IF(ISNUMBER(deployment_raw[[#This Row],[Column15]]), deployment_raw[[#This Row],[Column15]]/1048576,"")</f>
        <v/>
      </c>
      <c r="P458" s="190" t="str">
        <f>IF(ISNUMBER(deployment_raw[[#This Row],[Column12]]), (deployment_raw[[#This Row],[Column12]] * deployment_raw[[#This Row],[Column5]]),"")</f>
        <v/>
      </c>
      <c r="Q458" s="189" t="str">
        <f>IF(ISNUMBER(deployment_raw[[#This Row],[Column13]]), (deployment_raw[[#This Row],[Column13]] * deployment_raw[[#This Row],[Column5]])/1048576,"")</f>
        <v/>
      </c>
    </row>
    <row r="459" spans="1:17" ht="15.75" customHeight="1" x14ac:dyDescent="0.25">
      <c r="A459" s="37" t="str">
        <f>IF(ISNONTEXT(deployment_raw[[#This Row],[Column1]]), "", deployment_raw[[#This Row],[Column1]])</f>
        <v/>
      </c>
      <c r="B459" s="38" t="str">
        <f>IF(ISNONTEXT(deployment_raw[[#This Row],[Column2]]), "", deployment_raw[[#This Row],[Column2]])</f>
        <v/>
      </c>
      <c r="C459" s="38" t="str">
        <f>IF(ISNONTEXT(deployment_raw[[#This Row],[Column3]]), "", deployment_raw[[#This Row],[Column3]])</f>
        <v/>
      </c>
      <c r="D459" s="38" t="str">
        <f>IF(ISNONTEXT(deployment_raw[[#This Row],[Column4]]), "", deployment_raw[[#This Row],[Column4]])</f>
        <v/>
      </c>
      <c r="E459" s="39" t="str">
        <f>IF(ISNUMBER(deployment_raw[[#This Row],[Column5]]), deployment_raw[[#This Row],[Column5]],"")</f>
        <v/>
      </c>
      <c r="F459" s="174" t="str">
        <f>IF(ISNUMBER(deployment_raw[[#This Row],[Column6]]), (deployment_raw[[#This Row],[Column6]] * deployment_raw[[#This Row],[Column5]]),"")</f>
        <v/>
      </c>
      <c r="G459" s="175" t="str">
        <f>IF(ISNUMBER(deployment_raw[[#This Row],[Column7]]), (deployment_raw[[#This Row],[Column7]] * deployment_raw[[#This Row],[Column5]])/1048576,"")</f>
        <v/>
      </c>
      <c r="H459" s="175" t="str">
        <f>IF(ISNUMBER(deployment_raw[[#This Row],[Column8]]), (deployment_raw[[#This Row],[Column8]]  * deployment_raw[[#This Row],[Column5]]),"")</f>
        <v/>
      </c>
      <c r="I459" s="176" t="str">
        <f>IF(ISNUMBER(deployment_raw[[#This Row],[Column9]]), (deployment_raw[[#This Row],[Column9]] * deployment_raw[[#This Row],[Column5]])/1048576,"")</f>
        <v/>
      </c>
      <c r="J459" s="57" t="str">
        <f>IF(ISNUMBER(deployment_raw[[#This Row],[Column10]]), (deployment_raw[[#This Row],[Column10]] * deployment_raw[[#This Row],[Column5]]),"")</f>
        <v/>
      </c>
      <c r="K459" s="58" t="str">
        <f>IF(ISNUMBER(deployment_raw[[#This Row],[Column11]]), (deployment_raw[[#This Row],[Column11]] * deployment_raw[[#This Row],[Column5]])/1048576,"")</f>
        <v/>
      </c>
      <c r="L459" s="180" t="str">
        <f>IF(ISNUMBER(deployment_raw[[#This Row],[Column8]]),IF(deployment_raw[[#This Row],[Column5]] &lt;&gt; 0, MAX((deployment_raw[[#This Row],[Column12]] * deployment_raw[[#This Row],[Column5]]), ((deployment_raw[[#This Row],[Column8]] * deployment_raw[[#This Row],[Column5]]) * $L$2), ($H$2 * deployment_raw[[#This Row],[Column5]])), 0),"")</f>
        <v/>
      </c>
      <c r="M45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59" s="188" t="str">
        <f>IF(ISNUMBER(deployment_raw[[#This Row],[Column14]]), deployment_raw[[#This Row],[Column14]],"")</f>
        <v/>
      </c>
      <c r="O459" s="189" t="str">
        <f>IF(ISNUMBER(deployment_raw[[#This Row],[Column15]]), deployment_raw[[#This Row],[Column15]]/1048576,"")</f>
        <v/>
      </c>
      <c r="P459" s="190" t="str">
        <f>IF(ISNUMBER(deployment_raw[[#This Row],[Column12]]), (deployment_raw[[#This Row],[Column12]] * deployment_raw[[#This Row],[Column5]]),"")</f>
        <v/>
      </c>
      <c r="Q459" s="189" t="str">
        <f>IF(ISNUMBER(deployment_raw[[#This Row],[Column13]]), (deployment_raw[[#This Row],[Column13]] * deployment_raw[[#This Row],[Column5]])/1048576,"")</f>
        <v/>
      </c>
    </row>
    <row r="460" spans="1:17" ht="15.75" customHeight="1" x14ac:dyDescent="0.25">
      <c r="A460" s="37" t="str">
        <f>IF(ISNONTEXT(deployment_raw[[#This Row],[Column1]]), "", deployment_raw[[#This Row],[Column1]])</f>
        <v/>
      </c>
      <c r="B460" s="38" t="str">
        <f>IF(ISNONTEXT(deployment_raw[[#This Row],[Column2]]), "", deployment_raw[[#This Row],[Column2]])</f>
        <v/>
      </c>
      <c r="C460" s="38" t="str">
        <f>IF(ISNONTEXT(deployment_raw[[#This Row],[Column3]]), "", deployment_raw[[#This Row],[Column3]])</f>
        <v/>
      </c>
      <c r="D460" s="38" t="str">
        <f>IF(ISNONTEXT(deployment_raw[[#This Row],[Column4]]), "", deployment_raw[[#This Row],[Column4]])</f>
        <v/>
      </c>
      <c r="E460" s="39" t="str">
        <f>IF(ISNUMBER(deployment_raw[[#This Row],[Column5]]), deployment_raw[[#This Row],[Column5]],"")</f>
        <v/>
      </c>
      <c r="F460" s="174" t="str">
        <f>IF(ISNUMBER(deployment_raw[[#This Row],[Column6]]), (deployment_raw[[#This Row],[Column6]] * deployment_raw[[#This Row],[Column5]]),"")</f>
        <v/>
      </c>
      <c r="G460" s="175" t="str">
        <f>IF(ISNUMBER(deployment_raw[[#This Row],[Column7]]), (deployment_raw[[#This Row],[Column7]] * deployment_raw[[#This Row],[Column5]])/1048576,"")</f>
        <v/>
      </c>
      <c r="H460" s="175" t="str">
        <f>IF(ISNUMBER(deployment_raw[[#This Row],[Column8]]), (deployment_raw[[#This Row],[Column8]]  * deployment_raw[[#This Row],[Column5]]),"")</f>
        <v/>
      </c>
      <c r="I460" s="176" t="str">
        <f>IF(ISNUMBER(deployment_raw[[#This Row],[Column9]]), (deployment_raw[[#This Row],[Column9]] * deployment_raw[[#This Row],[Column5]])/1048576,"")</f>
        <v/>
      </c>
      <c r="J460" s="57" t="str">
        <f>IF(ISNUMBER(deployment_raw[[#This Row],[Column10]]), (deployment_raw[[#This Row],[Column10]] * deployment_raw[[#This Row],[Column5]]),"")</f>
        <v/>
      </c>
      <c r="K460" s="58" t="str">
        <f>IF(ISNUMBER(deployment_raw[[#This Row],[Column11]]), (deployment_raw[[#This Row],[Column11]] * deployment_raw[[#This Row],[Column5]])/1048576,"")</f>
        <v/>
      </c>
      <c r="L460" s="180" t="str">
        <f>IF(ISNUMBER(deployment_raw[[#This Row],[Column8]]),IF(deployment_raw[[#This Row],[Column5]] &lt;&gt; 0, MAX((deployment_raw[[#This Row],[Column12]] * deployment_raw[[#This Row],[Column5]]), ((deployment_raw[[#This Row],[Column8]] * deployment_raw[[#This Row],[Column5]]) * $L$2), ($H$2 * deployment_raw[[#This Row],[Column5]])), 0),"")</f>
        <v/>
      </c>
      <c r="M46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60" s="188" t="str">
        <f>IF(ISNUMBER(deployment_raw[[#This Row],[Column14]]), deployment_raw[[#This Row],[Column14]],"")</f>
        <v/>
      </c>
      <c r="O460" s="189" t="str">
        <f>IF(ISNUMBER(deployment_raw[[#This Row],[Column15]]), deployment_raw[[#This Row],[Column15]]/1048576,"")</f>
        <v/>
      </c>
      <c r="P460" s="190" t="str">
        <f>IF(ISNUMBER(deployment_raw[[#This Row],[Column12]]), (deployment_raw[[#This Row],[Column12]] * deployment_raw[[#This Row],[Column5]]),"")</f>
        <v/>
      </c>
      <c r="Q460" s="189" t="str">
        <f>IF(ISNUMBER(deployment_raw[[#This Row],[Column13]]), (deployment_raw[[#This Row],[Column13]] * deployment_raw[[#This Row],[Column5]])/1048576,"")</f>
        <v/>
      </c>
    </row>
    <row r="461" spans="1:17" ht="15.75" customHeight="1" x14ac:dyDescent="0.25">
      <c r="A461" s="37" t="str">
        <f>IF(ISNONTEXT(deployment_raw[[#This Row],[Column1]]), "", deployment_raw[[#This Row],[Column1]])</f>
        <v/>
      </c>
      <c r="B461" s="38" t="str">
        <f>IF(ISNONTEXT(deployment_raw[[#This Row],[Column2]]), "", deployment_raw[[#This Row],[Column2]])</f>
        <v/>
      </c>
      <c r="C461" s="38" t="str">
        <f>IF(ISNONTEXT(deployment_raw[[#This Row],[Column3]]), "", deployment_raw[[#This Row],[Column3]])</f>
        <v/>
      </c>
      <c r="D461" s="38" t="str">
        <f>IF(ISNONTEXT(deployment_raw[[#This Row],[Column4]]), "", deployment_raw[[#This Row],[Column4]])</f>
        <v/>
      </c>
      <c r="E461" s="39" t="str">
        <f>IF(ISNUMBER(deployment_raw[[#This Row],[Column5]]), deployment_raw[[#This Row],[Column5]],"")</f>
        <v/>
      </c>
      <c r="F461" s="174" t="str">
        <f>IF(ISNUMBER(deployment_raw[[#This Row],[Column6]]), (deployment_raw[[#This Row],[Column6]] * deployment_raw[[#This Row],[Column5]]),"")</f>
        <v/>
      </c>
      <c r="G461" s="175" t="str">
        <f>IF(ISNUMBER(deployment_raw[[#This Row],[Column7]]), (deployment_raw[[#This Row],[Column7]] * deployment_raw[[#This Row],[Column5]])/1048576,"")</f>
        <v/>
      </c>
      <c r="H461" s="175" t="str">
        <f>IF(ISNUMBER(deployment_raw[[#This Row],[Column8]]), (deployment_raw[[#This Row],[Column8]]  * deployment_raw[[#This Row],[Column5]]),"")</f>
        <v/>
      </c>
      <c r="I461" s="176" t="str">
        <f>IF(ISNUMBER(deployment_raw[[#This Row],[Column9]]), (deployment_raw[[#This Row],[Column9]] * deployment_raw[[#This Row],[Column5]])/1048576,"")</f>
        <v/>
      </c>
      <c r="J461" s="57" t="str">
        <f>IF(ISNUMBER(deployment_raw[[#This Row],[Column10]]), (deployment_raw[[#This Row],[Column10]] * deployment_raw[[#This Row],[Column5]]),"")</f>
        <v/>
      </c>
      <c r="K461" s="58" t="str">
        <f>IF(ISNUMBER(deployment_raw[[#This Row],[Column11]]), (deployment_raw[[#This Row],[Column11]] * deployment_raw[[#This Row],[Column5]])/1048576,"")</f>
        <v/>
      </c>
      <c r="L461" s="180" t="str">
        <f>IF(ISNUMBER(deployment_raw[[#This Row],[Column8]]),IF(deployment_raw[[#This Row],[Column5]] &lt;&gt; 0, MAX((deployment_raw[[#This Row],[Column12]] * deployment_raw[[#This Row],[Column5]]), ((deployment_raw[[#This Row],[Column8]] * deployment_raw[[#This Row],[Column5]]) * $L$2), ($H$2 * deployment_raw[[#This Row],[Column5]])), 0),"")</f>
        <v/>
      </c>
      <c r="M46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61" s="188" t="str">
        <f>IF(ISNUMBER(deployment_raw[[#This Row],[Column14]]), deployment_raw[[#This Row],[Column14]],"")</f>
        <v/>
      </c>
      <c r="O461" s="189" t="str">
        <f>IF(ISNUMBER(deployment_raw[[#This Row],[Column15]]), deployment_raw[[#This Row],[Column15]]/1048576,"")</f>
        <v/>
      </c>
      <c r="P461" s="190" t="str">
        <f>IF(ISNUMBER(deployment_raw[[#This Row],[Column12]]), (deployment_raw[[#This Row],[Column12]] * deployment_raw[[#This Row],[Column5]]),"")</f>
        <v/>
      </c>
      <c r="Q461" s="189" t="str">
        <f>IF(ISNUMBER(deployment_raw[[#This Row],[Column13]]), (deployment_raw[[#This Row],[Column13]] * deployment_raw[[#This Row],[Column5]])/1048576,"")</f>
        <v/>
      </c>
    </row>
    <row r="462" spans="1:17" ht="15.75" customHeight="1" x14ac:dyDescent="0.25">
      <c r="A462" s="37" t="str">
        <f>IF(ISNONTEXT(deployment_raw[[#This Row],[Column1]]), "", deployment_raw[[#This Row],[Column1]])</f>
        <v/>
      </c>
      <c r="B462" s="38" t="str">
        <f>IF(ISNONTEXT(deployment_raw[[#This Row],[Column2]]), "", deployment_raw[[#This Row],[Column2]])</f>
        <v/>
      </c>
      <c r="C462" s="38" t="str">
        <f>IF(ISNONTEXT(deployment_raw[[#This Row],[Column3]]), "", deployment_raw[[#This Row],[Column3]])</f>
        <v/>
      </c>
      <c r="D462" s="38" t="str">
        <f>IF(ISNONTEXT(deployment_raw[[#This Row],[Column4]]), "", deployment_raw[[#This Row],[Column4]])</f>
        <v/>
      </c>
      <c r="E462" s="39" t="str">
        <f>IF(ISNUMBER(deployment_raw[[#This Row],[Column5]]), deployment_raw[[#This Row],[Column5]],"")</f>
        <v/>
      </c>
      <c r="F462" s="174" t="str">
        <f>IF(ISNUMBER(deployment_raw[[#This Row],[Column6]]), (deployment_raw[[#This Row],[Column6]] * deployment_raw[[#This Row],[Column5]]),"")</f>
        <v/>
      </c>
      <c r="G462" s="175" t="str">
        <f>IF(ISNUMBER(deployment_raw[[#This Row],[Column7]]), (deployment_raw[[#This Row],[Column7]] * deployment_raw[[#This Row],[Column5]])/1048576,"")</f>
        <v/>
      </c>
      <c r="H462" s="175" t="str">
        <f>IF(ISNUMBER(deployment_raw[[#This Row],[Column8]]), (deployment_raw[[#This Row],[Column8]]  * deployment_raw[[#This Row],[Column5]]),"")</f>
        <v/>
      </c>
      <c r="I462" s="176" t="str">
        <f>IF(ISNUMBER(deployment_raw[[#This Row],[Column9]]), (deployment_raw[[#This Row],[Column9]] * deployment_raw[[#This Row],[Column5]])/1048576,"")</f>
        <v/>
      </c>
      <c r="J462" s="57" t="str">
        <f>IF(ISNUMBER(deployment_raw[[#This Row],[Column10]]), (deployment_raw[[#This Row],[Column10]] * deployment_raw[[#This Row],[Column5]]),"")</f>
        <v/>
      </c>
      <c r="K462" s="58" t="str">
        <f>IF(ISNUMBER(deployment_raw[[#This Row],[Column11]]), (deployment_raw[[#This Row],[Column11]] * deployment_raw[[#This Row],[Column5]])/1048576,"")</f>
        <v/>
      </c>
      <c r="L462" s="180" t="str">
        <f>IF(ISNUMBER(deployment_raw[[#This Row],[Column8]]),IF(deployment_raw[[#This Row],[Column5]] &lt;&gt; 0, MAX((deployment_raw[[#This Row],[Column12]] * deployment_raw[[#This Row],[Column5]]), ((deployment_raw[[#This Row],[Column8]] * deployment_raw[[#This Row],[Column5]]) * $L$2), ($H$2 * deployment_raw[[#This Row],[Column5]])), 0),"")</f>
        <v/>
      </c>
      <c r="M46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62" s="188" t="str">
        <f>IF(ISNUMBER(deployment_raw[[#This Row],[Column14]]), deployment_raw[[#This Row],[Column14]],"")</f>
        <v/>
      </c>
      <c r="O462" s="189" t="str">
        <f>IF(ISNUMBER(deployment_raw[[#This Row],[Column15]]), deployment_raw[[#This Row],[Column15]]/1048576,"")</f>
        <v/>
      </c>
      <c r="P462" s="190" t="str">
        <f>IF(ISNUMBER(deployment_raw[[#This Row],[Column12]]), (deployment_raw[[#This Row],[Column12]] * deployment_raw[[#This Row],[Column5]]),"")</f>
        <v/>
      </c>
      <c r="Q462" s="189" t="str">
        <f>IF(ISNUMBER(deployment_raw[[#This Row],[Column13]]), (deployment_raw[[#This Row],[Column13]] * deployment_raw[[#This Row],[Column5]])/1048576,"")</f>
        <v/>
      </c>
    </row>
    <row r="463" spans="1:17" ht="15.75" customHeight="1" x14ac:dyDescent="0.25">
      <c r="A463" s="37" t="str">
        <f>IF(ISNONTEXT(deployment_raw[[#This Row],[Column1]]), "", deployment_raw[[#This Row],[Column1]])</f>
        <v/>
      </c>
      <c r="B463" s="38" t="str">
        <f>IF(ISNONTEXT(deployment_raw[[#This Row],[Column2]]), "", deployment_raw[[#This Row],[Column2]])</f>
        <v/>
      </c>
      <c r="C463" s="38" t="str">
        <f>IF(ISNONTEXT(deployment_raw[[#This Row],[Column3]]), "", deployment_raw[[#This Row],[Column3]])</f>
        <v/>
      </c>
      <c r="D463" s="38" t="str">
        <f>IF(ISNONTEXT(deployment_raw[[#This Row],[Column4]]), "", deployment_raw[[#This Row],[Column4]])</f>
        <v/>
      </c>
      <c r="E463" s="39" t="str">
        <f>IF(ISNUMBER(deployment_raw[[#This Row],[Column5]]), deployment_raw[[#This Row],[Column5]],"")</f>
        <v/>
      </c>
      <c r="F463" s="174" t="str">
        <f>IF(ISNUMBER(deployment_raw[[#This Row],[Column6]]), (deployment_raw[[#This Row],[Column6]] * deployment_raw[[#This Row],[Column5]]),"")</f>
        <v/>
      </c>
      <c r="G463" s="175" t="str">
        <f>IF(ISNUMBER(deployment_raw[[#This Row],[Column7]]), (deployment_raw[[#This Row],[Column7]] * deployment_raw[[#This Row],[Column5]])/1048576,"")</f>
        <v/>
      </c>
      <c r="H463" s="175" t="str">
        <f>IF(ISNUMBER(deployment_raw[[#This Row],[Column8]]), (deployment_raw[[#This Row],[Column8]]  * deployment_raw[[#This Row],[Column5]]),"")</f>
        <v/>
      </c>
      <c r="I463" s="176" t="str">
        <f>IF(ISNUMBER(deployment_raw[[#This Row],[Column9]]), (deployment_raw[[#This Row],[Column9]] * deployment_raw[[#This Row],[Column5]])/1048576,"")</f>
        <v/>
      </c>
      <c r="J463" s="57" t="str">
        <f>IF(ISNUMBER(deployment_raw[[#This Row],[Column10]]), (deployment_raw[[#This Row],[Column10]] * deployment_raw[[#This Row],[Column5]]),"")</f>
        <v/>
      </c>
      <c r="K463" s="58" t="str">
        <f>IF(ISNUMBER(deployment_raw[[#This Row],[Column11]]), (deployment_raw[[#This Row],[Column11]] * deployment_raw[[#This Row],[Column5]])/1048576,"")</f>
        <v/>
      </c>
      <c r="L463" s="180" t="str">
        <f>IF(ISNUMBER(deployment_raw[[#This Row],[Column8]]),IF(deployment_raw[[#This Row],[Column5]] &lt;&gt; 0, MAX((deployment_raw[[#This Row],[Column12]] * deployment_raw[[#This Row],[Column5]]), ((deployment_raw[[#This Row],[Column8]] * deployment_raw[[#This Row],[Column5]]) * $L$2), ($H$2 * deployment_raw[[#This Row],[Column5]])), 0),"")</f>
        <v/>
      </c>
      <c r="M46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63" s="188" t="str">
        <f>IF(ISNUMBER(deployment_raw[[#This Row],[Column14]]), deployment_raw[[#This Row],[Column14]],"")</f>
        <v/>
      </c>
      <c r="O463" s="189" t="str">
        <f>IF(ISNUMBER(deployment_raw[[#This Row],[Column15]]), deployment_raw[[#This Row],[Column15]]/1048576,"")</f>
        <v/>
      </c>
      <c r="P463" s="190" t="str">
        <f>IF(ISNUMBER(deployment_raw[[#This Row],[Column12]]), (deployment_raw[[#This Row],[Column12]] * deployment_raw[[#This Row],[Column5]]),"")</f>
        <v/>
      </c>
      <c r="Q463" s="189" t="str">
        <f>IF(ISNUMBER(deployment_raw[[#This Row],[Column13]]), (deployment_raw[[#This Row],[Column13]] * deployment_raw[[#This Row],[Column5]])/1048576,"")</f>
        <v/>
      </c>
    </row>
    <row r="464" spans="1:17" ht="15.75" customHeight="1" x14ac:dyDescent="0.25">
      <c r="A464" s="37" t="str">
        <f>IF(ISNONTEXT(deployment_raw[[#This Row],[Column1]]), "", deployment_raw[[#This Row],[Column1]])</f>
        <v/>
      </c>
      <c r="B464" s="38" t="str">
        <f>IF(ISNONTEXT(deployment_raw[[#This Row],[Column2]]), "", deployment_raw[[#This Row],[Column2]])</f>
        <v/>
      </c>
      <c r="C464" s="38" t="str">
        <f>IF(ISNONTEXT(deployment_raw[[#This Row],[Column3]]), "", deployment_raw[[#This Row],[Column3]])</f>
        <v/>
      </c>
      <c r="D464" s="38" t="str">
        <f>IF(ISNONTEXT(deployment_raw[[#This Row],[Column4]]), "", deployment_raw[[#This Row],[Column4]])</f>
        <v/>
      </c>
      <c r="E464" s="39" t="str">
        <f>IF(ISNUMBER(deployment_raw[[#This Row],[Column5]]), deployment_raw[[#This Row],[Column5]],"")</f>
        <v/>
      </c>
      <c r="F464" s="174" t="str">
        <f>IF(ISNUMBER(deployment_raw[[#This Row],[Column6]]), (deployment_raw[[#This Row],[Column6]] * deployment_raw[[#This Row],[Column5]]),"")</f>
        <v/>
      </c>
      <c r="G464" s="175" t="str">
        <f>IF(ISNUMBER(deployment_raw[[#This Row],[Column7]]), (deployment_raw[[#This Row],[Column7]] * deployment_raw[[#This Row],[Column5]])/1048576,"")</f>
        <v/>
      </c>
      <c r="H464" s="175" t="str">
        <f>IF(ISNUMBER(deployment_raw[[#This Row],[Column8]]), (deployment_raw[[#This Row],[Column8]]  * deployment_raw[[#This Row],[Column5]]),"")</f>
        <v/>
      </c>
      <c r="I464" s="176" t="str">
        <f>IF(ISNUMBER(deployment_raw[[#This Row],[Column9]]), (deployment_raw[[#This Row],[Column9]] * deployment_raw[[#This Row],[Column5]])/1048576,"")</f>
        <v/>
      </c>
      <c r="J464" s="57" t="str">
        <f>IF(ISNUMBER(deployment_raw[[#This Row],[Column10]]), (deployment_raw[[#This Row],[Column10]] * deployment_raw[[#This Row],[Column5]]),"")</f>
        <v/>
      </c>
      <c r="K464" s="58" t="str">
        <f>IF(ISNUMBER(deployment_raw[[#This Row],[Column11]]), (deployment_raw[[#This Row],[Column11]] * deployment_raw[[#This Row],[Column5]])/1048576,"")</f>
        <v/>
      </c>
      <c r="L464" s="180" t="str">
        <f>IF(ISNUMBER(deployment_raw[[#This Row],[Column8]]),IF(deployment_raw[[#This Row],[Column5]] &lt;&gt; 0, MAX((deployment_raw[[#This Row],[Column12]] * deployment_raw[[#This Row],[Column5]]), ((deployment_raw[[#This Row],[Column8]] * deployment_raw[[#This Row],[Column5]]) * $L$2), ($H$2 * deployment_raw[[#This Row],[Column5]])), 0),"")</f>
        <v/>
      </c>
      <c r="M46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64" s="188" t="str">
        <f>IF(ISNUMBER(deployment_raw[[#This Row],[Column14]]), deployment_raw[[#This Row],[Column14]],"")</f>
        <v/>
      </c>
      <c r="O464" s="189" t="str">
        <f>IF(ISNUMBER(deployment_raw[[#This Row],[Column15]]), deployment_raw[[#This Row],[Column15]]/1048576,"")</f>
        <v/>
      </c>
      <c r="P464" s="190" t="str">
        <f>IF(ISNUMBER(deployment_raw[[#This Row],[Column12]]), (deployment_raw[[#This Row],[Column12]] * deployment_raw[[#This Row],[Column5]]),"")</f>
        <v/>
      </c>
      <c r="Q464" s="189" t="str">
        <f>IF(ISNUMBER(deployment_raw[[#This Row],[Column13]]), (deployment_raw[[#This Row],[Column13]] * deployment_raw[[#This Row],[Column5]])/1048576,"")</f>
        <v/>
      </c>
    </row>
    <row r="465" spans="1:17" ht="15.75" customHeight="1" x14ac:dyDescent="0.25">
      <c r="A465" s="37" t="str">
        <f>IF(ISNONTEXT(deployment_raw[[#This Row],[Column1]]), "", deployment_raw[[#This Row],[Column1]])</f>
        <v/>
      </c>
      <c r="B465" s="38" t="str">
        <f>IF(ISNONTEXT(deployment_raw[[#This Row],[Column2]]), "", deployment_raw[[#This Row],[Column2]])</f>
        <v/>
      </c>
      <c r="C465" s="38" t="str">
        <f>IF(ISNONTEXT(deployment_raw[[#This Row],[Column3]]), "", deployment_raw[[#This Row],[Column3]])</f>
        <v/>
      </c>
      <c r="D465" s="38" t="str">
        <f>IF(ISNONTEXT(deployment_raw[[#This Row],[Column4]]), "", deployment_raw[[#This Row],[Column4]])</f>
        <v/>
      </c>
      <c r="E465" s="39" t="str">
        <f>IF(ISNUMBER(deployment_raw[[#This Row],[Column5]]), deployment_raw[[#This Row],[Column5]],"")</f>
        <v/>
      </c>
      <c r="F465" s="174" t="str">
        <f>IF(ISNUMBER(deployment_raw[[#This Row],[Column6]]), (deployment_raw[[#This Row],[Column6]] * deployment_raw[[#This Row],[Column5]]),"")</f>
        <v/>
      </c>
      <c r="G465" s="175" t="str">
        <f>IF(ISNUMBER(deployment_raw[[#This Row],[Column7]]), (deployment_raw[[#This Row],[Column7]] * deployment_raw[[#This Row],[Column5]])/1048576,"")</f>
        <v/>
      </c>
      <c r="H465" s="175" t="str">
        <f>IF(ISNUMBER(deployment_raw[[#This Row],[Column8]]), (deployment_raw[[#This Row],[Column8]]  * deployment_raw[[#This Row],[Column5]]),"")</f>
        <v/>
      </c>
      <c r="I465" s="176" t="str">
        <f>IF(ISNUMBER(deployment_raw[[#This Row],[Column9]]), (deployment_raw[[#This Row],[Column9]] * deployment_raw[[#This Row],[Column5]])/1048576,"")</f>
        <v/>
      </c>
      <c r="J465" s="57" t="str">
        <f>IF(ISNUMBER(deployment_raw[[#This Row],[Column10]]), (deployment_raw[[#This Row],[Column10]] * deployment_raw[[#This Row],[Column5]]),"")</f>
        <v/>
      </c>
      <c r="K465" s="58" t="str">
        <f>IF(ISNUMBER(deployment_raw[[#This Row],[Column11]]), (deployment_raw[[#This Row],[Column11]] * deployment_raw[[#This Row],[Column5]])/1048576,"")</f>
        <v/>
      </c>
      <c r="L465" s="180" t="str">
        <f>IF(ISNUMBER(deployment_raw[[#This Row],[Column8]]),IF(deployment_raw[[#This Row],[Column5]] &lt;&gt; 0, MAX((deployment_raw[[#This Row],[Column12]] * deployment_raw[[#This Row],[Column5]]), ((deployment_raw[[#This Row],[Column8]] * deployment_raw[[#This Row],[Column5]]) * $L$2), ($H$2 * deployment_raw[[#This Row],[Column5]])), 0),"")</f>
        <v/>
      </c>
      <c r="M46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65" s="188" t="str">
        <f>IF(ISNUMBER(deployment_raw[[#This Row],[Column14]]), deployment_raw[[#This Row],[Column14]],"")</f>
        <v/>
      </c>
      <c r="O465" s="189" t="str">
        <f>IF(ISNUMBER(deployment_raw[[#This Row],[Column15]]), deployment_raw[[#This Row],[Column15]]/1048576,"")</f>
        <v/>
      </c>
      <c r="P465" s="190" t="str">
        <f>IF(ISNUMBER(deployment_raw[[#This Row],[Column12]]), (deployment_raw[[#This Row],[Column12]] * deployment_raw[[#This Row],[Column5]]),"")</f>
        <v/>
      </c>
      <c r="Q465" s="189" t="str">
        <f>IF(ISNUMBER(deployment_raw[[#This Row],[Column13]]), (deployment_raw[[#This Row],[Column13]] * deployment_raw[[#This Row],[Column5]])/1048576,"")</f>
        <v/>
      </c>
    </row>
    <row r="466" spans="1:17" ht="15.75" customHeight="1" x14ac:dyDescent="0.25">
      <c r="A466" s="37" t="str">
        <f>IF(ISNONTEXT(deployment_raw[[#This Row],[Column1]]), "", deployment_raw[[#This Row],[Column1]])</f>
        <v/>
      </c>
      <c r="B466" s="38" t="str">
        <f>IF(ISNONTEXT(deployment_raw[[#This Row],[Column2]]), "", deployment_raw[[#This Row],[Column2]])</f>
        <v/>
      </c>
      <c r="C466" s="38" t="str">
        <f>IF(ISNONTEXT(deployment_raw[[#This Row],[Column3]]), "", deployment_raw[[#This Row],[Column3]])</f>
        <v/>
      </c>
      <c r="D466" s="38" t="str">
        <f>IF(ISNONTEXT(deployment_raw[[#This Row],[Column4]]), "", deployment_raw[[#This Row],[Column4]])</f>
        <v/>
      </c>
      <c r="E466" s="39" t="str">
        <f>IF(ISNUMBER(deployment_raw[[#This Row],[Column5]]), deployment_raw[[#This Row],[Column5]],"")</f>
        <v/>
      </c>
      <c r="F466" s="174" t="str">
        <f>IF(ISNUMBER(deployment_raw[[#This Row],[Column6]]), (deployment_raw[[#This Row],[Column6]] * deployment_raw[[#This Row],[Column5]]),"")</f>
        <v/>
      </c>
      <c r="G466" s="175" t="str">
        <f>IF(ISNUMBER(deployment_raw[[#This Row],[Column7]]), (deployment_raw[[#This Row],[Column7]] * deployment_raw[[#This Row],[Column5]])/1048576,"")</f>
        <v/>
      </c>
      <c r="H466" s="175" t="str">
        <f>IF(ISNUMBER(deployment_raw[[#This Row],[Column8]]), (deployment_raw[[#This Row],[Column8]]  * deployment_raw[[#This Row],[Column5]]),"")</f>
        <v/>
      </c>
      <c r="I466" s="176" t="str">
        <f>IF(ISNUMBER(deployment_raw[[#This Row],[Column9]]), (deployment_raw[[#This Row],[Column9]] * deployment_raw[[#This Row],[Column5]])/1048576,"")</f>
        <v/>
      </c>
      <c r="J466" s="57" t="str">
        <f>IF(ISNUMBER(deployment_raw[[#This Row],[Column10]]), (deployment_raw[[#This Row],[Column10]] * deployment_raw[[#This Row],[Column5]]),"")</f>
        <v/>
      </c>
      <c r="K466" s="58" t="str">
        <f>IF(ISNUMBER(deployment_raw[[#This Row],[Column11]]), (deployment_raw[[#This Row],[Column11]] * deployment_raw[[#This Row],[Column5]])/1048576,"")</f>
        <v/>
      </c>
      <c r="L466" s="180" t="str">
        <f>IF(ISNUMBER(deployment_raw[[#This Row],[Column8]]),IF(deployment_raw[[#This Row],[Column5]] &lt;&gt; 0, MAX((deployment_raw[[#This Row],[Column12]] * deployment_raw[[#This Row],[Column5]]), ((deployment_raw[[#This Row],[Column8]] * deployment_raw[[#This Row],[Column5]]) * $L$2), ($H$2 * deployment_raw[[#This Row],[Column5]])), 0),"")</f>
        <v/>
      </c>
      <c r="M46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66" s="188" t="str">
        <f>IF(ISNUMBER(deployment_raw[[#This Row],[Column14]]), deployment_raw[[#This Row],[Column14]],"")</f>
        <v/>
      </c>
      <c r="O466" s="189" t="str">
        <f>IF(ISNUMBER(deployment_raw[[#This Row],[Column15]]), deployment_raw[[#This Row],[Column15]]/1048576,"")</f>
        <v/>
      </c>
      <c r="P466" s="190" t="str">
        <f>IF(ISNUMBER(deployment_raw[[#This Row],[Column12]]), (deployment_raw[[#This Row],[Column12]] * deployment_raw[[#This Row],[Column5]]),"")</f>
        <v/>
      </c>
      <c r="Q466" s="189" t="str">
        <f>IF(ISNUMBER(deployment_raw[[#This Row],[Column13]]), (deployment_raw[[#This Row],[Column13]] * deployment_raw[[#This Row],[Column5]])/1048576,"")</f>
        <v/>
      </c>
    </row>
    <row r="467" spans="1:17" ht="15.75" customHeight="1" x14ac:dyDescent="0.25">
      <c r="A467" s="37" t="str">
        <f>IF(ISNONTEXT(deployment_raw[[#This Row],[Column1]]), "", deployment_raw[[#This Row],[Column1]])</f>
        <v/>
      </c>
      <c r="B467" s="38" t="str">
        <f>IF(ISNONTEXT(deployment_raw[[#This Row],[Column2]]), "", deployment_raw[[#This Row],[Column2]])</f>
        <v/>
      </c>
      <c r="C467" s="38" t="str">
        <f>IF(ISNONTEXT(deployment_raw[[#This Row],[Column3]]), "", deployment_raw[[#This Row],[Column3]])</f>
        <v/>
      </c>
      <c r="D467" s="38" t="str">
        <f>IF(ISNONTEXT(deployment_raw[[#This Row],[Column4]]), "", deployment_raw[[#This Row],[Column4]])</f>
        <v/>
      </c>
      <c r="E467" s="39" t="str">
        <f>IF(ISNUMBER(deployment_raw[[#This Row],[Column5]]), deployment_raw[[#This Row],[Column5]],"")</f>
        <v/>
      </c>
      <c r="F467" s="174" t="str">
        <f>IF(ISNUMBER(deployment_raw[[#This Row],[Column6]]), (deployment_raw[[#This Row],[Column6]] * deployment_raw[[#This Row],[Column5]]),"")</f>
        <v/>
      </c>
      <c r="G467" s="175" t="str">
        <f>IF(ISNUMBER(deployment_raw[[#This Row],[Column7]]), (deployment_raw[[#This Row],[Column7]] * deployment_raw[[#This Row],[Column5]])/1048576,"")</f>
        <v/>
      </c>
      <c r="H467" s="175" t="str">
        <f>IF(ISNUMBER(deployment_raw[[#This Row],[Column8]]), (deployment_raw[[#This Row],[Column8]]  * deployment_raw[[#This Row],[Column5]]),"")</f>
        <v/>
      </c>
      <c r="I467" s="176" t="str">
        <f>IF(ISNUMBER(deployment_raw[[#This Row],[Column9]]), (deployment_raw[[#This Row],[Column9]] * deployment_raw[[#This Row],[Column5]])/1048576,"")</f>
        <v/>
      </c>
      <c r="J467" s="57" t="str">
        <f>IF(ISNUMBER(deployment_raw[[#This Row],[Column10]]), (deployment_raw[[#This Row],[Column10]] * deployment_raw[[#This Row],[Column5]]),"")</f>
        <v/>
      </c>
      <c r="K467" s="58" t="str">
        <f>IF(ISNUMBER(deployment_raw[[#This Row],[Column11]]), (deployment_raw[[#This Row],[Column11]] * deployment_raw[[#This Row],[Column5]])/1048576,"")</f>
        <v/>
      </c>
      <c r="L467" s="180" t="str">
        <f>IF(ISNUMBER(deployment_raw[[#This Row],[Column8]]),IF(deployment_raw[[#This Row],[Column5]] &lt;&gt; 0, MAX((deployment_raw[[#This Row],[Column12]] * deployment_raw[[#This Row],[Column5]]), ((deployment_raw[[#This Row],[Column8]] * deployment_raw[[#This Row],[Column5]]) * $L$2), ($H$2 * deployment_raw[[#This Row],[Column5]])), 0),"")</f>
        <v/>
      </c>
      <c r="M46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67" s="188" t="str">
        <f>IF(ISNUMBER(deployment_raw[[#This Row],[Column14]]), deployment_raw[[#This Row],[Column14]],"")</f>
        <v/>
      </c>
      <c r="O467" s="189" t="str">
        <f>IF(ISNUMBER(deployment_raw[[#This Row],[Column15]]), deployment_raw[[#This Row],[Column15]]/1048576,"")</f>
        <v/>
      </c>
      <c r="P467" s="190" t="str">
        <f>IF(ISNUMBER(deployment_raw[[#This Row],[Column12]]), (deployment_raw[[#This Row],[Column12]] * deployment_raw[[#This Row],[Column5]]),"")</f>
        <v/>
      </c>
      <c r="Q467" s="189" t="str">
        <f>IF(ISNUMBER(deployment_raw[[#This Row],[Column13]]), (deployment_raw[[#This Row],[Column13]] * deployment_raw[[#This Row],[Column5]])/1048576,"")</f>
        <v/>
      </c>
    </row>
    <row r="468" spans="1:17" ht="15.75" customHeight="1" x14ac:dyDescent="0.25">
      <c r="A468" s="37" t="str">
        <f>IF(ISNONTEXT(deployment_raw[[#This Row],[Column1]]), "", deployment_raw[[#This Row],[Column1]])</f>
        <v/>
      </c>
      <c r="B468" s="38" t="str">
        <f>IF(ISNONTEXT(deployment_raw[[#This Row],[Column2]]), "", deployment_raw[[#This Row],[Column2]])</f>
        <v/>
      </c>
      <c r="C468" s="38" t="str">
        <f>IF(ISNONTEXT(deployment_raw[[#This Row],[Column3]]), "", deployment_raw[[#This Row],[Column3]])</f>
        <v/>
      </c>
      <c r="D468" s="38" t="str">
        <f>IF(ISNONTEXT(deployment_raw[[#This Row],[Column4]]), "", deployment_raw[[#This Row],[Column4]])</f>
        <v/>
      </c>
      <c r="E468" s="39" t="str">
        <f>IF(ISNUMBER(deployment_raw[[#This Row],[Column5]]), deployment_raw[[#This Row],[Column5]],"")</f>
        <v/>
      </c>
      <c r="F468" s="174" t="str">
        <f>IF(ISNUMBER(deployment_raw[[#This Row],[Column6]]), (deployment_raw[[#This Row],[Column6]] * deployment_raw[[#This Row],[Column5]]),"")</f>
        <v/>
      </c>
      <c r="G468" s="175" t="str">
        <f>IF(ISNUMBER(deployment_raw[[#This Row],[Column7]]), (deployment_raw[[#This Row],[Column7]] * deployment_raw[[#This Row],[Column5]])/1048576,"")</f>
        <v/>
      </c>
      <c r="H468" s="175" t="str">
        <f>IF(ISNUMBER(deployment_raw[[#This Row],[Column8]]), (deployment_raw[[#This Row],[Column8]]  * deployment_raw[[#This Row],[Column5]]),"")</f>
        <v/>
      </c>
      <c r="I468" s="176" t="str">
        <f>IF(ISNUMBER(deployment_raw[[#This Row],[Column9]]), (deployment_raw[[#This Row],[Column9]] * deployment_raw[[#This Row],[Column5]])/1048576,"")</f>
        <v/>
      </c>
      <c r="J468" s="57" t="str">
        <f>IF(ISNUMBER(deployment_raw[[#This Row],[Column10]]), (deployment_raw[[#This Row],[Column10]] * deployment_raw[[#This Row],[Column5]]),"")</f>
        <v/>
      </c>
      <c r="K468" s="58" t="str">
        <f>IF(ISNUMBER(deployment_raw[[#This Row],[Column11]]), (deployment_raw[[#This Row],[Column11]] * deployment_raw[[#This Row],[Column5]])/1048576,"")</f>
        <v/>
      </c>
      <c r="L468" s="180" t="str">
        <f>IF(ISNUMBER(deployment_raw[[#This Row],[Column8]]),IF(deployment_raw[[#This Row],[Column5]] &lt;&gt; 0, MAX((deployment_raw[[#This Row],[Column12]] * deployment_raw[[#This Row],[Column5]]), ((deployment_raw[[#This Row],[Column8]] * deployment_raw[[#This Row],[Column5]]) * $L$2), ($H$2 * deployment_raw[[#This Row],[Column5]])), 0),"")</f>
        <v/>
      </c>
      <c r="M46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68" s="188" t="str">
        <f>IF(ISNUMBER(deployment_raw[[#This Row],[Column14]]), deployment_raw[[#This Row],[Column14]],"")</f>
        <v/>
      </c>
      <c r="O468" s="189" t="str">
        <f>IF(ISNUMBER(deployment_raw[[#This Row],[Column15]]), deployment_raw[[#This Row],[Column15]]/1048576,"")</f>
        <v/>
      </c>
      <c r="P468" s="190" t="str">
        <f>IF(ISNUMBER(deployment_raw[[#This Row],[Column12]]), (deployment_raw[[#This Row],[Column12]] * deployment_raw[[#This Row],[Column5]]),"")</f>
        <v/>
      </c>
      <c r="Q468" s="189" t="str">
        <f>IF(ISNUMBER(deployment_raw[[#This Row],[Column13]]), (deployment_raw[[#This Row],[Column13]] * deployment_raw[[#This Row],[Column5]])/1048576,"")</f>
        <v/>
      </c>
    </row>
    <row r="469" spans="1:17" ht="15.75" customHeight="1" x14ac:dyDescent="0.25">
      <c r="A469" s="37" t="str">
        <f>IF(ISNONTEXT(deployment_raw[[#This Row],[Column1]]), "", deployment_raw[[#This Row],[Column1]])</f>
        <v/>
      </c>
      <c r="B469" s="38" t="str">
        <f>IF(ISNONTEXT(deployment_raw[[#This Row],[Column2]]), "", deployment_raw[[#This Row],[Column2]])</f>
        <v/>
      </c>
      <c r="C469" s="38" t="str">
        <f>IF(ISNONTEXT(deployment_raw[[#This Row],[Column3]]), "", deployment_raw[[#This Row],[Column3]])</f>
        <v/>
      </c>
      <c r="D469" s="38" t="str">
        <f>IF(ISNONTEXT(deployment_raw[[#This Row],[Column4]]), "", deployment_raw[[#This Row],[Column4]])</f>
        <v/>
      </c>
      <c r="E469" s="39" t="str">
        <f>IF(ISNUMBER(deployment_raw[[#This Row],[Column5]]), deployment_raw[[#This Row],[Column5]],"")</f>
        <v/>
      </c>
      <c r="F469" s="174" t="str">
        <f>IF(ISNUMBER(deployment_raw[[#This Row],[Column6]]), (deployment_raw[[#This Row],[Column6]] * deployment_raw[[#This Row],[Column5]]),"")</f>
        <v/>
      </c>
      <c r="G469" s="175" t="str">
        <f>IF(ISNUMBER(deployment_raw[[#This Row],[Column7]]), (deployment_raw[[#This Row],[Column7]] * deployment_raw[[#This Row],[Column5]])/1048576,"")</f>
        <v/>
      </c>
      <c r="H469" s="175" t="str">
        <f>IF(ISNUMBER(deployment_raw[[#This Row],[Column8]]), (deployment_raw[[#This Row],[Column8]]  * deployment_raw[[#This Row],[Column5]]),"")</f>
        <v/>
      </c>
      <c r="I469" s="176" t="str">
        <f>IF(ISNUMBER(deployment_raw[[#This Row],[Column9]]), (deployment_raw[[#This Row],[Column9]] * deployment_raw[[#This Row],[Column5]])/1048576,"")</f>
        <v/>
      </c>
      <c r="J469" s="57" t="str">
        <f>IF(ISNUMBER(deployment_raw[[#This Row],[Column10]]), (deployment_raw[[#This Row],[Column10]] * deployment_raw[[#This Row],[Column5]]),"")</f>
        <v/>
      </c>
      <c r="K469" s="58" t="str">
        <f>IF(ISNUMBER(deployment_raw[[#This Row],[Column11]]), (deployment_raw[[#This Row],[Column11]] * deployment_raw[[#This Row],[Column5]])/1048576,"")</f>
        <v/>
      </c>
      <c r="L469" s="180" t="str">
        <f>IF(ISNUMBER(deployment_raw[[#This Row],[Column8]]),IF(deployment_raw[[#This Row],[Column5]] &lt;&gt; 0, MAX((deployment_raw[[#This Row],[Column12]] * deployment_raw[[#This Row],[Column5]]), ((deployment_raw[[#This Row],[Column8]] * deployment_raw[[#This Row],[Column5]]) * $L$2), ($H$2 * deployment_raw[[#This Row],[Column5]])), 0),"")</f>
        <v/>
      </c>
      <c r="M46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69" s="188" t="str">
        <f>IF(ISNUMBER(deployment_raw[[#This Row],[Column14]]), deployment_raw[[#This Row],[Column14]],"")</f>
        <v/>
      </c>
      <c r="O469" s="189" t="str">
        <f>IF(ISNUMBER(deployment_raw[[#This Row],[Column15]]), deployment_raw[[#This Row],[Column15]]/1048576,"")</f>
        <v/>
      </c>
      <c r="P469" s="190" t="str">
        <f>IF(ISNUMBER(deployment_raw[[#This Row],[Column12]]), (deployment_raw[[#This Row],[Column12]] * deployment_raw[[#This Row],[Column5]]),"")</f>
        <v/>
      </c>
      <c r="Q469" s="189" t="str">
        <f>IF(ISNUMBER(deployment_raw[[#This Row],[Column13]]), (deployment_raw[[#This Row],[Column13]] * deployment_raw[[#This Row],[Column5]])/1048576,"")</f>
        <v/>
      </c>
    </row>
    <row r="470" spans="1:17" ht="15.75" customHeight="1" x14ac:dyDescent="0.25">
      <c r="A470" s="37" t="str">
        <f>IF(ISNONTEXT(deployment_raw[[#This Row],[Column1]]), "", deployment_raw[[#This Row],[Column1]])</f>
        <v/>
      </c>
      <c r="B470" s="38" t="str">
        <f>IF(ISNONTEXT(deployment_raw[[#This Row],[Column2]]), "", deployment_raw[[#This Row],[Column2]])</f>
        <v/>
      </c>
      <c r="C470" s="38" t="str">
        <f>IF(ISNONTEXT(deployment_raw[[#This Row],[Column3]]), "", deployment_raw[[#This Row],[Column3]])</f>
        <v/>
      </c>
      <c r="D470" s="38" t="str">
        <f>IF(ISNONTEXT(deployment_raw[[#This Row],[Column4]]), "", deployment_raw[[#This Row],[Column4]])</f>
        <v/>
      </c>
      <c r="E470" s="39" t="str">
        <f>IF(ISNUMBER(deployment_raw[[#This Row],[Column5]]), deployment_raw[[#This Row],[Column5]],"")</f>
        <v/>
      </c>
      <c r="F470" s="174" t="str">
        <f>IF(ISNUMBER(deployment_raw[[#This Row],[Column6]]), (deployment_raw[[#This Row],[Column6]] * deployment_raw[[#This Row],[Column5]]),"")</f>
        <v/>
      </c>
      <c r="G470" s="175" t="str">
        <f>IF(ISNUMBER(deployment_raw[[#This Row],[Column7]]), (deployment_raw[[#This Row],[Column7]] * deployment_raw[[#This Row],[Column5]])/1048576,"")</f>
        <v/>
      </c>
      <c r="H470" s="175" t="str">
        <f>IF(ISNUMBER(deployment_raw[[#This Row],[Column8]]), (deployment_raw[[#This Row],[Column8]]  * deployment_raw[[#This Row],[Column5]]),"")</f>
        <v/>
      </c>
      <c r="I470" s="176" t="str">
        <f>IF(ISNUMBER(deployment_raw[[#This Row],[Column9]]), (deployment_raw[[#This Row],[Column9]] * deployment_raw[[#This Row],[Column5]])/1048576,"")</f>
        <v/>
      </c>
      <c r="J470" s="57" t="str">
        <f>IF(ISNUMBER(deployment_raw[[#This Row],[Column10]]), (deployment_raw[[#This Row],[Column10]] * deployment_raw[[#This Row],[Column5]]),"")</f>
        <v/>
      </c>
      <c r="K470" s="58" t="str">
        <f>IF(ISNUMBER(deployment_raw[[#This Row],[Column11]]), (deployment_raw[[#This Row],[Column11]] * deployment_raw[[#This Row],[Column5]])/1048576,"")</f>
        <v/>
      </c>
      <c r="L470" s="180" t="str">
        <f>IF(ISNUMBER(deployment_raw[[#This Row],[Column8]]),IF(deployment_raw[[#This Row],[Column5]] &lt;&gt; 0, MAX((deployment_raw[[#This Row],[Column12]] * deployment_raw[[#This Row],[Column5]]), ((deployment_raw[[#This Row],[Column8]] * deployment_raw[[#This Row],[Column5]]) * $L$2), ($H$2 * deployment_raw[[#This Row],[Column5]])), 0),"")</f>
        <v/>
      </c>
      <c r="M47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70" s="188" t="str">
        <f>IF(ISNUMBER(deployment_raw[[#This Row],[Column14]]), deployment_raw[[#This Row],[Column14]],"")</f>
        <v/>
      </c>
      <c r="O470" s="189" t="str">
        <f>IF(ISNUMBER(deployment_raw[[#This Row],[Column15]]), deployment_raw[[#This Row],[Column15]]/1048576,"")</f>
        <v/>
      </c>
      <c r="P470" s="190" t="str">
        <f>IF(ISNUMBER(deployment_raw[[#This Row],[Column12]]), (deployment_raw[[#This Row],[Column12]] * deployment_raw[[#This Row],[Column5]]),"")</f>
        <v/>
      </c>
      <c r="Q470" s="189" t="str">
        <f>IF(ISNUMBER(deployment_raw[[#This Row],[Column13]]), (deployment_raw[[#This Row],[Column13]] * deployment_raw[[#This Row],[Column5]])/1048576,"")</f>
        <v/>
      </c>
    </row>
    <row r="471" spans="1:17" ht="15.75" customHeight="1" x14ac:dyDescent="0.25">
      <c r="A471" s="37" t="str">
        <f>IF(ISNONTEXT(deployment_raw[[#This Row],[Column1]]), "", deployment_raw[[#This Row],[Column1]])</f>
        <v/>
      </c>
      <c r="B471" s="38" t="str">
        <f>IF(ISNONTEXT(deployment_raw[[#This Row],[Column2]]), "", deployment_raw[[#This Row],[Column2]])</f>
        <v/>
      </c>
      <c r="C471" s="38" t="str">
        <f>IF(ISNONTEXT(deployment_raw[[#This Row],[Column3]]), "", deployment_raw[[#This Row],[Column3]])</f>
        <v/>
      </c>
      <c r="D471" s="38" t="str">
        <f>IF(ISNONTEXT(deployment_raw[[#This Row],[Column4]]), "", deployment_raw[[#This Row],[Column4]])</f>
        <v/>
      </c>
      <c r="E471" s="39" t="str">
        <f>IF(ISNUMBER(deployment_raw[[#This Row],[Column5]]), deployment_raw[[#This Row],[Column5]],"")</f>
        <v/>
      </c>
      <c r="F471" s="174" t="str">
        <f>IF(ISNUMBER(deployment_raw[[#This Row],[Column6]]), (deployment_raw[[#This Row],[Column6]] * deployment_raw[[#This Row],[Column5]]),"")</f>
        <v/>
      </c>
      <c r="G471" s="175" t="str">
        <f>IF(ISNUMBER(deployment_raw[[#This Row],[Column7]]), (deployment_raw[[#This Row],[Column7]] * deployment_raw[[#This Row],[Column5]])/1048576,"")</f>
        <v/>
      </c>
      <c r="H471" s="175" t="str">
        <f>IF(ISNUMBER(deployment_raw[[#This Row],[Column8]]), (deployment_raw[[#This Row],[Column8]]  * deployment_raw[[#This Row],[Column5]]),"")</f>
        <v/>
      </c>
      <c r="I471" s="176" t="str">
        <f>IF(ISNUMBER(deployment_raw[[#This Row],[Column9]]), (deployment_raw[[#This Row],[Column9]] * deployment_raw[[#This Row],[Column5]])/1048576,"")</f>
        <v/>
      </c>
      <c r="J471" s="57" t="str">
        <f>IF(ISNUMBER(deployment_raw[[#This Row],[Column10]]), (deployment_raw[[#This Row],[Column10]] * deployment_raw[[#This Row],[Column5]]),"")</f>
        <v/>
      </c>
      <c r="K471" s="58" t="str">
        <f>IF(ISNUMBER(deployment_raw[[#This Row],[Column11]]), (deployment_raw[[#This Row],[Column11]] * deployment_raw[[#This Row],[Column5]])/1048576,"")</f>
        <v/>
      </c>
      <c r="L471" s="180" t="str">
        <f>IF(ISNUMBER(deployment_raw[[#This Row],[Column8]]),IF(deployment_raw[[#This Row],[Column5]] &lt;&gt; 0, MAX((deployment_raw[[#This Row],[Column12]] * deployment_raw[[#This Row],[Column5]]), ((deployment_raw[[#This Row],[Column8]] * deployment_raw[[#This Row],[Column5]]) * $L$2), ($H$2 * deployment_raw[[#This Row],[Column5]])), 0),"")</f>
        <v/>
      </c>
      <c r="M47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71" s="188" t="str">
        <f>IF(ISNUMBER(deployment_raw[[#This Row],[Column14]]), deployment_raw[[#This Row],[Column14]],"")</f>
        <v/>
      </c>
      <c r="O471" s="189" t="str">
        <f>IF(ISNUMBER(deployment_raw[[#This Row],[Column15]]), deployment_raw[[#This Row],[Column15]]/1048576,"")</f>
        <v/>
      </c>
      <c r="P471" s="190" t="str">
        <f>IF(ISNUMBER(deployment_raw[[#This Row],[Column12]]), (deployment_raw[[#This Row],[Column12]] * deployment_raw[[#This Row],[Column5]]),"")</f>
        <v/>
      </c>
      <c r="Q471" s="189" t="str">
        <f>IF(ISNUMBER(deployment_raw[[#This Row],[Column13]]), (deployment_raw[[#This Row],[Column13]] * deployment_raw[[#This Row],[Column5]])/1048576,"")</f>
        <v/>
      </c>
    </row>
    <row r="472" spans="1:17" ht="15.75" customHeight="1" x14ac:dyDescent="0.25">
      <c r="A472" s="37" t="str">
        <f>IF(ISNONTEXT(deployment_raw[[#This Row],[Column1]]), "", deployment_raw[[#This Row],[Column1]])</f>
        <v/>
      </c>
      <c r="B472" s="38" t="str">
        <f>IF(ISNONTEXT(deployment_raw[[#This Row],[Column2]]), "", deployment_raw[[#This Row],[Column2]])</f>
        <v/>
      </c>
      <c r="C472" s="38" t="str">
        <f>IF(ISNONTEXT(deployment_raw[[#This Row],[Column3]]), "", deployment_raw[[#This Row],[Column3]])</f>
        <v/>
      </c>
      <c r="D472" s="38" t="str">
        <f>IF(ISNONTEXT(deployment_raw[[#This Row],[Column4]]), "", deployment_raw[[#This Row],[Column4]])</f>
        <v/>
      </c>
      <c r="E472" s="39" t="str">
        <f>IF(ISNUMBER(deployment_raw[[#This Row],[Column5]]), deployment_raw[[#This Row],[Column5]],"")</f>
        <v/>
      </c>
      <c r="F472" s="174" t="str">
        <f>IF(ISNUMBER(deployment_raw[[#This Row],[Column6]]), (deployment_raw[[#This Row],[Column6]] * deployment_raw[[#This Row],[Column5]]),"")</f>
        <v/>
      </c>
      <c r="G472" s="175" t="str">
        <f>IF(ISNUMBER(deployment_raw[[#This Row],[Column7]]), (deployment_raw[[#This Row],[Column7]] * deployment_raw[[#This Row],[Column5]])/1048576,"")</f>
        <v/>
      </c>
      <c r="H472" s="175" t="str">
        <f>IF(ISNUMBER(deployment_raw[[#This Row],[Column8]]), (deployment_raw[[#This Row],[Column8]]  * deployment_raw[[#This Row],[Column5]]),"")</f>
        <v/>
      </c>
      <c r="I472" s="176" t="str">
        <f>IF(ISNUMBER(deployment_raw[[#This Row],[Column9]]), (deployment_raw[[#This Row],[Column9]] * deployment_raw[[#This Row],[Column5]])/1048576,"")</f>
        <v/>
      </c>
      <c r="J472" s="57" t="str">
        <f>IF(ISNUMBER(deployment_raw[[#This Row],[Column10]]), (deployment_raw[[#This Row],[Column10]] * deployment_raw[[#This Row],[Column5]]),"")</f>
        <v/>
      </c>
      <c r="K472" s="58" t="str">
        <f>IF(ISNUMBER(deployment_raw[[#This Row],[Column11]]), (deployment_raw[[#This Row],[Column11]] * deployment_raw[[#This Row],[Column5]])/1048576,"")</f>
        <v/>
      </c>
      <c r="L472" s="180" t="str">
        <f>IF(ISNUMBER(deployment_raw[[#This Row],[Column8]]),IF(deployment_raw[[#This Row],[Column5]] &lt;&gt; 0, MAX((deployment_raw[[#This Row],[Column12]] * deployment_raw[[#This Row],[Column5]]), ((deployment_raw[[#This Row],[Column8]] * deployment_raw[[#This Row],[Column5]]) * $L$2), ($H$2 * deployment_raw[[#This Row],[Column5]])), 0),"")</f>
        <v/>
      </c>
      <c r="M47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72" s="188" t="str">
        <f>IF(ISNUMBER(deployment_raw[[#This Row],[Column14]]), deployment_raw[[#This Row],[Column14]],"")</f>
        <v/>
      </c>
      <c r="O472" s="189" t="str">
        <f>IF(ISNUMBER(deployment_raw[[#This Row],[Column15]]), deployment_raw[[#This Row],[Column15]]/1048576,"")</f>
        <v/>
      </c>
      <c r="P472" s="190" t="str">
        <f>IF(ISNUMBER(deployment_raw[[#This Row],[Column12]]), (deployment_raw[[#This Row],[Column12]] * deployment_raw[[#This Row],[Column5]]),"")</f>
        <v/>
      </c>
      <c r="Q472" s="189" t="str">
        <f>IF(ISNUMBER(deployment_raw[[#This Row],[Column13]]), (deployment_raw[[#This Row],[Column13]] * deployment_raw[[#This Row],[Column5]])/1048576,"")</f>
        <v/>
      </c>
    </row>
    <row r="473" spans="1:17" ht="15.75" customHeight="1" x14ac:dyDescent="0.25">
      <c r="A473" s="37" t="str">
        <f>IF(ISNONTEXT(deployment_raw[[#This Row],[Column1]]), "", deployment_raw[[#This Row],[Column1]])</f>
        <v/>
      </c>
      <c r="B473" s="38" t="str">
        <f>IF(ISNONTEXT(deployment_raw[[#This Row],[Column2]]), "", deployment_raw[[#This Row],[Column2]])</f>
        <v/>
      </c>
      <c r="C473" s="38" t="str">
        <f>IF(ISNONTEXT(deployment_raw[[#This Row],[Column3]]), "", deployment_raw[[#This Row],[Column3]])</f>
        <v/>
      </c>
      <c r="D473" s="38" t="str">
        <f>IF(ISNONTEXT(deployment_raw[[#This Row],[Column4]]), "", deployment_raw[[#This Row],[Column4]])</f>
        <v/>
      </c>
      <c r="E473" s="39" t="str">
        <f>IF(ISNUMBER(deployment_raw[[#This Row],[Column5]]), deployment_raw[[#This Row],[Column5]],"")</f>
        <v/>
      </c>
      <c r="F473" s="174" t="str">
        <f>IF(ISNUMBER(deployment_raw[[#This Row],[Column6]]), (deployment_raw[[#This Row],[Column6]] * deployment_raw[[#This Row],[Column5]]),"")</f>
        <v/>
      </c>
      <c r="G473" s="175" t="str">
        <f>IF(ISNUMBER(deployment_raw[[#This Row],[Column7]]), (deployment_raw[[#This Row],[Column7]] * deployment_raw[[#This Row],[Column5]])/1048576,"")</f>
        <v/>
      </c>
      <c r="H473" s="175" t="str">
        <f>IF(ISNUMBER(deployment_raw[[#This Row],[Column8]]), (deployment_raw[[#This Row],[Column8]]  * deployment_raw[[#This Row],[Column5]]),"")</f>
        <v/>
      </c>
      <c r="I473" s="176" t="str">
        <f>IF(ISNUMBER(deployment_raw[[#This Row],[Column9]]), (deployment_raw[[#This Row],[Column9]] * deployment_raw[[#This Row],[Column5]])/1048576,"")</f>
        <v/>
      </c>
      <c r="J473" s="57" t="str">
        <f>IF(ISNUMBER(deployment_raw[[#This Row],[Column10]]), (deployment_raw[[#This Row],[Column10]] * deployment_raw[[#This Row],[Column5]]),"")</f>
        <v/>
      </c>
      <c r="K473" s="58" t="str">
        <f>IF(ISNUMBER(deployment_raw[[#This Row],[Column11]]), (deployment_raw[[#This Row],[Column11]] * deployment_raw[[#This Row],[Column5]])/1048576,"")</f>
        <v/>
      </c>
      <c r="L473" s="180" t="str">
        <f>IF(ISNUMBER(deployment_raw[[#This Row],[Column8]]),IF(deployment_raw[[#This Row],[Column5]] &lt;&gt; 0, MAX((deployment_raw[[#This Row],[Column12]] * deployment_raw[[#This Row],[Column5]]), ((deployment_raw[[#This Row],[Column8]] * deployment_raw[[#This Row],[Column5]]) * $L$2), ($H$2 * deployment_raw[[#This Row],[Column5]])), 0),"")</f>
        <v/>
      </c>
      <c r="M47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73" s="188" t="str">
        <f>IF(ISNUMBER(deployment_raw[[#This Row],[Column14]]), deployment_raw[[#This Row],[Column14]],"")</f>
        <v/>
      </c>
      <c r="O473" s="189" t="str">
        <f>IF(ISNUMBER(deployment_raw[[#This Row],[Column15]]), deployment_raw[[#This Row],[Column15]]/1048576,"")</f>
        <v/>
      </c>
      <c r="P473" s="190" t="str">
        <f>IF(ISNUMBER(deployment_raw[[#This Row],[Column12]]), (deployment_raw[[#This Row],[Column12]] * deployment_raw[[#This Row],[Column5]]),"")</f>
        <v/>
      </c>
      <c r="Q473" s="189" t="str">
        <f>IF(ISNUMBER(deployment_raw[[#This Row],[Column13]]), (deployment_raw[[#This Row],[Column13]] * deployment_raw[[#This Row],[Column5]])/1048576,"")</f>
        <v/>
      </c>
    </row>
    <row r="474" spans="1:17" ht="15.75" customHeight="1" x14ac:dyDescent="0.25">
      <c r="A474" s="37" t="str">
        <f>IF(ISNONTEXT(deployment_raw[[#This Row],[Column1]]), "", deployment_raw[[#This Row],[Column1]])</f>
        <v/>
      </c>
      <c r="B474" s="38" t="str">
        <f>IF(ISNONTEXT(deployment_raw[[#This Row],[Column2]]), "", deployment_raw[[#This Row],[Column2]])</f>
        <v/>
      </c>
      <c r="C474" s="38" t="str">
        <f>IF(ISNONTEXT(deployment_raw[[#This Row],[Column3]]), "", deployment_raw[[#This Row],[Column3]])</f>
        <v/>
      </c>
      <c r="D474" s="38" t="str">
        <f>IF(ISNONTEXT(deployment_raw[[#This Row],[Column4]]), "", deployment_raw[[#This Row],[Column4]])</f>
        <v/>
      </c>
      <c r="E474" s="39" t="str">
        <f>IF(ISNUMBER(deployment_raw[[#This Row],[Column5]]), deployment_raw[[#This Row],[Column5]],"")</f>
        <v/>
      </c>
      <c r="F474" s="174" t="str">
        <f>IF(ISNUMBER(deployment_raw[[#This Row],[Column6]]), (deployment_raw[[#This Row],[Column6]] * deployment_raw[[#This Row],[Column5]]),"")</f>
        <v/>
      </c>
      <c r="G474" s="175" t="str">
        <f>IF(ISNUMBER(deployment_raw[[#This Row],[Column7]]), (deployment_raw[[#This Row],[Column7]] * deployment_raw[[#This Row],[Column5]])/1048576,"")</f>
        <v/>
      </c>
      <c r="H474" s="175" t="str">
        <f>IF(ISNUMBER(deployment_raw[[#This Row],[Column8]]), (deployment_raw[[#This Row],[Column8]]  * deployment_raw[[#This Row],[Column5]]),"")</f>
        <v/>
      </c>
      <c r="I474" s="176" t="str">
        <f>IF(ISNUMBER(deployment_raw[[#This Row],[Column9]]), (deployment_raw[[#This Row],[Column9]] * deployment_raw[[#This Row],[Column5]])/1048576,"")</f>
        <v/>
      </c>
      <c r="J474" s="57" t="str">
        <f>IF(ISNUMBER(deployment_raw[[#This Row],[Column10]]), (deployment_raw[[#This Row],[Column10]] * deployment_raw[[#This Row],[Column5]]),"")</f>
        <v/>
      </c>
      <c r="K474" s="58" t="str">
        <f>IF(ISNUMBER(deployment_raw[[#This Row],[Column11]]), (deployment_raw[[#This Row],[Column11]] * deployment_raw[[#This Row],[Column5]])/1048576,"")</f>
        <v/>
      </c>
      <c r="L474" s="180" t="str">
        <f>IF(ISNUMBER(deployment_raw[[#This Row],[Column8]]),IF(deployment_raw[[#This Row],[Column5]] &lt;&gt; 0, MAX((deployment_raw[[#This Row],[Column12]] * deployment_raw[[#This Row],[Column5]]), ((deployment_raw[[#This Row],[Column8]] * deployment_raw[[#This Row],[Column5]]) * $L$2), ($H$2 * deployment_raw[[#This Row],[Column5]])), 0),"")</f>
        <v/>
      </c>
      <c r="M47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74" s="188" t="str">
        <f>IF(ISNUMBER(deployment_raw[[#This Row],[Column14]]), deployment_raw[[#This Row],[Column14]],"")</f>
        <v/>
      </c>
      <c r="O474" s="189" t="str">
        <f>IF(ISNUMBER(deployment_raw[[#This Row],[Column15]]), deployment_raw[[#This Row],[Column15]]/1048576,"")</f>
        <v/>
      </c>
      <c r="P474" s="190" t="str">
        <f>IF(ISNUMBER(deployment_raw[[#This Row],[Column12]]), (deployment_raw[[#This Row],[Column12]] * deployment_raw[[#This Row],[Column5]]),"")</f>
        <v/>
      </c>
      <c r="Q474" s="189" t="str">
        <f>IF(ISNUMBER(deployment_raw[[#This Row],[Column13]]), (deployment_raw[[#This Row],[Column13]] * deployment_raw[[#This Row],[Column5]])/1048576,"")</f>
        <v/>
      </c>
    </row>
    <row r="475" spans="1:17" ht="15.75" customHeight="1" x14ac:dyDescent="0.25">
      <c r="A475" s="37" t="str">
        <f>IF(ISNONTEXT(deployment_raw[[#This Row],[Column1]]), "", deployment_raw[[#This Row],[Column1]])</f>
        <v/>
      </c>
      <c r="B475" s="38" t="str">
        <f>IF(ISNONTEXT(deployment_raw[[#This Row],[Column2]]), "", deployment_raw[[#This Row],[Column2]])</f>
        <v/>
      </c>
      <c r="C475" s="38" t="str">
        <f>IF(ISNONTEXT(deployment_raw[[#This Row],[Column3]]), "", deployment_raw[[#This Row],[Column3]])</f>
        <v/>
      </c>
      <c r="D475" s="38" t="str">
        <f>IF(ISNONTEXT(deployment_raw[[#This Row],[Column4]]), "", deployment_raw[[#This Row],[Column4]])</f>
        <v/>
      </c>
      <c r="E475" s="39" t="str">
        <f>IF(ISNUMBER(deployment_raw[[#This Row],[Column5]]), deployment_raw[[#This Row],[Column5]],"")</f>
        <v/>
      </c>
      <c r="F475" s="174" t="str">
        <f>IF(ISNUMBER(deployment_raw[[#This Row],[Column6]]), (deployment_raw[[#This Row],[Column6]] * deployment_raw[[#This Row],[Column5]]),"")</f>
        <v/>
      </c>
      <c r="G475" s="175" t="str">
        <f>IF(ISNUMBER(deployment_raw[[#This Row],[Column7]]), (deployment_raw[[#This Row],[Column7]] * deployment_raw[[#This Row],[Column5]])/1048576,"")</f>
        <v/>
      </c>
      <c r="H475" s="175" t="str">
        <f>IF(ISNUMBER(deployment_raw[[#This Row],[Column8]]), (deployment_raw[[#This Row],[Column8]]  * deployment_raw[[#This Row],[Column5]]),"")</f>
        <v/>
      </c>
      <c r="I475" s="176" t="str">
        <f>IF(ISNUMBER(deployment_raw[[#This Row],[Column9]]), (deployment_raw[[#This Row],[Column9]] * deployment_raw[[#This Row],[Column5]])/1048576,"")</f>
        <v/>
      </c>
      <c r="J475" s="57" t="str">
        <f>IF(ISNUMBER(deployment_raw[[#This Row],[Column10]]), (deployment_raw[[#This Row],[Column10]] * deployment_raw[[#This Row],[Column5]]),"")</f>
        <v/>
      </c>
      <c r="K475" s="58" t="str">
        <f>IF(ISNUMBER(deployment_raw[[#This Row],[Column11]]), (deployment_raw[[#This Row],[Column11]] * deployment_raw[[#This Row],[Column5]])/1048576,"")</f>
        <v/>
      </c>
      <c r="L475" s="180" t="str">
        <f>IF(ISNUMBER(deployment_raw[[#This Row],[Column8]]),IF(deployment_raw[[#This Row],[Column5]] &lt;&gt; 0, MAX((deployment_raw[[#This Row],[Column12]] * deployment_raw[[#This Row],[Column5]]), ((deployment_raw[[#This Row],[Column8]] * deployment_raw[[#This Row],[Column5]]) * $L$2), ($H$2 * deployment_raw[[#This Row],[Column5]])), 0),"")</f>
        <v/>
      </c>
      <c r="M47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75" s="188" t="str">
        <f>IF(ISNUMBER(deployment_raw[[#This Row],[Column14]]), deployment_raw[[#This Row],[Column14]],"")</f>
        <v/>
      </c>
      <c r="O475" s="189" t="str">
        <f>IF(ISNUMBER(deployment_raw[[#This Row],[Column15]]), deployment_raw[[#This Row],[Column15]]/1048576,"")</f>
        <v/>
      </c>
      <c r="P475" s="190" t="str">
        <f>IF(ISNUMBER(deployment_raw[[#This Row],[Column12]]), (deployment_raw[[#This Row],[Column12]] * deployment_raw[[#This Row],[Column5]]),"")</f>
        <v/>
      </c>
      <c r="Q475" s="189" t="str">
        <f>IF(ISNUMBER(deployment_raw[[#This Row],[Column13]]), (deployment_raw[[#This Row],[Column13]] * deployment_raw[[#This Row],[Column5]])/1048576,"")</f>
        <v/>
      </c>
    </row>
    <row r="476" spans="1:17" ht="15.75" customHeight="1" x14ac:dyDescent="0.25">
      <c r="A476" s="37" t="str">
        <f>IF(ISNONTEXT(deployment_raw[[#This Row],[Column1]]), "", deployment_raw[[#This Row],[Column1]])</f>
        <v/>
      </c>
      <c r="B476" s="38" t="str">
        <f>IF(ISNONTEXT(deployment_raw[[#This Row],[Column2]]), "", deployment_raw[[#This Row],[Column2]])</f>
        <v/>
      </c>
      <c r="C476" s="38" t="str">
        <f>IF(ISNONTEXT(deployment_raw[[#This Row],[Column3]]), "", deployment_raw[[#This Row],[Column3]])</f>
        <v/>
      </c>
      <c r="D476" s="38" t="str">
        <f>IF(ISNONTEXT(deployment_raw[[#This Row],[Column4]]), "", deployment_raw[[#This Row],[Column4]])</f>
        <v/>
      </c>
      <c r="E476" s="39" t="str">
        <f>IF(ISNUMBER(deployment_raw[[#This Row],[Column5]]), deployment_raw[[#This Row],[Column5]],"")</f>
        <v/>
      </c>
      <c r="F476" s="174" t="str">
        <f>IF(ISNUMBER(deployment_raw[[#This Row],[Column6]]), (deployment_raw[[#This Row],[Column6]] * deployment_raw[[#This Row],[Column5]]),"")</f>
        <v/>
      </c>
      <c r="G476" s="175" t="str">
        <f>IF(ISNUMBER(deployment_raw[[#This Row],[Column7]]), (deployment_raw[[#This Row],[Column7]] * deployment_raw[[#This Row],[Column5]])/1048576,"")</f>
        <v/>
      </c>
      <c r="H476" s="175" t="str">
        <f>IF(ISNUMBER(deployment_raw[[#This Row],[Column8]]), (deployment_raw[[#This Row],[Column8]]  * deployment_raw[[#This Row],[Column5]]),"")</f>
        <v/>
      </c>
      <c r="I476" s="176" t="str">
        <f>IF(ISNUMBER(deployment_raw[[#This Row],[Column9]]), (deployment_raw[[#This Row],[Column9]] * deployment_raw[[#This Row],[Column5]])/1048576,"")</f>
        <v/>
      </c>
      <c r="J476" s="57" t="str">
        <f>IF(ISNUMBER(deployment_raw[[#This Row],[Column10]]), (deployment_raw[[#This Row],[Column10]] * deployment_raw[[#This Row],[Column5]]),"")</f>
        <v/>
      </c>
      <c r="K476" s="58" t="str">
        <f>IF(ISNUMBER(deployment_raw[[#This Row],[Column11]]), (deployment_raw[[#This Row],[Column11]] * deployment_raw[[#This Row],[Column5]])/1048576,"")</f>
        <v/>
      </c>
      <c r="L476" s="180" t="str">
        <f>IF(ISNUMBER(deployment_raw[[#This Row],[Column8]]),IF(deployment_raw[[#This Row],[Column5]] &lt;&gt; 0, MAX((deployment_raw[[#This Row],[Column12]] * deployment_raw[[#This Row],[Column5]]), ((deployment_raw[[#This Row],[Column8]] * deployment_raw[[#This Row],[Column5]]) * $L$2), ($H$2 * deployment_raw[[#This Row],[Column5]])), 0),"")</f>
        <v/>
      </c>
      <c r="M47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76" s="188" t="str">
        <f>IF(ISNUMBER(deployment_raw[[#This Row],[Column14]]), deployment_raw[[#This Row],[Column14]],"")</f>
        <v/>
      </c>
      <c r="O476" s="189" t="str">
        <f>IF(ISNUMBER(deployment_raw[[#This Row],[Column15]]), deployment_raw[[#This Row],[Column15]]/1048576,"")</f>
        <v/>
      </c>
      <c r="P476" s="190" t="str">
        <f>IF(ISNUMBER(deployment_raw[[#This Row],[Column12]]), (deployment_raw[[#This Row],[Column12]] * deployment_raw[[#This Row],[Column5]]),"")</f>
        <v/>
      </c>
      <c r="Q476" s="189" t="str">
        <f>IF(ISNUMBER(deployment_raw[[#This Row],[Column13]]), (deployment_raw[[#This Row],[Column13]] * deployment_raw[[#This Row],[Column5]])/1048576,"")</f>
        <v/>
      </c>
    </row>
    <row r="477" spans="1:17" ht="15.75" customHeight="1" x14ac:dyDescent="0.25">
      <c r="A477" s="37" t="str">
        <f>IF(ISNONTEXT(deployment_raw[[#This Row],[Column1]]), "", deployment_raw[[#This Row],[Column1]])</f>
        <v/>
      </c>
      <c r="B477" s="38" t="str">
        <f>IF(ISNONTEXT(deployment_raw[[#This Row],[Column2]]), "", deployment_raw[[#This Row],[Column2]])</f>
        <v/>
      </c>
      <c r="C477" s="38" t="str">
        <f>IF(ISNONTEXT(deployment_raw[[#This Row],[Column3]]), "", deployment_raw[[#This Row],[Column3]])</f>
        <v/>
      </c>
      <c r="D477" s="38" t="str">
        <f>IF(ISNONTEXT(deployment_raw[[#This Row],[Column4]]), "", deployment_raw[[#This Row],[Column4]])</f>
        <v/>
      </c>
      <c r="E477" s="39" t="str">
        <f>IF(ISNUMBER(deployment_raw[[#This Row],[Column5]]), deployment_raw[[#This Row],[Column5]],"")</f>
        <v/>
      </c>
      <c r="F477" s="174" t="str">
        <f>IF(ISNUMBER(deployment_raw[[#This Row],[Column6]]), (deployment_raw[[#This Row],[Column6]] * deployment_raw[[#This Row],[Column5]]),"")</f>
        <v/>
      </c>
      <c r="G477" s="175" t="str">
        <f>IF(ISNUMBER(deployment_raw[[#This Row],[Column7]]), (deployment_raw[[#This Row],[Column7]] * deployment_raw[[#This Row],[Column5]])/1048576,"")</f>
        <v/>
      </c>
      <c r="H477" s="175" t="str">
        <f>IF(ISNUMBER(deployment_raw[[#This Row],[Column8]]), (deployment_raw[[#This Row],[Column8]]  * deployment_raw[[#This Row],[Column5]]),"")</f>
        <v/>
      </c>
      <c r="I477" s="176" t="str">
        <f>IF(ISNUMBER(deployment_raw[[#This Row],[Column9]]), (deployment_raw[[#This Row],[Column9]] * deployment_raw[[#This Row],[Column5]])/1048576,"")</f>
        <v/>
      </c>
      <c r="J477" s="57" t="str">
        <f>IF(ISNUMBER(deployment_raw[[#This Row],[Column10]]), (deployment_raw[[#This Row],[Column10]] * deployment_raw[[#This Row],[Column5]]),"")</f>
        <v/>
      </c>
      <c r="K477" s="58" t="str">
        <f>IF(ISNUMBER(deployment_raw[[#This Row],[Column11]]), (deployment_raw[[#This Row],[Column11]] * deployment_raw[[#This Row],[Column5]])/1048576,"")</f>
        <v/>
      </c>
      <c r="L477" s="180" t="str">
        <f>IF(ISNUMBER(deployment_raw[[#This Row],[Column8]]),IF(deployment_raw[[#This Row],[Column5]] &lt;&gt; 0, MAX((deployment_raw[[#This Row],[Column12]] * deployment_raw[[#This Row],[Column5]]), ((deployment_raw[[#This Row],[Column8]] * deployment_raw[[#This Row],[Column5]]) * $L$2), ($H$2 * deployment_raw[[#This Row],[Column5]])), 0),"")</f>
        <v/>
      </c>
      <c r="M47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77" s="188" t="str">
        <f>IF(ISNUMBER(deployment_raw[[#This Row],[Column14]]), deployment_raw[[#This Row],[Column14]],"")</f>
        <v/>
      </c>
      <c r="O477" s="189" t="str">
        <f>IF(ISNUMBER(deployment_raw[[#This Row],[Column15]]), deployment_raw[[#This Row],[Column15]]/1048576,"")</f>
        <v/>
      </c>
      <c r="P477" s="190" t="str">
        <f>IF(ISNUMBER(deployment_raw[[#This Row],[Column12]]), (deployment_raw[[#This Row],[Column12]] * deployment_raw[[#This Row],[Column5]]),"")</f>
        <v/>
      </c>
      <c r="Q477" s="189" t="str">
        <f>IF(ISNUMBER(deployment_raw[[#This Row],[Column13]]), (deployment_raw[[#This Row],[Column13]] * deployment_raw[[#This Row],[Column5]])/1048576,"")</f>
        <v/>
      </c>
    </row>
    <row r="478" spans="1:17" ht="15.75" customHeight="1" x14ac:dyDescent="0.25">
      <c r="A478" s="37" t="str">
        <f>IF(ISNONTEXT(deployment_raw[[#This Row],[Column1]]), "", deployment_raw[[#This Row],[Column1]])</f>
        <v/>
      </c>
      <c r="B478" s="38" t="str">
        <f>IF(ISNONTEXT(deployment_raw[[#This Row],[Column2]]), "", deployment_raw[[#This Row],[Column2]])</f>
        <v/>
      </c>
      <c r="C478" s="38" t="str">
        <f>IF(ISNONTEXT(deployment_raw[[#This Row],[Column3]]), "", deployment_raw[[#This Row],[Column3]])</f>
        <v/>
      </c>
      <c r="D478" s="38" t="str">
        <f>IF(ISNONTEXT(deployment_raw[[#This Row],[Column4]]), "", deployment_raw[[#This Row],[Column4]])</f>
        <v/>
      </c>
      <c r="E478" s="39" t="str">
        <f>IF(ISNUMBER(deployment_raw[[#This Row],[Column5]]), deployment_raw[[#This Row],[Column5]],"")</f>
        <v/>
      </c>
      <c r="F478" s="174" t="str">
        <f>IF(ISNUMBER(deployment_raw[[#This Row],[Column6]]), (deployment_raw[[#This Row],[Column6]] * deployment_raw[[#This Row],[Column5]]),"")</f>
        <v/>
      </c>
      <c r="G478" s="175" t="str">
        <f>IF(ISNUMBER(deployment_raw[[#This Row],[Column7]]), (deployment_raw[[#This Row],[Column7]] * deployment_raw[[#This Row],[Column5]])/1048576,"")</f>
        <v/>
      </c>
      <c r="H478" s="175" t="str">
        <f>IF(ISNUMBER(deployment_raw[[#This Row],[Column8]]), (deployment_raw[[#This Row],[Column8]]  * deployment_raw[[#This Row],[Column5]]),"")</f>
        <v/>
      </c>
      <c r="I478" s="176" t="str">
        <f>IF(ISNUMBER(deployment_raw[[#This Row],[Column9]]), (deployment_raw[[#This Row],[Column9]] * deployment_raw[[#This Row],[Column5]])/1048576,"")</f>
        <v/>
      </c>
      <c r="J478" s="57" t="str">
        <f>IF(ISNUMBER(deployment_raw[[#This Row],[Column10]]), (deployment_raw[[#This Row],[Column10]] * deployment_raw[[#This Row],[Column5]]),"")</f>
        <v/>
      </c>
      <c r="K478" s="58" t="str">
        <f>IF(ISNUMBER(deployment_raw[[#This Row],[Column11]]), (deployment_raw[[#This Row],[Column11]] * deployment_raw[[#This Row],[Column5]])/1048576,"")</f>
        <v/>
      </c>
      <c r="L478" s="180" t="str">
        <f>IF(ISNUMBER(deployment_raw[[#This Row],[Column8]]),IF(deployment_raw[[#This Row],[Column5]] &lt;&gt; 0, MAX((deployment_raw[[#This Row],[Column12]] * deployment_raw[[#This Row],[Column5]]), ((deployment_raw[[#This Row],[Column8]] * deployment_raw[[#This Row],[Column5]]) * $L$2), ($H$2 * deployment_raw[[#This Row],[Column5]])), 0),"")</f>
        <v/>
      </c>
      <c r="M47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78" s="188" t="str">
        <f>IF(ISNUMBER(deployment_raw[[#This Row],[Column14]]), deployment_raw[[#This Row],[Column14]],"")</f>
        <v/>
      </c>
      <c r="O478" s="189" t="str">
        <f>IF(ISNUMBER(deployment_raw[[#This Row],[Column15]]), deployment_raw[[#This Row],[Column15]]/1048576,"")</f>
        <v/>
      </c>
      <c r="P478" s="190" t="str">
        <f>IF(ISNUMBER(deployment_raw[[#This Row],[Column12]]), (deployment_raw[[#This Row],[Column12]] * deployment_raw[[#This Row],[Column5]]),"")</f>
        <v/>
      </c>
      <c r="Q478" s="189" t="str">
        <f>IF(ISNUMBER(deployment_raw[[#This Row],[Column13]]), (deployment_raw[[#This Row],[Column13]] * deployment_raw[[#This Row],[Column5]])/1048576,"")</f>
        <v/>
      </c>
    </row>
    <row r="479" spans="1:17" ht="15.75" customHeight="1" x14ac:dyDescent="0.25">
      <c r="A479" s="37" t="str">
        <f>IF(ISNONTEXT(deployment_raw[[#This Row],[Column1]]), "", deployment_raw[[#This Row],[Column1]])</f>
        <v/>
      </c>
      <c r="B479" s="38" t="str">
        <f>IF(ISNONTEXT(deployment_raw[[#This Row],[Column2]]), "", deployment_raw[[#This Row],[Column2]])</f>
        <v/>
      </c>
      <c r="C479" s="38" t="str">
        <f>IF(ISNONTEXT(deployment_raw[[#This Row],[Column3]]), "", deployment_raw[[#This Row],[Column3]])</f>
        <v/>
      </c>
      <c r="D479" s="38" t="str">
        <f>IF(ISNONTEXT(deployment_raw[[#This Row],[Column4]]), "", deployment_raw[[#This Row],[Column4]])</f>
        <v/>
      </c>
      <c r="E479" s="39" t="str">
        <f>IF(ISNUMBER(deployment_raw[[#This Row],[Column5]]), deployment_raw[[#This Row],[Column5]],"")</f>
        <v/>
      </c>
      <c r="F479" s="174" t="str">
        <f>IF(ISNUMBER(deployment_raw[[#This Row],[Column6]]), (deployment_raw[[#This Row],[Column6]] * deployment_raw[[#This Row],[Column5]]),"")</f>
        <v/>
      </c>
      <c r="G479" s="175" t="str">
        <f>IF(ISNUMBER(deployment_raw[[#This Row],[Column7]]), (deployment_raw[[#This Row],[Column7]] * deployment_raw[[#This Row],[Column5]])/1048576,"")</f>
        <v/>
      </c>
      <c r="H479" s="175" t="str">
        <f>IF(ISNUMBER(deployment_raw[[#This Row],[Column8]]), (deployment_raw[[#This Row],[Column8]]  * deployment_raw[[#This Row],[Column5]]),"")</f>
        <v/>
      </c>
      <c r="I479" s="176" t="str">
        <f>IF(ISNUMBER(deployment_raw[[#This Row],[Column9]]), (deployment_raw[[#This Row],[Column9]] * deployment_raw[[#This Row],[Column5]])/1048576,"")</f>
        <v/>
      </c>
      <c r="J479" s="57" t="str">
        <f>IF(ISNUMBER(deployment_raw[[#This Row],[Column10]]), (deployment_raw[[#This Row],[Column10]] * deployment_raw[[#This Row],[Column5]]),"")</f>
        <v/>
      </c>
      <c r="K479" s="58" t="str">
        <f>IF(ISNUMBER(deployment_raw[[#This Row],[Column11]]), (deployment_raw[[#This Row],[Column11]] * deployment_raw[[#This Row],[Column5]])/1048576,"")</f>
        <v/>
      </c>
      <c r="L479" s="180" t="str">
        <f>IF(ISNUMBER(deployment_raw[[#This Row],[Column8]]),IF(deployment_raw[[#This Row],[Column5]] &lt;&gt; 0, MAX((deployment_raw[[#This Row],[Column12]] * deployment_raw[[#This Row],[Column5]]), ((deployment_raw[[#This Row],[Column8]] * deployment_raw[[#This Row],[Column5]]) * $L$2), ($H$2 * deployment_raw[[#This Row],[Column5]])), 0),"")</f>
        <v/>
      </c>
      <c r="M47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79" s="188" t="str">
        <f>IF(ISNUMBER(deployment_raw[[#This Row],[Column14]]), deployment_raw[[#This Row],[Column14]],"")</f>
        <v/>
      </c>
      <c r="O479" s="189" t="str">
        <f>IF(ISNUMBER(deployment_raw[[#This Row],[Column15]]), deployment_raw[[#This Row],[Column15]]/1048576,"")</f>
        <v/>
      </c>
      <c r="P479" s="190" t="str">
        <f>IF(ISNUMBER(deployment_raw[[#This Row],[Column12]]), (deployment_raw[[#This Row],[Column12]] * deployment_raw[[#This Row],[Column5]]),"")</f>
        <v/>
      </c>
      <c r="Q479" s="189" t="str">
        <f>IF(ISNUMBER(deployment_raw[[#This Row],[Column13]]), (deployment_raw[[#This Row],[Column13]] * deployment_raw[[#This Row],[Column5]])/1048576,"")</f>
        <v/>
      </c>
    </row>
    <row r="480" spans="1:17" ht="15.75" customHeight="1" x14ac:dyDescent="0.25">
      <c r="A480" s="37" t="str">
        <f>IF(ISNONTEXT(deployment_raw[[#This Row],[Column1]]), "", deployment_raw[[#This Row],[Column1]])</f>
        <v/>
      </c>
      <c r="B480" s="38" t="str">
        <f>IF(ISNONTEXT(deployment_raw[[#This Row],[Column2]]), "", deployment_raw[[#This Row],[Column2]])</f>
        <v/>
      </c>
      <c r="C480" s="38" t="str">
        <f>IF(ISNONTEXT(deployment_raw[[#This Row],[Column3]]), "", deployment_raw[[#This Row],[Column3]])</f>
        <v/>
      </c>
      <c r="D480" s="38" t="str">
        <f>IF(ISNONTEXT(deployment_raw[[#This Row],[Column4]]), "", deployment_raw[[#This Row],[Column4]])</f>
        <v/>
      </c>
      <c r="E480" s="39" t="str">
        <f>IF(ISNUMBER(deployment_raw[[#This Row],[Column5]]), deployment_raw[[#This Row],[Column5]],"")</f>
        <v/>
      </c>
      <c r="F480" s="174" t="str">
        <f>IF(ISNUMBER(deployment_raw[[#This Row],[Column6]]), (deployment_raw[[#This Row],[Column6]] * deployment_raw[[#This Row],[Column5]]),"")</f>
        <v/>
      </c>
      <c r="G480" s="175" t="str">
        <f>IF(ISNUMBER(deployment_raw[[#This Row],[Column7]]), (deployment_raw[[#This Row],[Column7]] * deployment_raw[[#This Row],[Column5]])/1048576,"")</f>
        <v/>
      </c>
      <c r="H480" s="175" t="str">
        <f>IF(ISNUMBER(deployment_raw[[#This Row],[Column8]]), (deployment_raw[[#This Row],[Column8]]  * deployment_raw[[#This Row],[Column5]]),"")</f>
        <v/>
      </c>
      <c r="I480" s="176" t="str">
        <f>IF(ISNUMBER(deployment_raw[[#This Row],[Column9]]), (deployment_raw[[#This Row],[Column9]] * deployment_raw[[#This Row],[Column5]])/1048576,"")</f>
        <v/>
      </c>
      <c r="J480" s="57" t="str">
        <f>IF(ISNUMBER(deployment_raw[[#This Row],[Column10]]), (deployment_raw[[#This Row],[Column10]] * deployment_raw[[#This Row],[Column5]]),"")</f>
        <v/>
      </c>
      <c r="K480" s="58" t="str">
        <f>IF(ISNUMBER(deployment_raw[[#This Row],[Column11]]), (deployment_raw[[#This Row],[Column11]] * deployment_raw[[#This Row],[Column5]])/1048576,"")</f>
        <v/>
      </c>
      <c r="L480" s="180" t="str">
        <f>IF(ISNUMBER(deployment_raw[[#This Row],[Column8]]),IF(deployment_raw[[#This Row],[Column5]] &lt;&gt; 0, MAX((deployment_raw[[#This Row],[Column12]] * deployment_raw[[#This Row],[Column5]]), ((deployment_raw[[#This Row],[Column8]] * deployment_raw[[#This Row],[Column5]]) * $L$2), ($H$2 * deployment_raw[[#This Row],[Column5]])), 0),"")</f>
        <v/>
      </c>
      <c r="M48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80" s="188" t="str">
        <f>IF(ISNUMBER(deployment_raw[[#This Row],[Column14]]), deployment_raw[[#This Row],[Column14]],"")</f>
        <v/>
      </c>
      <c r="O480" s="189" t="str">
        <f>IF(ISNUMBER(deployment_raw[[#This Row],[Column15]]), deployment_raw[[#This Row],[Column15]]/1048576,"")</f>
        <v/>
      </c>
      <c r="P480" s="190" t="str">
        <f>IF(ISNUMBER(deployment_raw[[#This Row],[Column12]]), (deployment_raw[[#This Row],[Column12]] * deployment_raw[[#This Row],[Column5]]),"")</f>
        <v/>
      </c>
      <c r="Q480" s="189" t="str">
        <f>IF(ISNUMBER(deployment_raw[[#This Row],[Column13]]), (deployment_raw[[#This Row],[Column13]] * deployment_raw[[#This Row],[Column5]])/1048576,"")</f>
        <v/>
      </c>
    </row>
    <row r="481" spans="1:17" ht="15.75" customHeight="1" x14ac:dyDescent="0.25">
      <c r="A481" s="37" t="str">
        <f>IF(ISNONTEXT(deployment_raw[[#This Row],[Column1]]), "", deployment_raw[[#This Row],[Column1]])</f>
        <v/>
      </c>
      <c r="B481" s="38" t="str">
        <f>IF(ISNONTEXT(deployment_raw[[#This Row],[Column2]]), "", deployment_raw[[#This Row],[Column2]])</f>
        <v/>
      </c>
      <c r="C481" s="38" t="str">
        <f>IF(ISNONTEXT(deployment_raw[[#This Row],[Column3]]), "", deployment_raw[[#This Row],[Column3]])</f>
        <v/>
      </c>
      <c r="D481" s="38" t="str">
        <f>IF(ISNONTEXT(deployment_raw[[#This Row],[Column4]]), "", deployment_raw[[#This Row],[Column4]])</f>
        <v/>
      </c>
      <c r="E481" s="39" t="str">
        <f>IF(ISNUMBER(deployment_raw[[#This Row],[Column5]]), deployment_raw[[#This Row],[Column5]],"")</f>
        <v/>
      </c>
      <c r="F481" s="174" t="str">
        <f>IF(ISNUMBER(deployment_raw[[#This Row],[Column6]]), (deployment_raw[[#This Row],[Column6]] * deployment_raw[[#This Row],[Column5]]),"")</f>
        <v/>
      </c>
      <c r="G481" s="175" t="str">
        <f>IF(ISNUMBER(deployment_raw[[#This Row],[Column7]]), (deployment_raw[[#This Row],[Column7]] * deployment_raw[[#This Row],[Column5]])/1048576,"")</f>
        <v/>
      </c>
      <c r="H481" s="175" t="str">
        <f>IF(ISNUMBER(deployment_raw[[#This Row],[Column8]]), (deployment_raw[[#This Row],[Column8]]  * deployment_raw[[#This Row],[Column5]]),"")</f>
        <v/>
      </c>
      <c r="I481" s="176" t="str">
        <f>IF(ISNUMBER(deployment_raw[[#This Row],[Column9]]), (deployment_raw[[#This Row],[Column9]] * deployment_raw[[#This Row],[Column5]])/1048576,"")</f>
        <v/>
      </c>
      <c r="J481" s="57" t="str">
        <f>IF(ISNUMBER(deployment_raw[[#This Row],[Column10]]), (deployment_raw[[#This Row],[Column10]] * deployment_raw[[#This Row],[Column5]]),"")</f>
        <v/>
      </c>
      <c r="K481" s="58" t="str">
        <f>IF(ISNUMBER(deployment_raw[[#This Row],[Column11]]), (deployment_raw[[#This Row],[Column11]] * deployment_raw[[#This Row],[Column5]])/1048576,"")</f>
        <v/>
      </c>
      <c r="L481" s="180" t="str">
        <f>IF(ISNUMBER(deployment_raw[[#This Row],[Column8]]),IF(deployment_raw[[#This Row],[Column5]] &lt;&gt; 0, MAX((deployment_raw[[#This Row],[Column12]] * deployment_raw[[#This Row],[Column5]]), ((deployment_raw[[#This Row],[Column8]] * deployment_raw[[#This Row],[Column5]]) * $L$2), ($H$2 * deployment_raw[[#This Row],[Column5]])), 0),"")</f>
        <v/>
      </c>
      <c r="M48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81" s="188" t="str">
        <f>IF(ISNUMBER(deployment_raw[[#This Row],[Column14]]), deployment_raw[[#This Row],[Column14]],"")</f>
        <v/>
      </c>
      <c r="O481" s="189" t="str">
        <f>IF(ISNUMBER(deployment_raw[[#This Row],[Column15]]), deployment_raw[[#This Row],[Column15]]/1048576,"")</f>
        <v/>
      </c>
      <c r="P481" s="190" t="str">
        <f>IF(ISNUMBER(deployment_raw[[#This Row],[Column12]]), (deployment_raw[[#This Row],[Column12]] * deployment_raw[[#This Row],[Column5]]),"")</f>
        <v/>
      </c>
      <c r="Q481" s="189" t="str">
        <f>IF(ISNUMBER(deployment_raw[[#This Row],[Column13]]), (deployment_raw[[#This Row],[Column13]] * deployment_raw[[#This Row],[Column5]])/1048576,"")</f>
        <v/>
      </c>
    </row>
    <row r="482" spans="1:17" ht="15.75" customHeight="1" x14ac:dyDescent="0.25">
      <c r="A482" s="37" t="str">
        <f>IF(ISNONTEXT(deployment_raw[[#This Row],[Column1]]), "", deployment_raw[[#This Row],[Column1]])</f>
        <v/>
      </c>
      <c r="B482" s="38" t="str">
        <f>IF(ISNONTEXT(deployment_raw[[#This Row],[Column2]]), "", deployment_raw[[#This Row],[Column2]])</f>
        <v/>
      </c>
      <c r="C482" s="38" t="str">
        <f>IF(ISNONTEXT(deployment_raw[[#This Row],[Column3]]), "", deployment_raw[[#This Row],[Column3]])</f>
        <v/>
      </c>
      <c r="D482" s="38" t="str">
        <f>IF(ISNONTEXT(deployment_raw[[#This Row],[Column4]]), "", deployment_raw[[#This Row],[Column4]])</f>
        <v/>
      </c>
      <c r="E482" s="39" t="str">
        <f>IF(ISNUMBER(deployment_raw[[#This Row],[Column5]]), deployment_raw[[#This Row],[Column5]],"")</f>
        <v/>
      </c>
      <c r="F482" s="174" t="str">
        <f>IF(ISNUMBER(deployment_raw[[#This Row],[Column6]]), (deployment_raw[[#This Row],[Column6]] * deployment_raw[[#This Row],[Column5]]),"")</f>
        <v/>
      </c>
      <c r="G482" s="175" t="str">
        <f>IF(ISNUMBER(deployment_raw[[#This Row],[Column7]]), (deployment_raw[[#This Row],[Column7]] * deployment_raw[[#This Row],[Column5]])/1048576,"")</f>
        <v/>
      </c>
      <c r="H482" s="175" t="str">
        <f>IF(ISNUMBER(deployment_raw[[#This Row],[Column8]]), (deployment_raw[[#This Row],[Column8]]  * deployment_raw[[#This Row],[Column5]]),"")</f>
        <v/>
      </c>
      <c r="I482" s="176" t="str">
        <f>IF(ISNUMBER(deployment_raw[[#This Row],[Column9]]), (deployment_raw[[#This Row],[Column9]] * deployment_raw[[#This Row],[Column5]])/1048576,"")</f>
        <v/>
      </c>
      <c r="J482" s="57" t="str">
        <f>IF(ISNUMBER(deployment_raw[[#This Row],[Column10]]), (deployment_raw[[#This Row],[Column10]] * deployment_raw[[#This Row],[Column5]]),"")</f>
        <v/>
      </c>
      <c r="K482" s="58" t="str">
        <f>IF(ISNUMBER(deployment_raw[[#This Row],[Column11]]), (deployment_raw[[#This Row],[Column11]] * deployment_raw[[#This Row],[Column5]])/1048576,"")</f>
        <v/>
      </c>
      <c r="L482" s="180" t="str">
        <f>IF(ISNUMBER(deployment_raw[[#This Row],[Column8]]),IF(deployment_raw[[#This Row],[Column5]] &lt;&gt; 0, MAX((deployment_raw[[#This Row],[Column12]] * deployment_raw[[#This Row],[Column5]]), ((deployment_raw[[#This Row],[Column8]] * deployment_raw[[#This Row],[Column5]]) * $L$2), ($H$2 * deployment_raw[[#This Row],[Column5]])), 0),"")</f>
        <v/>
      </c>
      <c r="M48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82" s="188" t="str">
        <f>IF(ISNUMBER(deployment_raw[[#This Row],[Column14]]), deployment_raw[[#This Row],[Column14]],"")</f>
        <v/>
      </c>
      <c r="O482" s="189" t="str">
        <f>IF(ISNUMBER(deployment_raw[[#This Row],[Column15]]), deployment_raw[[#This Row],[Column15]]/1048576,"")</f>
        <v/>
      </c>
      <c r="P482" s="190" t="str">
        <f>IF(ISNUMBER(deployment_raw[[#This Row],[Column12]]), (deployment_raw[[#This Row],[Column12]] * deployment_raw[[#This Row],[Column5]]),"")</f>
        <v/>
      </c>
      <c r="Q482" s="189" t="str">
        <f>IF(ISNUMBER(deployment_raw[[#This Row],[Column13]]), (deployment_raw[[#This Row],[Column13]] * deployment_raw[[#This Row],[Column5]])/1048576,"")</f>
        <v/>
      </c>
    </row>
    <row r="483" spans="1:17" ht="15.75" customHeight="1" x14ac:dyDescent="0.25">
      <c r="A483" s="37" t="str">
        <f>IF(ISNONTEXT(deployment_raw[[#This Row],[Column1]]), "", deployment_raw[[#This Row],[Column1]])</f>
        <v/>
      </c>
      <c r="B483" s="38" t="str">
        <f>IF(ISNONTEXT(deployment_raw[[#This Row],[Column2]]), "", deployment_raw[[#This Row],[Column2]])</f>
        <v/>
      </c>
      <c r="C483" s="38" t="str">
        <f>IF(ISNONTEXT(deployment_raw[[#This Row],[Column3]]), "", deployment_raw[[#This Row],[Column3]])</f>
        <v/>
      </c>
      <c r="D483" s="38" t="str">
        <f>IF(ISNONTEXT(deployment_raw[[#This Row],[Column4]]), "", deployment_raw[[#This Row],[Column4]])</f>
        <v/>
      </c>
      <c r="E483" s="39" t="str">
        <f>IF(ISNUMBER(deployment_raw[[#This Row],[Column5]]), deployment_raw[[#This Row],[Column5]],"")</f>
        <v/>
      </c>
      <c r="F483" s="174" t="str">
        <f>IF(ISNUMBER(deployment_raw[[#This Row],[Column6]]), (deployment_raw[[#This Row],[Column6]] * deployment_raw[[#This Row],[Column5]]),"")</f>
        <v/>
      </c>
      <c r="G483" s="175" t="str">
        <f>IF(ISNUMBER(deployment_raw[[#This Row],[Column7]]), (deployment_raw[[#This Row],[Column7]] * deployment_raw[[#This Row],[Column5]])/1048576,"")</f>
        <v/>
      </c>
      <c r="H483" s="175" t="str">
        <f>IF(ISNUMBER(deployment_raw[[#This Row],[Column8]]), (deployment_raw[[#This Row],[Column8]]  * deployment_raw[[#This Row],[Column5]]),"")</f>
        <v/>
      </c>
      <c r="I483" s="176" t="str">
        <f>IF(ISNUMBER(deployment_raw[[#This Row],[Column9]]), (deployment_raw[[#This Row],[Column9]] * deployment_raw[[#This Row],[Column5]])/1048576,"")</f>
        <v/>
      </c>
      <c r="J483" s="57" t="str">
        <f>IF(ISNUMBER(deployment_raw[[#This Row],[Column10]]), (deployment_raw[[#This Row],[Column10]] * deployment_raw[[#This Row],[Column5]]),"")</f>
        <v/>
      </c>
      <c r="K483" s="58" t="str">
        <f>IF(ISNUMBER(deployment_raw[[#This Row],[Column11]]), (deployment_raw[[#This Row],[Column11]] * deployment_raw[[#This Row],[Column5]])/1048576,"")</f>
        <v/>
      </c>
      <c r="L483" s="180" t="str">
        <f>IF(ISNUMBER(deployment_raw[[#This Row],[Column8]]),IF(deployment_raw[[#This Row],[Column5]] &lt;&gt; 0, MAX((deployment_raw[[#This Row],[Column12]] * deployment_raw[[#This Row],[Column5]]), ((deployment_raw[[#This Row],[Column8]] * deployment_raw[[#This Row],[Column5]]) * $L$2), ($H$2 * deployment_raw[[#This Row],[Column5]])), 0),"")</f>
        <v/>
      </c>
      <c r="M48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83" s="188" t="str">
        <f>IF(ISNUMBER(deployment_raw[[#This Row],[Column14]]), deployment_raw[[#This Row],[Column14]],"")</f>
        <v/>
      </c>
      <c r="O483" s="189" t="str">
        <f>IF(ISNUMBER(deployment_raw[[#This Row],[Column15]]), deployment_raw[[#This Row],[Column15]]/1048576,"")</f>
        <v/>
      </c>
      <c r="P483" s="190" t="str">
        <f>IF(ISNUMBER(deployment_raw[[#This Row],[Column12]]), (deployment_raw[[#This Row],[Column12]] * deployment_raw[[#This Row],[Column5]]),"")</f>
        <v/>
      </c>
      <c r="Q483" s="189" t="str">
        <f>IF(ISNUMBER(deployment_raw[[#This Row],[Column13]]), (deployment_raw[[#This Row],[Column13]] * deployment_raw[[#This Row],[Column5]])/1048576,"")</f>
        <v/>
      </c>
    </row>
    <row r="484" spans="1:17" ht="15.75" customHeight="1" x14ac:dyDescent="0.25">
      <c r="A484" s="37" t="str">
        <f>IF(ISNONTEXT(deployment_raw[[#This Row],[Column1]]), "", deployment_raw[[#This Row],[Column1]])</f>
        <v/>
      </c>
      <c r="B484" s="38" t="str">
        <f>IF(ISNONTEXT(deployment_raw[[#This Row],[Column2]]), "", deployment_raw[[#This Row],[Column2]])</f>
        <v/>
      </c>
      <c r="C484" s="38" t="str">
        <f>IF(ISNONTEXT(deployment_raw[[#This Row],[Column3]]), "", deployment_raw[[#This Row],[Column3]])</f>
        <v/>
      </c>
      <c r="D484" s="38" t="str">
        <f>IF(ISNONTEXT(deployment_raw[[#This Row],[Column4]]), "", deployment_raw[[#This Row],[Column4]])</f>
        <v/>
      </c>
      <c r="E484" s="39" t="str">
        <f>IF(ISNUMBER(deployment_raw[[#This Row],[Column5]]), deployment_raw[[#This Row],[Column5]],"")</f>
        <v/>
      </c>
      <c r="F484" s="174" t="str">
        <f>IF(ISNUMBER(deployment_raw[[#This Row],[Column6]]), (deployment_raw[[#This Row],[Column6]] * deployment_raw[[#This Row],[Column5]]),"")</f>
        <v/>
      </c>
      <c r="G484" s="175" t="str">
        <f>IF(ISNUMBER(deployment_raw[[#This Row],[Column7]]), (deployment_raw[[#This Row],[Column7]] * deployment_raw[[#This Row],[Column5]])/1048576,"")</f>
        <v/>
      </c>
      <c r="H484" s="175" t="str">
        <f>IF(ISNUMBER(deployment_raw[[#This Row],[Column8]]), (deployment_raw[[#This Row],[Column8]]  * deployment_raw[[#This Row],[Column5]]),"")</f>
        <v/>
      </c>
      <c r="I484" s="176" t="str">
        <f>IF(ISNUMBER(deployment_raw[[#This Row],[Column9]]), (deployment_raw[[#This Row],[Column9]] * deployment_raw[[#This Row],[Column5]])/1048576,"")</f>
        <v/>
      </c>
      <c r="J484" s="57" t="str">
        <f>IF(ISNUMBER(deployment_raw[[#This Row],[Column10]]), (deployment_raw[[#This Row],[Column10]] * deployment_raw[[#This Row],[Column5]]),"")</f>
        <v/>
      </c>
      <c r="K484" s="58" t="str">
        <f>IF(ISNUMBER(deployment_raw[[#This Row],[Column11]]), (deployment_raw[[#This Row],[Column11]] * deployment_raw[[#This Row],[Column5]])/1048576,"")</f>
        <v/>
      </c>
      <c r="L484" s="180" t="str">
        <f>IF(ISNUMBER(deployment_raw[[#This Row],[Column8]]),IF(deployment_raw[[#This Row],[Column5]] &lt;&gt; 0, MAX((deployment_raw[[#This Row],[Column12]] * deployment_raw[[#This Row],[Column5]]), ((deployment_raw[[#This Row],[Column8]] * deployment_raw[[#This Row],[Column5]]) * $L$2), ($H$2 * deployment_raw[[#This Row],[Column5]])), 0),"")</f>
        <v/>
      </c>
      <c r="M48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84" s="188" t="str">
        <f>IF(ISNUMBER(deployment_raw[[#This Row],[Column14]]), deployment_raw[[#This Row],[Column14]],"")</f>
        <v/>
      </c>
      <c r="O484" s="189" t="str">
        <f>IF(ISNUMBER(deployment_raw[[#This Row],[Column15]]), deployment_raw[[#This Row],[Column15]]/1048576,"")</f>
        <v/>
      </c>
      <c r="P484" s="190" t="str">
        <f>IF(ISNUMBER(deployment_raw[[#This Row],[Column12]]), (deployment_raw[[#This Row],[Column12]] * deployment_raw[[#This Row],[Column5]]),"")</f>
        <v/>
      </c>
      <c r="Q484" s="189" t="str">
        <f>IF(ISNUMBER(deployment_raw[[#This Row],[Column13]]), (deployment_raw[[#This Row],[Column13]] * deployment_raw[[#This Row],[Column5]])/1048576,"")</f>
        <v/>
      </c>
    </row>
    <row r="485" spans="1:17" ht="15.75" customHeight="1" x14ac:dyDescent="0.25">
      <c r="A485" s="37" t="str">
        <f>IF(ISNONTEXT(deployment_raw[[#This Row],[Column1]]), "", deployment_raw[[#This Row],[Column1]])</f>
        <v/>
      </c>
      <c r="B485" s="38" t="str">
        <f>IF(ISNONTEXT(deployment_raw[[#This Row],[Column2]]), "", deployment_raw[[#This Row],[Column2]])</f>
        <v/>
      </c>
      <c r="C485" s="38" t="str">
        <f>IF(ISNONTEXT(deployment_raw[[#This Row],[Column3]]), "", deployment_raw[[#This Row],[Column3]])</f>
        <v/>
      </c>
      <c r="D485" s="38" t="str">
        <f>IF(ISNONTEXT(deployment_raw[[#This Row],[Column4]]), "", deployment_raw[[#This Row],[Column4]])</f>
        <v/>
      </c>
      <c r="E485" s="39" t="str">
        <f>IF(ISNUMBER(deployment_raw[[#This Row],[Column5]]), deployment_raw[[#This Row],[Column5]],"")</f>
        <v/>
      </c>
      <c r="F485" s="174" t="str">
        <f>IF(ISNUMBER(deployment_raw[[#This Row],[Column6]]), (deployment_raw[[#This Row],[Column6]] * deployment_raw[[#This Row],[Column5]]),"")</f>
        <v/>
      </c>
      <c r="G485" s="175" t="str">
        <f>IF(ISNUMBER(deployment_raw[[#This Row],[Column7]]), (deployment_raw[[#This Row],[Column7]] * deployment_raw[[#This Row],[Column5]])/1048576,"")</f>
        <v/>
      </c>
      <c r="H485" s="175" t="str">
        <f>IF(ISNUMBER(deployment_raw[[#This Row],[Column8]]), (deployment_raw[[#This Row],[Column8]]  * deployment_raw[[#This Row],[Column5]]),"")</f>
        <v/>
      </c>
      <c r="I485" s="176" t="str">
        <f>IF(ISNUMBER(deployment_raw[[#This Row],[Column9]]), (deployment_raw[[#This Row],[Column9]] * deployment_raw[[#This Row],[Column5]])/1048576,"")</f>
        <v/>
      </c>
      <c r="J485" s="57" t="str">
        <f>IF(ISNUMBER(deployment_raw[[#This Row],[Column10]]), (deployment_raw[[#This Row],[Column10]] * deployment_raw[[#This Row],[Column5]]),"")</f>
        <v/>
      </c>
      <c r="K485" s="58" t="str">
        <f>IF(ISNUMBER(deployment_raw[[#This Row],[Column11]]), (deployment_raw[[#This Row],[Column11]] * deployment_raw[[#This Row],[Column5]])/1048576,"")</f>
        <v/>
      </c>
      <c r="L485" s="180" t="str">
        <f>IF(ISNUMBER(deployment_raw[[#This Row],[Column8]]),IF(deployment_raw[[#This Row],[Column5]] &lt;&gt; 0, MAX((deployment_raw[[#This Row],[Column12]] * deployment_raw[[#This Row],[Column5]]), ((deployment_raw[[#This Row],[Column8]] * deployment_raw[[#This Row],[Column5]]) * $L$2), ($H$2 * deployment_raw[[#This Row],[Column5]])), 0),"")</f>
        <v/>
      </c>
      <c r="M48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85" s="188" t="str">
        <f>IF(ISNUMBER(deployment_raw[[#This Row],[Column14]]), deployment_raw[[#This Row],[Column14]],"")</f>
        <v/>
      </c>
      <c r="O485" s="189" t="str">
        <f>IF(ISNUMBER(deployment_raw[[#This Row],[Column15]]), deployment_raw[[#This Row],[Column15]]/1048576,"")</f>
        <v/>
      </c>
      <c r="P485" s="190" t="str">
        <f>IF(ISNUMBER(deployment_raw[[#This Row],[Column12]]), (deployment_raw[[#This Row],[Column12]] * deployment_raw[[#This Row],[Column5]]),"")</f>
        <v/>
      </c>
      <c r="Q485" s="189" t="str">
        <f>IF(ISNUMBER(deployment_raw[[#This Row],[Column13]]), (deployment_raw[[#This Row],[Column13]] * deployment_raw[[#This Row],[Column5]])/1048576,"")</f>
        <v/>
      </c>
    </row>
    <row r="486" spans="1:17" ht="15.75" customHeight="1" x14ac:dyDescent="0.25">
      <c r="A486" s="37" t="str">
        <f>IF(ISNONTEXT(deployment_raw[[#This Row],[Column1]]), "", deployment_raw[[#This Row],[Column1]])</f>
        <v/>
      </c>
      <c r="B486" s="38" t="str">
        <f>IF(ISNONTEXT(deployment_raw[[#This Row],[Column2]]), "", deployment_raw[[#This Row],[Column2]])</f>
        <v/>
      </c>
      <c r="C486" s="38" t="str">
        <f>IF(ISNONTEXT(deployment_raw[[#This Row],[Column3]]), "", deployment_raw[[#This Row],[Column3]])</f>
        <v/>
      </c>
      <c r="D486" s="38" t="str">
        <f>IF(ISNONTEXT(deployment_raw[[#This Row],[Column4]]), "", deployment_raw[[#This Row],[Column4]])</f>
        <v/>
      </c>
      <c r="E486" s="39" t="str">
        <f>IF(ISNUMBER(deployment_raw[[#This Row],[Column5]]), deployment_raw[[#This Row],[Column5]],"")</f>
        <v/>
      </c>
      <c r="F486" s="174" t="str">
        <f>IF(ISNUMBER(deployment_raw[[#This Row],[Column6]]), (deployment_raw[[#This Row],[Column6]] * deployment_raw[[#This Row],[Column5]]),"")</f>
        <v/>
      </c>
      <c r="G486" s="175" t="str">
        <f>IF(ISNUMBER(deployment_raw[[#This Row],[Column7]]), (deployment_raw[[#This Row],[Column7]] * deployment_raw[[#This Row],[Column5]])/1048576,"")</f>
        <v/>
      </c>
      <c r="H486" s="175" t="str">
        <f>IF(ISNUMBER(deployment_raw[[#This Row],[Column8]]), (deployment_raw[[#This Row],[Column8]]  * deployment_raw[[#This Row],[Column5]]),"")</f>
        <v/>
      </c>
      <c r="I486" s="176" t="str">
        <f>IF(ISNUMBER(deployment_raw[[#This Row],[Column9]]), (deployment_raw[[#This Row],[Column9]] * deployment_raw[[#This Row],[Column5]])/1048576,"")</f>
        <v/>
      </c>
      <c r="J486" s="57" t="str">
        <f>IF(ISNUMBER(deployment_raw[[#This Row],[Column10]]), (deployment_raw[[#This Row],[Column10]] * deployment_raw[[#This Row],[Column5]]),"")</f>
        <v/>
      </c>
      <c r="K486" s="58" t="str">
        <f>IF(ISNUMBER(deployment_raw[[#This Row],[Column11]]), (deployment_raw[[#This Row],[Column11]] * deployment_raw[[#This Row],[Column5]])/1048576,"")</f>
        <v/>
      </c>
      <c r="L486" s="180" t="str">
        <f>IF(ISNUMBER(deployment_raw[[#This Row],[Column8]]),IF(deployment_raw[[#This Row],[Column5]] &lt;&gt; 0, MAX((deployment_raw[[#This Row],[Column12]] * deployment_raw[[#This Row],[Column5]]), ((deployment_raw[[#This Row],[Column8]] * deployment_raw[[#This Row],[Column5]]) * $L$2), ($H$2 * deployment_raw[[#This Row],[Column5]])), 0),"")</f>
        <v/>
      </c>
      <c r="M48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86" s="188" t="str">
        <f>IF(ISNUMBER(deployment_raw[[#This Row],[Column14]]), deployment_raw[[#This Row],[Column14]],"")</f>
        <v/>
      </c>
      <c r="O486" s="189" t="str">
        <f>IF(ISNUMBER(deployment_raw[[#This Row],[Column15]]), deployment_raw[[#This Row],[Column15]]/1048576,"")</f>
        <v/>
      </c>
      <c r="P486" s="190" t="str">
        <f>IF(ISNUMBER(deployment_raw[[#This Row],[Column12]]), (deployment_raw[[#This Row],[Column12]] * deployment_raw[[#This Row],[Column5]]),"")</f>
        <v/>
      </c>
      <c r="Q486" s="189" t="str">
        <f>IF(ISNUMBER(deployment_raw[[#This Row],[Column13]]), (deployment_raw[[#This Row],[Column13]] * deployment_raw[[#This Row],[Column5]])/1048576,"")</f>
        <v/>
      </c>
    </row>
    <row r="487" spans="1:17" ht="15.75" customHeight="1" x14ac:dyDescent="0.25">
      <c r="A487" s="37" t="str">
        <f>IF(ISNONTEXT(deployment_raw[[#This Row],[Column1]]), "", deployment_raw[[#This Row],[Column1]])</f>
        <v/>
      </c>
      <c r="B487" s="38" t="str">
        <f>IF(ISNONTEXT(deployment_raw[[#This Row],[Column2]]), "", deployment_raw[[#This Row],[Column2]])</f>
        <v/>
      </c>
      <c r="C487" s="38" t="str">
        <f>IF(ISNONTEXT(deployment_raw[[#This Row],[Column3]]), "", deployment_raw[[#This Row],[Column3]])</f>
        <v/>
      </c>
      <c r="D487" s="38" t="str">
        <f>IF(ISNONTEXT(deployment_raw[[#This Row],[Column4]]), "", deployment_raw[[#This Row],[Column4]])</f>
        <v/>
      </c>
      <c r="E487" s="39" t="str">
        <f>IF(ISNUMBER(deployment_raw[[#This Row],[Column5]]), deployment_raw[[#This Row],[Column5]],"")</f>
        <v/>
      </c>
      <c r="F487" s="174" t="str">
        <f>IF(ISNUMBER(deployment_raw[[#This Row],[Column6]]), (deployment_raw[[#This Row],[Column6]] * deployment_raw[[#This Row],[Column5]]),"")</f>
        <v/>
      </c>
      <c r="G487" s="175" t="str">
        <f>IF(ISNUMBER(deployment_raw[[#This Row],[Column7]]), (deployment_raw[[#This Row],[Column7]] * deployment_raw[[#This Row],[Column5]])/1048576,"")</f>
        <v/>
      </c>
      <c r="H487" s="175" t="str">
        <f>IF(ISNUMBER(deployment_raw[[#This Row],[Column8]]), (deployment_raw[[#This Row],[Column8]]  * deployment_raw[[#This Row],[Column5]]),"")</f>
        <v/>
      </c>
      <c r="I487" s="176" t="str">
        <f>IF(ISNUMBER(deployment_raw[[#This Row],[Column9]]), (deployment_raw[[#This Row],[Column9]] * deployment_raw[[#This Row],[Column5]])/1048576,"")</f>
        <v/>
      </c>
      <c r="J487" s="57" t="str">
        <f>IF(ISNUMBER(deployment_raw[[#This Row],[Column10]]), (deployment_raw[[#This Row],[Column10]] * deployment_raw[[#This Row],[Column5]]),"")</f>
        <v/>
      </c>
      <c r="K487" s="58" t="str">
        <f>IF(ISNUMBER(deployment_raw[[#This Row],[Column11]]), (deployment_raw[[#This Row],[Column11]] * deployment_raw[[#This Row],[Column5]])/1048576,"")</f>
        <v/>
      </c>
      <c r="L487" s="180" t="str">
        <f>IF(ISNUMBER(deployment_raw[[#This Row],[Column8]]),IF(deployment_raw[[#This Row],[Column5]] &lt;&gt; 0, MAX((deployment_raw[[#This Row],[Column12]] * deployment_raw[[#This Row],[Column5]]), ((deployment_raw[[#This Row],[Column8]] * deployment_raw[[#This Row],[Column5]]) * $L$2), ($H$2 * deployment_raw[[#This Row],[Column5]])), 0),"")</f>
        <v/>
      </c>
      <c r="M48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87" s="188" t="str">
        <f>IF(ISNUMBER(deployment_raw[[#This Row],[Column14]]), deployment_raw[[#This Row],[Column14]],"")</f>
        <v/>
      </c>
      <c r="O487" s="189" t="str">
        <f>IF(ISNUMBER(deployment_raw[[#This Row],[Column15]]), deployment_raw[[#This Row],[Column15]]/1048576,"")</f>
        <v/>
      </c>
      <c r="P487" s="190" t="str">
        <f>IF(ISNUMBER(deployment_raw[[#This Row],[Column12]]), (deployment_raw[[#This Row],[Column12]] * deployment_raw[[#This Row],[Column5]]),"")</f>
        <v/>
      </c>
      <c r="Q487" s="189" t="str">
        <f>IF(ISNUMBER(deployment_raw[[#This Row],[Column13]]), (deployment_raw[[#This Row],[Column13]] * deployment_raw[[#This Row],[Column5]])/1048576,"")</f>
        <v/>
      </c>
    </row>
    <row r="488" spans="1:17" ht="15.75" customHeight="1" x14ac:dyDescent="0.25">
      <c r="A488" s="37" t="str">
        <f>IF(ISNONTEXT(deployment_raw[[#This Row],[Column1]]), "", deployment_raw[[#This Row],[Column1]])</f>
        <v/>
      </c>
      <c r="B488" s="38" t="str">
        <f>IF(ISNONTEXT(deployment_raw[[#This Row],[Column2]]), "", deployment_raw[[#This Row],[Column2]])</f>
        <v/>
      </c>
      <c r="C488" s="38" t="str">
        <f>IF(ISNONTEXT(deployment_raw[[#This Row],[Column3]]), "", deployment_raw[[#This Row],[Column3]])</f>
        <v/>
      </c>
      <c r="D488" s="38" t="str">
        <f>IF(ISNONTEXT(deployment_raw[[#This Row],[Column4]]), "", deployment_raw[[#This Row],[Column4]])</f>
        <v/>
      </c>
      <c r="E488" s="39" t="str">
        <f>IF(ISNUMBER(deployment_raw[[#This Row],[Column5]]), deployment_raw[[#This Row],[Column5]],"")</f>
        <v/>
      </c>
      <c r="F488" s="174" t="str">
        <f>IF(ISNUMBER(deployment_raw[[#This Row],[Column6]]), (deployment_raw[[#This Row],[Column6]] * deployment_raw[[#This Row],[Column5]]),"")</f>
        <v/>
      </c>
      <c r="G488" s="175" t="str">
        <f>IF(ISNUMBER(deployment_raw[[#This Row],[Column7]]), (deployment_raw[[#This Row],[Column7]] * deployment_raw[[#This Row],[Column5]])/1048576,"")</f>
        <v/>
      </c>
      <c r="H488" s="175" t="str">
        <f>IF(ISNUMBER(deployment_raw[[#This Row],[Column8]]), (deployment_raw[[#This Row],[Column8]]  * deployment_raw[[#This Row],[Column5]]),"")</f>
        <v/>
      </c>
      <c r="I488" s="176" t="str">
        <f>IF(ISNUMBER(deployment_raw[[#This Row],[Column9]]), (deployment_raw[[#This Row],[Column9]] * deployment_raw[[#This Row],[Column5]])/1048576,"")</f>
        <v/>
      </c>
      <c r="J488" s="57" t="str">
        <f>IF(ISNUMBER(deployment_raw[[#This Row],[Column10]]), (deployment_raw[[#This Row],[Column10]] * deployment_raw[[#This Row],[Column5]]),"")</f>
        <v/>
      </c>
      <c r="K488" s="58" t="str">
        <f>IF(ISNUMBER(deployment_raw[[#This Row],[Column11]]), (deployment_raw[[#This Row],[Column11]] * deployment_raw[[#This Row],[Column5]])/1048576,"")</f>
        <v/>
      </c>
      <c r="L488" s="180" t="str">
        <f>IF(ISNUMBER(deployment_raw[[#This Row],[Column8]]),IF(deployment_raw[[#This Row],[Column5]] &lt;&gt; 0, MAX((deployment_raw[[#This Row],[Column12]] * deployment_raw[[#This Row],[Column5]]), ((deployment_raw[[#This Row],[Column8]] * deployment_raw[[#This Row],[Column5]]) * $L$2), ($H$2 * deployment_raw[[#This Row],[Column5]])), 0),"")</f>
        <v/>
      </c>
      <c r="M48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88" s="188" t="str">
        <f>IF(ISNUMBER(deployment_raw[[#This Row],[Column14]]), deployment_raw[[#This Row],[Column14]],"")</f>
        <v/>
      </c>
      <c r="O488" s="189" t="str">
        <f>IF(ISNUMBER(deployment_raw[[#This Row],[Column15]]), deployment_raw[[#This Row],[Column15]]/1048576,"")</f>
        <v/>
      </c>
      <c r="P488" s="190" t="str">
        <f>IF(ISNUMBER(deployment_raw[[#This Row],[Column12]]), (deployment_raw[[#This Row],[Column12]] * deployment_raw[[#This Row],[Column5]]),"")</f>
        <v/>
      </c>
      <c r="Q488" s="189" t="str">
        <f>IF(ISNUMBER(deployment_raw[[#This Row],[Column13]]), (deployment_raw[[#This Row],[Column13]] * deployment_raw[[#This Row],[Column5]])/1048576,"")</f>
        <v/>
      </c>
    </row>
    <row r="489" spans="1:17" ht="15.75" customHeight="1" x14ac:dyDescent="0.25">
      <c r="A489" s="37" t="str">
        <f>IF(ISNONTEXT(deployment_raw[[#This Row],[Column1]]), "", deployment_raw[[#This Row],[Column1]])</f>
        <v/>
      </c>
      <c r="B489" s="38" t="str">
        <f>IF(ISNONTEXT(deployment_raw[[#This Row],[Column2]]), "", deployment_raw[[#This Row],[Column2]])</f>
        <v/>
      </c>
      <c r="C489" s="38" t="str">
        <f>IF(ISNONTEXT(deployment_raw[[#This Row],[Column3]]), "", deployment_raw[[#This Row],[Column3]])</f>
        <v/>
      </c>
      <c r="D489" s="38" t="str">
        <f>IF(ISNONTEXT(deployment_raw[[#This Row],[Column4]]), "", deployment_raw[[#This Row],[Column4]])</f>
        <v/>
      </c>
      <c r="E489" s="39" t="str">
        <f>IF(ISNUMBER(deployment_raw[[#This Row],[Column5]]), deployment_raw[[#This Row],[Column5]],"")</f>
        <v/>
      </c>
      <c r="F489" s="174" t="str">
        <f>IF(ISNUMBER(deployment_raw[[#This Row],[Column6]]), (deployment_raw[[#This Row],[Column6]] * deployment_raw[[#This Row],[Column5]]),"")</f>
        <v/>
      </c>
      <c r="G489" s="175" t="str">
        <f>IF(ISNUMBER(deployment_raw[[#This Row],[Column7]]), (deployment_raw[[#This Row],[Column7]] * deployment_raw[[#This Row],[Column5]])/1048576,"")</f>
        <v/>
      </c>
      <c r="H489" s="175" t="str">
        <f>IF(ISNUMBER(deployment_raw[[#This Row],[Column8]]), (deployment_raw[[#This Row],[Column8]]  * deployment_raw[[#This Row],[Column5]]),"")</f>
        <v/>
      </c>
      <c r="I489" s="176" t="str">
        <f>IF(ISNUMBER(deployment_raw[[#This Row],[Column9]]), (deployment_raw[[#This Row],[Column9]] * deployment_raw[[#This Row],[Column5]])/1048576,"")</f>
        <v/>
      </c>
      <c r="J489" s="57" t="str">
        <f>IF(ISNUMBER(deployment_raw[[#This Row],[Column10]]), (deployment_raw[[#This Row],[Column10]] * deployment_raw[[#This Row],[Column5]]),"")</f>
        <v/>
      </c>
      <c r="K489" s="58" t="str">
        <f>IF(ISNUMBER(deployment_raw[[#This Row],[Column11]]), (deployment_raw[[#This Row],[Column11]] * deployment_raw[[#This Row],[Column5]])/1048576,"")</f>
        <v/>
      </c>
      <c r="L489" s="180" t="str">
        <f>IF(ISNUMBER(deployment_raw[[#This Row],[Column8]]),IF(deployment_raw[[#This Row],[Column5]] &lt;&gt; 0, MAX((deployment_raw[[#This Row],[Column12]] * deployment_raw[[#This Row],[Column5]]), ((deployment_raw[[#This Row],[Column8]] * deployment_raw[[#This Row],[Column5]]) * $L$2), ($H$2 * deployment_raw[[#This Row],[Column5]])), 0),"")</f>
        <v/>
      </c>
      <c r="M48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89" s="188" t="str">
        <f>IF(ISNUMBER(deployment_raw[[#This Row],[Column14]]), deployment_raw[[#This Row],[Column14]],"")</f>
        <v/>
      </c>
      <c r="O489" s="189" t="str">
        <f>IF(ISNUMBER(deployment_raw[[#This Row],[Column15]]), deployment_raw[[#This Row],[Column15]]/1048576,"")</f>
        <v/>
      </c>
      <c r="P489" s="190" t="str">
        <f>IF(ISNUMBER(deployment_raw[[#This Row],[Column12]]), (deployment_raw[[#This Row],[Column12]] * deployment_raw[[#This Row],[Column5]]),"")</f>
        <v/>
      </c>
      <c r="Q489" s="189" t="str">
        <f>IF(ISNUMBER(deployment_raw[[#This Row],[Column13]]), (deployment_raw[[#This Row],[Column13]] * deployment_raw[[#This Row],[Column5]])/1048576,"")</f>
        <v/>
      </c>
    </row>
    <row r="490" spans="1:17" ht="15.75" customHeight="1" x14ac:dyDescent="0.25">
      <c r="A490" s="37" t="str">
        <f>IF(ISNONTEXT(deployment_raw[[#This Row],[Column1]]), "", deployment_raw[[#This Row],[Column1]])</f>
        <v/>
      </c>
      <c r="B490" s="38" t="str">
        <f>IF(ISNONTEXT(deployment_raw[[#This Row],[Column2]]), "", deployment_raw[[#This Row],[Column2]])</f>
        <v/>
      </c>
      <c r="C490" s="38" t="str">
        <f>IF(ISNONTEXT(deployment_raw[[#This Row],[Column3]]), "", deployment_raw[[#This Row],[Column3]])</f>
        <v/>
      </c>
      <c r="D490" s="38" t="str">
        <f>IF(ISNONTEXT(deployment_raw[[#This Row],[Column4]]), "", deployment_raw[[#This Row],[Column4]])</f>
        <v/>
      </c>
      <c r="E490" s="39" t="str">
        <f>IF(ISNUMBER(deployment_raw[[#This Row],[Column5]]), deployment_raw[[#This Row],[Column5]],"")</f>
        <v/>
      </c>
      <c r="F490" s="174" t="str">
        <f>IF(ISNUMBER(deployment_raw[[#This Row],[Column6]]), (deployment_raw[[#This Row],[Column6]] * deployment_raw[[#This Row],[Column5]]),"")</f>
        <v/>
      </c>
      <c r="G490" s="175" t="str">
        <f>IF(ISNUMBER(deployment_raw[[#This Row],[Column7]]), (deployment_raw[[#This Row],[Column7]] * deployment_raw[[#This Row],[Column5]])/1048576,"")</f>
        <v/>
      </c>
      <c r="H490" s="175" t="str">
        <f>IF(ISNUMBER(deployment_raw[[#This Row],[Column8]]), (deployment_raw[[#This Row],[Column8]]  * deployment_raw[[#This Row],[Column5]]),"")</f>
        <v/>
      </c>
      <c r="I490" s="176" t="str">
        <f>IF(ISNUMBER(deployment_raw[[#This Row],[Column9]]), (deployment_raw[[#This Row],[Column9]] * deployment_raw[[#This Row],[Column5]])/1048576,"")</f>
        <v/>
      </c>
      <c r="J490" s="57" t="str">
        <f>IF(ISNUMBER(deployment_raw[[#This Row],[Column10]]), (deployment_raw[[#This Row],[Column10]] * deployment_raw[[#This Row],[Column5]]),"")</f>
        <v/>
      </c>
      <c r="K490" s="58" t="str">
        <f>IF(ISNUMBER(deployment_raw[[#This Row],[Column11]]), (deployment_raw[[#This Row],[Column11]] * deployment_raw[[#This Row],[Column5]])/1048576,"")</f>
        <v/>
      </c>
      <c r="L490" s="180" t="str">
        <f>IF(ISNUMBER(deployment_raw[[#This Row],[Column8]]),IF(deployment_raw[[#This Row],[Column5]] &lt;&gt; 0, MAX((deployment_raw[[#This Row],[Column12]] * deployment_raw[[#This Row],[Column5]]), ((deployment_raw[[#This Row],[Column8]] * deployment_raw[[#This Row],[Column5]]) * $L$2), ($H$2 * deployment_raw[[#This Row],[Column5]])), 0),"")</f>
        <v/>
      </c>
      <c r="M49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90" s="188" t="str">
        <f>IF(ISNUMBER(deployment_raw[[#This Row],[Column14]]), deployment_raw[[#This Row],[Column14]],"")</f>
        <v/>
      </c>
      <c r="O490" s="189" t="str">
        <f>IF(ISNUMBER(deployment_raw[[#This Row],[Column15]]), deployment_raw[[#This Row],[Column15]]/1048576,"")</f>
        <v/>
      </c>
      <c r="P490" s="190" t="str">
        <f>IF(ISNUMBER(deployment_raw[[#This Row],[Column12]]), (deployment_raw[[#This Row],[Column12]] * deployment_raw[[#This Row],[Column5]]),"")</f>
        <v/>
      </c>
      <c r="Q490" s="189" t="str">
        <f>IF(ISNUMBER(deployment_raw[[#This Row],[Column13]]), (deployment_raw[[#This Row],[Column13]] * deployment_raw[[#This Row],[Column5]])/1048576,"")</f>
        <v/>
      </c>
    </row>
    <row r="491" spans="1:17" ht="15.75" customHeight="1" x14ac:dyDescent="0.25">
      <c r="A491" s="37" t="str">
        <f>IF(ISNONTEXT(deployment_raw[[#This Row],[Column1]]), "", deployment_raw[[#This Row],[Column1]])</f>
        <v/>
      </c>
      <c r="B491" s="38" t="str">
        <f>IF(ISNONTEXT(deployment_raw[[#This Row],[Column2]]), "", deployment_raw[[#This Row],[Column2]])</f>
        <v/>
      </c>
      <c r="C491" s="38" t="str">
        <f>IF(ISNONTEXT(deployment_raw[[#This Row],[Column3]]), "", deployment_raw[[#This Row],[Column3]])</f>
        <v/>
      </c>
      <c r="D491" s="38" t="str">
        <f>IF(ISNONTEXT(deployment_raw[[#This Row],[Column4]]), "", deployment_raw[[#This Row],[Column4]])</f>
        <v/>
      </c>
      <c r="E491" s="39" t="str">
        <f>IF(ISNUMBER(deployment_raw[[#This Row],[Column5]]), deployment_raw[[#This Row],[Column5]],"")</f>
        <v/>
      </c>
      <c r="F491" s="174" t="str">
        <f>IF(ISNUMBER(deployment_raw[[#This Row],[Column6]]), (deployment_raw[[#This Row],[Column6]] * deployment_raw[[#This Row],[Column5]]),"")</f>
        <v/>
      </c>
      <c r="G491" s="175" t="str">
        <f>IF(ISNUMBER(deployment_raw[[#This Row],[Column7]]), (deployment_raw[[#This Row],[Column7]] * deployment_raw[[#This Row],[Column5]])/1048576,"")</f>
        <v/>
      </c>
      <c r="H491" s="175" t="str">
        <f>IF(ISNUMBER(deployment_raw[[#This Row],[Column8]]), (deployment_raw[[#This Row],[Column8]]  * deployment_raw[[#This Row],[Column5]]),"")</f>
        <v/>
      </c>
      <c r="I491" s="176" t="str">
        <f>IF(ISNUMBER(deployment_raw[[#This Row],[Column9]]), (deployment_raw[[#This Row],[Column9]] * deployment_raw[[#This Row],[Column5]])/1048576,"")</f>
        <v/>
      </c>
      <c r="J491" s="57" t="str">
        <f>IF(ISNUMBER(deployment_raw[[#This Row],[Column10]]), (deployment_raw[[#This Row],[Column10]] * deployment_raw[[#This Row],[Column5]]),"")</f>
        <v/>
      </c>
      <c r="K491" s="58" t="str">
        <f>IF(ISNUMBER(deployment_raw[[#This Row],[Column11]]), (deployment_raw[[#This Row],[Column11]] * deployment_raw[[#This Row],[Column5]])/1048576,"")</f>
        <v/>
      </c>
      <c r="L491" s="180" t="str">
        <f>IF(ISNUMBER(deployment_raw[[#This Row],[Column8]]),IF(deployment_raw[[#This Row],[Column5]] &lt;&gt; 0, MAX((deployment_raw[[#This Row],[Column12]] * deployment_raw[[#This Row],[Column5]]), ((deployment_raw[[#This Row],[Column8]] * deployment_raw[[#This Row],[Column5]]) * $L$2), ($H$2 * deployment_raw[[#This Row],[Column5]])), 0),"")</f>
        <v/>
      </c>
      <c r="M49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91" s="188" t="str">
        <f>IF(ISNUMBER(deployment_raw[[#This Row],[Column14]]), deployment_raw[[#This Row],[Column14]],"")</f>
        <v/>
      </c>
      <c r="O491" s="189" t="str">
        <f>IF(ISNUMBER(deployment_raw[[#This Row],[Column15]]), deployment_raw[[#This Row],[Column15]]/1048576,"")</f>
        <v/>
      </c>
      <c r="P491" s="190" t="str">
        <f>IF(ISNUMBER(deployment_raw[[#This Row],[Column12]]), (deployment_raw[[#This Row],[Column12]] * deployment_raw[[#This Row],[Column5]]),"")</f>
        <v/>
      </c>
      <c r="Q491" s="189" t="str">
        <f>IF(ISNUMBER(deployment_raw[[#This Row],[Column13]]), (deployment_raw[[#This Row],[Column13]] * deployment_raw[[#This Row],[Column5]])/1048576,"")</f>
        <v/>
      </c>
    </row>
    <row r="492" spans="1:17" ht="15.75" customHeight="1" x14ac:dyDescent="0.25">
      <c r="A492" s="37" t="str">
        <f>IF(ISNONTEXT(deployment_raw[[#This Row],[Column1]]), "", deployment_raw[[#This Row],[Column1]])</f>
        <v/>
      </c>
      <c r="B492" s="38" t="str">
        <f>IF(ISNONTEXT(deployment_raw[[#This Row],[Column2]]), "", deployment_raw[[#This Row],[Column2]])</f>
        <v/>
      </c>
      <c r="C492" s="38" t="str">
        <f>IF(ISNONTEXT(deployment_raw[[#This Row],[Column3]]), "", deployment_raw[[#This Row],[Column3]])</f>
        <v/>
      </c>
      <c r="D492" s="38" t="str">
        <f>IF(ISNONTEXT(deployment_raw[[#This Row],[Column4]]), "", deployment_raw[[#This Row],[Column4]])</f>
        <v/>
      </c>
      <c r="E492" s="39" t="str">
        <f>IF(ISNUMBER(deployment_raw[[#This Row],[Column5]]), deployment_raw[[#This Row],[Column5]],"")</f>
        <v/>
      </c>
      <c r="F492" s="174" t="str">
        <f>IF(ISNUMBER(deployment_raw[[#This Row],[Column6]]), (deployment_raw[[#This Row],[Column6]] * deployment_raw[[#This Row],[Column5]]),"")</f>
        <v/>
      </c>
      <c r="G492" s="175" t="str">
        <f>IF(ISNUMBER(deployment_raw[[#This Row],[Column7]]), (deployment_raw[[#This Row],[Column7]] * deployment_raw[[#This Row],[Column5]])/1048576,"")</f>
        <v/>
      </c>
      <c r="H492" s="175" t="str">
        <f>IF(ISNUMBER(deployment_raw[[#This Row],[Column8]]), (deployment_raw[[#This Row],[Column8]]  * deployment_raw[[#This Row],[Column5]]),"")</f>
        <v/>
      </c>
      <c r="I492" s="176" t="str">
        <f>IF(ISNUMBER(deployment_raw[[#This Row],[Column9]]), (deployment_raw[[#This Row],[Column9]] * deployment_raw[[#This Row],[Column5]])/1048576,"")</f>
        <v/>
      </c>
      <c r="J492" s="57" t="str">
        <f>IF(ISNUMBER(deployment_raw[[#This Row],[Column10]]), (deployment_raw[[#This Row],[Column10]] * deployment_raw[[#This Row],[Column5]]),"")</f>
        <v/>
      </c>
      <c r="K492" s="58" t="str">
        <f>IF(ISNUMBER(deployment_raw[[#This Row],[Column11]]), (deployment_raw[[#This Row],[Column11]] * deployment_raw[[#This Row],[Column5]])/1048576,"")</f>
        <v/>
      </c>
      <c r="L492" s="180" t="str">
        <f>IF(ISNUMBER(deployment_raw[[#This Row],[Column8]]),IF(deployment_raw[[#This Row],[Column5]] &lt;&gt; 0, MAX((deployment_raw[[#This Row],[Column12]] * deployment_raw[[#This Row],[Column5]]), ((deployment_raw[[#This Row],[Column8]] * deployment_raw[[#This Row],[Column5]]) * $L$2), ($H$2 * deployment_raw[[#This Row],[Column5]])), 0),"")</f>
        <v/>
      </c>
      <c r="M49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92" s="188" t="str">
        <f>IF(ISNUMBER(deployment_raw[[#This Row],[Column14]]), deployment_raw[[#This Row],[Column14]],"")</f>
        <v/>
      </c>
      <c r="O492" s="189" t="str">
        <f>IF(ISNUMBER(deployment_raw[[#This Row],[Column15]]), deployment_raw[[#This Row],[Column15]]/1048576,"")</f>
        <v/>
      </c>
      <c r="P492" s="190" t="str">
        <f>IF(ISNUMBER(deployment_raw[[#This Row],[Column12]]), (deployment_raw[[#This Row],[Column12]] * deployment_raw[[#This Row],[Column5]]),"")</f>
        <v/>
      </c>
      <c r="Q492" s="189" t="str">
        <f>IF(ISNUMBER(deployment_raw[[#This Row],[Column13]]), (deployment_raw[[#This Row],[Column13]] * deployment_raw[[#This Row],[Column5]])/1048576,"")</f>
        <v/>
      </c>
    </row>
    <row r="493" spans="1:17" ht="15.75" customHeight="1" x14ac:dyDescent="0.25">
      <c r="A493" s="37" t="str">
        <f>IF(ISNONTEXT(deployment_raw[[#This Row],[Column1]]), "", deployment_raw[[#This Row],[Column1]])</f>
        <v/>
      </c>
      <c r="B493" s="38" t="str">
        <f>IF(ISNONTEXT(deployment_raw[[#This Row],[Column2]]), "", deployment_raw[[#This Row],[Column2]])</f>
        <v/>
      </c>
      <c r="C493" s="38" t="str">
        <f>IF(ISNONTEXT(deployment_raw[[#This Row],[Column3]]), "", deployment_raw[[#This Row],[Column3]])</f>
        <v/>
      </c>
      <c r="D493" s="38" t="str">
        <f>IF(ISNONTEXT(deployment_raw[[#This Row],[Column4]]), "", deployment_raw[[#This Row],[Column4]])</f>
        <v/>
      </c>
      <c r="E493" s="39" t="str">
        <f>IF(ISNUMBER(deployment_raw[[#This Row],[Column5]]), deployment_raw[[#This Row],[Column5]],"")</f>
        <v/>
      </c>
      <c r="F493" s="174" t="str">
        <f>IF(ISNUMBER(deployment_raw[[#This Row],[Column6]]), (deployment_raw[[#This Row],[Column6]] * deployment_raw[[#This Row],[Column5]]),"")</f>
        <v/>
      </c>
      <c r="G493" s="175" t="str">
        <f>IF(ISNUMBER(deployment_raw[[#This Row],[Column7]]), (deployment_raw[[#This Row],[Column7]] * deployment_raw[[#This Row],[Column5]])/1048576,"")</f>
        <v/>
      </c>
      <c r="H493" s="175" t="str">
        <f>IF(ISNUMBER(deployment_raw[[#This Row],[Column8]]), (deployment_raw[[#This Row],[Column8]]  * deployment_raw[[#This Row],[Column5]]),"")</f>
        <v/>
      </c>
      <c r="I493" s="176" t="str">
        <f>IF(ISNUMBER(deployment_raw[[#This Row],[Column9]]), (deployment_raw[[#This Row],[Column9]] * deployment_raw[[#This Row],[Column5]])/1048576,"")</f>
        <v/>
      </c>
      <c r="J493" s="57" t="str">
        <f>IF(ISNUMBER(deployment_raw[[#This Row],[Column10]]), (deployment_raw[[#This Row],[Column10]] * deployment_raw[[#This Row],[Column5]]),"")</f>
        <v/>
      </c>
      <c r="K493" s="58" t="str">
        <f>IF(ISNUMBER(deployment_raw[[#This Row],[Column11]]), (deployment_raw[[#This Row],[Column11]] * deployment_raw[[#This Row],[Column5]])/1048576,"")</f>
        <v/>
      </c>
      <c r="L493" s="180" t="str">
        <f>IF(ISNUMBER(deployment_raw[[#This Row],[Column8]]),IF(deployment_raw[[#This Row],[Column5]] &lt;&gt; 0, MAX((deployment_raw[[#This Row],[Column12]] * deployment_raw[[#This Row],[Column5]]), ((deployment_raw[[#This Row],[Column8]] * deployment_raw[[#This Row],[Column5]]) * $L$2), ($H$2 * deployment_raw[[#This Row],[Column5]])), 0),"")</f>
        <v/>
      </c>
      <c r="M49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93" s="188" t="str">
        <f>IF(ISNUMBER(deployment_raw[[#This Row],[Column14]]), deployment_raw[[#This Row],[Column14]],"")</f>
        <v/>
      </c>
      <c r="O493" s="189" t="str">
        <f>IF(ISNUMBER(deployment_raw[[#This Row],[Column15]]), deployment_raw[[#This Row],[Column15]]/1048576,"")</f>
        <v/>
      </c>
      <c r="P493" s="190" t="str">
        <f>IF(ISNUMBER(deployment_raw[[#This Row],[Column12]]), (deployment_raw[[#This Row],[Column12]] * deployment_raw[[#This Row],[Column5]]),"")</f>
        <v/>
      </c>
      <c r="Q493" s="189" t="str">
        <f>IF(ISNUMBER(deployment_raw[[#This Row],[Column13]]), (deployment_raw[[#This Row],[Column13]] * deployment_raw[[#This Row],[Column5]])/1048576,"")</f>
        <v/>
      </c>
    </row>
    <row r="494" spans="1:17" ht="15.75" customHeight="1" x14ac:dyDescent="0.25">
      <c r="A494" s="37" t="str">
        <f>IF(ISNONTEXT(deployment_raw[[#This Row],[Column1]]), "", deployment_raw[[#This Row],[Column1]])</f>
        <v/>
      </c>
      <c r="B494" s="38" t="str">
        <f>IF(ISNONTEXT(deployment_raw[[#This Row],[Column2]]), "", deployment_raw[[#This Row],[Column2]])</f>
        <v/>
      </c>
      <c r="C494" s="38" t="str">
        <f>IF(ISNONTEXT(deployment_raw[[#This Row],[Column3]]), "", deployment_raw[[#This Row],[Column3]])</f>
        <v/>
      </c>
      <c r="D494" s="38" t="str">
        <f>IF(ISNONTEXT(deployment_raw[[#This Row],[Column4]]), "", deployment_raw[[#This Row],[Column4]])</f>
        <v/>
      </c>
      <c r="E494" s="39" t="str">
        <f>IF(ISNUMBER(deployment_raw[[#This Row],[Column5]]), deployment_raw[[#This Row],[Column5]],"")</f>
        <v/>
      </c>
      <c r="F494" s="174" t="str">
        <f>IF(ISNUMBER(deployment_raw[[#This Row],[Column6]]), (deployment_raw[[#This Row],[Column6]] * deployment_raw[[#This Row],[Column5]]),"")</f>
        <v/>
      </c>
      <c r="G494" s="175" t="str">
        <f>IF(ISNUMBER(deployment_raw[[#This Row],[Column7]]), (deployment_raw[[#This Row],[Column7]] * deployment_raw[[#This Row],[Column5]])/1048576,"")</f>
        <v/>
      </c>
      <c r="H494" s="175" t="str">
        <f>IF(ISNUMBER(deployment_raw[[#This Row],[Column8]]), (deployment_raw[[#This Row],[Column8]]  * deployment_raw[[#This Row],[Column5]]),"")</f>
        <v/>
      </c>
      <c r="I494" s="176" t="str">
        <f>IF(ISNUMBER(deployment_raw[[#This Row],[Column9]]), (deployment_raw[[#This Row],[Column9]] * deployment_raw[[#This Row],[Column5]])/1048576,"")</f>
        <v/>
      </c>
      <c r="J494" s="57" t="str">
        <f>IF(ISNUMBER(deployment_raw[[#This Row],[Column10]]), (deployment_raw[[#This Row],[Column10]] * deployment_raw[[#This Row],[Column5]]),"")</f>
        <v/>
      </c>
      <c r="K494" s="58" t="str">
        <f>IF(ISNUMBER(deployment_raw[[#This Row],[Column11]]), (deployment_raw[[#This Row],[Column11]] * deployment_raw[[#This Row],[Column5]])/1048576,"")</f>
        <v/>
      </c>
      <c r="L494" s="180" t="str">
        <f>IF(ISNUMBER(deployment_raw[[#This Row],[Column8]]),IF(deployment_raw[[#This Row],[Column5]] &lt;&gt; 0, MAX((deployment_raw[[#This Row],[Column12]] * deployment_raw[[#This Row],[Column5]]), ((deployment_raw[[#This Row],[Column8]] * deployment_raw[[#This Row],[Column5]]) * $L$2), ($H$2 * deployment_raw[[#This Row],[Column5]])), 0),"")</f>
        <v/>
      </c>
      <c r="M49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94" s="188" t="str">
        <f>IF(ISNUMBER(deployment_raw[[#This Row],[Column14]]), deployment_raw[[#This Row],[Column14]],"")</f>
        <v/>
      </c>
      <c r="O494" s="189" t="str">
        <f>IF(ISNUMBER(deployment_raw[[#This Row],[Column15]]), deployment_raw[[#This Row],[Column15]]/1048576,"")</f>
        <v/>
      </c>
      <c r="P494" s="190" t="str">
        <f>IF(ISNUMBER(deployment_raw[[#This Row],[Column12]]), (deployment_raw[[#This Row],[Column12]] * deployment_raw[[#This Row],[Column5]]),"")</f>
        <v/>
      </c>
      <c r="Q494" s="189" t="str">
        <f>IF(ISNUMBER(deployment_raw[[#This Row],[Column13]]), (deployment_raw[[#This Row],[Column13]] * deployment_raw[[#This Row],[Column5]])/1048576,"")</f>
        <v/>
      </c>
    </row>
    <row r="495" spans="1:17" ht="15.75" customHeight="1" x14ac:dyDescent="0.25">
      <c r="A495" s="37" t="str">
        <f>IF(ISNONTEXT(deployment_raw[[#This Row],[Column1]]), "", deployment_raw[[#This Row],[Column1]])</f>
        <v/>
      </c>
      <c r="B495" s="38" t="str">
        <f>IF(ISNONTEXT(deployment_raw[[#This Row],[Column2]]), "", deployment_raw[[#This Row],[Column2]])</f>
        <v/>
      </c>
      <c r="C495" s="38" t="str">
        <f>IF(ISNONTEXT(deployment_raw[[#This Row],[Column3]]), "", deployment_raw[[#This Row],[Column3]])</f>
        <v/>
      </c>
      <c r="D495" s="38" t="str">
        <f>IF(ISNONTEXT(deployment_raw[[#This Row],[Column4]]), "", deployment_raw[[#This Row],[Column4]])</f>
        <v/>
      </c>
      <c r="E495" s="39" t="str">
        <f>IF(ISNUMBER(deployment_raw[[#This Row],[Column5]]), deployment_raw[[#This Row],[Column5]],"")</f>
        <v/>
      </c>
      <c r="F495" s="174" t="str">
        <f>IF(ISNUMBER(deployment_raw[[#This Row],[Column6]]), (deployment_raw[[#This Row],[Column6]] * deployment_raw[[#This Row],[Column5]]),"")</f>
        <v/>
      </c>
      <c r="G495" s="175" t="str">
        <f>IF(ISNUMBER(deployment_raw[[#This Row],[Column7]]), (deployment_raw[[#This Row],[Column7]] * deployment_raw[[#This Row],[Column5]])/1048576,"")</f>
        <v/>
      </c>
      <c r="H495" s="175" t="str">
        <f>IF(ISNUMBER(deployment_raw[[#This Row],[Column8]]), (deployment_raw[[#This Row],[Column8]]  * deployment_raw[[#This Row],[Column5]]),"")</f>
        <v/>
      </c>
      <c r="I495" s="176" t="str">
        <f>IF(ISNUMBER(deployment_raw[[#This Row],[Column9]]), (deployment_raw[[#This Row],[Column9]] * deployment_raw[[#This Row],[Column5]])/1048576,"")</f>
        <v/>
      </c>
      <c r="J495" s="57" t="str">
        <f>IF(ISNUMBER(deployment_raw[[#This Row],[Column10]]), (deployment_raw[[#This Row],[Column10]] * deployment_raw[[#This Row],[Column5]]),"")</f>
        <v/>
      </c>
      <c r="K495" s="58" t="str">
        <f>IF(ISNUMBER(deployment_raw[[#This Row],[Column11]]), (deployment_raw[[#This Row],[Column11]] * deployment_raw[[#This Row],[Column5]])/1048576,"")</f>
        <v/>
      </c>
      <c r="L495" s="180" t="str">
        <f>IF(ISNUMBER(deployment_raw[[#This Row],[Column8]]),IF(deployment_raw[[#This Row],[Column5]] &lt;&gt; 0, MAX((deployment_raw[[#This Row],[Column12]] * deployment_raw[[#This Row],[Column5]]), ((deployment_raw[[#This Row],[Column8]] * deployment_raw[[#This Row],[Column5]]) * $L$2), ($H$2 * deployment_raw[[#This Row],[Column5]])), 0),"")</f>
        <v/>
      </c>
      <c r="M49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95" s="188" t="str">
        <f>IF(ISNUMBER(deployment_raw[[#This Row],[Column14]]), deployment_raw[[#This Row],[Column14]],"")</f>
        <v/>
      </c>
      <c r="O495" s="189" t="str">
        <f>IF(ISNUMBER(deployment_raw[[#This Row],[Column15]]), deployment_raw[[#This Row],[Column15]]/1048576,"")</f>
        <v/>
      </c>
      <c r="P495" s="190" t="str">
        <f>IF(ISNUMBER(deployment_raw[[#This Row],[Column12]]), (deployment_raw[[#This Row],[Column12]] * deployment_raw[[#This Row],[Column5]]),"")</f>
        <v/>
      </c>
      <c r="Q495" s="189" t="str">
        <f>IF(ISNUMBER(deployment_raw[[#This Row],[Column13]]), (deployment_raw[[#This Row],[Column13]] * deployment_raw[[#This Row],[Column5]])/1048576,"")</f>
        <v/>
      </c>
    </row>
    <row r="496" spans="1:17" ht="15.75" customHeight="1" x14ac:dyDescent="0.25">
      <c r="A496" s="37" t="str">
        <f>IF(ISNONTEXT(deployment_raw[[#This Row],[Column1]]), "", deployment_raw[[#This Row],[Column1]])</f>
        <v/>
      </c>
      <c r="B496" s="38" t="str">
        <f>IF(ISNONTEXT(deployment_raw[[#This Row],[Column2]]), "", deployment_raw[[#This Row],[Column2]])</f>
        <v/>
      </c>
      <c r="C496" s="38" t="str">
        <f>IF(ISNONTEXT(deployment_raw[[#This Row],[Column3]]), "", deployment_raw[[#This Row],[Column3]])</f>
        <v/>
      </c>
      <c r="D496" s="38" t="str">
        <f>IF(ISNONTEXT(deployment_raw[[#This Row],[Column4]]), "", deployment_raw[[#This Row],[Column4]])</f>
        <v/>
      </c>
      <c r="E496" s="39" t="str">
        <f>IF(ISNUMBER(deployment_raw[[#This Row],[Column5]]), deployment_raw[[#This Row],[Column5]],"")</f>
        <v/>
      </c>
      <c r="F496" s="174" t="str">
        <f>IF(ISNUMBER(deployment_raw[[#This Row],[Column6]]), (deployment_raw[[#This Row],[Column6]] * deployment_raw[[#This Row],[Column5]]),"")</f>
        <v/>
      </c>
      <c r="G496" s="175" t="str">
        <f>IF(ISNUMBER(deployment_raw[[#This Row],[Column7]]), (deployment_raw[[#This Row],[Column7]] * deployment_raw[[#This Row],[Column5]])/1048576,"")</f>
        <v/>
      </c>
      <c r="H496" s="175" t="str">
        <f>IF(ISNUMBER(deployment_raw[[#This Row],[Column8]]), (deployment_raw[[#This Row],[Column8]]  * deployment_raw[[#This Row],[Column5]]),"")</f>
        <v/>
      </c>
      <c r="I496" s="176" t="str">
        <f>IF(ISNUMBER(deployment_raw[[#This Row],[Column9]]), (deployment_raw[[#This Row],[Column9]] * deployment_raw[[#This Row],[Column5]])/1048576,"")</f>
        <v/>
      </c>
      <c r="J496" s="57" t="str">
        <f>IF(ISNUMBER(deployment_raw[[#This Row],[Column10]]), (deployment_raw[[#This Row],[Column10]] * deployment_raw[[#This Row],[Column5]]),"")</f>
        <v/>
      </c>
      <c r="K496" s="58" t="str">
        <f>IF(ISNUMBER(deployment_raw[[#This Row],[Column11]]), (deployment_raw[[#This Row],[Column11]] * deployment_raw[[#This Row],[Column5]])/1048576,"")</f>
        <v/>
      </c>
      <c r="L496" s="180" t="str">
        <f>IF(ISNUMBER(deployment_raw[[#This Row],[Column8]]),IF(deployment_raw[[#This Row],[Column5]] &lt;&gt; 0, MAX((deployment_raw[[#This Row],[Column12]] * deployment_raw[[#This Row],[Column5]]), ((deployment_raw[[#This Row],[Column8]] * deployment_raw[[#This Row],[Column5]]) * $L$2), ($H$2 * deployment_raw[[#This Row],[Column5]])), 0),"")</f>
        <v/>
      </c>
      <c r="M49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96" s="188" t="str">
        <f>IF(ISNUMBER(deployment_raw[[#This Row],[Column14]]), deployment_raw[[#This Row],[Column14]],"")</f>
        <v/>
      </c>
      <c r="O496" s="189" t="str">
        <f>IF(ISNUMBER(deployment_raw[[#This Row],[Column15]]), deployment_raw[[#This Row],[Column15]]/1048576,"")</f>
        <v/>
      </c>
      <c r="P496" s="190" t="str">
        <f>IF(ISNUMBER(deployment_raw[[#This Row],[Column12]]), (deployment_raw[[#This Row],[Column12]] * deployment_raw[[#This Row],[Column5]]),"")</f>
        <v/>
      </c>
      <c r="Q496" s="189" t="str">
        <f>IF(ISNUMBER(deployment_raw[[#This Row],[Column13]]), (deployment_raw[[#This Row],[Column13]] * deployment_raw[[#This Row],[Column5]])/1048576,"")</f>
        <v/>
      </c>
    </row>
    <row r="497" spans="1:17" ht="15.75" customHeight="1" x14ac:dyDescent="0.25">
      <c r="A497" s="37" t="str">
        <f>IF(ISNONTEXT(deployment_raw[[#This Row],[Column1]]), "", deployment_raw[[#This Row],[Column1]])</f>
        <v/>
      </c>
      <c r="B497" s="38" t="str">
        <f>IF(ISNONTEXT(deployment_raw[[#This Row],[Column2]]), "", deployment_raw[[#This Row],[Column2]])</f>
        <v/>
      </c>
      <c r="C497" s="38" t="str">
        <f>IF(ISNONTEXT(deployment_raw[[#This Row],[Column3]]), "", deployment_raw[[#This Row],[Column3]])</f>
        <v/>
      </c>
      <c r="D497" s="38" t="str">
        <f>IF(ISNONTEXT(deployment_raw[[#This Row],[Column4]]), "", deployment_raw[[#This Row],[Column4]])</f>
        <v/>
      </c>
      <c r="E497" s="39" t="str">
        <f>IF(ISNUMBER(deployment_raw[[#This Row],[Column5]]), deployment_raw[[#This Row],[Column5]],"")</f>
        <v/>
      </c>
      <c r="F497" s="174" t="str">
        <f>IF(ISNUMBER(deployment_raw[[#This Row],[Column6]]), (deployment_raw[[#This Row],[Column6]] * deployment_raw[[#This Row],[Column5]]),"")</f>
        <v/>
      </c>
      <c r="G497" s="175" t="str">
        <f>IF(ISNUMBER(deployment_raw[[#This Row],[Column7]]), (deployment_raw[[#This Row],[Column7]] * deployment_raw[[#This Row],[Column5]])/1048576,"")</f>
        <v/>
      </c>
      <c r="H497" s="175" t="str">
        <f>IF(ISNUMBER(deployment_raw[[#This Row],[Column8]]), (deployment_raw[[#This Row],[Column8]]  * deployment_raw[[#This Row],[Column5]]),"")</f>
        <v/>
      </c>
      <c r="I497" s="176" t="str">
        <f>IF(ISNUMBER(deployment_raw[[#This Row],[Column9]]), (deployment_raw[[#This Row],[Column9]] * deployment_raw[[#This Row],[Column5]])/1048576,"")</f>
        <v/>
      </c>
      <c r="J497" s="57" t="str">
        <f>IF(ISNUMBER(deployment_raw[[#This Row],[Column10]]), (deployment_raw[[#This Row],[Column10]] * deployment_raw[[#This Row],[Column5]]),"")</f>
        <v/>
      </c>
      <c r="K497" s="58" t="str">
        <f>IF(ISNUMBER(deployment_raw[[#This Row],[Column11]]), (deployment_raw[[#This Row],[Column11]] * deployment_raw[[#This Row],[Column5]])/1048576,"")</f>
        <v/>
      </c>
      <c r="L497" s="180" t="str">
        <f>IF(ISNUMBER(deployment_raw[[#This Row],[Column8]]),IF(deployment_raw[[#This Row],[Column5]] &lt;&gt; 0, MAX((deployment_raw[[#This Row],[Column12]] * deployment_raw[[#This Row],[Column5]]), ((deployment_raw[[#This Row],[Column8]] * deployment_raw[[#This Row],[Column5]]) * $L$2), ($H$2 * deployment_raw[[#This Row],[Column5]])), 0),"")</f>
        <v/>
      </c>
      <c r="M49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97" s="188" t="str">
        <f>IF(ISNUMBER(deployment_raw[[#This Row],[Column14]]), deployment_raw[[#This Row],[Column14]],"")</f>
        <v/>
      </c>
      <c r="O497" s="189" t="str">
        <f>IF(ISNUMBER(deployment_raw[[#This Row],[Column15]]), deployment_raw[[#This Row],[Column15]]/1048576,"")</f>
        <v/>
      </c>
      <c r="P497" s="190" t="str">
        <f>IF(ISNUMBER(deployment_raw[[#This Row],[Column12]]), (deployment_raw[[#This Row],[Column12]] * deployment_raw[[#This Row],[Column5]]),"")</f>
        <v/>
      </c>
      <c r="Q497" s="189" t="str">
        <f>IF(ISNUMBER(deployment_raw[[#This Row],[Column13]]), (deployment_raw[[#This Row],[Column13]] * deployment_raw[[#This Row],[Column5]])/1048576,"")</f>
        <v/>
      </c>
    </row>
    <row r="498" spans="1:17" ht="15.75" customHeight="1" x14ac:dyDescent="0.25">
      <c r="A498" s="37" t="str">
        <f>IF(ISNONTEXT(deployment_raw[[#This Row],[Column1]]), "", deployment_raw[[#This Row],[Column1]])</f>
        <v/>
      </c>
      <c r="B498" s="38" t="str">
        <f>IF(ISNONTEXT(deployment_raw[[#This Row],[Column2]]), "", deployment_raw[[#This Row],[Column2]])</f>
        <v/>
      </c>
      <c r="C498" s="38" t="str">
        <f>IF(ISNONTEXT(deployment_raw[[#This Row],[Column3]]), "", deployment_raw[[#This Row],[Column3]])</f>
        <v/>
      </c>
      <c r="D498" s="38" t="str">
        <f>IF(ISNONTEXT(deployment_raw[[#This Row],[Column4]]), "", deployment_raw[[#This Row],[Column4]])</f>
        <v/>
      </c>
      <c r="E498" s="39" t="str">
        <f>IF(ISNUMBER(deployment_raw[[#This Row],[Column5]]), deployment_raw[[#This Row],[Column5]],"")</f>
        <v/>
      </c>
      <c r="F498" s="174" t="str">
        <f>IF(ISNUMBER(deployment_raw[[#This Row],[Column6]]), (deployment_raw[[#This Row],[Column6]] * deployment_raw[[#This Row],[Column5]]),"")</f>
        <v/>
      </c>
      <c r="G498" s="175" t="str">
        <f>IF(ISNUMBER(deployment_raw[[#This Row],[Column7]]), (deployment_raw[[#This Row],[Column7]] * deployment_raw[[#This Row],[Column5]])/1048576,"")</f>
        <v/>
      </c>
      <c r="H498" s="175" t="str">
        <f>IF(ISNUMBER(deployment_raw[[#This Row],[Column8]]), (deployment_raw[[#This Row],[Column8]]  * deployment_raw[[#This Row],[Column5]]),"")</f>
        <v/>
      </c>
      <c r="I498" s="176" t="str">
        <f>IF(ISNUMBER(deployment_raw[[#This Row],[Column9]]), (deployment_raw[[#This Row],[Column9]] * deployment_raw[[#This Row],[Column5]])/1048576,"")</f>
        <v/>
      </c>
      <c r="J498" s="57" t="str">
        <f>IF(ISNUMBER(deployment_raw[[#This Row],[Column10]]), (deployment_raw[[#This Row],[Column10]] * deployment_raw[[#This Row],[Column5]]),"")</f>
        <v/>
      </c>
      <c r="K498" s="58" t="str">
        <f>IF(ISNUMBER(deployment_raw[[#This Row],[Column11]]), (deployment_raw[[#This Row],[Column11]] * deployment_raw[[#This Row],[Column5]])/1048576,"")</f>
        <v/>
      </c>
      <c r="L498" s="180" t="str">
        <f>IF(ISNUMBER(deployment_raw[[#This Row],[Column8]]),IF(deployment_raw[[#This Row],[Column5]] &lt;&gt; 0, MAX((deployment_raw[[#This Row],[Column12]] * deployment_raw[[#This Row],[Column5]]), ((deployment_raw[[#This Row],[Column8]] * deployment_raw[[#This Row],[Column5]]) * $L$2), ($H$2 * deployment_raw[[#This Row],[Column5]])), 0),"")</f>
        <v/>
      </c>
      <c r="M49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98" s="188" t="str">
        <f>IF(ISNUMBER(deployment_raw[[#This Row],[Column14]]), deployment_raw[[#This Row],[Column14]],"")</f>
        <v/>
      </c>
      <c r="O498" s="189" t="str">
        <f>IF(ISNUMBER(deployment_raw[[#This Row],[Column15]]), deployment_raw[[#This Row],[Column15]]/1048576,"")</f>
        <v/>
      </c>
      <c r="P498" s="190" t="str">
        <f>IF(ISNUMBER(deployment_raw[[#This Row],[Column12]]), (deployment_raw[[#This Row],[Column12]] * deployment_raw[[#This Row],[Column5]]),"")</f>
        <v/>
      </c>
      <c r="Q498" s="189" t="str">
        <f>IF(ISNUMBER(deployment_raw[[#This Row],[Column13]]), (deployment_raw[[#This Row],[Column13]] * deployment_raw[[#This Row],[Column5]])/1048576,"")</f>
        <v/>
      </c>
    </row>
    <row r="499" spans="1:17" ht="15.75" customHeight="1" x14ac:dyDescent="0.25">
      <c r="A499" s="37" t="str">
        <f>IF(ISNONTEXT(deployment_raw[[#This Row],[Column1]]), "", deployment_raw[[#This Row],[Column1]])</f>
        <v/>
      </c>
      <c r="B499" s="38" t="str">
        <f>IF(ISNONTEXT(deployment_raw[[#This Row],[Column2]]), "", deployment_raw[[#This Row],[Column2]])</f>
        <v/>
      </c>
      <c r="C499" s="38" t="str">
        <f>IF(ISNONTEXT(deployment_raw[[#This Row],[Column3]]), "", deployment_raw[[#This Row],[Column3]])</f>
        <v/>
      </c>
      <c r="D499" s="38" t="str">
        <f>IF(ISNONTEXT(deployment_raw[[#This Row],[Column4]]), "", deployment_raw[[#This Row],[Column4]])</f>
        <v/>
      </c>
      <c r="E499" s="39" t="str">
        <f>IF(ISNUMBER(deployment_raw[[#This Row],[Column5]]), deployment_raw[[#This Row],[Column5]],"")</f>
        <v/>
      </c>
      <c r="F499" s="174" t="str">
        <f>IF(ISNUMBER(deployment_raw[[#This Row],[Column6]]), (deployment_raw[[#This Row],[Column6]] * deployment_raw[[#This Row],[Column5]]),"")</f>
        <v/>
      </c>
      <c r="G499" s="175" t="str">
        <f>IF(ISNUMBER(deployment_raw[[#This Row],[Column7]]), (deployment_raw[[#This Row],[Column7]] * deployment_raw[[#This Row],[Column5]])/1048576,"")</f>
        <v/>
      </c>
      <c r="H499" s="175" t="str">
        <f>IF(ISNUMBER(deployment_raw[[#This Row],[Column8]]), (deployment_raw[[#This Row],[Column8]]  * deployment_raw[[#This Row],[Column5]]),"")</f>
        <v/>
      </c>
      <c r="I499" s="176" t="str">
        <f>IF(ISNUMBER(deployment_raw[[#This Row],[Column9]]), (deployment_raw[[#This Row],[Column9]] * deployment_raw[[#This Row],[Column5]])/1048576,"")</f>
        <v/>
      </c>
      <c r="J499" s="57" t="str">
        <f>IF(ISNUMBER(deployment_raw[[#This Row],[Column10]]), (deployment_raw[[#This Row],[Column10]] * deployment_raw[[#This Row],[Column5]]),"")</f>
        <v/>
      </c>
      <c r="K499" s="58" t="str">
        <f>IF(ISNUMBER(deployment_raw[[#This Row],[Column11]]), (deployment_raw[[#This Row],[Column11]] * deployment_raw[[#This Row],[Column5]])/1048576,"")</f>
        <v/>
      </c>
      <c r="L499" s="180" t="str">
        <f>IF(ISNUMBER(deployment_raw[[#This Row],[Column8]]),IF(deployment_raw[[#This Row],[Column5]] &lt;&gt; 0, MAX((deployment_raw[[#This Row],[Column12]] * deployment_raw[[#This Row],[Column5]]), ((deployment_raw[[#This Row],[Column8]] * deployment_raw[[#This Row],[Column5]]) * $L$2), ($H$2 * deployment_raw[[#This Row],[Column5]])), 0),"")</f>
        <v/>
      </c>
      <c r="M49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499" s="188" t="str">
        <f>IF(ISNUMBER(deployment_raw[[#This Row],[Column14]]), deployment_raw[[#This Row],[Column14]],"")</f>
        <v/>
      </c>
      <c r="O499" s="189" t="str">
        <f>IF(ISNUMBER(deployment_raw[[#This Row],[Column15]]), deployment_raw[[#This Row],[Column15]]/1048576,"")</f>
        <v/>
      </c>
      <c r="P499" s="190" t="str">
        <f>IF(ISNUMBER(deployment_raw[[#This Row],[Column12]]), (deployment_raw[[#This Row],[Column12]] * deployment_raw[[#This Row],[Column5]]),"")</f>
        <v/>
      </c>
      <c r="Q499" s="189" t="str">
        <f>IF(ISNUMBER(deployment_raw[[#This Row],[Column13]]), (deployment_raw[[#This Row],[Column13]] * deployment_raw[[#This Row],[Column5]])/1048576,"")</f>
        <v/>
      </c>
    </row>
    <row r="500" spans="1:17" ht="15.75" customHeight="1" x14ac:dyDescent="0.25">
      <c r="A500" s="37" t="str">
        <f>IF(ISNONTEXT(deployment_raw[[#This Row],[Column1]]), "", deployment_raw[[#This Row],[Column1]])</f>
        <v/>
      </c>
      <c r="B500" s="38" t="str">
        <f>IF(ISNONTEXT(deployment_raw[[#This Row],[Column2]]), "", deployment_raw[[#This Row],[Column2]])</f>
        <v/>
      </c>
      <c r="C500" s="38" t="str">
        <f>IF(ISNONTEXT(deployment_raw[[#This Row],[Column3]]), "", deployment_raw[[#This Row],[Column3]])</f>
        <v/>
      </c>
      <c r="D500" s="38" t="str">
        <f>IF(ISNONTEXT(deployment_raw[[#This Row],[Column4]]), "", deployment_raw[[#This Row],[Column4]])</f>
        <v/>
      </c>
      <c r="E500" s="39" t="str">
        <f>IF(ISNUMBER(deployment_raw[[#This Row],[Column5]]), deployment_raw[[#This Row],[Column5]],"")</f>
        <v/>
      </c>
      <c r="F500" s="174" t="str">
        <f>IF(ISNUMBER(deployment_raw[[#This Row],[Column6]]), (deployment_raw[[#This Row],[Column6]] * deployment_raw[[#This Row],[Column5]]),"")</f>
        <v/>
      </c>
      <c r="G500" s="175" t="str">
        <f>IF(ISNUMBER(deployment_raw[[#This Row],[Column7]]), (deployment_raw[[#This Row],[Column7]] * deployment_raw[[#This Row],[Column5]])/1048576,"")</f>
        <v/>
      </c>
      <c r="H500" s="175" t="str">
        <f>IF(ISNUMBER(deployment_raw[[#This Row],[Column8]]), (deployment_raw[[#This Row],[Column8]]  * deployment_raw[[#This Row],[Column5]]),"")</f>
        <v/>
      </c>
      <c r="I500" s="176" t="str">
        <f>IF(ISNUMBER(deployment_raw[[#This Row],[Column9]]), (deployment_raw[[#This Row],[Column9]] * deployment_raw[[#This Row],[Column5]])/1048576,"")</f>
        <v/>
      </c>
      <c r="J500" s="57" t="str">
        <f>IF(ISNUMBER(deployment_raw[[#This Row],[Column10]]), (deployment_raw[[#This Row],[Column10]] * deployment_raw[[#This Row],[Column5]]),"")</f>
        <v/>
      </c>
      <c r="K500" s="58" t="str">
        <f>IF(ISNUMBER(deployment_raw[[#This Row],[Column11]]), (deployment_raw[[#This Row],[Column11]] * deployment_raw[[#This Row],[Column5]])/1048576,"")</f>
        <v/>
      </c>
      <c r="L500" s="180" t="str">
        <f>IF(ISNUMBER(deployment_raw[[#This Row],[Column8]]),IF(deployment_raw[[#This Row],[Column5]] &lt;&gt; 0, MAX((deployment_raw[[#This Row],[Column12]] * deployment_raw[[#This Row],[Column5]]), ((deployment_raw[[#This Row],[Column8]] * deployment_raw[[#This Row],[Column5]]) * $L$2), ($H$2 * deployment_raw[[#This Row],[Column5]])), 0),"")</f>
        <v/>
      </c>
      <c r="M50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00" s="188" t="str">
        <f>IF(ISNUMBER(deployment_raw[[#This Row],[Column14]]), deployment_raw[[#This Row],[Column14]],"")</f>
        <v/>
      </c>
      <c r="O500" s="189" t="str">
        <f>IF(ISNUMBER(deployment_raw[[#This Row],[Column15]]), deployment_raw[[#This Row],[Column15]]/1048576,"")</f>
        <v/>
      </c>
      <c r="P500" s="190" t="str">
        <f>IF(ISNUMBER(deployment_raw[[#This Row],[Column12]]), (deployment_raw[[#This Row],[Column12]] * deployment_raw[[#This Row],[Column5]]),"")</f>
        <v/>
      </c>
      <c r="Q500" s="189" t="str">
        <f>IF(ISNUMBER(deployment_raw[[#This Row],[Column13]]), (deployment_raw[[#This Row],[Column13]] * deployment_raw[[#This Row],[Column5]])/1048576,"")</f>
        <v/>
      </c>
    </row>
    <row r="501" spans="1:17" ht="15.75" customHeight="1" x14ac:dyDescent="0.25">
      <c r="A501" s="37" t="str">
        <f>IF(ISNONTEXT(deployment_raw[[#This Row],[Column1]]), "", deployment_raw[[#This Row],[Column1]])</f>
        <v/>
      </c>
      <c r="B501" s="38" t="str">
        <f>IF(ISNONTEXT(deployment_raw[[#This Row],[Column2]]), "", deployment_raw[[#This Row],[Column2]])</f>
        <v/>
      </c>
      <c r="C501" s="38" t="str">
        <f>IF(ISNONTEXT(deployment_raw[[#This Row],[Column3]]), "", deployment_raw[[#This Row],[Column3]])</f>
        <v/>
      </c>
      <c r="D501" s="38" t="str">
        <f>IF(ISNONTEXT(deployment_raw[[#This Row],[Column4]]), "", deployment_raw[[#This Row],[Column4]])</f>
        <v/>
      </c>
      <c r="E501" s="39" t="str">
        <f>IF(ISNUMBER(deployment_raw[[#This Row],[Column5]]), deployment_raw[[#This Row],[Column5]],"")</f>
        <v/>
      </c>
      <c r="F501" s="174" t="str">
        <f>IF(ISNUMBER(deployment_raw[[#This Row],[Column6]]), (deployment_raw[[#This Row],[Column6]] * deployment_raw[[#This Row],[Column5]]),"")</f>
        <v/>
      </c>
      <c r="G501" s="175" t="str">
        <f>IF(ISNUMBER(deployment_raw[[#This Row],[Column7]]), (deployment_raw[[#This Row],[Column7]] * deployment_raw[[#This Row],[Column5]])/1048576,"")</f>
        <v/>
      </c>
      <c r="H501" s="175" t="str">
        <f>IF(ISNUMBER(deployment_raw[[#This Row],[Column8]]), (deployment_raw[[#This Row],[Column8]]  * deployment_raw[[#This Row],[Column5]]),"")</f>
        <v/>
      </c>
      <c r="I501" s="176" t="str">
        <f>IF(ISNUMBER(deployment_raw[[#This Row],[Column9]]), (deployment_raw[[#This Row],[Column9]] * deployment_raw[[#This Row],[Column5]])/1048576,"")</f>
        <v/>
      </c>
      <c r="J501" s="57" t="str">
        <f>IF(ISNUMBER(deployment_raw[[#This Row],[Column10]]), (deployment_raw[[#This Row],[Column10]] * deployment_raw[[#This Row],[Column5]]),"")</f>
        <v/>
      </c>
      <c r="K501" s="58" t="str">
        <f>IF(ISNUMBER(deployment_raw[[#This Row],[Column11]]), (deployment_raw[[#This Row],[Column11]] * deployment_raw[[#This Row],[Column5]])/1048576,"")</f>
        <v/>
      </c>
      <c r="L501" s="180" t="str">
        <f>IF(ISNUMBER(deployment_raw[[#This Row],[Column8]]),IF(deployment_raw[[#This Row],[Column5]] &lt;&gt; 0, MAX((deployment_raw[[#This Row],[Column12]] * deployment_raw[[#This Row],[Column5]]), ((deployment_raw[[#This Row],[Column8]] * deployment_raw[[#This Row],[Column5]]) * $L$2), ($H$2 * deployment_raw[[#This Row],[Column5]])), 0),"")</f>
        <v/>
      </c>
      <c r="M50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01" s="188" t="str">
        <f>IF(ISNUMBER(deployment_raw[[#This Row],[Column14]]), deployment_raw[[#This Row],[Column14]],"")</f>
        <v/>
      </c>
      <c r="O501" s="189" t="str">
        <f>IF(ISNUMBER(deployment_raw[[#This Row],[Column15]]), deployment_raw[[#This Row],[Column15]]/1048576,"")</f>
        <v/>
      </c>
      <c r="P501" s="190" t="str">
        <f>IF(ISNUMBER(deployment_raw[[#This Row],[Column12]]), (deployment_raw[[#This Row],[Column12]] * deployment_raw[[#This Row],[Column5]]),"")</f>
        <v/>
      </c>
      <c r="Q501" s="189" t="str">
        <f>IF(ISNUMBER(deployment_raw[[#This Row],[Column13]]), (deployment_raw[[#This Row],[Column13]] * deployment_raw[[#This Row],[Column5]])/1048576,"")</f>
        <v/>
      </c>
    </row>
    <row r="502" spans="1:17" ht="15.75" customHeight="1" x14ac:dyDescent="0.25">
      <c r="A502" s="37" t="str">
        <f>IF(ISNONTEXT(deployment_raw[[#This Row],[Column1]]), "", deployment_raw[[#This Row],[Column1]])</f>
        <v/>
      </c>
      <c r="B502" s="38" t="str">
        <f>IF(ISNONTEXT(deployment_raw[[#This Row],[Column2]]), "", deployment_raw[[#This Row],[Column2]])</f>
        <v/>
      </c>
      <c r="C502" s="38" t="str">
        <f>IF(ISNONTEXT(deployment_raw[[#This Row],[Column3]]), "", deployment_raw[[#This Row],[Column3]])</f>
        <v/>
      </c>
      <c r="D502" s="38" t="str">
        <f>IF(ISNONTEXT(deployment_raw[[#This Row],[Column4]]), "", deployment_raw[[#This Row],[Column4]])</f>
        <v/>
      </c>
      <c r="E502" s="39" t="str">
        <f>IF(ISNUMBER(deployment_raw[[#This Row],[Column5]]), deployment_raw[[#This Row],[Column5]],"")</f>
        <v/>
      </c>
      <c r="F502" s="174" t="str">
        <f>IF(ISNUMBER(deployment_raw[[#This Row],[Column6]]), (deployment_raw[[#This Row],[Column6]] * deployment_raw[[#This Row],[Column5]]),"")</f>
        <v/>
      </c>
      <c r="G502" s="175" t="str">
        <f>IF(ISNUMBER(deployment_raw[[#This Row],[Column7]]), (deployment_raw[[#This Row],[Column7]] * deployment_raw[[#This Row],[Column5]])/1048576,"")</f>
        <v/>
      </c>
      <c r="H502" s="175" t="str">
        <f>IF(ISNUMBER(deployment_raw[[#This Row],[Column8]]), (deployment_raw[[#This Row],[Column8]]  * deployment_raw[[#This Row],[Column5]]),"")</f>
        <v/>
      </c>
      <c r="I502" s="176" t="str">
        <f>IF(ISNUMBER(deployment_raw[[#This Row],[Column9]]), (deployment_raw[[#This Row],[Column9]] * deployment_raw[[#This Row],[Column5]])/1048576,"")</f>
        <v/>
      </c>
      <c r="J502" s="57" t="str">
        <f>IF(ISNUMBER(deployment_raw[[#This Row],[Column10]]), (deployment_raw[[#This Row],[Column10]] * deployment_raw[[#This Row],[Column5]]),"")</f>
        <v/>
      </c>
      <c r="K502" s="58" t="str">
        <f>IF(ISNUMBER(deployment_raw[[#This Row],[Column11]]), (deployment_raw[[#This Row],[Column11]] * deployment_raw[[#This Row],[Column5]])/1048576,"")</f>
        <v/>
      </c>
      <c r="L502" s="180" t="str">
        <f>IF(ISNUMBER(deployment_raw[[#This Row],[Column8]]),IF(deployment_raw[[#This Row],[Column5]] &lt;&gt; 0, MAX((deployment_raw[[#This Row],[Column12]] * deployment_raw[[#This Row],[Column5]]), ((deployment_raw[[#This Row],[Column8]] * deployment_raw[[#This Row],[Column5]]) * $L$2), ($H$2 * deployment_raw[[#This Row],[Column5]])), 0),"")</f>
        <v/>
      </c>
      <c r="M50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02" s="188" t="str">
        <f>IF(ISNUMBER(deployment_raw[[#This Row],[Column14]]), deployment_raw[[#This Row],[Column14]],"")</f>
        <v/>
      </c>
      <c r="O502" s="189" t="str">
        <f>IF(ISNUMBER(deployment_raw[[#This Row],[Column15]]), deployment_raw[[#This Row],[Column15]]/1048576,"")</f>
        <v/>
      </c>
      <c r="P502" s="190" t="str">
        <f>IF(ISNUMBER(deployment_raw[[#This Row],[Column12]]), (deployment_raw[[#This Row],[Column12]] * deployment_raw[[#This Row],[Column5]]),"")</f>
        <v/>
      </c>
      <c r="Q502" s="189" t="str">
        <f>IF(ISNUMBER(deployment_raw[[#This Row],[Column13]]), (deployment_raw[[#This Row],[Column13]] * deployment_raw[[#This Row],[Column5]])/1048576,"")</f>
        <v/>
      </c>
    </row>
    <row r="503" spans="1:17" ht="15.75" customHeight="1" x14ac:dyDescent="0.25">
      <c r="A503" s="37" t="str">
        <f>IF(ISNONTEXT(deployment_raw[[#This Row],[Column1]]), "", deployment_raw[[#This Row],[Column1]])</f>
        <v/>
      </c>
      <c r="B503" s="38" t="str">
        <f>IF(ISNONTEXT(deployment_raw[[#This Row],[Column2]]), "", deployment_raw[[#This Row],[Column2]])</f>
        <v/>
      </c>
      <c r="C503" s="38" t="str">
        <f>IF(ISNONTEXT(deployment_raw[[#This Row],[Column3]]), "", deployment_raw[[#This Row],[Column3]])</f>
        <v/>
      </c>
      <c r="D503" s="38" t="str">
        <f>IF(ISNONTEXT(deployment_raw[[#This Row],[Column4]]), "", deployment_raw[[#This Row],[Column4]])</f>
        <v/>
      </c>
      <c r="E503" s="39" t="str">
        <f>IF(ISNUMBER(deployment_raw[[#This Row],[Column5]]), deployment_raw[[#This Row],[Column5]],"")</f>
        <v/>
      </c>
      <c r="F503" s="174" t="str">
        <f>IF(ISNUMBER(deployment_raw[[#This Row],[Column6]]), (deployment_raw[[#This Row],[Column6]] * deployment_raw[[#This Row],[Column5]]),"")</f>
        <v/>
      </c>
      <c r="G503" s="175" t="str">
        <f>IF(ISNUMBER(deployment_raw[[#This Row],[Column7]]), (deployment_raw[[#This Row],[Column7]] * deployment_raw[[#This Row],[Column5]])/1048576,"")</f>
        <v/>
      </c>
      <c r="H503" s="175" t="str">
        <f>IF(ISNUMBER(deployment_raw[[#This Row],[Column8]]), (deployment_raw[[#This Row],[Column8]]  * deployment_raw[[#This Row],[Column5]]),"")</f>
        <v/>
      </c>
      <c r="I503" s="176" t="str">
        <f>IF(ISNUMBER(deployment_raw[[#This Row],[Column9]]), (deployment_raw[[#This Row],[Column9]] * deployment_raw[[#This Row],[Column5]])/1048576,"")</f>
        <v/>
      </c>
      <c r="J503" s="57" t="str">
        <f>IF(ISNUMBER(deployment_raw[[#This Row],[Column10]]), (deployment_raw[[#This Row],[Column10]] * deployment_raw[[#This Row],[Column5]]),"")</f>
        <v/>
      </c>
      <c r="K503" s="58" t="str">
        <f>IF(ISNUMBER(deployment_raw[[#This Row],[Column11]]), (deployment_raw[[#This Row],[Column11]] * deployment_raw[[#This Row],[Column5]])/1048576,"")</f>
        <v/>
      </c>
      <c r="L503" s="180" t="str">
        <f>IF(ISNUMBER(deployment_raw[[#This Row],[Column8]]),IF(deployment_raw[[#This Row],[Column5]] &lt;&gt; 0, MAX((deployment_raw[[#This Row],[Column12]] * deployment_raw[[#This Row],[Column5]]), ((deployment_raw[[#This Row],[Column8]] * deployment_raw[[#This Row],[Column5]]) * $L$2), ($H$2 * deployment_raw[[#This Row],[Column5]])), 0),"")</f>
        <v/>
      </c>
      <c r="M50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03" s="188" t="str">
        <f>IF(ISNUMBER(deployment_raw[[#This Row],[Column14]]), deployment_raw[[#This Row],[Column14]],"")</f>
        <v/>
      </c>
      <c r="O503" s="189" t="str">
        <f>IF(ISNUMBER(deployment_raw[[#This Row],[Column15]]), deployment_raw[[#This Row],[Column15]]/1048576,"")</f>
        <v/>
      </c>
      <c r="P503" s="190" t="str">
        <f>IF(ISNUMBER(deployment_raw[[#This Row],[Column12]]), (deployment_raw[[#This Row],[Column12]] * deployment_raw[[#This Row],[Column5]]),"")</f>
        <v/>
      </c>
      <c r="Q503" s="189" t="str">
        <f>IF(ISNUMBER(deployment_raw[[#This Row],[Column13]]), (deployment_raw[[#This Row],[Column13]] * deployment_raw[[#This Row],[Column5]])/1048576,"")</f>
        <v/>
      </c>
    </row>
    <row r="504" spans="1:17" ht="15.75" customHeight="1" x14ac:dyDescent="0.25">
      <c r="A504" s="37" t="str">
        <f>IF(ISNONTEXT(deployment_raw[[#This Row],[Column1]]), "", deployment_raw[[#This Row],[Column1]])</f>
        <v/>
      </c>
      <c r="B504" s="38" t="str">
        <f>IF(ISNONTEXT(deployment_raw[[#This Row],[Column2]]), "", deployment_raw[[#This Row],[Column2]])</f>
        <v/>
      </c>
      <c r="C504" s="38" t="str">
        <f>IF(ISNONTEXT(deployment_raw[[#This Row],[Column3]]), "", deployment_raw[[#This Row],[Column3]])</f>
        <v/>
      </c>
      <c r="D504" s="38" t="str">
        <f>IF(ISNONTEXT(deployment_raw[[#This Row],[Column4]]), "", deployment_raw[[#This Row],[Column4]])</f>
        <v/>
      </c>
      <c r="E504" s="39" t="str">
        <f>IF(ISNUMBER(deployment_raw[[#This Row],[Column5]]), deployment_raw[[#This Row],[Column5]],"")</f>
        <v/>
      </c>
      <c r="F504" s="174" t="str">
        <f>IF(ISNUMBER(deployment_raw[[#This Row],[Column6]]), (deployment_raw[[#This Row],[Column6]] * deployment_raw[[#This Row],[Column5]]),"")</f>
        <v/>
      </c>
      <c r="G504" s="175" t="str">
        <f>IF(ISNUMBER(deployment_raw[[#This Row],[Column7]]), (deployment_raw[[#This Row],[Column7]] * deployment_raw[[#This Row],[Column5]])/1048576,"")</f>
        <v/>
      </c>
      <c r="H504" s="175" t="str">
        <f>IF(ISNUMBER(deployment_raw[[#This Row],[Column8]]), (deployment_raw[[#This Row],[Column8]]  * deployment_raw[[#This Row],[Column5]]),"")</f>
        <v/>
      </c>
      <c r="I504" s="176" t="str">
        <f>IF(ISNUMBER(deployment_raw[[#This Row],[Column9]]), (deployment_raw[[#This Row],[Column9]] * deployment_raw[[#This Row],[Column5]])/1048576,"")</f>
        <v/>
      </c>
      <c r="J504" s="57" t="str">
        <f>IF(ISNUMBER(deployment_raw[[#This Row],[Column10]]), (deployment_raw[[#This Row],[Column10]] * deployment_raw[[#This Row],[Column5]]),"")</f>
        <v/>
      </c>
      <c r="K504" s="58" t="str">
        <f>IF(ISNUMBER(deployment_raw[[#This Row],[Column11]]), (deployment_raw[[#This Row],[Column11]] * deployment_raw[[#This Row],[Column5]])/1048576,"")</f>
        <v/>
      </c>
      <c r="L504" s="180" t="str">
        <f>IF(ISNUMBER(deployment_raw[[#This Row],[Column8]]),IF(deployment_raw[[#This Row],[Column5]] &lt;&gt; 0, MAX((deployment_raw[[#This Row],[Column12]] * deployment_raw[[#This Row],[Column5]]), ((deployment_raw[[#This Row],[Column8]] * deployment_raw[[#This Row],[Column5]]) * $L$2), ($H$2 * deployment_raw[[#This Row],[Column5]])), 0),"")</f>
        <v/>
      </c>
      <c r="M50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04" s="188" t="str">
        <f>IF(ISNUMBER(deployment_raw[[#This Row],[Column14]]), deployment_raw[[#This Row],[Column14]],"")</f>
        <v/>
      </c>
      <c r="O504" s="189" t="str">
        <f>IF(ISNUMBER(deployment_raw[[#This Row],[Column15]]), deployment_raw[[#This Row],[Column15]]/1048576,"")</f>
        <v/>
      </c>
      <c r="P504" s="190" t="str">
        <f>IF(ISNUMBER(deployment_raw[[#This Row],[Column12]]), (deployment_raw[[#This Row],[Column12]] * deployment_raw[[#This Row],[Column5]]),"")</f>
        <v/>
      </c>
      <c r="Q504" s="189" t="str">
        <f>IF(ISNUMBER(deployment_raw[[#This Row],[Column13]]), (deployment_raw[[#This Row],[Column13]] * deployment_raw[[#This Row],[Column5]])/1048576,"")</f>
        <v/>
      </c>
    </row>
    <row r="505" spans="1:17" ht="15.75" customHeight="1" x14ac:dyDescent="0.25">
      <c r="A505" s="37" t="str">
        <f>IF(ISNONTEXT(deployment_raw[[#This Row],[Column1]]), "", deployment_raw[[#This Row],[Column1]])</f>
        <v/>
      </c>
      <c r="B505" s="38" t="str">
        <f>IF(ISNONTEXT(deployment_raw[[#This Row],[Column2]]), "", deployment_raw[[#This Row],[Column2]])</f>
        <v/>
      </c>
      <c r="C505" s="38" t="str">
        <f>IF(ISNONTEXT(deployment_raw[[#This Row],[Column3]]), "", deployment_raw[[#This Row],[Column3]])</f>
        <v/>
      </c>
      <c r="D505" s="38" t="str">
        <f>IF(ISNONTEXT(deployment_raw[[#This Row],[Column4]]), "", deployment_raw[[#This Row],[Column4]])</f>
        <v/>
      </c>
      <c r="E505" s="39" t="str">
        <f>IF(ISNUMBER(deployment_raw[[#This Row],[Column5]]), deployment_raw[[#This Row],[Column5]],"")</f>
        <v/>
      </c>
      <c r="F505" s="174" t="str">
        <f>IF(ISNUMBER(deployment_raw[[#This Row],[Column6]]), (deployment_raw[[#This Row],[Column6]] * deployment_raw[[#This Row],[Column5]]),"")</f>
        <v/>
      </c>
      <c r="G505" s="175" t="str">
        <f>IF(ISNUMBER(deployment_raw[[#This Row],[Column7]]), (deployment_raw[[#This Row],[Column7]] * deployment_raw[[#This Row],[Column5]])/1048576,"")</f>
        <v/>
      </c>
      <c r="H505" s="175" t="str">
        <f>IF(ISNUMBER(deployment_raw[[#This Row],[Column8]]), (deployment_raw[[#This Row],[Column8]]  * deployment_raw[[#This Row],[Column5]]),"")</f>
        <v/>
      </c>
      <c r="I505" s="176" t="str">
        <f>IF(ISNUMBER(deployment_raw[[#This Row],[Column9]]), (deployment_raw[[#This Row],[Column9]] * deployment_raw[[#This Row],[Column5]])/1048576,"")</f>
        <v/>
      </c>
      <c r="J505" s="57" t="str">
        <f>IF(ISNUMBER(deployment_raw[[#This Row],[Column10]]), (deployment_raw[[#This Row],[Column10]] * deployment_raw[[#This Row],[Column5]]),"")</f>
        <v/>
      </c>
      <c r="K505" s="58" t="str">
        <f>IF(ISNUMBER(deployment_raw[[#This Row],[Column11]]), (deployment_raw[[#This Row],[Column11]] * deployment_raw[[#This Row],[Column5]])/1048576,"")</f>
        <v/>
      </c>
      <c r="L505" s="180" t="str">
        <f>IF(ISNUMBER(deployment_raw[[#This Row],[Column8]]),IF(deployment_raw[[#This Row],[Column5]] &lt;&gt; 0, MAX((deployment_raw[[#This Row],[Column12]] * deployment_raw[[#This Row],[Column5]]), ((deployment_raw[[#This Row],[Column8]] * deployment_raw[[#This Row],[Column5]]) * $L$2), ($H$2 * deployment_raw[[#This Row],[Column5]])), 0),"")</f>
        <v/>
      </c>
      <c r="M50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05" s="188" t="str">
        <f>IF(ISNUMBER(deployment_raw[[#This Row],[Column14]]), deployment_raw[[#This Row],[Column14]],"")</f>
        <v/>
      </c>
      <c r="O505" s="189" t="str">
        <f>IF(ISNUMBER(deployment_raw[[#This Row],[Column15]]), deployment_raw[[#This Row],[Column15]]/1048576,"")</f>
        <v/>
      </c>
      <c r="P505" s="190" t="str">
        <f>IF(ISNUMBER(deployment_raw[[#This Row],[Column12]]), (deployment_raw[[#This Row],[Column12]] * deployment_raw[[#This Row],[Column5]]),"")</f>
        <v/>
      </c>
      <c r="Q505" s="189" t="str">
        <f>IF(ISNUMBER(deployment_raw[[#This Row],[Column13]]), (deployment_raw[[#This Row],[Column13]] * deployment_raw[[#This Row],[Column5]])/1048576,"")</f>
        <v/>
      </c>
    </row>
    <row r="506" spans="1:17" ht="15.75" customHeight="1" x14ac:dyDescent="0.25">
      <c r="A506" s="37" t="str">
        <f>IF(ISNONTEXT(deployment_raw[[#This Row],[Column1]]), "", deployment_raw[[#This Row],[Column1]])</f>
        <v/>
      </c>
      <c r="B506" s="38" t="str">
        <f>IF(ISNONTEXT(deployment_raw[[#This Row],[Column2]]), "", deployment_raw[[#This Row],[Column2]])</f>
        <v/>
      </c>
      <c r="C506" s="38" t="str">
        <f>IF(ISNONTEXT(deployment_raw[[#This Row],[Column3]]), "", deployment_raw[[#This Row],[Column3]])</f>
        <v/>
      </c>
      <c r="D506" s="38" t="str">
        <f>IF(ISNONTEXT(deployment_raw[[#This Row],[Column4]]), "", deployment_raw[[#This Row],[Column4]])</f>
        <v/>
      </c>
      <c r="E506" s="39" t="str">
        <f>IF(ISNUMBER(deployment_raw[[#This Row],[Column5]]), deployment_raw[[#This Row],[Column5]],"")</f>
        <v/>
      </c>
      <c r="F506" s="174" t="str">
        <f>IF(ISNUMBER(deployment_raw[[#This Row],[Column6]]), (deployment_raw[[#This Row],[Column6]] * deployment_raw[[#This Row],[Column5]]),"")</f>
        <v/>
      </c>
      <c r="G506" s="175" t="str">
        <f>IF(ISNUMBER(deployment_raw[[#This Row],[Column7]]), (deployment_raw[[#This Row],[Column7]] * deployment_raw[[#This Row],[Column5]])/1048576,"")</f>
        <v/>
      </c>
      <c r="H506" s="175" t="str">
        <f>IF(ISNUMBER(deployment_raw[[#This Row],[Column8]]), (deployment_raw[[#This Row],[Column8]]  * deployment_raw[[#This Row],[Column5]]),"")</f>
        <v/>
      </c>
      <c r="I506" s="176" t="str">
        <f>IF(ISNUMBER(deployment_raw[[#This Row],[Column9]]), (deployment_raw[[#This Row],[Column9]] * deployment_raw[[#This Row],[Column5]])/1048576,"")</f>
        <v/>
      </c>
      <c r="J506" s="57" t="str">
        <f>IF(ISNUMBER(deployment_raw[[#This Row],[Column10]]), (deployment_raw[[#This Row],[Column10]] * deployment_raw[[#This Row],[Column5]]),"")</f>
        <v/>
      </c>
      <c r="K506" s="58" t="str">
        <f>IF(ISNUMBER(deployment_raw[[#This Row],[Column11]]), (deployment_raw[[#This Row],[Column11]] * deployment_raw[[#This Row],[Column5]])/1048576,"")</f>
        <v/>
      </c>
      <c r="L506" s="180" t="str">
        <f>IF(ISNUMBER(deployment_raw[[#This Row],[Column8]]),IF(deployment_raw[[#This Row],[Column5]] &lt;&gt; 0, MAX((deployment_raw[[#This Row],[Column12]] * deployment_raw[[#This Row],[Column5]]), ((deployment_raw[[#This Row],[Column8]] * deployment_raw[[#This Row],[Column5]]) * $L$2), ($H$2 * deployment_raw[[#This Row],[Column5]])), 0),"")</f>
        <v/>
      </c>
      <c r="M50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06" s="188" t="str">
        <f>IF(ISNUMBER(deployment_raw[[#This Row],[Column14]]), deployment_raw[[#This Row],[Column14]],"")</f>
        <v/>
      </c>
      <c r="O506" s="189" t="str">
        <f>IF(ISNUMBER(deployment_raw[[#This Row],[Column15]]), deployment_raw[[#This Row],[Column15]]/1048576,"")</f>
        <v/>
      </c>
      <c r="P506" s="190" t="str">
        <f>IF(ISNUMBER(deployment_raw[[#This Row],[Column12]]), (deployment_raw[[#This Row],[Column12]] * deployment_raw[[#This Row],[Column5]]),"")</f>
        <v/>
      </c>
      <c r="Q506" s="189" t="str">
        <f>IF(ISNUMBER(deployment_raw[[#This Row],[Column13]]), (deployment_raw[[#This Row],[Column13]] * deployment_raw[[#This Row],[Column5]])/1048576,"")</f>
        <v/>
      </c>
    </row>
    <row r="507" spans="1:17" ht="15.75" customHeight="1" x14ac:dyDescent="0.25">
      <c r="A507" s="37" t="str">
        <f>IF(ISNONTEXT(deployment_raw[[#This Row],[Column1]]), "", deployment_raw[[#This Row],[Column1]])</f>
        <v/>
      </c>
      <c r="B507" s="38" t="str">
        <f>IF(ISNONTEXT(deployment_raw[[#This Row],[Column2]]), "", deployment_raw[[#This Row],[Column2]])</f>
        <v/>
      </c>
      <c r="C507" s="38" t="str">
        <f>IF(ISNONTEXT(deployment_raw[[#This Row],[Column3]]), "", deployment_raw[[#This Row],[Column3]])</f>
        <v/>
      </c>
      <c r="D507" s="38" t="str">
        <f>IF(ISNONTEXT(deployment_raw[[#This Row],[Column4]]), "", deployment_raw[[#This Row],[Column4]])</f>
        <v/>
      </c>
      <c r="E507" s="39" t="str">
        <f>IF(ISNUMBER(deployment_raw[[#This Row],[Column5]]), deployment_raw[[#This Row],[Column5]],"")</f>
        <v/>
      </c>
      <c r="F507" s="174" t="str">
        <f>IF(ISNUMBER(deployment_raw[[#This Row],[Column6]]), (deployment_raw[[#This Row],[Column6]] * deployment_raw[[#This Row],[Column5]]),"")</f>
        <v/>
      </c>
      <c r="G507" s="175" t="str">
        <f>IF(ISNUMBER(deployment_raw[[#This Row],[Column7]]), (deployment_raw[[#This Row],[Column7]] * deployment_raw[[#This Row],[Column5]])/1048576,"")</f>
        <v/>
      </c>
      <c r="H507" s="175" t="str">
        <f>IF(ISNUMBER(deployment_raw[[#This Row],[Column8]]), (deployment_raw[[#This Row],[Column8]]  * deployment_raw[[#This Row],[Column5]]),"")</f>
        <v/>
      </c>
      <c r="I507" s="176" t="str">
        <f>IF(ISNUMBER(deployment_raw[[#This Row],[Column9]]), (deployment_raw[[#This Row],[Column9]] * deployment_raw[[#This Row],[Column5]])/1048576,"")</f>
        <v/>
      </c>
      <c r="J507" s="57" t="str">
        <f>IF(ISNUMBER(deployment_raw[[#This Row],[Column10]]), (deployment_raw[[#This Row],[Column10]] * deployment_raw[[#This Row],[Column5]]),"")</f>
        <v/>
      </c>
      <c r="K507" s="58" t="str">
        <f>IF(ISNUMBER(deployment_raw[[#This Row],[Column11]]), (deployment_raw[[#This Row],[Column11]] * deployment_raw[[#This Row],[Column5]])/1048576,"")</f>
        <v/>
      </c>
      <c r="L507" s="180" t="str">
        <f>IF(ISNUMBER(deployment_raw[[#This Row],[Column8]]),IF(deployment_raw[[#This Row],[Column5]] &lt;&gt; 0, MAX((deployment_raw[[#This Row],[Column12]] * deployment_raw[[#This Row],[Column5]]), ((deployment_raw[[#This Row],[Column8]] * deployment_raw[[#This Row],[Column5]]) * $L$2), ($H$2 * deployment_raw[[#This Row],[Column5]])), 0),"")</f>
        <v/>
      </c>
      <c r="M50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07" s="188" t="str">
        <f>IF(ISNUMBER(deployment_raw[[#This Row],[Column14]]), deployment_raw[[#This Row],[Column14]],"")</f>
        <v/>
      </c>
      <c r="O507" s="189" t="str">
        <f>IF(ISNUMBER(deployment_raw[[#This Row],[Column15]]), deployment_raw[[#This Row],[Column15]]/1048576,"")</f>
        <v/>
      </c>
      <c r="P507" s="190" t="str">
        <f>IF(ISNUMBER(deployment_raw[[#This Row],[Column12]]), (deployment_raw[[#This Row],[Column12]] * deployment_raw[[#This Row],[Column5]]),"")</f>
        <v/>
      </c>
      <c r="Q507" s="189" t="str">
        <f>IF(ISNUMBER(deployment_raw[[#This Row],[Column13]]), (deployment_raw[[#This Row],[Column13]] * deployment_raw[[#This Row],[Column5]])/1048576,"")</f>
        <v/>
      </c>
    </row>
    <row r="508" spans="1:17" ht="15.75" customHeight="1" x14ac:dyDescent="0.25">
      <c r="A508" s="37" t="str">
        <f>IF(ISNONTEXT(deployment_raw[[#This Row],[Column1]]), "", deployment_raw[[#This Row],[Column1]])</f>
        <v/>
      </c>
      <c r="B508" s="38" t="str">
        <f>IF(ISNONTEXT(deployment_raw[[#This Row],[Column2]]), "", deployment_raw[[#This Row],[Column2]])</f>
        <v/>
      </c>
      <c r="C508" s="38" t="str">
        <f>IF(ISNONTEXT(deployment_raw[[#This Row],[Column3]]), "", deployment_raw[[#This Row],[Column3]])</f>
        <v/>
      </c>
      <c r="D508" s="38" t="str">
        <f>IF(ISNONTEXT(deployment_raw[[#This Row],[Column4]]), "", deployment_raw[[#This Row],[Column4]])</f>
        <v/>
      </c>
      <c r="E508" s="39" t="str">
        <f>IF(ISNUMBER(deployment_raw[[#This Row],[Column5]]), deployment_raw[[#This Row],[Column5]],"")</f>
        <v/>
      </c>
      <c r="F508" s="174" t="str">
        <f>IF(ISNUMBER(deployment_raw[[#This Row],[Column6]]), (deployment_raw[[#This Row],[Column6]] * deployment_raw[[#This Row],[Column5]]),"")</f>
        <v/>
      </c>
      <c r="G508" s="175" t="str">
        <f>IF(ISNUMBER(deployment_raw[[#This Row],[Column7]]), (deployment_raw[[#This Row],[Column7]] * deployment_raw[[#This Row],[Column5]])/1048576,"")</f>
        <v/>
      </c>
      <c r="H508" s="175" t="str">
        <f>IF(ISNUMBER(deployment_raw[[#This Row],[Column8]]), (deployment_raw[[#This Row],[Column8]]  * deployment_raw[[#This Row],[Column5]]),"")</f>
        <v/>
      </c>
      <c r="I508" s="176" t="str">
        <f>IF(ISNUMBER(deployment_raw[[#This Row],[Column9]]), (deployment_raw[[#This Row],[Column9]] * deployment_raw[[#This Row],[Column5]])/1048576,"")</f>
        <v/>
      </c>
      <c r="J508" s="57" t="str">
        <f>IF(ISNUMBER(deployment_raw[[#This Row],[Column10]]), (deployment_raw[[#This Row],[Column10]] * deployment_raw[[#This Row],[Column5]]),"")</f>
        <v/>
      </c>
      <c r="K508" s="58" t="str">
        <f>IF(ISNUMBER(deployment_raw[[#This Row],[Column11]]), (deployment_raw[[#This Row],[Column11]] * deployment_raw[[#This Row],[Column5]])/1048576,"")</f>
        <v/>
      </c>
      <c r="L508" s="180" t="str">
        <f>IF(ISNUMBER(deployment_raw[[#This Row],[Column8]]),IF(deployment_raw[[#This Row],[Column5]] &lt;&gt; 0, MAX((deployment_raw[[#This Row],[Column12]] * deployment_raw[[#This Row],[Column5]]), ((deployment_raw[[#This Row],[Column8]] * deployment_raw[[#This Row],[Column5]]) * $L$2), ($H$2 * deployment_raw[[#This Row],[Column5]])), 0),"")</f>
        <v/>
      </c>
      <c r="M50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08" s="188" t="str">
        <f>IF(ISNUMBER(deployment_raw[[#This Row],[Column14]]), deployment_raw[[#This Row],[Column14]],"")</f>
        <v/>
      </c>
      <c r="O508" s="189" t="str">
        <f>IF(ISNUMBER(deployment_raw[[#This Row],[Column15]]), deployment_raw[[#This Row],[Column15]]/1048576,"")</f>
        <v/>
      </c>
      <c r="P508" s="190" t="str">
        <f>IF(ISNUMBER(deployment_raw[[#This Row],[Column12]]), (deployment_raw[[#This Row],[Column12]] * deployment_raw[[#This Row],[Column5]]),"")</f>
        <v/>
      </c>
      <c r="Q508" s="189" t="str">
        <f>IF(ISNUMBER(deployment_raw[[#This Row],[Column13]]), (deployment_raw[[#This Row],[Column13]] * deployment_raw[[#This Row],[Column5]])/1048576,"")</f>
        <v/>
      </c>
    </row>
    <row r="509" spans="1:17" ht="15.75" customHeight="1" x14ac:dyDescent="0.25">
      <c r="A509" s="37" t="str">
        <f>IF(ISNONTEXT(deployment_raw[[#This Row],[Column1]]), "", deployment_raw[[#This Row],[Column1]])</f>
        <v/>
      </c>
      <c r="B509" s="38" t="str">
        <f>IF(ISNONTEXT(deployment_raw[[#This Row],[Column2]]), "", deployment_raw[[#This Row],[Column2]])</f>
        <v/>
      </c>
      <c r="C509" s="38" t="str">
        <f>IF(ISNONTEXT(deployment_raw[[#This Row],[Column3]]), "", deployment_raw[[#This Row],[Column3]])</f>
        <v/>
      </c>
      <c r="D509" s="38" t="str">
        <f>IF(ISNONTEXT(deployment_raw[[#This Row],[Column4]]), "", deployment_raw[[#This Row],[Column4]])</f>
        <v/>
      </c>
      <c r="E509" s="39" t="str">
        <f>IF(ISNUMBER(deployment_raw[[#This Row],[Column5]]), deployment_raw[[#This Row],[Column5]],"")</f>
        <v/>
      </c>
      <c r="F509" s="174" t="str">
        <f>IF(ISNUMBER(deployment_raw[[#This Row],[Column6]]), (deployment_raw[[#This Row],[Column6]] * deployment_raw[[#This Row],[Column5]]),"")</f>
        <v/>
      </c>
      <c r="G509" s="175" t="str">
        <f>IF(ISNUMBER(deployment_raw[[#This Row],[Column7]]), (deployment_raw[[#This Row],[Column7]] * deployment_raw[[#This Row],[Column5]])/1048576,"")</f>
        <v/>
      </c>
      <c r="H509" s="175" t="str">
        <f>IF(ISNUMBER(deployment_raw[[#This Row],[Column8]]), (deployment_raw[[#This Row],[Column8]]  * deployment_raw[[#This Row],[Column5]]),"")</f>
        <v/>
      </c>
      <c r="I509" s="176" t="str">
        <f>IF(ISNUMBER(deployment_raw[[#This Row],[Column9]]), (deployment_raw[[#This Row],[Column9]] * deployment_raw[[#This Row],[Column5]])/1048576,"")</f>
        <v/>
      </c>
      <c r="J509" s="57" t="str">
        <f>IF(ISNUMBER(deployment_raw[[#This Row],[Column10]]), (deployment_raw[[#This Row],[Column10]] * deployment_raw[[#This Row],[Column5]]),"")</f>
        <v/>
      </c>
      <c r="K509" s="58" t="str">
        <f>IF(ISNUMBER(deployment_raw[[#This Row],[Column11]]), (deployment_raw[[#This Row],[Column11]] * deployment_raw[[#This Row],[Column5]])/1048576,"")</f>
        <v/>
      </c>
      <c r="L509" s="180" t="str">
        <f>IF(ISNUMBER(deployment_raw[[#This Row],[Column8]]),IF(deployment_raw[[#This Row],[Column5]] &lt;&gt; 0, MAX((deployment_raw[[#This Row],[Column12]] * deployment_raw[[#This Row],[Column5]]), ((deployment_raw[[#This Row],[Column8]] * deployment_raw[[#This Row],[Column5]]) * $L$2), ($H$2 * deployment_raw[[#This Row],[Column5]])), 0),"")</f>
        <v/>
      </c>
      <c r="M50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09" s="188" t="str">
        <f>IF(ISNUMBER(deployment_raw[[#This Row],[Column14]]), deployment_raw[[#This Row],[Column14]],"")</f>
        <v/>
      </c>
      <c r="O509" s="189" t="str">
        <f>IF(ISNUMBER(deployment_raw[[#This Row],[Column15]]), deployment_raw[[#This Row],[Column15]]/1048576,"")</f>
        <v/>
      </c>
      <c r="P509" s="190" t="str">
        <f>IF(ISNUMBER(deployment_raw[[#This Row],[Column12]]), (deployment_raw[[#This Row],[Column12]] * deployment_raw[[#This Row],[Column5]]),"")</f>
        <v/>
      </c>
      <c r="Q509" s="189" t="str">
        <f>IF(ISNUMBER(deployment_raw[[#This Row],[Column13]]), (deployment_raw[[#This Row],[Column13]] * deployment_raw[[#This Row],[Column5]])/1048576,"")</f>
        <v/>
      </c>
    </row>
    <row r="510" spans="1:17" ht="15.75" customHeight="1" x14ac:dyDescent="0.25">
      <c r="A510" s="37" t="str">
        <f>IF(ISNONTEXT(deployment_raw[[#This Row],[Column1]]), "", deployment_raw[[#This Row],[Column1]])</f>
        <v/>
      </c>
      <c r="B510" s="38" t="str">
        <f>IF(ISNONTEXT(deployment_raw[[#This Row],[Column2]]), "", deployment_raw[[#This Row],[Column2]])</f>
        <v/>
      </c>
      <c r="C510" s="38" t="str">
        <f>IF(ISNONTEXT(deployment_raw[[#This Row],[Column3]]), "", deployment_raw[[#This Row],[Column3]])</f>
        <v/>
      </c>
      <c r="D510" s="38" t="str">
        <f>IF(ISNONTEXT(deployment_raw[[#This Row],[Column4]]), "", deployment_raw[[#This Row],[Column4]])</f>
        <v/>
      </c>
      <c r="E510" s="39" t="str">
        <f>IF(ISNUMBER(deployment_raw[[#This Row],[Column5]]), deployment_raw[[#This Row],[Column5]],"")</f>
        <v/>
      </c>
      <c r="F510" s="174" t="str">
        <f>IF(ISNUMBER(deployment_raw[[#This Row],[Column6]]), (deployment_raw[[#This Row],[Column6]] * deployment_raw[[#This Row],[Column5]]),"")</f>
        <v/>
      </c>
      <c r="G510" s="175" t="str">
        <f>IF(ISNUMBER(deployment_raw[[#This Row],[Column7]]), (deployment_raw[[#This Row],[Column7]] * deployment_raw[[#This Row],[Column5]])/1048576,"")</f>
        <v/>
      </c>
      <c r="H510" s="175" t="str">
        <f>IF(ISNUMBER(deployment_raw[[#This Row],[Column8]]), (deployment_raw[[#This Row],[Column8]]  * deployment_raw[[#This Row],[Column5]]),"")</f>
        <v/>
      </c>
      <c r="I510" s="176" t="str">
        <f>IF(ISNUMBER(deployment_raw[[#This Row],[Column9]]), (deployment_raw[[#This Row],[Column9]] * deployment_raw[[#This Row],[Column5]])/1048576,"")</f>
        <v/>
      </c>
      <c r="J510" s="57" t="str">
        <f>IF(ISNUMBER(deployment_raw[[#This Row],[Column10]]), (deployment_raw[[#This Row],[Column10]] * deployment_raw[[#This Row],[Column5]]),"")</f>
        <v/>
      </c>
      <c r="K510" s="58" t="str">
        <f>IF(ISNUMBER(deployment_raw[[#This Row],[Column11]]), (deployment_raw[[#This Row],[Column11]] * deployment_raw[[#This Row],[Column5]])/1048576,"")</f>
        <v/>
      </c>
      <c r="L510" s="180" t="str">
        <f>IF(ISNUMBER(deployment_raw[[#This Row],[Column8]]),IF(deployment_raw[[#This Row],[Column5]] &lt;&gt; 0, MAX((deployment_raw[[#This Row],[Column12]] * deployment_raw[[#This Row],[Column5]]), ((deployment_raw[[#This Row],[Column8]] * deployment_raw[[#This Row],[Column5]]) * $L$2), ($H$2 * deployment_raw[[#This Row],[Column5]])), 0),"")</f>
        <v/>
      </c>
      <c r="M51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10" s="188" t="str">
        <f>IF(ISNUMBER(deployment_raw[[#This Row],[Column14]]), deployment_raw[[#This Row],[Column14]],"")</f>
        <v/>
      </c>
      <c r="O510" s="189" t="str">
        <f>IF(ISNUMBER(deployment_raw[[#This Row],[Column15]]), deployment_raw[[#This Row],[Column15]]/1048576,"")</f>
        <v/>
      </c>
      <c r="P510" s="190" t="str">
        <f>IF(ISNUMBER(deployment_raw[[#This Row],[Column12]]), (deployment_raw[[#This Row],[Column12]] * deployment_raw[[#This Row],[Column5]]),"")</f>
        <v/>
      </c>
      <c r="Q510" s="189" t="str">
        <f>IF(ISNUMBER(deployment_raw[[#This Row],[Column13]]), (deployment_raw[[#This Row],[Column13]] * deployment_raw[[#This Row],[Column5]])/1048576,"")</f>
        <v/>
      </c>
    </row>
    <row r="511" spans="1:17" ht="15.75" customHeight="1" x14ac:dyDescent="0.25">
      <c r="A511" s="37" t="str">
        <f>IF(ISNONTEXT(deployment_raw[[#This Row],[Column1]]), "", deployment_raw[[#This Row],[Column1]])</f>
        <v/>
      </c>
      <c r="B511" s="38" t="str">
        <f>IF(ISNONTEXT(deployment_raw[[#This Row],[Column2]]), "", deployment_raw[[#This Row],[Column2]])</f>
        <v/>
      </c>
      <c r="C511" s="38" t="str">
        <f>IF(ISNONTEXT(deployment_raw[[#This Row],[Column3]]), "", deployment_raw[[#This Row],[Column3]])</f>
        <v/>
      </c>
      <c r="D511" s="38" t="str">
        <f>IF(ISNONTEXT(deployment_raw[[#This Row],[Column4]]), "", deployment_raw[[#This Row],[Column4]])</f>
        <v/>
      </c>
      <c r="E511" s="39" t="str">
        <f>IF(ISNUMBER(deployment_raw[[#This Row],[Column5]]), deployment_raw[[#This Row],[Column5]],"")</f>
        <v/>
      </c>
      <c r="F511" s="174" t="str">
        <f>IF(ISNUMBER(deployment_raw[[#This Row],[Column6]]), (deployment_raw[[#This Row],[Column6]] * deployment_raw[[#This Row],[Column5]]),"")</f>
        <v/>
      </c>
      <c r="G511" s="175" t="str">
        <f>IF(ISNUMBER(deployment_raw[[#This Row],[Column7]]), (deployment_raw[[#This Row],[Column7]] * deployment_raw[[#This Row],[Column5]])/1048576,"")</f>
        <v/>
      </c>
      <c r="H511" s="175" t="str">
        <f>IF(ISNUMBER(deployment_raw[[#This Row],[Column8]]), (deployment_raw[[#This Row],[Column8]]  * deployment_raw[[#This Row],[Column5]]),"")</f>
        <v/>
      </c>
      <c r="I511" s="176" t="str">
        <f>IF(ISNUMBER(deployment_raw[[#This Row],[Column9]]), (deployment_raw[[#This Row],[Column9]] * deployment_raw[[#This Row],[Column5]])/1048576,"")</f>
        <v/>
      </c>
      <c r="J511" s="57" t="str">
        <f>IF(ISNUMBER(deployment_raw[[#This Row],[Column10]]), (deployment_raw[[#This Row],[Column10]] * deployment_raw[[#This Row],[Column5]]),"")</f>
        <v/>
      </c>
      <c r="K511" s="58" t="str">
        <f>IF(ISNUMBER(deployment_raw[[#This Row],[Column11]]), (deployment_raw[[#This Row],[Column11]] * deployment_raw[[#This Row],[Column5]])/1048576,"")</f>
        <v/>
      </c>
      <c r="L511" s="180" t="str">
        <f>IF(ISNUMBER(deployment_raw[[#This Row],[Column8]]),IF(deployment_raw[[#This Row],[Column5]] &lt;&gt; 0, MAX((deployment_raw[[#This Row],[Column12]] * deployment_raw[[#This Row],[Column5]]), ((deployment_raw[[#This Row],[Column8]] * deployment_raw[[#This Row],[Column5]]) * $L$2), ($H$2 * deployment_raw[[#This Row],[Column5]])), 0),"")</f>
        <v/>
      </c>
      <c r="M51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11" s="188" t="str">
        <f>IF(ISNUMBER(deployment_raw[[#This Row],[Column14]]), deployment_raw[[#This Row],[Column14]],"")</f>
        <v/>
      </c>
      <c r="O511" s="189" t="str">
        <f>IF(ISNUMBER(deployment_raw[[#This Row],[Column15]]), deployment_raw[[#This Row],[Column15]]/1048576,"")</f>
        <v/>
      </c>
      <c r="P511" s="190" t="str">
        <f>IF(ISNUMBER(deployment_raw[[#This Row],[Column12]]), (deployment_raw[[#This Row],[Column12]] * deployment_raw[[#This Row],[Column5]]),"")</f>
        <v/>
      </c>
      <c r="Q511" s="189" t="str">
        <f>IF(ISNUMBER(deployment_raw[[#This Row],[Column13]]), (deployment_raw[[#This Row],[Column13]] * deployment_raw[[#This Row],[Column5]])/1048576,"")</f>
        <v/>
      </c>
    </row>
    <row r="512" spans="1:17" ht="15.75" customHeight="1" x14ac:dyDescent="0.25">
      <c r="A512" s="37" t="str">
        <f>IF(ISNONTEXT(deployment_raw[[#This Row],[Column1]]), "", deployment_raw[[#This Row],[Column1]])</f>
        <v/>
      </c>
      <c r="B512" s="38" t="str">
        <f>IF(ISNONTEXT(deployment_raw[[#This Row],[Column2]]), "", deployment_raw[[#This Row],[Column2]])</f>
        <v/>
      </c>
      <c r="C512" s="38" t="str">
        <f>IF(ISNONTEXT(deployment_raw[[#This Row],[Column3]]), "", deployment_raw[[#This Row],[Column3]])</f>
        <v/>
      </c>
      <c r="D512" s="38" t="str">
        <f>IF(ISNONTEXT(deployment_raw[[#This Row],[Column4]]), "", deployment_raw[[#This Row],[Column4]])</f>
        <v/>
      </c>
      <c r="E512" s="39" t="str">
        <f>IF(ISNUMBER(deployment_raw[[#This Row],[Column5]]), deployment_raw[[#This Row],[Column5]],"")</f>
        <v/>
      </c>
      <c r="F512" s="174" t="str">
        <f>IF(ISNUMBER(deployment_raw[[#This Row],[Column6]]), (deployment_raw[[#This Row],[Column6]] * deployment_raw[[#This Row],[Column5]]),"")</f>
        <v/>
      </c>
      <c r="G512" s="175" t="str">
        <f>IF(ISNUMBER(deployment_raw[[#This Row],[Column7]]), (deployment_raw[[#This Row],[Column7]] * deployment_raw[[#This Row],[Column5]])/1048576,"")</f>
        <v/>
      </c>
      <c r="H512" s="175" t="str">
        <f>IF(ISNUMBER(deployment_raw[[#This Row],[Column8]]), (deployment_raw[[#This Row],[Column8]]  * deployment_raw[[#This Row],[Column5]]),"")</f>
        <v/>
      </c>
      <c r="I512" s="176" t="str">
        <f>IF(ISNUMBER(deployment_raw[[#This Row],[Column9]]), (deployment_raw[[#This Row],[Column9]] * deployment_raw[[#This Row],[Column5]])/1048576,"")</f>
        <v/>
      </c>
      <c r="J512" s="57" t="str">
        <f>IF(ISNUMBER(deployment_raw[[#This Row],[Column10]]), (deployment_raw[[#This Row],[Column10]] * deployment_raw[[#This Row],[Column5]]),"")</f>
        <v/>
      </c>
      <c r="K512" s="58" t="str">
        <f>IF(ISNUMBER(deployment_raw[[#This Row],[Column11]]), (deployment_raw[[#This Row],[Column11]] * deployment_raw[[#This Row],[Column5]])/1048576,"")</f>
        <v/>
      </c>
      <c r="L512" s="180" t="str">
        <f>IF(ISNUMBER(deployment_raw[[#This Row],[Column8]]),IF(deployment_raw[[#This Row],[Column5]] &lt;&gt; 0, MAX((deployment_raw[[#This Row],[Column12]] * deployment_raw[[#This Row],[Column5]]), ((deployment_raw[[#This Row],[Column8]] * deployment_raw[[#This Row],[Column5]]) * $L$2), ($H$2 * deployment_raw[[#This Row],[Column5]])), 0),"")</f>
        <v/>
      </c>
      <c r="M51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12" s="188" t="str">
        <f>IF(ISNUMBER(deployment_raw[[#This Row],[Column14]]), deployment_raw[[#This Row],[Column14]],"")</f>
        <v/>
      </c>
      <c r="O512" s="189" t="str">
        <f>IF(ISNUMBER(deployment_raw[[#This Row],[Column15]]), deployment_raw[[#This Row],[Column15]]/1048576,"")</f>
        <v/>
      </c>
      <c r="P512" s="190" t="str">
        <f>IF(ISNUMBER(deployment_raw[[#This Row],[Column12]]), (deployment_raw[[#This Row],[Column12]] * deployment_raw[[#This Row],[Column5]]),"")</f>
        <v/>
      </c>
      <c r="Q512" s="189" t="str">
        <f>IF(ISNUMBER(deployment_raw[[#This Row],[Column13]]), (deployment_raw[[#This Row],[Column13]] * deployment_raw[[#This Row],[Column5]])/1048576,"")</f>
        <v/>
      </c>
    </row>
    <row r="513" spans="1:17" ht="15.75" customHeight="1" x14ac:dyDescent="0.25">
      <c r="A513" s="37" t="str">
        <f>IF(ISNONTEXT(deployment_raw[[#This Row],[Column1]]), "", deployment_raw[[#This Row],[Column1]])</f>
        <v/>
      </c>
      <c r="B513" s="38" t="str">
        <f>IF(ISNONTEXT(deployment_raw[[#This Row],[Column2]]), "", deployment_raw[[#This Row],[Column2]])</f>
        <v/>
      </c>
      <c r="C513" s="38" t="str">
        <f>IF(ISNONTEXT(deployment_raw[[#This Row],[Column3]]), "", deployment_raw[[#This Row],[Column3]])</f>
        <v/>
      </c>
      <c r="D513" s="38" t="str">
        <f>IF(ISNONTEXT(deployment_raw[[#This Row],[Column4]]), "", deployment_raw[[#This Row],[Column4]])</f>
        <v/>
      </c>
      <c r="E513" s="39" t="str">
        <f>IF(ISNUMBER(deployment_raw[[#This Row],[Column5]]), deployment_raw[[#This Row],[Column5]],"")</f>
        <v/>
      </c>
      <c r="F513" s="174" t="str">
        <f>IF(ISNUMBER(deployment_raw[[#This Row],[Column6]]), (deployment_raw[[#This Row],[Column6]] * deployment_raw[[#This Row],[Column5]]),"")</f>
        <v/>
      </c>
      <c r="G513" s="175" t="str">
        <f>IF(ISNUMBER(deployment_raw[[#This Row],[Column7]]), (deployment_raw[[#This Row],[Column7]] * deployment_raw[[#This Row],[Column5]])/1048576,"")</f>
        <v/>
      </c>
      <c r="H513" s="175" t="str">
        <f>IF(ISNUMBER(deployment_raw[[#This Row],[Column8]]), (deployment_raw[[#This Row],[Column8]]  * deployment_raw[[#This Row],[Column5]]),"")</f>
        <v/>
      </c>
      <c r="I513" s="176" t="str">
        <f>IF(ISNUMBER(deployment_raw[[#This Row],[Column9]]), (deployment_raw[[#This Row],[Column9]] * deployment_raw[[#This Row],[Column5]])/1048576,"")</f>
        <v/>
      </c>
      <c r="J513" s="57" t="str">
        <f>IF(ISNUMBER(deployment_raw[[#This Row],[Column10]]), (deployment_raw[[#This Row],[Column10]] * deployment_raw[[#This Row],[Column5]]),"")</f>
        <v/>
      </c>
      <c r="K513" s="58" t="str">
        <f>IF(ISNUMBER(deployment_raw[[#This Row],[Column11]]), (deployment_raw[[#This Row],[Column11]] * deployment_raw[[#This Row],[Column5]])/1048576,"")</f>
        <v/>
      </c>
      <c r="L513" s="180" t="str">
        <f>IF(ISNUMBER(deployment_raw[[#This Row],[Column8]]),IF(deployment_raw[[#This Row],[Column5]] &lt;&gt; 0, MAX((deployment_raw[[#This Row],[Column12]] * deployment_raw[[#This Row],[Column5]]), ((deployment_raw[[#This Row],[Column8]] * deployment_raw[[#This Row],[Column5]]) * $L$2), ($H$2 * deployment_raw[[#This Row],[Column5]])), 0),"")</f>
        <v/>
      </c>
      <c r="M51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13" s="188" t="str">
        <f>IF(ISNUMBER(deployment_raw[[#This Row],[Column14]]), deployment_raw[[#This Row],[Column14]],"")</f>
        <v/>
      </c>
      <c r="O513" s="189" t="str">
        <f>IF(ISNUMBER(deployment_raw[[#This Row],[Column15]]), deployment_raw[[#This Row],[Column15]]/1048576,"")</f>
        <v/>
      </c>
      <c r="P513" s="190" t="str">
        <f>IF(ISNUMBER(deployment_raw[[#This Row],[Column12]]), (deployment_raw[[#This Row],[Column12]] * deployment_raw[[#This Row],[Column5]]),"")</f>
        <v/>
      </c>
      <c r="Q513" s="189" t="str">
        <f>IF(ISNUMBER(deployment_raw[[#This Row],[Column13]]), (deployment_raw[[#This Row],[Column13]] * deployment_raw[[#This Row],[Column5]])/1048576,"")</f>
        <v/>
      </c>
    </row>
    <row r="514" spans="1:17" ht="15.75" customHeight="1" x14ac:dyDescent="0.25">
      <c r="A514" s="37" t="str">
        <f>IF(ISNONTEXT(deployment_raw[[#This Row],[Column1]]), "", deployment_raw[[#This Row],[Column1]])</f>
        <v/>
      </c>
      <c r="B514" s="38" t="str">
        <f>IF(ISNONTEXT(deployment_raw[[#This Row],[Column2]]), "", deployment_raw[[#This Row],[Column2]])</f>
        <v/>
      </c>
      <c r="C514" s="38" t="str">
        <f>IF(ISNONTEXT(deployment_raw[[#This Row],[Column3]]), "", deployment_raw[[#This Row],[Column3]])</f>
        <v/>
      </c>
      <c r="D514" s="38" t="str">
        <f>IF(ISNONTEXT(deployment_raw[[#This Row],[Column4]]), "", deployment_raw[[#This Row],[Column4]])</f>
        <v/>
      </c>
      <c r="E514" s="39" t="str">
        <f>IF(ISNUMBER(deployment_raw[[#This Row],[Column5]]), deployment_raw[[#This Row],[Column5]],"")</f>
        <v/>
      </c>
      <c r="F514" s="174" t="str">
        <f>IF(ISNUMBER(deployment_raw[[#This Row],[Column6]]), (deployment_raw[[#This Row],[Column6]] * deployment_raw[[#This Row],[Column5]]),"")</f>
        <v/>
      </c>
      <c r="G514" s="175" t="str">
        <f>IF(ISNUMBER(deployment_raw[[#This Row],[Column7]]), (deployment_raw[[#This Row],[Column7]] * deployment_raw[[#This Row],[Column5]])/1048576,"")</f>
        <v/>
      </c>
      <c r="H514" s="175" t="str">
        <f>IF(ISNUMBER(deployment_raw[[#This Row],[Column8]]), (deployment_raw[[#This Row],[Column8]]  * deployment_raw[[#This Row],[Column5]]),"")</f>
        <v/>
      </c>
      <c r="I514" s="176" t="str">
        <f>IF(ISNUMBER(deployment_raw[[#This Row],[Column9]]), (deployment_raw[[#This Row],[Column9]] * deployment_raw[[#This Row],[Column5]])/1048576,"")</f>
        <v/>
      </c>
      <c r="J514" s="57" t="str">
        <f>IF(ISNUMBER(deployment_raw[[#This Row],[Column10]]), (deployment_raw[[#This Row],[Column10]] * deployment_raw[[#This Row],[Column5]]),"")</f>
        <v/>
      </c>
      <c r="K514" s="58" t="str">
        <f>IF(ISNUMBER(deployment_raw[[#This Row],[Column11]]), (deployment_raw[[#This Row],[Column11]] * deployment_raw[[#This Row],[Column5]])/1048576,"")</f>
        <v/>
      </c>
      <c r="L514" s="180" t="str">
        <f>IF(ISNUMBER(deployment_raw[[#This Row],[Column8]]),IF(deployment_raw[[#This Row],[Column5]] &lt;&gt; 0, MAX((deployment_raw[[#This Row],[Column12]] * deployment_raw[[#This Row],[Column5]]), ((deployment_raw[[#This Row],[Column8]] * deployment_raw[[#This Row],[Column5]]) * $L$2), ($H$2 * deployment_raw[[#This Row],[Column5]])), 0),"")</f>
        <v/>
      </c>
      <c r="M51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14" s="188" t="str">
        <f>IF(ISNUMBER(deployment_raw[[#This Row],[Column14]]), deployment_raw[[#This Row],[Column14]],"")</f>
        <v/>
      </c>
      <c r="O514" s="189" t="str">
        <f>IF(ISNUMBER(deployment_raw[[#This Row],[Column15]]), deployment_raw[[#This Row],[Column15]]/1048576,"")</f>
        <v/>
      </c>
      <c r="P514" s="190" t="str">
        <f>IF(ISNUMBER(deployment_raw[[#This Row],[Column12]]), (deployment_raw[[#This Row],[Column12]] * deployment_raw[[#This Row],[Column5]]),"")</f>
        <v/>
      </c>
      <c r="Q514" s="189" t="str">
        <f>IF(ISNUMBER(deployment_raw[[#This Row],[Column13]]), (deployment_raw[[#This Row],[Column13]] * deployment_raw[[#This Row],[Column5]])/1048576,"")</f>
        <v/>
      </c>
    </row>
    <row r="515" spans="1:17" ht="15.75" customHeight="1" x14ac:dyDescent="0.25">
      <c r="A515" s="37" t="str">
        <f>IF(ISNONTEXT(deployment_raw[[#This Row],[Column1]]), "", deployment_raw[[#This Row],[Column1]])</f>
        <v/>
      </c>
      <c r="B515" s="38" t="str">
        <f>IF(ISNONTEXT(deployment_raw[[#This Row],[Column2]]), "", deployment_raw[[#This Row],[Column2]])</f>
        <v/>
      </c>
      <c r="C515" s="38" t="str">
        <f>IF(ISNONTEXT(deployment_raw[[#This Row],[Column3]]), "", deployment_raw[[#This Row],[Column3]])</f>
        <v/>
      </c>
      <c r="D515" s="38" t="str">
        <f>IF(ISNONTEXT(deployment_raw[[#This Row],[Column4]]), "", deployment_raw[[#This Row],[Column4]])</f>
        <v/>
      </c>
      <c r="E515" s="39" t="str">
        <f>IF(ISNUMBER(deployment_raw[[#This Row],[Column5]]), deployment_raw[[#This Row],[Column5]],"")</f>
        <v/>
      </c>
      <c r="F515" s="174" t="str">
        <f>IF(ISNUMBER(deployment_raw[[#This Row],[Column6]]), (deployment_raw[[#This Row],[Column6]] * deployment_raw[[#This Row],[Column5]]),"")</f>
        <v/>
      </c>
      <c r="G515" s="175" t="str">
        <f>IF(ISNUMBER(deployment_raw[[#This Row],[Column7]]), (deployment_raw[[#This Row],[Column7]] * deployment_raw[[#This Row],[Column5]])/1048576,"")</f>
        <v/>
      </c>
      <c r="H515" s="175" t="str">
        <f>IF(ISNUMBER(deployment_raw[[#This Row],[Column8]]), (deployment_raw[[#This Row],[Column8]]  * deployment_raw[[#This Row],[Column5]]),"")</f>
        <v/>
      </c>
      <c r="I515" s="176" t="str">
        <f>IF(ISNUMBER(deployment_raw[[#This Row],[Column9]]), (deployment_raw[[#This Row],[Column9]] * deployment_raw[[#This Row],[Column5]])/1048576,"")</f>
        <v/>
      </c>
      <c r="J515" s="57" t="str">
        <f>IF(ISNUMBER(deployment_raw[[#This Row],[Column10]]), (deployment_raw[[#This Row],[Column10]] * deployment_raw[[#This Row],[Column5]]),"")</f>
        <v/>
      </c>
      <c r="K515" s="58" t="str">
        <f>IF(ISNUMBER(deployment_raw[[#This Row],[Column11]]), (deployment_raw[[#This Row],[Column11]] * deployment_raw[[#This Row],[Column5]])/1048576,"")</f>
        <v/>
      </c>
      <c r="L515" s="180" t="str">
        <f>IF(ISNUMBER(deployment_raw[[#This Row],[Column8]]),IF(deployment_raw[[#This Row],[Column5]] &lt;&gt; 0, MAX((deployment_raw[[#This Row],[Column12]] * deployment_raw[[#This Row],[Column5]]), ((deployment_raw[[#This Row],[Column8]] * deployment_raw[[#This Row],[Column5]]) * $L$2), ($H$2 * deployment_raw[[#This Row],[Column5]])), 0),"")</f>
        <v/>
      </c>
      <c r="M51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15" s="188" t="str">
        <f>IF(ISNUMBER(deployment_raw[[#This Row],[Column14]]), deployment_raw[[#This Row],[Column14]],"")</f>
        <v/>
      </c>
      <c r="O515" s="189" t="str">
        <f>IF(ISNUMBER(deployment_raw[[#This Row],[Column15]]), deployment_raw[[#This Row],[Column15]]/1048576,"")</f>
        <v/>
      </c>
      <c r="P515" s="190" t="str">
        <f>IF(ISNUMBER(deployment_raw[[#This Row],[Column12]]), (deployment_raw[[#This Row],[Column12]] * deployment_raw[[#This Row],[Column5]]),"")</f>
        <v/>
      </c>
      <c r="Q515" s="189" t="str">
        <f>IF(ISNUMBER(deployment_raw[[#This Row],[Column13]]), (deployment_raw[[#This Row],[Column13]] * deployment_raw[[#This Row],[Column5]])/1048576,"")</f>
        <v/>
      </c>
    </row>
    <row r="516" spans="1:17" ht="15.75" customHeight="1" x14ac:dyDescent="0.25">
      <c r="A516" s="37" t="str">
        <f>IF(ISNONTEXT(deployment_raw[[#This Row],[Column1]]), "", deployment_raw[[#This Row],[Column1]])</f>
        <v/>
      </c>
      <c r="B516" s="38" t="str">
        <f>IF(ISNONTEXT(deployment_raw[[#This Row],[Column2]]), "", deployment_raw[[#This Row],[Column2]])</f>
        <v/>
      </c>
      <c r="C516" s="38" t="str">
        <f>IF(ISNONTEXT(deployment_raw[[#This Row],[Column3]]), "", deployment_raw[[#This Row],[Column3]])</f>
        <v/>
      </c>
      <c r="D516" s="38" t="str">
        <f>IF(ISNONTEXT(deployment_raw[[#This Row],[Column4]]), "", deployment_raw[[#This Row],[Column4]])</f>
        <v/>
      </c>
      <c r="E516" s="39" t="str">
        <f>IF(ISNUMBER(deployment_raw[[#This Row],[Column5]]), deployment_raw[[#This Row],[Column5]],"")</f>
        <v/>
      </c>
      <c r="F516" s="174" t="str">
        <f>IF(ISNUMBER(deployment_raw[[#This Row],[Column6]]), (deployment_raw[[#This Row],[Column6]] * deployment_raw[[#This Row],[Column5]]),"")</f>
        <v/>
      </c>
      <c r="G516" s="175" t="str">
        <f>IF(ISNUMBER(deployment_raw[[#This Row],[Column7]]), (deployment_raw[[#This Row],[Column7]] * deployment_raw[[#This Row],[Column5]])/1048576,"")</f>
        <v/>
      </c>
      <c r="H516" s="175" t="str">
        <f>IF(ISNUMBER(deployment_raw[[#This Row],[Column8]]), (deployment_raw[[#This Row],[Column8]]  * deployment_raw[[#This Row],[Column5]]),"")</f>
        <v/>
      </c>
      <c r="I516" s="176" t="str">
        <f>IF(ISNUMBER(deployment_raw[[#This Row],[Column9]]), (deployment_raw[[#This Row],[Column9]] * deployment_raw[[#This Row],[Column5]])/1048576,"")</f>
        <v/>
      </c>
      <c r="J516" s="57" t="str">
        <f>IF(ISNUMBER(deployment_raw[[#This Row],[Column10]]), (deployment_raw[[#This Row],[Column10]] * deployment_raw[[#This Row],[Column5]]),"")</f>
        <v/>
      </c>
      <c r="K516" s="58" t="str">
        <f>IF(ISNUMBER(deployment_raw[[#This Row],[Column11]]), (deployment_raw[[#This Row],[Column11]] * deployment_raw[[#This Row],[Column5]])/1048576,"")</f>
        <v/>
      </c>
      <c r="L516" s="180" t="str">
        <f>IF(ISNUMBER(deployment_raw[[#This Row],[Column8]]),IF(deployment_raw[[#This Row],[Column5]] &lt;&gt; 0, MAX((deployment_raw[[#This Row],[Column12]] * deployment_raw[[#This Row],[Column5]]), ((deployment_raw[[#This Row],[Column8]] * deployment_raw[[#This Row],[Column5]]) * $L$2), ($H$2 * deployment_raw[[#This Row],[Column5]])), 0),"")</f>
        <v/>
      </c>
      <c r="M51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16" s="188" t="str">
        <f>IF(ISNUMBER(deployment_raw[[#This Row],[Column14]]), deployment_raw[[#This Row],[Column14]],"")</f>
        <v/>
      </c>
      <c r="O516" s="189" t="str">
        <f>IF(ISNUMBER(deployment_raw[[#This Row],[Column15]]), deployment_raw[[#This Row],[Column15]]/1048576,"")</f>
        <v/>
      </c>
      <c r="P516" s="190" t="str">
        <f>IF(ISNUMBER(deployment_raw[[#This Row],[Column12]]), (deployment_raw[[#This Row],[Column12]] * deployment_raw[[#This Row],[Column5]]),"")</f>
        <v/>
      </c>
      <c r="Q516" s="189" t="str">
        <f>IF(ISNUMBER(deployment_raw[[#This Row],[Column13]]), (deployment_raw[[#This Row],[Column13]] * deployment_raw[[#This Row],[Column5]])/1048576,"")</f>
        <v/>
      </c>
    </row>
    <row r="517" spans="1:17" ht="15.75" customHeight="1" x14ac:dyDescent="0.25">
      <c r="A517" s="37" t="str">
        <f>IF(ISNONTEXT(deployment_raw[[#This Row],[Column1]]), "", deployment_raw[[#This Row],[Column1]])</f>
        <v/>
      </c>
      <c r="B517" s="38" t="str">
        <f>IF(ISNONTEXT(deployment_raw[[#This Row],[Column2]]), "", deployment_raw[[#This Row],[Column2]])</f>
        <v/>
      </c>
      <c r="C517" s="38" t="str">
        <f>IF(ISNONTEXT(deployment_raw[[#This Row],[Column3]]), "", deployment_raw[[#This Row],[Column3]])</f>
        <v/>
      </c>
      <c r="D517" s="38" t="str">
        <f>IF(ISNONTEXT(deployment_raw[[#This Row],[Column4]]), "", deployment_raw[[#This Row],[Column4]])</f>
        <v/>
      </c>
      <c r="E517" s="39" t="str">
        <f>IF(ISNUMBER(deployment_raw[[#This Row],[Column5]]), deployment_raw[[#This Row],[Column5]],"")</f>
        <v/>
      </c>
      <c r="F517" s="174" t="str">
        <f>IF(ISNUMBER(deployment_raw[[#This Row],[Column6]]), (deployment_raw[[#This Row],[Column6]] * deployment_raw[[#This Row],[Column5]]),"")</f>
        <v/>
      </c>
      <c r="G517" s="175" t="str">
        <f>IF(ISNUMBER(deployment_raw[[#This Row],[Column7]]), (deployment_raw[[#This Row],[Column7]] * deployment_raw[[#This Row],[Column5]])/1048576,"")</f>
        <v/>
      </c>
      <c r="H517" s="175" t="str">
        <f>IF(ISNUMBER(deployment_raw[[#This Row],[Column8]]), (deployment_raw[[#This Row],[Column8]]  * deployment_raw[[#This Row],[Column5]]),"")</f>
        <v/>
      </c>
      <c r="I517" s="176" t="str">
        <f>IF(ISNUMBER(deployment_raw[[#This Row],[Column9]]), (deployment_raw[[#This Row],[Column9]] * deployment_raw[[#This Row],[Column5]])/1048576,"")</f>
        <v/>
      </c>
      <c r="J517" s="57" t="str">
        <f>IF(ISNUMBER(deployment_raw[[#This Row],[Column10]]), (deployment_raw[[#This Row],[Column10]] * deployment_raw[[#This Row],[Column5]]),"")</f>
        <v/>
      </c>
      <c r="K517" s="58" t="str">
        <f>IF(ISNUMBER(deployment_raw[[#This Row],[Column11]]), (deployment_raw[[#This Row],[Column11]] * deployment_raw[[#This Row],[Column5]])/1048576,"")</f>
        <v/>
      </c>
      <c r="L517" s="180" t="str">
        <f>IF(ISNUMBER(deployment_raw[[#This Row],[Column8]]),IF(deployment_raw[[#This Row],[Column5]] &lt;&gt; 0, MAX((deployment_raw[[#This Row],[Column12]] * deployment_raw[[#This Row],[Column5]]), ((deployment_raw[[#This Row],[Column8]] * deployment_raw[[#This Row],[Column5]]) * $L$2), ($H$2 * deployment_raw[[#This Row],[Column5]])), 0),"")</f>
        <v/>
      </c>
      <c r="M51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17" s="188" t="str">
        <f>IF(ISNUMBER(deployment_raw[[#This Row],[Column14]]), deployment_raw[[#This Row],[Column14]],"")</f>
        <v/>
      </c>
      <c r="O517" s="189" t="str">
        <f>IF(ISNUMBER(deployment_raw[[#This Row],[Column15]]), deployment_raw[[#This Row],[Column15]]/1048576,"")</f>
        <v/>
      </c>
      <c r="P517" s="190" t="str">
        <f>IF(ISNUMBER(deployment_raw[[#This Row],[Column12]]), (deployment_raw[[#This Row],[Column12]] * deployment_raw[[#This Row],[Column5]]),"")</f>
        <v/>
      </c>
      <c r="Q517" s="189" t="str">
        <f>IF(ISNUMBER(deployment_raw[[#This Row],[Column13]]), (deployment_raw[[#This Row],[Column13]] * deployment_raw[[#This Row],[Column5]])/1048576,"")</f>
        <v/>
      </c>
    </row>
    <row r="518" spans="1:17" ht="15.75" customHeight="1" x14ac:dyDescent="0.25">
      <c r="A518" s="37" t="str">
        <f>IF(ISNONTEXT(deployment_raw[[#This Row],[Column1]]), "", deployment_raw[[#This Row],[Column1]])</f>
        <v/>
      </c>
      <c r="B518" s="38" t="str">
        <f>IF(ISNONTEXT(deployment_raw[[#This Row],[Column2]]), "", deployment_raw[[#This Row],[Column2]])</f>
        <v/>
      </c>
      <c r="C518" s="38" t="str">
        <f>IF(ISNONTEXT(deployment_raw[[#This Row],[Column3]]), "", deployment_raw[[#This Row],[Column3]])</f>
        <v/>
      </c>
      <c r="D518" s="38" t="str">
        <f>IF(ISNONTEXT(deployment_raw[[#This Row],[Column4]]), "", deployment_raw[[#This Row],[Column4]])</f>
        <v/>
      </c>
      <c r="E518" s="39" t="str">
        <f>IF(ISNUMBER(deployment_raw[[#This Row],[Column5]]), deployment_raw[[#This Row],[Column5]],"")</f>
        <v/>
      </c>
      <c r="F518" s="174" t="str">
        <f>IF(ISNUMBER(deployment_raw[[#This Row],[Column6]]), (deployment_raw[[#This Row],[Column6]] * deployment_raw[[#This Row],[Column5]]),"")</f>
        <v/>
      </c>
      <c r="G518" s="175" t="str">
        <f>IF(ISNUMBER(deployment_raw[[#This Row],[Column7]]), (deployment_raw[[#This Row],[Column7]] * deployment_raw[[#This Row],[Column5]])/1048576,"")</f>
        <v/>
      </c>
      <c r="H518" s="175" t="str">
        <f>IF(ISNUMBER(deployment_raw[[#This Row],[Column8]]), (deployment_raw[[#This Row],[Column8]]  * deployment_raw[[#This Row],[Column5]]),"")</f>
        <v/>
      </c>
      <c r="I518" s="176" t="str">
        <f>IF(ISNUMBER(deployment_raw[[#This Row],[Column9]]), (deployment_raw[[#This Row],[Column9]] * deployment_raw[[#This Row],[Column5]])/1048576,"")</f>
        <v/>
      </c>
      <c r="J518" s="57" t="str">
        <f>IF(ISNUMBER(deployment_raw[[#This Row],[Column10]]), (deployment_raw[[#This Row],[Column10]] * deployment_raw[[#This Row],[Column5]]),"")</f>
        <v/>
      </c>
      <c r="K518" s="58" t="str">
        <f>IF(ISNUMBER(deployment_raw[[#This Row],[Column11]]), (deployment_raw[[#This Row],[Column11]] * deployment_raw[[#This Row],[Column5]])/1048576,"")</f>
        <v/>
      </c>
      <c r="L518" s="180" t="str">
        <f>IF(ISNUMBER(deployment_raw[[#This Row],[Column8]]),IF(deployment_raw[[#This Row],[Column5]] &lt;&gt; 0, MAX((deployment_raw[[#This Row],[Column12]] * deployment_raw[[#This Row],[Column5]]), ((deployment_raw[[#This Row],[Column8]] * deployment_raw[[#This Row],[Column5]]) * $L$2), ($H$2 * deployment_raw[[#This Row],[Column5]])), 0),"")</f>
        <v/>
      </c>
      <c r="M51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18" s="188" t="str">
        <f>IF(ISNUMBER(deployment_raw[[#This Row],[Column14]]), deployment_raw[[#This Row],[Column14]],"")</f>
        <v/>
      </c>
      <c r="O518" s="189" t="str">
        <f>IF(ISNUMBER(deployment_raw[[#This Row],[Column15]]), deployment_raw[[#This Row],[Column15]]/1048576,"")</f>
        <v/>
      </c>
      <c r="P518" s="190" t="str">
        <f>IF(ISNUMBER(deployment_raw[[#This Row],[Column12]]), (deployment_raw[[#This Row],[Column12]] * deployment_raw[[#This Row],[Column5]]),"")</f>
        <v/>
      </c>
      <c r="Q518" s="189" t="str">
        <f>IF(ISNUMBER(deployment_raw[[#This Row],[Column13]]), (deployment_raw[[#This Row],[Column13]] * deployment_raw[[#This Row],[Column5]])/1048576,"")</f>
        <v/>
      </c>
    </row>
    <row r="519" spans="1:17" ht="15.75" customHeight="1" x14ac:dyDescent="0.25">
      <c r="A519" s="37" t="str">
        <f>IF(ISNONTEXT(deployment_raw[[#This Row],[Column1]]), "", deployment_raw[[#This Row],[Column1]])</f>
        <v/>
      </c>
      <c r="B519" s="38" t="str">
        <f>IF(ISNONTEXT(deployment_raw[[#This Row],[Column2]]), "", deployment_raw[[#This Row],[Column2]])</f>
        <v/>
      </c>
      <c r="C519" s="38" t="str">
        <f>IF(ISNONTEXT(deployment_raw[[#This Row],[Column3]]), "", deployment_raw[[#This Row],[Column3]])</f>
        <v/>
      </c>
      <c r="D519" s="38" t="str">
        <f>IF(ISNONTEXT(deployment_raw[[#This Row],[Column4]]), "", deployment_raw[[#This Row],[Column4]])</f>
        <v/>
      </c>
      <c r="E519" s="39" t="str">
        <f>IF(ISNUMBER(deployment_raw[[#This Row],[Column5]]), deployment_raw[[#This Row],[Column5]],"")</f>
        <v/>
      </c>
      <c r="F519" s="174" t="str">
        <f>IF(ISNUMBER(deployment_raw[[#This Row],[Column6]]), (deployment_raw[[#This Row],[Column6]] * deployment_raw[[#This Row],[Column5]]),"")</f>
        <v/>
      </c>
      <c r="G519" s="175" t="str">
        <f>IF(ISNUMBER(deployment_raw[[#This Row],[Column7]]), (deployment_raw[[#This Row],[Column7]] * deployment_raw[[#This Row],[Column5]])/1048576,"")</f>
        <v/>
      </c>
      <c r="H519" s="175" t="str">
        <f>IF(ISNUMBER(deployment_raw[[#This Row],[Column8]]), (deployment_raw[[#This Row],[Column8]]  * deployment_raw[[#This Row],[Column5]]),"")</f>
        <v/>
      </c>
      <c r="I519" s="176" t="str">
        <f>IF(ISNUMBER(deployment_raw[[#This Row],[Column9]]), (deployment_raw[[#This Row],[Column9]] * deployment_raw[[#This Row],[Column5]])/1048576,"")</f>
        <v/>
      </c>
      <c r="J519" s="57" t="str">
        <f>IF(ISNUMBER(deployment_raw[[#This Row],[Column10]]), (deployment_raw[[#This Row],[Column10]] * deployment_raw[[#This Row],[Column5]]),"")</f>
        <v/>
      </c>
      <c r="K519" s="58" t="str">
        <f>IF(ISNUMBER(deployment_raw[[#This Row],[Column11]]), (deployment_raw[[#This Row],[Column11]] * deployment_raw[[#This Row],[Column5]])/1048576,"")</f>
        <v/>
      </c>
      <c r="L519" s="180" t="str">
        <f>IF(ISNUMBER(deployment_raw[[#This Row],[Column8]]),IF(deployment_raw[[#This Row],[Column5]] &lt;&gt; 0, MAX((deployment_raw[[#This Row],[Column12]] * deployment_raw[[#This Row],[Column5]]), ((deployment_raw[[#This Row],[Column8]] * deployment_raw[[#This Row],[Column5]]) * $L$2), ($H$2 * deployment_raw[[#This Row],[Column5]])), 0),"")</f>
        <v/>
      </c>
      <c r="M51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19" s="188" t="str">
        <f>IF(ISNUMBER(deployment_raw[[#This Row],[Column14]]), deployment_raw[[#This Row],[Column14]],"")</f>
        <v/>
      </c>
      <c r="O519" s="189" t="str">
        <f>IF(ISNUMBER(deployment_raw[[#This Row],[Column15]]), deployment_raw[[#This Row],[Column15]]/1048576,"")</f>
        <v/>
      </c>
      <c r="P519" s="190" t="str">
        <f>IF(ISNUMBER(deployment_raw[[#This Row],[Column12]]), (deployment_raw[[#This Row],[Column12]] * deployment_raw[[#This Row],[Column5]]),"")</f>
        <v/>
      </c>
      <c r="Q519" s="189" t="str">
        <f>IF(ISNUMBER(deployment_raw[[#This Row],[Column13]]), (deployment_raw[[#This Row],[Column13]] * deployment_raw[[#This Row],[Column5]])/1048576,"")</f>
        <v/>
      </c>
    </row>
    <row r="520" spans="1:17" ht="15.75" customHeight="1" x14ac:dyDescent="0.25">
      <c r="A520" s="37" t="str">
        <f>IF(ISNONTEXT(deployment_raw[[#This Row],[Column1]]), "", deployment_raw[[#This Row],[Column1]])</f>
        <v/>
      </c>
      <c r="B520" s="38" t="str">
        <f>IF(ISNONTEXT(deployment_raw[[#This Row],[Column2]]), "", deployment_raw[[#This Row],[Column2]])</f>
        <v/>
      </c>
      <c r="C520" s="38" t="str">
        <f>IF(ISNONTEXT(deployment_raw[[#This Row],[Column3]]), "", deployment_raw[[#This Row],[Column3]])</f>
        <v/>
      </c>
      <c r="D520" s="38" t="str">
        <f>IF(ISNONTEXT(deployment_raw[[#This Row],[Column4]]), "", deployment_raw[[#This Row],[Column4]])</f>
        <v/>
      </c>
      <c r="E520" s="39" t="str">
        <f>IF(ISNUMBER(deployment_raw[[#This Row],[Column5]]), deployment_raw[[#This Row],[Column5]],"")</f>
        <v/>
      </c>
      <c r="F520" s="174" t="str">
        <f>IF(ISNUMBER(deployment_raw[[#This Row],[Column6]]), (deployment_raw[[#This Row],[Column6]] * deployment_raw[[#This Row],[Column5]]),"")</f>
        <v/>
      </c>
      <c r="G520" s="175" t="str">
        <f>IF(ISNUMBER(deployment_raw[[#This Row],[Column7]]), (deployment_raw[[#This Row],[Column7]] * deployment_raw[[#This Row],[Column5]])/1048576,"")</f>
        <v/>
      </c>
      <c r="H520" s="175" t="str">
        <f>IF(ISNUMBER(deployment_raw[[#This Row],[Column8]]), (deployment_raw[[#This Row],[Column8]]  * deployment_raw[[#This Row],[Column5]]),"")</f>
        <v/>
      </c>
      <c r="I520" s="176" t="str">
        <f>IF(ISNUMBER(deployment_raw[[#This Row],[Column9]]), (deployment_raw[[#This Row],[Column9]] * deployment_raw[[#This Row],[Column5]])/1048576,"")</f>
        <v/>
      </c>
      <c r="J520" s="57" t="str">
        <f>IF(ISNUMBER(deployment_raw[[#This Row],[Column10]]), (deployment_raw[[#This Row],[Column10]] * deployment_raw[[#This Row],[Column5]]),"")</f>
        <v/>
      </c>
      <c r="K520" s="58" t="str">
        <f>IF(ISNUMBER(deployment_raw[[#This Row],[Column11]]), (deployment_raw[[#This Row],[Column11]] * deployment_raw[[#This Row],[Column5]])/1048576,"")</f>
        <v/>
      </c>
      <c r="L520" s="180" t="str">
        <f>IF(ISNUMBER(deployment_raw[[#This Row],[Column8]]),IF(deployment_raw[[#This Row],[Column5]] &lt;&gt; 0, MAX((deployment_raw[[#This Row],[Column12]] * deployment_raw[[#This Row],[Column5]]), ((deployment_raw[[#This Row],[Column8]] * deployment_raw[[#This Row],[Column5]]) * $L$2), ($H$2 * deployment_raw[[#This Row],[Column5]])), 0),"")</f>
        <v/>
      </c>
      <c r="M52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20" s="188" t="str">
        <f>IF(ISNUMBER(deployment_raw[[#This Row],[Column14]]), deployment_raw[[#This Row],[Column14]],"")</f>
        <v/>
      </c>
      <c r="O520" s="189" t="str">
        <f>IF(ISNUMBER(deployment_raw[[#This Row],[Column15]]), deployment_raw[[#This Row],[Column15]]/1048576,"")</f>
        <v/>
      </c>
      <c r="P520" s="190" t="str">
        <f>IF(ISNUMBER(deployment_raw[[#This Row],[Column12]]), (deployment_raw[[#This Row],[Column12]] * deployment_raw[[#This Row],[Column5]]),"")</f>
        <v/>
      </c>
      <c r="Q520" s="189" t="str">
        <f>IF(ISNUMBER(deployment_raw[[#This Row],[Column13]]), (deployment_raw[[#This Row],[Column13]] * deployment_raw[[#This Row],[Column5]])/1048576,"")</f>
        <v/>
      </c>
    </row>
    <row r="521" spans="1:17" ht="15.75" customHeight="1" x14ac:dyDescent="0.25">
      <c r="A521" s="37" t="str">
        <f>IF(ISNONTEXT(deployment_raw[[#This Row],[Column1]]), "", deployment_raw[[#This Row],[Column1]])</f>
        <v/>
      </c>
      <c r="B521" s="38" t="str">
        <f>IF(ISNONTEXT(deployment_raw[[#This Row],[Column2]]), "", deployment_raw[[#This Row],[Column2]])</f>
        <v/>
      </c>
      <c r="C521" s="38" t="str">
        <f>IF(ISNONTEXT(deployment_raw[[#This Row],[Column3]]), "", deployment_raw[[#This Row],[Column3]])</f>
        <v/>
      </c>
      <c r="D521" s="38" t="str">
        <f>IF(ISNONTEXT(deployment_raw[[#This Row],[Column4]]), "", deployment_raw[[#This Row],[Column4]])</f>
        <v/>
      </c>
      <c r="E521" s="39" t="str">
        <f>IF(ISNUMBER(deployment_raw[[#This Row],[Column5]]), deployment_raw[[#This Row],[Column5]],"")</f>
        <v/>
      </c>
      <c r="F521" s="174" t="str">
        <f>IF(ISNUMBER(deployment_raw[[#This Row],[Column6]]), (deployment_raw[[#This Row],[Column6]] * deployment_raw[[#This Row],[Column5]]),"")</f>
        <v/>
      </c>
      <c r="G521" s="175" t="str">
        <f>IF(ISNUMBER(deployment_raw[[#This Row],[Column7]]), (deployment_raw[[#This Row],[Column7]] * deployment_raw[[#This Row],[Column5]])/1048576,"")</f>
        <v/>
      </c>
      <c r="H521" s="175" t="str">
        <f>IF(ISNUMBER(deployment_raw[[#This Row],[Column8]]), (deployment_raw[[#This Row],[Column8]]  * deployment_raw[[#This Row],[Column5]]),"")</f>
        <v/>
      </c>
      <c r="I521" s="176" t="str">
        <f>IF(ISNUMBER(deployment_raw[[#This Row],[Column9]]), (deployment_raw[[#This Row],[Column9]] * deployment_raw[[#This Row],[Column5]])/1048576,"")</f>
        <v/>
      </c>
      <c r="J521" s="57" t="str">
        <f>IF(ISNUMBER(deployment_raw[[#This Row],[Column10]]), (deployment_raw[[#This Row],[Column10]] * deployment_raw[[#This Row],[Column5]]),"")</f>
        <v/>
      </c>
      <c r="K521" s="58" t="str">
        <f>IF(ISNUMBER(deployment_raw[[#This Row],[Column11]]), (deployment_raw[[#This Row],[Column11]] * deployment_raw[[#This Row],[Column5]])/1048576,"")</f>
        <v/>
      </c>
      <c r="L521" s="180" t="str">
        <f>IF(ISNUMBER(deployment_raw[[#This Row],[Column8]]),IF(deployment_raw[[#This Row],[Column5]] &lt;&gt; 0, MAX((deployment_raw[[#This Row],[Column12]] * deployment_raw[[#This Row],[Column5]]), ((deployment_raw[[#This Row],[Column8]] * deployment_raw[[#This Row],[Column5]]) * $L$2), ($H$2 * deployment_raw[[#This Row],[Column5]])), 0),"")</f>
        <v/>
      </c>
      <c r="M52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21" s="188" t="str">
        <f>IF(ISNUMBER(deployment_raw[[#This Row],[Column14]]), deployment_raw[[#This Row],[Column14]],"")</f>
        <v/>
      </c>
      <c r="O521" s="189" t="str">
        <f>IF(ISNUMBER(deployment_raw[[#This Row],[Column15]]), deployment_raw[[#This Row],[Column15]]/1048576,"")</f>
        <v/>
      </c>
      <c r="P521" s="190" t="str">
        <f>IF(ISNUMBER(deployment_raw[[#This Row],[Column12]]), (deployment_raw[[#This Row],[Column12]] * deployment_raw[[#This Row],[Column5]]),"")</f>
        <v/>
      </c>
      <c r="Q521" s="189" t="str">
        <f>IF(ISNUMBER(deployment_raw[[#This Row],[Column13]]), (deployment_raw[[#This Row],[Column13]] * deployment_raw[[#This Row],[Column5]])/1048576,"")</f>
        <v/>
      </c>
    </row>
    <row r="522" spans="1:17" ht="15.75" customHeight="1" x14ac:dyDescent="0.25">
      <c r="A522" s="37" t="str">
        <f>IF(ISNONTEXT(deployment_raw[[#This Row],[Column1]]), "", deployment_raw[[#This Row],[Column1]])</f>
        <v/>
      </c>
      <c r="B522" s="38" t="str">
        <f>IF(ISNONTEXT(deployment_raw[[#This Row],[Column2]]), "", deployment_raw[[#This Row],[Column2]])</f>
        <v/>
      </c>
      <c r="C522" s="38" t="str">
        <f>IF(ISNONTEXT(deployment_raw[[#This Row],[Column3]]), "", deployment_raw[[#This Row],[Column3]])</f>
        <v/>
      </c>
      <c r="D522" s="38" t="str">
        <f>IF(ISNONTEXT(deployment_raw[[#This Row],[Column4]]), "", deployment_raw[[#This Row],[Column4]])</f>
        <v/>
      </c>
      <c r="E522" s="39" t="str">
        <f>IF(ISNUMBER(deployment_raw[[#This Row],[Column5]]), deployment_raw[[#This Row],[Column5]],"")</f>
        <v/>
      </c>
      <c r="F522" s="174" t="str">
        <f>IF(ISNUMBER(deployment_raw[[#This Row],[Column6]]), (deployment_raw[[#This Row],[Column6]] * deployment_raw[[#This Row],[Column5]]),"")</f>
        <v/>
      </c>
      <c r="G522" s="175" t="str">
        <f>IF(ISNUMBER(deployment_raw[[#This Row],[Column7]]), (deployment_raw[[#This Row],[Column7]] * deployment_raw[[#This Row],[Column5]])/1048576,"")</f>
        <v/>
      </c>
      <c r="H522" s="175" t="str">
        <f>IF(ISNUMBER(deployment_raw[[#This Row],[Column8]]), (deployment_raw[[#This Row],[Column8]]  * deployment_raw[[#This Row],[Column5]]),"")</f>
        <v/>
      </c>
      <c r="I522" s="176" t="str">
        <f>IF(ISNUMBER(deployment_raw[[#This Row],[Column9]]), (deployment_raw[[#This Row],[Column9]] * deployment_raw[[#This Row],[Column5]])/1048576,"")</f>
        <v/>
      </c>
      <c r="J522" s="57" t="str">
        <f>IF(ISNUMBER(deployment_raw[[#This Row],[Column10]]), (deployment_raw[[#This Row],[Column10]] * deployment_raw[[#This Row],[Column5]]),"")</f>
        <v/>
      </c>
      <c r="K522" s="58" t="str">
        <f>IF(ISNUMBER(deployment_raw[[#This Row],[Column11]]), (deployment_raw[[#This Row],[Column11]] * deployment_raw[[#This Row],[Column5]])/1048576,"")</f>
        <v/>
      </c>
      <c r="L522" s="180" t="str">
        <f>IF(ISNUMBER(deployment_raw[[#This Row],[Column8]]),IF(deployment_raw[[#This Row],[Column5]] &lt;&gt; 0, MAX((deployment_raw[[#This Row],[Column12]] * deployment_raw[[#This Row],[Column5]]), ((deployment_raw[[#This Row],[Column8]] * deployment_raw[[#This Row],[Column5]]) * $L$2), ($H$2 * deployment_raw[[#This Row],[Column5]])), 0),"")</f>
        <v/>
      </c>
      <c r="M52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22" s="188" t="str">
        <f>IF(ISNUMBER(deployment_raw[[#This Row],[Column14]]), deployment_raw[[#This Row],[Column14]],"")</f>
        <v/>
      </c>
      <c r="O522" s="189" t="str">
        <f>IF(ISNUMBER(deployment_raw[[#This Row],[Column15]]), deployment_raw[[#This Row],[Column15]]/1048576,"")</f>
        <v/>
      </c>
      <c r="P522" s="190" t="str">
        <f>IF(ISNUMBER(deployment_raw[[#This Row],[Column12]]), (deployment_raw[[#This Row],[Column12]] * deployment_raw[[#This Row],[Column5]]),"")</f>
        <v/>
      </c>
      <c r="Q522" s="189" t="str">
        <f>IF(ISNUMBER(deployment_raw[[#This Row],[Column13]]), (deployment_raw[[#This Row],[Column13]] * deployment_raw[[#This Row],[Column5]])/1048576,"")</f>
        <v/>
      </c>
    </row>
    <row r="523" spans="1:17" ht="15.75" customHeight="1" x14ac:dyDescent="0.25">
      <c r="A523" s="37" t="str">
        <f>IF(ISNONTEXT(deployment_raw[[#This Row],[Column1]]), "", deployment_raw[[#This Row],[Column1]])</f>
        <v/>
      </c>
      <c r="B523" s="38" t="str">
        <f>IF(ISNONTEXT(deployment_raw[[#This Row],[Column2]]), "", deployment_raw[[#This Row],[Column2]])</f>
        <v/>
      </c>
      <c r="C523" s="38" t="str">
        <f>IF(ISNONTEXT(deployment_raw[[#This Row],[Column3]]), "", deployment_raw[[#This Row],[Column3]])</f>
        <v/>
      </c>
      <c r="D523" s="38" t="str">
        <f>IF(ISNONTEXT(deployment_raw[[#This Row],[Column4]]), "", deployment_raw[[#This Row],[Column4]])</f>
        <v/>
      </c>
      <c r="E523" s="39" t="str">
        <f>IF(ISNUMBER(deployment_raw[[#This Row],[Column5]]), deployment_raw[[#This Row],[Column5]],"")</f>
        <v/>
      </c>
      <c r="F523" s="174" t="str">
        <f>IF(ISNUMBER(deployment_raw[[#This Row],[Column6]]), (deployment_raw[[#This Row],[Column6]] * deployment_raw[[#This Row],[Column5]]),"")</f>
        <v/>
      </c>
      <c r="G523" s="175" t="str">
        <f>IF(ISNUMBER(deployment_raw[[#This Row],[Column7]]), (deployment_raw[[#This Row],[Column7]] * deployment_raw[[#This Row],[Column5]])/1048576,"")</f>
        <v/>
      </c>
      <c r="H523" s="175" t="str">
        <f>IF(ISNUMBER(deployment_raw[[#This Row],[Column8]]), (deployment_raw[[#This Row],[Column8]]  * deployment_raw[[#This Row],[Column5]]),"")</f>
        <v/>
      </c>
      <c r="I523" s="176" t="str">
        <f>IF(ISNUMBER(deployment_raw[[#This Row],[Column9]]), (deployment_raw[[#This Row],[Column9]] * deployment_raw[[#This Row],[Column5]])/1048576,"")</f>
        <v/>
      </c>
      <c r="J523" s="57" t="str">
        <f>IF(ISNUMBER(deployment_raw[[#This Row],[Column10]]), (deployment_raw[[#This Row],[Column10]] * deployment_raw[[#This Row],[Column5]]),"")</f>
        <v/>
      </c>
      <c r="K523" s="58" t="str">
        <f>IF(ISNUMBER(deployment_raw[[#This Row],[Column11]]), (deployment_raw[[#This Row],[Column11]] * deployment_raw[[#This Row],[Column5]])/1048576,"")</f>
        <v/>
      </c>
      <c r="L523" s="180" t="str">
        <f>IF(ISNUMBER(deployment_raw[[#This Row],[Column8]]),IF(deployment_raw[[#This Row],[Column5]] &lt;&gt; 0, MAX((deployment_raw[[#This Row],[Column12]] * deployment_raw[[#This Row],[Column5]]), ((deployment_raw[[#This Row],[Column8]] * deployment_raw[[#This Row],[Column5]]) * $L$2), ($H$2 * deployment_raw[[#This Row],[Column5]])), 0),"")</f>
        <v/>
      </c>
      <c r="M52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23" s="188" t="str">
        <f>IF(ISNUMBER(deployment_raw[[#This Row],[Column14]]), deployment_raw[[#This Row],[Column14]],"")</f>
        <v/>
      </c>
      <c r="O523" s="189" t="str">
        <f>IF(ISNUMBER(deployment_raw[[#This Row],[Column15]]), deployment_raw[[#This Row],[Column15]]/1048576,"")</f>
        <v/>
      </c>
      <c r="P523" s="190" t="str">
        <f>IF(ISNUMBER(deployment_raw[[#This Row],[Column12]]), (deployment_raw[[#This Row],[Column12]] * deployment_raw[[#This Row],[Column5]]),"")</f>
        <v/>
      </c>
      <c r="Q523" s="189" t="str">
        <f>IF(ISNUMBER(deployment_raw[[#This Row],[Column13]]), (deployment_raw[[#This Row],[Column13]] * deployment_raw[[#This Row],[Column5]])/1048576,"")</f>
        <v/>
      </c>
    </row>
    <row r="524" spans="1:17" ht="15.75" customHeight="1" x14ac:dyDescent="0.25">
      <c r="A524" s="37" t="str">
        <f>IF(ISNONTEXT(deployment_raw[[#This Row],[Column1]]), "", deployment_raw[[#This Row],[Column1]])</f>
        <v/>
      </c>
      <c r="B524" s="38" t="str">
        <f>IF(ISNONTEXT(deployment_raw[[#This Row],[Column2]]), "", deployment_raw[[#This Row],[Column2]])</f>
        <v/>
      </c>
      <c r="C524" s="38" t="str">
        <f>IF(ISNONTEXT(deployment_raw[[#This Row],[Column3]]), "", deployment_raw[[#This Row],[Column3]])</f>
        <v/>
      </c>
      <c r="D524" s="38" t="str">
        <f>IF(ISNONTEXT(deployment_raw[[#This Row],[Column4]]), "", deployment_raw[[#This Row],[Column4]])</f>
        <v/>
      </c>
      <c r="E524" s="39" t="str">
        <f>IF(ISNUMBER(deployment_raw[[#This Row],[Column5]]), deployment_raw[[#This Row],[Column5]],"")</f>
        <v/>
      </c>
      <c r="F524" s="174" t="str">
        <f>IF(ISNUMBER(deployment_raw[[#This Row],[Column6]]), (deployment_raw[[#This Row],[Column6]] * deployment_raw[[#This Row],[Column5]]),"")</f>
        <v/>
      </c>
      <c r="G524" s="175" t="str">
        <f>IF(ISNUMBER(deployment_raw[[#This Row],[Column7]]), (deployment_raw[[#This Row],[Column7]] * deployment_raw[[#This Row],[Column5]])/1048576,"")</f>
        <v/>
      </c>
      <c r="H524" s="175" t="str">
        <f>IF(ISNUMBER(deployment_raw[[#This Row],[Column8]]), (deployment_raw[[#This Row],[Column8]]  * deployment_raw[[#This Row],[Column5]]),"")</f>
        <v/>
      </c>
      <c r="I524" s="176" t="str">
        <f>IF(ISNUMBER(deployment_raw[[#This Row],[Column9]]), (deployment_raw[[#This Row],[Column9]] * deployment_raw[[#This Row],[Column5]])/1048576,"")</f>
        <v/>
      </c>
      <c r="J524" s="57" t="str">
        <f>IF(ISNUMBER(deployment_raw[[#This Row],[Column10]]), (deployment_raw[[#This Row],[Column10]] * deployment_raw[[#This Row],[Column5]]),"")</f>
        <v/>
      </c>
      <c r="K524" s="58" t="str">
        <f>IF(ISNUMBER(deployment_raw[[#This Row],[Column11]]), (deployment_raw[[#This Row],[Column11]] * deployment_raw[[#This Row],[Column5]])/1048576,"")</f>
        <v/>
      </c>
      <c r="L524" s="180" t="str">
        <f>IF(ISNUMBER(deployment_raw[[#This Row],[Column8]]),IF(deployment_raw[[#This Row],[Column5]] &lt;&gt; 0, MAX((deployment_raw[[#This Row],[Column12]] * deployment_raw[[#This Row],[Column5]]), ((deployment_raw[[#This Row],[Column8]] * deployment_raw[[#This Row],[Column5]]) * $L$2), ($H$2 * deployment_raw[[#This Row],[Column5]])), 0),"")</f>
        <v/>
      </c>
      <c r="M52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24" s="188" t="str">
        <f>IF(ISNUMBER(deployment_raw[[#This Row],[Column14]]), deployment_raw[[#This Row],[Column14]],"")</f>
        <v/>
      </c>
      <c r="O524" s="189" t="str">
        <f>IF(ISNUMBER(deployment_raw[[#This Row],[Column15]]), deployment_raw[[#This Row],[Column15]]/1048576,"")</f>
        <v/>
      </c>
      <c r="P524" s="190" t="str">
        <f>IF(ISNUMBER(deployment_raw[[#This Row],[Column12]]), (deployment_raw[[#This Row],[Column12]] * deployment_raw[[#This Row],[Column5]]),"")</f>
        <v/>
      </c>
      <c r="Q524" s="189" t="str">
        <f>IF(ISNUMBER(deployment_raw[[#This Row],[Column13]]), (deployment_raw[[#This Row],[Column13]] * deployment_raw[[#This Row],[Column5]])/1048576,"")</f>
        <v/>
      </c>
    </row>
    <row r="525" spans="1:17" ht="15.75" customHeight="1" x14ac:dyDescent="0.25">
      <c r="A525" s="37" t="str">
        <f>IF(ISNONTEXT(deployment_raw[[#This Row],[Column1]]), "", deployment_raw[[#This Row],[Column1]])</f>
        <v/>
      </c>
      <c r="B525" s="38" t="str">
        <f>IF(ISNONTEXT(deployment_raw[[#This Row],[Column2]]), "", deployment_raw[[#This Row],[Column2]])</f>
        <v/>
      </c>
      <c r="C525" s="38" t="str">
        <f>IF(ISNONTEXT(deployment_raw[[#This Row],[Column3]]), "", deployment_raw[[#This Row],[Column3]])</f>
        <v/>
      </c>
      <c r="D525" s="38" t="str">
        <f>IF(ISNONTEXT(deployment_raw[[#This Row],[Column4]]), "", deployment_raw[[#This Row],[Column4]])</f>
        <v/>
      </c>
      <c r="E525" s="39" t="str">
        <f>IF(ISNUMBER(deployment_raw[[#This Row],[Column5]]), deployment_raw[[#This Row],[Column5]],"")</f>
        <v/>
      </c>
      <c r="F525" s="174" t="str">
        <f>IF(ISNUMBER(deployment_raw[[#This Row],[Column6]]), (deployment_raw[[#This Row],[Column6]] * deployment_raw[[#This Row],[Column5]]),"")</f>
        <v/>
      </c>
      <c r="G525" s="175" t="str">
        <f>IF(ISNUMBER(deployment_raw[[#This Row],[Column7]]), (deployment_raw[[#This Row],[Column7]] * deployment_raw[[#This Row],[Column5]])/1048576,"")</f>
        <v/>
      </c>
      <c r="H525" s="175" t="str">
        <f>IF(ISNUMBER(deployment_raw[[#This Row],[Column8]]), (deployment_raw[[#This Row],[Column8]]  * deployment_raw[[#This Row],[Column5]]),"")</f>
        <v/>
      </c>
      <c r="I525" s="176" t="str">
        <f>IF(ISNUMBER(deployment_raw[[#This Row],[Column9]]), (deployment_raw[[#This Row],[Column9]] * deployment_raw[[#This Row],[Column5]])/1048576,"")</f>
        <v/>
      </c>
      <c r="J525" s="57" t="str">
        <f>IF(ISNUMBER(deployment_raw[[#This Row],[Column10]]), (deployment_raw[[#This Row],[Column10]] * deployment_raw[[#This Row],[Column5]]),"")</f>
        <v/>
      </c>
      <c r="K525" s="58" t="str">
        <f>IF(ISNUMBER(deployment_raw[[#This Row],[Column11]]), (deployment_raw[[#This Row],[Column11]] * deployment_raw[[#This Row],[Column5]])/1048576,"")</f>
        <v/>
      </c>
      <c r="L525" s="180" t="str">
        <f>IF(ISNUMBER(deployment_raw[[#This Row],[Column8]]),IF(deployment_raw[[#This Row],[Column5]] &lt;&gt; 0, MAX((deployment_raw[[#This Row],[Column12]] * deployment_raw[[#This Row],[Column5]]), ((deployment_raw[[#This Row],[Column8]] * deployment_raw[[#This Row],[Column5]]) * $L$2), ($H$2 * deployment_raw[[#This Row],[Column5]])), 0),"")</f>
        <v/>
      </c>
      <c r="M52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25" s="188" t="str">
        <f>IF(ISNUMBER(deployment_raw[[#This Row],[Column14]]), deployment_raw[[#This Row],[Column14]],"")</f>
        <v/>
      </c>
      <c r="O525" s="189" t="str">
        <f>IF(ISNUMBER(deployment_raw[[#This Row],[Column15]]), deployment_raw[[#This Row],[Column15]]/1048576,"")</f>
        <v/>
      </c>
      <c r="P525" s="190" t="str">
        <f>IF(ISNUMBER(deployment_raw[[#This Row],[Column12]]), (deployment_raw[[#This Row],[Column12]] * deployment_raw[[#This Row],[Column5]]),"")</f>
        <v/>
      </c>
      <c r="Q525" s="189" t="str">
        <f>IF(ISNUMBER(deployment_raw[[#This Row],[Column13]]), (deployment_raw[[#This Row],[Column13]] * deployment_raw[[#This Row],[Column5]])/1048576,"")</f>
        <v/>
      </c>
    </row>
    <row r="526" spans="1:17" ht="15.75" customHeight="1" x14ac:dyDescent="0.25">
      <c r="A526" s="37" t="str">
        <f>IF(ISNONTEXT(deployment_raw[[#This Row],[Column1]]), "", deployment_raw[[#This Row],[Column1]])</f>
        <v/>
      </c>
      <c r="B526" s="38" t="str">
        <f>IF(ISNONTEXT(deployment_raw[[#This Row],[Column2]]), "", deployment_raw[[#This Row],[Column2]])</f>
        <v/>
      </c>
      <c r="C526" s="38" t="str">
        <f>IF(ISNONTEXT(deployment_raw[[#This Row],[Column3]]), "", deployment_raw[[#This Row],[Column3]])</f>
        <v/>
      </c>
      <c r="D526" s="38" t="str">
        <f>IF(ISNONTEXT(deployment_raw[[#This Row],[Column4]]), "", deployment_raw[[#This Row],[Column4]])</f>
        <v/>
      </c>
      <c r="E526" s="39" t="str">
        <f>IF(ISNUMBER(deployment_raw[[#This Row],[Column5]]), deployment_raw[[#This Row],[Column5]],"")</f>
        <v/>
      </c>
      <c r="F526" s="174" t="str">
        <f>IF(ISNUMBER(deployment_raw[[#This Row],[Column6]]), (deployment_raw[[#This Row],[Column6]] * deployment_raw[[#This Row],[Column5]]),"")</f>
        <v/>
      </c>
      <c r="G526" s="175" t="str">
        <f>IF(ISNUMBER(deployment_raw[[#This Row],[Column7]]), (deployment_raw[[#This Row],[Column7]] * deployment_raw[[#This Row],[Column5]])/1048576,"")</f>
        <v/>
      </c>
      <c r="H526" s="175" t="str">
        <f>IF(ISNUMBER(deployment_raw[[#This Row],[Column8]]), (deployment_raw[[#This Row],[Column8]]  * deployment_raw[[#This Row],[Column5]]),"")</f>
        <v/>
      </c>
      <c r="I526" s="176" t="str">
        <f>IF(ISNUMBER(deployment_raw[[#This Row],[Column9]]), (deployment_raw[[#This Row],[Column9]] * deployment_raw[[#This Row],[Column5]])/1048576,"")</f>
        <v/>
      </c>
      <c r="J526" s="57" t="str">
        <f>IF(ISNUMBER(deployment_raw[[#This Row],[Column10]]), (deployment_raw[[#This Row],[Column10]] * deployment_raw[[#This Row],[Column5]]),"")</f>
        <v/>
      </c>
      <c r="K526" s="58" t="str">
        <f>IF(ISNUMBER(deployment_raw[[#This Row],[Column11]]), (deployment_raw[[#This Row],[Column11]] * deployment_raw[[#This Row],[Column5]])/1048576,"")</f>
        <v/>
      </c>
      <c r="L526" s="180" t="str">
        <f>IF(ISNUMBER(deployment_raw[[#This Row],[Column8]]),IF(deployment_raw[[#This Row],[Column5]] &lt;&gt; 0, MAX((deployment_raw[[#This Row],[Column12]] * deployment_raw[[#This Row],[Column5]]), ((deployment_raw[[#This Row],[Column8]] * deployment_raw[[#This Row],[Column5]]) * $L$2), ($H$2 * deployment_raw[[#This Row],[Column5]])), 0),"")</f>
        <v/>
      </c>
      <c r="M52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26" s="188" t="str">
        <f>IF(ISNUMBER(deployment_raw[[#This Row],[Column14]]), deployment_raw[[#This Row],[Column14]],"")</f>
        <v/>
      </c>
      <c r="O526" s="189" t="str">
        <f>IF(ISNUMBER(deployment_raw[[#This Row],[Column15]]), deployment_raw[[#This Row],[Column15]]/1048576,"")</f>
        <v/>
      </c>
      <c r="P526" s="190" t="str">
        <f>IF(ISNUMBER(deployment_raw[[#This Row],[Column12]]), (deployment_raw[[#This Row],[Column12]] * deployment_raw[[#This Row],[Column5]]),"")</f>
        <v/>
      </c>
      <c r="Q526" s="189" t="str">
        <f>IF(ISNUMBER(deployment_raw[[#This Row],[Column13]]), (deployment_raw[[#This Row],[Column13]] * deployment_raw[[#This Row],[Column5]])/1048576,"")</f>
        <v/>
      </c>
    </row>
    <row r="527" spans="1:17" ht="15.75" customHeight="1" x14ac:dyDescent="0.25">
      <c r="A527" s="37" t="str">
        <f>IF(ISNONTEXT(deployment_raw[[#This Row],[Column1]]), "", deployment_raw[[#This Row],[Column1]])</f>
        <v/>
      </c>
      <c r="B527" s="38" t="str">
        <f>IF(ISNONTEXT(deployment_raw[[#This Row],[Column2]]), "", deployment_raw[[#This Row],[Column2]])</f>
        <v/>
      </c>
      <c r="C527" s="38" t="str">
        <f>IF(ISNONTEXT(deployment_raw[[#This Row],[Column3]]), "", deployment_raw[[#This Row],[Column3]])</f>
        <v/>
      </c>
      <c r="D527" s="38" t="str">
        <f>IF(ISNONTEXT(deployment_raw[[#This Row],[Column4]]), "", deployment_raw[[#This Row],[Column4]])</f>
        <v/>
      </c>
      <c r="E527" s="39" t="str">
        <f>IF(ISNUMBER(deployment_raw[[#This Row],[Column5]]), deployment_raw[[#This Row],[Column5]],"")</f>
        <v/>
      </c>
      <c r="F527" s="174" t="str">
        <f>IF(ISNUMBER(deployment_raw[[#This Row],[Column6]]), (deployment_raw[[#This Row],[Column6]] * deployment_raw[[#This Row],[Column5]]),"")</f>
        <v/>
      </c>
      <c r="G527" s="175" t="str">
        <f>IF(ISNUMBER(deployment_raw[[#This Row],[Column7]]), (deployment_raw[[#This Row],[Column7]] * deployment_raw[[#This Row],[Column5]])/1048576,"")</f>
        <v/>
      </c>
      <c r="H527" s="175" t="str">
        <f>IF(ISNUMBER(deployment_raw[[#This Row],[Column8]]), (deployment_raw[[#This Row],[Column8]]  * deployment_raw[[#This Row],[Column5]]),"")</f>
        <v/>
      </c>
      <c r="I527" s="176" t="str">
        <f>IF(ISNUMBER(deployment_raw[[#This Row],[Column9]]), (deployment_raw[[#This Row],[Column9]] * deployment_raw[[#This Row],[Column5]])/1048576,"")</f>
        <v/>
      </c>
      <c r="J527" s="57" t="str">
        <f>IF(ISNUMBER(deployment_raw[[#This Row],[Column10]]), (deployment_raw[[#This Row],[Column10]] * deployment_raw[[#This Row],[Column5]]),"")</f>
        <v/>
      </c>
      <c r="K527" s="58" t="str">
        <f>IF(ISNUMBER(deployment_raw[[#This Row],[Column11]]), (deployment_raw[[#This Row],[Column11]] * deployment_raw[[#This Row],[Column5]])/1048576,"")</f>
        <v/>
      </c>
      <c r="L527" s="180" t="str">
        <f>IF(ISNUMBER(deployment_raw[[#This Row],[Column8]]),IF(deployment_raw[[#This Row],[Column5]] &lt;&gt; 0, MAX((deployment_raw[[#This Row],[Column12]] * deployment_raw[[#This Row],[Column5]]), ((deployment_raw[[#This Row],[Column8]] * deployment_raw[[#This Row],[Column5]]) * $L$2), ($H$2 * deployment_raw[[#This Row],[Column5]])), 0),"")</f>
        <v/>
      </c>
      <c r="M52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27" s="188" t="str">
        <f>IF(ISNUMBER(deployment_raw[[#This Row],[Column14]]), deployment_raw[[#This Row],[Column14]],"")</f>
        <v/>
      </c>
      <c r="O527" s="189" t="str">
        <f>IF(ISNUMBER(deployment_raw[[#This Row],[Column15]]), deployment_raw[[#This Row],[Column15]]/1048576,"")</f>
        <v/>
      </c>
      <c r="P527" s="190" t="str">
        <f>IF(ISNUMBER(deployment_raw[[#This Row],[Column12]]), (deployment_raw[[#This Row],[Column12]] * deployment_raw[[#This Row],[Column5]]),"")</f>
        <v/>
      </c>
      <c r="Q527" s="189" t="str">
        <f>IF(ISNUMBER(deployment_raw[[#This Row],[Column13]]), (deployment_raw[[#This Row],[Column13]] * deployment_raw[[#This Row],[Column5]])/1048576,"")</f>
        <v/>
      </c>
    </row>
    <row r="528" spans="1:17" ht="15.75" customHeight="1" x14ac:dyDescent="0.25">
      <c r="A528" s="37" t="str">
        <f>IF(ISNONTEXT(deployment_raw[[#This Row],[Column1]]), "", deployment_raw[[#This Row],[Column1]])</f>
        <v/>
      </c>
      <c r="B528" s="38" t="str">
        <f>IF(ISNONTEXT(deployment_raw[[#This Row],[Column2]]), "", deployment_raw[[#This Row],[Column2]])</f>
        <v/>
      </c>
      <c r="C528" s="38" t="str">
        <f>IF(ISNONTEXT(deployment_raw[[#This Row],[Column3]]), "", deployment_raw[[#This Row],[Column3]])</f>
        <v/>
      </c>
      <c r="D528" s="38" t="str">
        <f>IF(ISNONTEXT(deployment_raw[[#This Row],[Column4]]), "", deployment_raw[[#This Row],[Column4]])</f>
        <v/>
      </c>
      <c r="E528" s="39" t="str">
        <f>IF(ISNUMBER(deployment_raw[[#This Row],[Column5]]), deployment_raw[[#This Row],[Column5]],"")</f>
        <v/>
      </c>
      <c r="F528" s="174" t="str">
        <f>IF(ISNUMBER(deployment_raw[[#This Row],[Column6]]), (deployment_raw[[#This Row],[Column6]] * deployment_raw[[#This Row],[Column5]]),"")</f>
        <v/>
      </c>
      <c r="G528" s="175" t="str">
        <f>IF(ISNUMBER(deployment_raw[[#This Row],[Column7]]), (deployment_raw[[#This Row],[Column7]] * deployment_raw[[#This Row],[Column5]])/1048576,"")</f>
        <v/>
      </c>
      <c r="H528" s="175" t="str">
        <f>IF(ISNUMBER(deployment_raw[[#This Row],[Column8]]), (deployment_raw[[#This Row],[Column8]]  * deployment_raw[[#This Row],[Column5]]),"")</f>
        <v/>
      </c>
      <c r="I528" s="176" t="str">
        <f>IF(ISNUMBER(deployment_raw[[#This Row],[Column9]]), (deployment_raw[[#This Row],[Column9]] * deployment_raw[[#This Row],[Column5]])/1048576,"")</f>
        <v/>
      </c>
      <c r="J528" s="57" t="str">
        <f>IF(ISNUMBER(deployment_raw[[#This Row],[Column10]]), (deployment_raw[[#This Row],[Column10]] * deployment_raw[[#This Row],[Column5]]),"")</f>
        <v/>
      </c>
      <c r="K528" s="58" t="str">
        <f>IF(ISNUMBER(deployment_raw[[#This Row],[Column11]]), (deployment_raw[[#This Row],[Column11]] * deployment_raw[[#This Row],[Column5]])/1048576,"")</f>
        <v/>
      </c>
      <c r="L528" s="180" t="str">
        <f>IF(ISNUMBER(deployment_raw[[#This Row],[Column8]]),IF(deployment_raw[[#This Row],[Column5]] &lt;&gt; 0, MAX((deployment_raw[[#This Row],[Column12]] * deployment_raw[[#This Row],[Column5]]), ((deployment_raw[[#This Row],[Column8]] * deployment_raw[[#This Row],[Column5]]) * $L$2), ($H$2 * deployment_raw[[#This Row],[Column5]])), 0),"")</f>
        <v/>
      </c>
      <c r="M52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28" s="188" t="str">
        <f>IF(ISNUMBER(deployment_raw[[#This Row],[Column14]]), deployment_raw[[#This Row],[Column14]],"")</f>
        <v/>
      </c>
      <c r="O528" s="189" t="str">
        <f>IF(ISNUMBER(deployment_raw[[#This Row],[Column15]]), deployment_raw[[#This Row],[Column15]]/1048576,"")</f>
        <v/>
      </c>
      <c r="P528" s="190" t="str">
        <f>IF(ISNUMBER(deployment_raw[[#This Row],[Column12]]), (deployment_raw[[#This Row],[Column12]] * deployment_raw[[#This Row],[Column5]]),"")</f>
        <v/>
      </c>
      <c r="Q528" s="189" t="str">
        <f>IF(ISNUMBER(deployment_raw[[#This Row],[Column13]]), (deployment_raw[[#This Row],[Column13]] * deployment_raw[[#This Row],[Column5]])/1048576,"")</f>
        <v/>
      </c>
    </row>
    <row r="529" spans="1:17" ht="15.75" customHeight="1" x14ac:dyDescent="0.25">
      <c r="A529" s="37" t="str">
        <f>IF(ISNONTEXT(deployment_raw[[#This Row],[Column1]]), "", deployment_raw[[#This Row],[Column1]])</f>
        <v/>
      </c>
      <c r="B529" s="38" t="str">
        <f>IF(ISNONTEXT(deployment_raw[[#This Row],[Column2]]), "", deployment_raw[[#This Row],[Column2]])</f>
        <v/>
      </c>
      <c r="C529" s="38" t="str">
        <f>IF(ISNONTEXT(deployment_raw[[#This Row],[Column3]]), "", deployment_raw[[#This Row],[Column3]])</f>
        <v/>
      </c>
      <c r="D529" s="38" t="str">
        <f>IF(ISNONTEXT(deployment_raw[[#This Row],[Column4]]), "", deployment_raw[[#This Row],[Column4]])</f>
        <v/>
      </c>
      <c r="E529" s="39" t="str">
        <f>IF(ISNUMBER(deployment_raw[[#This Row],[Column5]]), deployment_raw[[#This Row],[Column5]],"")</f>
        <v/>
      </c>
      <c r="F529" s="174" t="str">
        <f>IF(ISNUMBER(deployment_raw[[#This Row],[Column6]]), (deployment_raw[[#This Row],[Column6]] * deployment_raw[[#This Row],[Column5]]),"")</f>
        <v/>
      </c>
      <c r="G529" s="175" t="str">
        <f>IF(ISNUMBER(deployment_raw[[#This Row],[Column7]]), (deployment_raw[[#This Row],[Column7]] * deployment_raw[[#This Row],[Column5]])/1048576,"")</f>
        <v/>
      </c>
      <c r="H529" s="175" t="str">
        <f>IF(ISNUMBER(deployment_raw[[#This Row],[Column8]]), (deployment_raw[[#This Row],[Column8]]  * deployment_raw[[#This Row],[Column5]]),"")</f>
        <v/>
      </c>
      <c r="I529" s="176" t="str">
        <f>IF(ISNUMBER(deployment_raw[[#This Row],[Column9]]), (deployment_raw[[#This Row],[Column9]] * deployment_raw[[#This Row],[Column5]])/1048576,"")</f>
        <v/>
      </c>
      <c r="J529" s="57" t="str">
        <f>IF(ISNUMBER(deployment_raw[[#This Row],[Column10]]), (deployment_raw[[#This Row],[Column10]] * deployment_raw[[#This Row],[Column5]]),"")</f>
        <v/>
      </c>
      <c r="K529" s="58" t="str">
        <f>IF(ISNUMBER(deployment_raw[[#This Row],[Column11]]), (deployment_raw[[#This Row],[Column11]] * deployment_raw[[#This Row],[Column5]])/1048576,"")</f>
        <v/>
      </c>
      <c r="L529" s="180" t="str">
        <f>IF(ISNUMBER(deployment_raw[[#This Row],[Column8]]),IF(deployment_raw[[#This Row],[Column5]] &lt;&gt; 0, MAX((deployment_raw[[#This Row],[Column12]] * deployment_raw[[#This Row],[Column5]]), ((deployment_raw[[#This Row],[Column8]] * deployment_raw[[#This Row],[Column5]]) * $L$2), ($H$2 * deployment_raw[[#This Row],[Column5]])), 0),"")</f>
        <v/>
      </c>
      <c r="M52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29" s="188" t="str">
        <f>IF(ISNUMBER(deployment_raw[[#This Row],[Column14]]), deployment_raw[[#This Row],[Column14]],"")</f>
        <v/>
      </c>
      <c r="O529" s="189" t="str">
        <f>IF(ISNUMBER(deployment_raw[[#This Row],[Column15]]), deployment_raw[[#This Row],[Column15]]/1048576,"")</f>
        <v/>
      </c>
      <c r="P529" s="190" t="str">
        <f>IF(ISNUMBER(deployment_raw[[#This Row],[Column12]]), (deployment_raw[[#This Row],[Column12]] * deployment_raw[[#This Row],[Column5]]),"")</f>
        <v/>
      </c>
      <c r="Q529" s="189" t="str">
        <f>IF(ISNUMBER(deployment_raw[[#This Row],[Column13]]), (deployment_raw[[#This Row],[Column13]] * deployment_raw[[#This Row],[Column5]])/1048576,"")</f>
        <v/>
      </c>
    </row>
    <row r="530" spans="1:17" ht="15.75" customHeight="1" x14ac:dyDescent="0.25">
      <c r="A530" s="37" t="str">
        <f>IF(ISNONTEXT(deployment_raw[[#This Row],[Column1]]), "", deployment_raw[[#This Row],[Column1]])</f>
        <v/>
      </c>
      <c r="B530" s="38" t="str">
        <f>IF(ISNONTEXT(deployment_raw[[#This Row],[Column2]]), "", deployment_raw[[#This Row],[Column2]])</f>
        <v/>
      </c>
      <c r="C530" s="38" t="str">
        <f>IF(ISNONTEXT(deployment_raw[[#This Row],[Column3]]), "", deployment_raw[[#This Row],[Column3]])</f>
        <v/>
      </c>
      <c r="D530" s="38" t="str">
        <f>IF(ISNONTEXT(deployment_raw[[#This Row],[Column4]]), "", deployment_raw[[#This Row],[Column4]])</f>
        <v/>
      </c>
      <c r="E530" s="39" t="str">
        <f>IF(ISNUMBER(deployment_raw[[#This Row],[Column5]]), deployment_raw[[#This Row],[Column5]],"")</f>
        <v/>
      </c>
      <c r="F530" s="174" t="str">
        <f>IF(ISNUMBER(deployment_raw[[#This Row],[Column6]]), (deployment_raw[[#This Row],[Column6]] * deployment_raw[[#This Row],[Column5]]),"")</f>
        <v/>
      </c>
      <c r="G530" s="175" t="str">
        <f>IF(ISNUMBER(deployment_raw[[#This Row],[Column7]]), (deployment_raw[[#This Row],[Column7]] * deployment_raw[[#This Row],[Column5]])/1048576,"")</f>
        <v/>
      </c>
      <c r="H530" s="175" t="str">
        <f>IF(ISNUMBER(deployment_raw[[#This Row],[Column8]]), (deployment_raw[[#This Row],[Column8]]  * deployment_raw[[#This Row],[Column5]]),"")</f>
        <v/>
      </c>
      <c r="I530" s="176" t="str">
        <f>IF(ISNUMBER(deployment_raw[[#This Row],[Column9]]), (deployment_raw[[#This Row],[Column9]] * deployment_raw[[#This Row],[Column5]])/1048576,"")</f>
        <v/>
      </c>
      <c r="J530" s="57" t="str">
        <f>IF(ISNUMBER(deployment_raw[[#This Row],[Column10]]), (deployment_raw[[#This Row],[Column10]] * deployment_raw[[#This Row],[Column5]]),"")</f>
        <v/>
      </c>
      <c r="K530" s="58" t="str">
        <f>IF(ISNUMBER(deployment_raw[[#This Row],[Column11]]), (deployment_raw[[#This Row],[Column11]] * deployment_raw[[#This Row],[Column5]])/1048576,"")</f>
        <v/>
      </c>
      <c r="L530" s="180" t="str">
        <f>IF(ISNUMBER(deployment_raw[[#This Row],[Column8]]),IF(deployment_raw[[#This Row],[Column5]] &lt;&gt; 0, MAX((deployment_raw[[#This Row],[Column12]] * deployment_raw[[#This Row],[Column5]]), ((deployment_raw[[#This Row],[Column8]] * deployment_raw[[#This Row],[Column5]]) * $L$2), ($H$2 * deployment_raw[[#This Row],[Column5]])), 0),"")</f>
        <v/>
      </c>
      <c r="M53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30" s="188" t="str">
        <f>IF(ISNUMBER(deployment_raw[[#This Row],[Column14]]), deployment_raw[[#This Row],[Column14]],"")</f>
        <v/>
      </c>
      <c r="O530" s="189" t="str">
        <f>IF(ISNUMBER(deployment_raw[[#This Row],[Column15]]), deployment_raw[[#This Row],[Column15]]/1048576,"")</f>
        <v/>
      </c>
      <c r="P530" s="190" t="str">
        <f>IF(ISNUMBER(deployment_raw[[#This Row],[Column12]]), (deployment_raw[[#This Row],[Column12]] * deployment_raw[[#This Row],[Column5]]),"")</f>
        <v/>
      </c>
      <c r="Q530" s="189" t="str">
        <f>IF(ISNUMBER(deployment_raw[[#This Row],[Column13]]), (deployment_raw[[#This Row],[Column13]] * deployment_raw[[#This Row],[Column5]])/1048576,"")</f>
        <v/>
      </c>
    </row>
    <row r="531" spans="1:17" ht="15.75" customHeight="1" x14ac:dyDescent="0.25">
      <c r="A531" s="37" t="str">
        <f>IF(ISNONTEXT(deployment_raw[[#This Row],[Column1]]), "", deployment_raw[[#This Row],[Column1]])</f>
        <v/>
      </c>
      <c r="B531" s="38" t="str">
        <f>IF(ISNONTEXT(deployment_raw[[#This Row],[Column2]]), "", deployment_raw[[#This Row],[Column2]])</f>
        <v/>
      </c>
      <c r="C531" s="38" t="str">
        <f>IF(ISNONTEXT(deployment_raw[[#This Row],[Column3]]), "", deployment_raw[[#This Row],[Column3]])</f>
        <v/>
      </c>
      <c r="D531" s="38" t="str">
        <f>IF(ISNONTEXT(deployment_raw[[#This Row],[Column4]]), "", deployment_raw[[#This Row],[Column4]])</f>
        <v/>
      </c>
      <c r="E531" s="39" t="str">
        <f>IF(ISNUMBER(deployment_raw[[#This Row],[Column5]]), deployment_raw[[#This Row],[Column5]],"")</f>
        <v/>
      </c>
      <c r="F531" s="174" t="str">
        <f>IF(ISNUMBER(deployment_raw[[#This Row],[Column6]]), (deployment_raw[[#This Row],[Column6]] * deployment_raw[[#This Row],[Column5]]),"")</f>
        <v/>
      </c>
      <c r="G531" s="175" t="str">
        <f>IF(ISNUMBER(deployment_raw[[#This Row],[Column7]]), (deployment_raw[[#This Row],[Column7]] * deployment_raw[[#This Row],[Column5]])/1048576,"")</f>
        <v/>
      </c>
      <c r="H531" s="175" t="str">
        <f>IF(ISNUMBER(deployment_raw[[#This Row],[Column8]]), (deployment_raw[[#This Row],[Column8]]  * deployment_raw[[#This Row],[Column5]]),"")</f>
        <v/>
      </c>
      <c r="I531" s="176" t="str">
        <f>IF(ISNUMBER(deployment_raw[[#This Row],[Column9]]), (deployment_raw[[#This Row],[Column9]] * deployment_raw[[#This Row],[Column5]])/1048576,"")</f>
        <v/>
      </c>
      <c r="J531" s="57" t="str">
        <f>IF(ISNUMBER(deployment_raw[[#This Row],[Column10]]), (deployment_raw[[#This Row],[Column10]] * deployment_raw[[#This Row],[Column5]]),"")</f>
        <v/>
      </c>
      <c r="K531" s="58" t="str">
        <f>IF(ISNUMBER(deployment_raw[[#This Row],[Column11]]), (deployment_raw[[#This Row],[Column11]] * deployment_raw[[#This Row],[Column5]])/1048576,"")</f>
        <v/>
      </c>
      <c r="L531" s="180" t="str">
        <f>IF(ISNUMBER(deployment_raw[[#This Row],[Column8]]),IF(deployment_raw[[#This Row],[Column5]] &lt;&gt; 0, MAX((deployment_raw[[#This Row],[Column12]] * deployment_raw[[#This Row],[Column5]]), ((deployment_raw[[#This Row],[Column8]] * deployment_raw[[#This Row],[Column5]]) * $L$2), ($H$2 * deployment_raw[[#This Row],[Column5]])), 0),"")</f>
        <v/>
      </c>
      <c r="M53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31" s="188" t="str">
        <f>IF(ISNUMBER(deployment_raw[[#This Row],[Column14]]), deployment_raw[[#This Row],[Column14]],"")</f>
        <v/>
      </c>
      <c r="O531" s="189" t="str">
        <f>IF(ISNUMBER(deployment_raw[[#This Row],[Column15]]), deployment_raw[[#This Row],[Column15]]/1048576,"")</f>
        <v/>
      </c>
      <c r="P531" s="190" t="str">
        <f>IF(ISNUMBER(deployment_raw[[#This Row],[Column12]]), (deployment_raw[[#This Row],[Column12]] * deployment_raw[[#This Row],[Column5]]),"")</f>
        <v/>
      </c>
      <c r="Q531" s="189" t="str">
        <f>IF(ISNUMBER(deployment_raw[[#This Row],[Column13]]), (deployment_raw[[#This Row],[Column13]] * deployment_raw[[#This Row],[Column5]])/1048576,"")</f>
        <v/>
      </c>
    </row>
    <row r="532" spans="1:17" ht="15.75" customHeight="1" x14ac:dyDescent="0.25">
      <c r="A532" s="37" t="str">
        <f>IF(ISNONTEXT(deployment_raw[[#This Row],[Column1]]), "", deployment_raw[[#This Row],[Column1]])</f>
        <v/>
      </c>
      <c r="B532" s="38" t="str">
        <f>IF(ISNONTEXT(deployment_raw[[#This Row],[Column2]]), "", deployment_raw[[#This Row],[Column2]])</f>
        <v/>
      </c>
      <c r="C532" s="38" t="str">
        <f>IF(ISNONTEXT(deployment_raw[[#This Row],[Column3]]), "", deployment_raw[[#This Row],[Column3]])</f>
        <v/>
      </c>
      <c r="D532" s="38" t="str">
        <f>IF(ISNONTEXT(deployment_raw[[#This Row],[Column4]]), "", deployment_raw[[#This Row],[Column4]])</f>
        <v/>
      </c>
      <c r="E532" s="39" t="str">
        <f>IF(ISNUMBER(deployment_raw[[#This Row],[Column5]]), deployment_raw[[#This Row],[Column5]],"")</f>
        <v/>
      </c>
      <c r="F532" s="174" t="str">
        <f>IF(ISNUMBER(deployment_raw[[#This Row],[Column6]]), (deployment_raw[[#This Row],[Column6]] * deployment_raw[[#This Row],[Column5]]),"")</f>
        <v/>
      </c>
      <c r="G532" s="175" t="str">
        <f>IF(ISNUMBER(deployment_raw[[#This Row],[Column7]]), (deployment_raw[[#This Row],[Column7]] * deployment_raw[[#This Row],[Column5]])/1048576,"")</f>
        <v/>
      </c>
      <c r="H532" s="175" t="str">
        <f>IF(ISNUMBER(deployment_raw[[#This Row],[Column8]]), (deployment_raw[[#This Row],[Column8]]  * deployment_raw[[#This Row],[Column5]]),"")</f>
        <v/>
      </c>
      <c r="I532" s="176" t="str">
        <f>IF(ISNUMBER(deployment_raw[[#This Row],[Column9]]), (deployment_raw[[#This Row],[Column9]] * deployment_raw[[#This Row],[Column5]])/1048576,"")</f>
        <v/>
      </c>
      <c r="J532" s="57" t="str">
        <f>IF(ISNUMBER(deployment_raw[[#This Row],[Column10]]), (deployment_raw[[#This Row],[Column10]] * deployment_raw[[#This Row],[Column5]]),"")</f>
        <v/>
      </c>
      <c r="K532" s="58" t="str">
        <f>IF(ISNUMBER(deployment_raw[[#This Row],[Column11]]), (deployment_raw[[#This Row],[Column11]] * deployment_raw[[#This Row],[Column5]])/1048576,"")</f>
        <v/>
      </c>
      <c r="L532" s="180" t="str">
        <f>IF(ISNUMBER(deployment_raw[[#This Row],[Column8]]),IF(deployment_raw[[#This Row],[Column5]] &lt;&gt; 0, MAX((deployment_raw[[#This Row],[Column12]] * deployment_raw[[#This Row],[Column5]]), ((deployment_raw[[#This Row],[Column8]] * deployment_raw[[#This Row],[Column5]]) * $L$2), ($H$2 * deployment_raw[[#This Row],[Column5]])), 0),"")</f>
        <v/>
      </c>
      <c r="M53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32" s="188" t="str">
        <f>IF(ISNUMBER(deployment_raw[[#This Row],[Column14]]), deployment_raw[[#This Row],[Column14]],"")</f>
        <v/>
      </c>
      <c r="O532" s="189" t="str">
        <f>IF(ISNUMBER(deployment_raw[[#This Row],[Column15]]), deployment_raw[[#This Row],[Column15]]/1048576,"")</f>
        <v/>
      </c>
      <c r="P532" s="190" t="str">
        <f>IF(ISNUMBER(deployment_raw[[#This Row],[Column12]]), (deployment_raw[[#This Row],[Column12]] * deployment_raw[[#This Row],[Column5]]),"")</f>
        <v/>
      </c>
      <c r="Q532" s="189" t="str">
        <f>IF(ISNUMBER(deployment_raw[[#This Row],[Column13]]), (deployment_raw[[#This Row],[Column13]] * deployment_raw[[#This Row],[Column5]])/1048576,"")</f>
        <v/>
      </c>
    </row>
    <row r="533" spans="1:17" ht="15.75" customHeight="1" x14ac:dyDescent="0.25">
      <c r="A533" s="37" t="str">
        <f>IF(ISNONTEXT(deployment_raw[[#This Row],[Column1]]), "", deployment_raw[[#This Row],[Column1]])</f>
        <v/>
      </c>
      <c r="B533" s="38" t="str">
        <f>IF(ISNONTEXT(deployment_raw[[#This Row],[Column2]]), "", deployment_raw[[#This Row],[Column2]])</f>
        <v/>
      </c>
      <c r="C533" s="38" t="str">
        <f>IF(ISNONTEXT(deployment_raw[[#This Row],[Column3]]), "", deployment_raw[[#This Row],[Column3]])</f>
        <v/>
      </c>
      <c r="D533" s="38" t="str">
        <f>IF(ISNONTEXT(deployment_raw[[#This Row],[Column4]]), "", deployment_raw[[#This Row],[Column4]])</f>
        <v/>
      </c>
      <c r="E533" s="39" t="str">
        <f>IF(ISNUMBER(deployment_raw[[#This Row],[Column5]]), deployment_raw[[#This Row],[Column5]],"")</f>
        <v/>
      </c>
      <c r="F533" s="174" t="str">
        <f>IF(ISNUMBER(deployment_raw[[#This Row],[Column6]]), (deployment_raw[[#This Row],[Column6]] * deployment_raw[[#This Row],[Column5]]),"")</f>
        <v/>
      </c>
      <c r="G533" s="175" t="str">
        <f>IF(ISNUMBER(deployment_raw[[#This Row],[Column7]]), (deployment_raw[[#This Row],[Column7]] * deployment_raw[[#This Row],[Column5]])/1048576,"")</f>
        <v/>
      </c>
      <c r="H533" s="175" t="str">
        <f>IF(ISNUMBER(deployment_raw[[#This Row],[Column8]]), (deployment_raw[[#This Row],[Column8]]  * deployment_raw[[#This Row],[Column5]]),"")</f>
        <v/>
      </c>
      <c r="I533" s="176" t="str">
        <f>IF(ISNUMBER(deployment_raw[[#This Row],[Column9]]), (deployment_raw[[#This Row],[Column9]] * deployment_raw[[#This Row],[Column5]])/1048576,"")</f>
        <v/>
      </c>
      <c r="J533" s="57" t="str">
        <f>IF(ISNUMBER(deployment_raw[[#This Row],[Column10]]), (deployment_raw[[#This Row],[Column10]] * deployment_raw[[#This Row],[Column5]]),"")</f>
        <v/>
      </c>
      <c r="K533" s="58" t="str">
        <f>IF(ISNUMBER(deployment_raw[[#This Row],[Column11]]), (deployment_raw[[#This Row],[Column11]] * deployment_raw[[#This Row],[Column5]])/1048576,"")</f>
        <v/>
      </c>
      <c r="L533" s="180" t="str">
        <f>IF(ISNUMBER(deployment_raw[[#This Row],[Column8]]),IF(deployment_raw[[#This Row],[Column5]] &lt;&gt; 0, MAX((deployment_raw[[#This Row],[Column12]] * deployment_raw[[#This Row],[Column5]]), ((deployment_raw[[#This Row],[Column8]] * deployment_raw[[#This Row],[Column5]]) * $L$2), ($H$2 * deployment_raw[[#This Row],[Column5]])), 0),"")</f>
        <v/>
      </c>
      <c r="M53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33" s="188" t="str">
        <f>IF(ISNUMBER(deployment_raw[[#This Row],[Column14]]), deployment_raw[[#This Row],[Column14]],"")</f>
        <v/>
      </c>
      <c r="O533" s="189" t="str">
        <f>IF(ISNUMBER(deployment_raw[[#This Row],[Column15]]), deployment_raw[[#This Row],[Column15]]/1048576,"")</f>
        <v/>
      </c>
      <c r="P533" s="190" t="str">
        <f>IF(ISNUMBER(deployment_raw[[#This Row],[Column12]]), (deployment_raw[[#This Row],[Column12]] * deployment_raw[[#This Row],[Column5]]),"")</f>
        <v/>
      </c>
      <c r="Q533" s="189" t="str">
        <f>IF(ISNUMBER(deployment_raw[[#This Row],[Column13]]), (deployment_raw[[#This Row],[Column13]] * deployment_raw[[#This Row],[Column5]])/1048576,"")</f>
        <v/>
      </c>
    </row>
    <row r="534" spans="1:17" ht="15.75" customHeight="1" x14ac:dyDescent="0.25">
      <c r="A534" s="37" t="str">
        <f>IF(ISNONTEXT(deployment_raw[[#This Row],[Column1]]), "", deployment_raw[[#This Row],[Column1]])</f>
        <v/>
      </c>
      <c r="B534" s="38" t="str">
        <f>IF(ISNONTEXT(deployment_raw[[#This Row],[Column2]]), "", deployment_raw[[#This Row],[Column2]])</f>
        <v/>
      </c>
      <c r="C534" s="38" t="str">
        <f>IF(ISNONTEXT(deployment_raw[[#This Row],[Column3]]), "", deployment_raw[[#This Row],[Column3]])</f>
        <v/>
      </c>
      <c r="D534" s="38" t="str">
        <f>IF(ISNONTEXT(deployment_raw[[#This Row],[Column4]]), "", deployment_raw[[#This Row],[Column4]])</f>
        <v/>
      </c>
      <c r="E534" s="39" t="str">
        <f>IF(ISNUMBER(deployment_raw[[#This Row],[Column5]]), deployment_raw[[#This Row],[Column5]],"")</f>
        <v/>
      </c>
      <c r="F534" s="174" t="str">
        <f>IF(ISNUMBER(deployment_raw[[#This Row],[Column6]]), (deployment_raw[[#This Row],[Column6]] * deployment_raw[[#This Row],[Column5]]),"")</f>
        <v/>
      </c>
      <c r="G534" s="175" t="str">
        <f>IF(ISNUMBER(deployment_raw[[#This Row],[Column7]]), (deployment_raw[[#This Row],[Column7]] * deployment_raw[[#This Row],[Column5]])/1048576,"")</f>
        <v/>
      </c>
      <c r="H534" s="175" t="str">
        <f>IF(ISNUMBER(deployment_raw[[#This Row],[Column8]]), (deployment_raw[[#This Row],[Column8]]  * deployment_raw[[#This Row],[Column5]]),"")</f>
        <v/>
      </c>
      <c r="I534" s="176" t="str">
        <f>IF(ISNUMBER(deployment_raw[[#This Row],[Column9]]), (deployment_raw[[#This Row],[Column9]] * deployment_raw[[#This Row],[Column5]])/1048576,"")</f>
        <v/>
      </c>
      <c r="J534" s="57" t="str">
        <f>IF(ISNUMBER(deployment_raw[[#This Row],[Column10]]), (deployment_raw[[#This Row],[Column10]] * deployment_raw[[#This Row],[Column5]]),"")</f>
        <v/>
      </c>
      <c r="K534" s="58" t="str">
        <f>IF(ISNUMBER(deployment_raw[[#This Row],[Column11]]), (deployment_raw[[#This Row],[Column11]] * deployment_raw[[#This Row],[Column5]])/1048576,"")</f>
        <v/>
      </c>
      <c r="L534" s="180" t="str">
        <f>IF(ISNUMBER(deployment_raw[[#This Row],[Column8]]),IF(deployment_raw[[#This Row],[Column5]] &lt;&gt; 0, MAX((deployment_raw[[#This Row],[Column12]] * deployment_raw[[#This Row],[Column5]]), ((deployment_raw[[#This Row],[Column8]] * deployment_raw[[#This Row],[Column5]]) * $L$2), ($H$2 * deployment_raw[[#This Row],[Column5]])), 0),"")</f>
        <v/>
      </c>
      <c r="M53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34" s="188" t="str">
        <f>IF(ISNUMBER(deployment_raw[[#This Row],[Column14]]), deployment_raw[[#This Row],[Column14]],"")</f>
        <v/>
      </c>
      <c r="O534" s="189" t="str">
        <f>IF(ISNUMBER(deployment_raw[[#This Row],[Column15]]), deployment_raw[[#This Row],[Column15]]/1048576,"")</f>
        <v/>
      </c>
      <c r="P534" s="190" t="str">
        <f>IF(ISNUMBER(deployment_raw[[#This Row],[Column12]]), (deployment_raw[[#This Row],[Column12]] * deployment_raw[[#This Row],[Column5]]),"")</f>
        <v/>
      </c>
      <c r="Q534" s="189" t="str">
        <f>IF(ISNUMBER(deployment_raw[[#This Row],[Column13]]), (deployment_raw[[#This Row],[Column13]] * deployment_raw[[#This Row],[Column5]])/1048576,"")</f>
        <v/>
      </c>
    </row>
    <row r="535" spans="1:17" ht="15.75" customHeight="1" x14ac:dyDescent="0.25">
      <c r="A535" s="37" t="str">
        <f>IF(ISNONTEXT(deployment_raw[[#This Row],[Column1]]), "", deployment_raw[[#This Row],[Column1]])</f>
        <v/>
      </c>
      <c r="B535" s="38" t="str">
        <f>IF(ISNONTEXT(deployment_raw[[#This Row],[Column2]]), "", deployment_raw[[#This Row],[Column2]])</f>
        <v/>
      </c>
      <c r="C535" s="38" t="str">
        <f>IF(ISNONTEXT(deployment_raw[[#This Row],[Column3]]), "", deployment_raw[[#This Row],[Column3]])</f>
        <v/>
      </c>
      <c r="D535" s="38" t="str">
        <f>IF(ISNONTEXT(deployment_raw[[#This Row],[Column4]]), "", deployment_raw[[#This Row],[Column4]])</f>
        <v/>
      </c>
      <c r="E535" s="39" t="str">
        <f>IF(ISNUMBER(deployment_raw[[#This Row],[Column5]]), deployment_raw[[#This Row],[Column5]],"")</f>
        <v/>
      </c>
      <c r="F535" s="174" t="str">
        <f>IF(ISNUMBER(deployment_raw[[#This Row],[Column6]]), (deployment_raw[[#This Row],[Column6]] * deployment_raw[[#This Row],[Column5]]),"")</f>
        <v/>
      </c>
      <c r="G535" s="175" t="str">
        <f>IF(ISNUMBER(deployment_raw[[#This Row],[Column7]]), (deployment_raw[[#This Row],[Column7]] * deployment_raw[[#This Row],[Column5]])/1048576,"")</f>
        <v/>
      </c>
      <c r="H535" s="175" t="str">
        <f>IF(ISNUMBER(deployment_raw[[#This Row],[Column8]]), (deployment_raw[[#This Row],[Column8]]  * deployment_raw[[#This Row],[Column5]]),"")</f>
        <v/>
      </c>
      <c r="I535" s="176" t="str">
        <f>IF(ISNUMBER(deployment_raw[[#This Row],[Column9]]), (deployment_raw[[#This Row],[Column9]] * deployment_raw[[#This Row],[Column5]])/1048576,"")</f>
        <v/>
      </c>
      <c r="J535" s="57" t="str">
        <f>IF(ISNUMBER(deployment_raw[[#This Row],[Column10]]), (deployment_raw[[#This Row],[Column10]] * deployment_raw[[#This Row],[Column5]]),"")</f>
        <v/>
      </c>
      <c r="K535" s="58" t="str">
        <f>IF(ISNUMBER(deployment_raw[[#This Row],[Column11]]), (deployment_raw[[#This Row],[Column11]] * deployment_raw[[#This Row],[Column5]])/1048576,"")</f>
        <v/>
      </c>
      <c r="L535" s="180" t="str">
        <f>IF(ISNUMBER(deployment_raw[[#This Row],[Column8]]),IF(deployment_raw[[#This Row],[Column5]] &lt;&gt; 0, MAX((deployment_raw[[#This Row],[Column12]] * deployment_raw[[#This Row],[Column5]]), ((deployment_raw[[#This Row],[Column8]] * deployment_raw[[#This Row],[Column5]]) * $L$2), ($H$2 * deployment_raw[[#This Row],[Column5]])), 0),"")</f>
        <v/>
      </c>
      <c r="M53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35" s="188" t="str">
        <f>IF(ISNUMBER(deployment_raw[[#This Row],[Column14]]), deployment_raw[[#This Row],[Column14]],"")</f>
        <v/>
      </c>
      <c r="O535" s="189" t="str">
        <f>IF(ISNUMBER(deployment_raw[[#This Row],[Column15]]), deployment_raw[[#This Row],[Column15]]/1048576,"")</f>
        <v/>
      </c>
      <c r="P535" s="190" t="str">
        <f>IF(ISNUMBER(deployment_raw[[#This Row],[Column12]]), (deployment_raw[[#This Row],[Column12]] * deployment_raw[[#This Row],[Column5]]),"")</f>
        <v/>
      </c>
      <c r="Q535" s="189" t="str">
        <f>IF(ISNUMBER(deployment_raw[[#This Row],[Column13]]), (deployment_raw[[#This Row],[Column13]] * deployment_raw[[#This Row],[Column5]])/1048576,"")</f>
        <v/>
      </c>
    </row>
    <row r="536" spans="1:17" ht="15.75" customHeight="1" x14ac:dyDescent="0.25">
      <c r="A536" s="37" t="str">
        <f>IF(ISNONTEXT(deployment_raw[[#This Row],[Column1]]), "", deployment_raw[[#This Row],[Column1]])</f>
        <v/>
      </c>
      <c r="B536" s="38" t="str">
        <f>IF(ISNONTEXT(deployment_raw[[#This Row],[Column2]]), "", deployment_raw[[#This Row],[Column2]])</f>
        <v/>
      </c>
      <c r="C536" s="38" t="str">
        <f>IF(ISNONTEXT(deployment_raw[[#This Row],[Column3]]), "", deployment_raw[[#This Row],[Column3]])</f>
        <v/>
      </c>
      <c r="D536" s="38" t="str">
        <f>IF(ISNONTEXT(deployment_raw[[#This Row],[Column4]]), "", deployment_raw[[#This Row],[Column4]])</f>
        <v/>
      </c>
      <c r="E536" s="39" t="str">
        <f>IF(ISNUMBER(deployment_raw[[#This Row],[Column5]]), deployment_raw[[#This Row],[Column5]],"")</f>
        <v/>
      </c>
      <c r="F536" s="174" t="str">
        <f>IF(ISNUMBER(deployment_raw[[#This Row],[Column6]]), (deployment_raw[[#This Row],[Column6]] * deployment_raw[[#This Row],[Column5]]),"")</f>
        <v/>
      </c>
      <c r="G536" s="175" t="str">
        <f>IF(ISNUMBER(deployment_raw[[#This Row],[Column7]]), (deployment_raw[[#This Row],[Column7]] * deployment_raw[[#This Row],[Column5]])/1048576,"")</f>
        <v/>
      </c>
      <c r="H536" s="175" t="str">
        <f>IF(ISNUMBER(deployment_raw[[#This Row],[Column8]]), (deployment_raw[[#This Row],[Column8]]  * deployment_raw[[#This Row],[Column5]]),"")</f>
        <v/>
      </c>
      <c r="I536" s="176" t="str">
        <f>IF(ISNUMBER(deployment_raw[[#This Row],[Column9]]), (deployment_raw[[#This Row],[Column9]] * deployment_raw[[#This Row],[Column5]])/1048576,"")</f>
        <v/>
      </c>
      <c r="J536" s="57" t="str">
        <f>IF(ISNUMBER(deployment_raw[[#This Row],[Column10]]), (deployment_raw[[#This Row],[Column10]] * deployment_raw[[#This Row],[Column5]]),"")</f>
        <v/>
      </c>
      <c r="K536" s="58" t="str">
        <f>IF(ISNUMBER(deployment_raw[[#This Row],[Column11]]), (deployment_raw[[#This Row],[Column11]] * deployment_raw[[#This Row],[Column5]])/1048576,"")</f>
        <v/>
      </c>
      <c r="L536" s="180" t="str">
        <f>IF(ISNUMBER(deployment_raw[[#This Row],[Column8]]),IF(deployment_raw[[#This Row],[Column5]] &lt;&gt; 0, MAX((deployment_raw[[#This Row],[Column12]] * deployment_raw[[#This Row],[Column5]]), ((deployment_raw[[#This Row],[Column8]] * deployment_raw[[#This Row],[Column5]]) * $L$2), ($H$2 * deployment_raw[[#This Row],[Column5]])), 0),"")</f>
        <v/>
      </c>
      <c r="M53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36" s="188" t="str">
        <f>IF(ISNUMBER(deployment_raw[[#This Row],[Column14]]), deployment_raw[[#This Row],[Column14]],"")</f>
        <v/>
      </c>
      <c r="O536" s="189" t="str">
        <f>IF(ISNUMBER(deployment_raw[[#This Row],[Column15]]), deployment_raw[[#This Row],[Column15]]/1048576,"")</f>
        <v/>
      </c>
      <c r="P536" s="190" t="str">
        <f>IF(ISNUMBER(deployment_raw[[#This Row],[Column12]]), (deployment_raw[[#This Row],[Column12]] * deployment_raw[[#This Row],[Column5]]),"")</f>
        <v/>
      </c>
      <c r="Q536" s="189" t="str">
        <f>IF(ISNUMBER(deployment_raw[[#This Row],[Column13]]), (deployment_raw[[#This Row],[Column13]] * deployment_raw[[#This Row],[Column5]])/1048576,"")</f>
        <v/>
      </c>
    </row>
    <row r="537" spans="1:17" ht="15.75" customHeight="1" x14ac:dyDescent="0.25">
      <c r="A537" s="37" t="str">
        <f>IF(ISNONTEXT(deployment_raw[[#This Row],[Column1]]), "", deployment_raw[[#This Row],[Column1]])</f>
        <v/>
      </c>
      <c r="B537" s="38" t="str">
        <f>IF(ISNONTEXT(deployment_raw[[#This Row],[Column2]]), "", deployment_raw[[#This Row],[Column2]])</f>
        <v/>
      </c>
      <c r="C537" s="38" t="str">
        <f>IF(ISNONTEXT(deployment_raw[[#This Row],[Column3]]), "", deployment_raw[[#This Row],[Column3]])</f>
        <v/>
      </c>
      <c r="D537" s="38" t="str">
        <f>IF(ISNONTEXT(deployment_raw[[#This Row],[Column4]]), "", deployment_raw[[#This Row],[Column4]])</f>
        <v/>
      </c>
      <c r="E537" s="39" t="str">
        <f>IF(ISNUMBER(deployment_raw[[#This Row],[Column5]]), deployment_raw[[#This Row],[Column5]],"")</f>
        <v/>
      </c>
      <c r="F537" s="174" t="str">
        <f>IF(ISNUMBER(deployment_raw[[#This Row],[Column6]]), (deployment_raw[[#This Row],[Column6]] * deployment_raw[[#This Row],[Column5]]),"")</f>
        <v/>
      </c>
      <c r="G537" s="175" t="str">
        <f>IF(ISNUMBER(deployment_raw[[#This Row],[Column7]]), (deployment_raw[[#This Row],[Column7]] * deployment_raw[[#This Row],[Column5]])/1048576,"")</f>
        <v/>
      </c>
      <c r="H537" s="175" t="str">
        <f>IF(ISNUMBER(deployment_raw[[#This Row],[Column8]]), (deployment_raw[[#This Row],[Column8]]  * deployment_raw[[#This Row],[Column5]]),"")</f>
        <v/>
      </c>
      <c r="I537" s="176" t="str">
        <f>IF(ISNUMBER(deployment_raw[[#This Row],[Column9]]), (deployment_raw[[#This Row],[Column9]] * deployment_raw[[#This Row],[Column5]])/1048576,"")</f>
        <v/>
      </c>
      <c r="J537" s="57" t="str">
        <f>IF(ISNUMBER(deployment_raw[[#This Row],[Column10]]), (deployment_raw[[#This Row],[Column10]] * deployment_raw[[#This Row],[Column5]]),"")</f>
        <v/>
      </c>
      <c r="K537" s="58" t="str">
        <f>IF(ISNUMBER(deployment_raw[[#This Row],[Column11]]), (deployment_raw[[#This Row],[Column11]] * deployment_raw[[#This Row],[Column5]])/1048576,"")</f>
        <v/>
      </c>
      <c r="L537" s="180" t="str">
        <f>IF(ISNUMBER(deployment_raw[[#This Row],[Column8]]),IF(deployment_raw[[#This Row],[Column5]] &lt;&gt; 0, MAX((deployment_raw[[#This Row],[Column12]] * deployment_raw[[#This Row],[Column5]]), ((deployment_raw[[#This Row],[Column8]] * deployment_raw[[#This Row],[Column5]]) * $L$2), ($H$2 * deployment_raw[[#This Row],[Column5]])), 0),"")</f>
        <v/>
      </c>
      <c r="M53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37" s="188" t="str">
        <f>IF(ISNUMBER(deployment_raw[[#This Row],[Column14]]), deployment_raw[[#This Row],[Column14]],"")</f>
        <v/>
      </c>
      <c r="O537" s="189" t="str">
        <f>IF(ISNUMBER(deployment_raw[[#This Row],[Column15]]), deployment_raw[[#This Row],[Column15]]/1048576,"")</f>
        <v/>
      </c>
      <c r="P537" s="190" t="str">
        <f>IF(ISNUMBER(deployment_raw[[#This Row],[Column12]]), (deployment_raw[[#This Row],[Column12]] * deployment_raw[[#This Row],[Column5]]),"")</f>
        <v/>
      </c>
      <c r="Q537" s="189" t="str">
        <f>IF(ISNUMBER(deployment_raw[[#This Row],[Column13]]), (deployment_raw[[#This Row],[Column13]] * deployment_raw[[#This Row],[Column5]])/1048576,"")</f>
        <v/>
      </c>
    </row>
    <row r="538" spans="1:17" ht="15.75" customHeight="1" x14ac:dyDescent="0.25">
      <c r="A538" s="37" t="str">
        <f>IF(ISNONTEXT(deployment_raw[[#This Row],[Column1]]), "", deployment_raw[[#This Row],[Column1]])</f>
        <v/>
      </c>
      <c r="B538" s="38" t="str">
        <f>IF(ISNONTEXT(deployment_raw[[#This Row],[Column2]]), "", deployment_raw[[#This Row],[Column2]])</f>
        <v/>
      </c>
      <c r="C538" s="38" t="str">
        <f>IF(ISNONTEXT(deployment_raw[[#This Row],[Column3]]), "", deployment_raw[[#This Row],[Column3]])</f>
        <v/>
      </c>
      <c r="D538" s="38" t="str">
        <f>IF(ISNONTEXT(deployment_raw[[#This Row],[Column4]]), "", deployment_raw[[#This Row],[Column4]])</f>
        <v/>
      </c>
      <c r="E538" s="39" t="str">
        <f>IF(ISNUMBER(deployment_raw[[#This Row],[Column5]]), deployment_raw[[#This Row],[Column5]],"")</f>
        <v/>
      </c>
      <c r="F538" s="174" t="str">
        <f>IF(ISNUMBER(deployment_raw[[#This Row],[Column6]]), (deployment_raw[[#This Row],[Column6]] * deployment_raw[[#This Row],[Column5]]),"")</f>
        <v/>
      </c>
      <c r="G538" s="175" t="str">
        <f>IF(ISNUMBER(deployment_raw[[#This Row],[Column7]]), (deployment_raw[[#This Row],[Column7]] * deployment_raw[[#This Row],[Column5]])/1048576,"")</f>
        <v/>
      </c>
      <c r="H538" s="175" t="str">
        <f>IF(ISNUMBER(deployment_raw[[#This Row],[Column8]]), (deployment_raw[[#This Row],[Column8]]  * deployment_raw[[#This Row],[Column5]]),"")</f>
        <v/>
      </c>
      <c r="I538" s="176" t="str">
        <f>IF(ISNUMBER(deployment_raw[[#This Row],[Column9]]), (deployment_raw[[#This Row],[Column9]] * deployment_raw[[#This Row],[Column5]])/1048576,"")</f>
        <v/>
      </c>
      <c r="J538" s="57" t="str">
        <f>IF(ISNUMBER(deployment_raw[[#This Row],[Column10]]), (deployment_raw[[#This Row],[Column10]] * deployment_raw[[#This Row],[Column5]]),"")</f>
        <v/>
      </c>
      <c r="K538" s="58" t="str">
        <f>IF(ISNUMBER(deployment_raw[[#This Row],[Column11]]), (deployment_raw[[#This Row],[Column11]] * deployment_raw[[#This Row],[Column5]])/1048576,"")</f>
        <v/>
      </c>
      <c r="L538" s="180" t="str">
        <f>IF(ISNUMBER(deployment_raw[[#This Row],[Column8]]),IF(deployment_raw[[#This Row],[Column5]] &lt;&gt; 0, MAX((deployment_raw[[#This Row],[Column12]] * deployment_raw[[#This Row],[Column5]]), ((deployment_raw[[#This Row],[Column8]] * deployment_raw[[#This Row],[Column5]]) * $L$2), ($H$2 * deployment_raw[[#This Row],[Column5]])), 0),"")</f>
        <v/>
      </c>
      <c r="M53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38" s="188" t="str">
        <f>IF(ISNUMBER(deployment_raw[[#This Row],[Column14]]), deployment_raw[[#This Row],[Column14]],"")</f>
        <v/>
      </c>
      <c r="O538" s="189" t="str">
        <f>IF(ISNUMBER(deployment_raw[[#This Row],[Column15]]), deployment_raw[[#This Row],[Column15]]/1048576,"")</f>
        <v/>
      </c>
      <c r="P538" s="190" t="str">
        <f>IF(ISNUMBER(deployment_raw[[#This Row],[Column12]]), (deployment_raw[[#This Row],[Column12]] * deployment_raw[[#This Row],[Column5]]),"")</f>
        <v/>
      </c>
      <c r="Q538" s="189" t="str">
        <f>IF(ISNUMBER(deployment_raw[[#This Row],[Column13]]), (deployment_raw[[#This Row],[Column13]] * deployment_raw[[#This Row],[Column5]])/1048576,"")</f>
        <v/>
      </c>
    </row>
    <row r="539" spans="1:17" ht="15.75" customHeight="1" x14ac:dyDescent="0.25">
      <c r="A539" s="37" t="str">
        <f>IF(ISNONTEXT(deployment_raw[[#This Row],[Column1]]), "", deployment_raw[[#This Row],[Column1]])</f>
        <v/>
      </c>
      <c r="B539" s="38" t="str">
        <f>IF(ISNONTEXT(deployment_raw[[#This Row],[Column2]]), "", deployment_raw[[#This Row],[Column2]])</f>
        <v/>
      </c>
      <c r="C539" s="38" t="str">
        <f>IF(ISNONTEXT(deployment_raw[[#This Row],[Column3]]), "", deployment_raw[[#This Row],[Column3]])</f>
        <v/>
      </c>
      <c r="D539" s="38" t="str">
        <f>IF(ISNONTEXT(deployment_raw[[#This Row],[Column4]]), "", deployment_raw[[#This Row],[Column4]])</f>
        <v/>
      </c>
      <c r="E539" s="39" t="str">
        <f>IF(ISNUMBER(deployment_raw[[#This Row],[Column5]]), deployment_raw[[#This Row],[Column5]],"")</f>
        <v/>
      </c>
      <c r="F539" s="174" t="str">
        <f>IF(ISNUMBER(deployment_raw[[#This Row],[Column6]]), (deployment_raw[[#This Row],[Column6]] * deployment_raw[[#This Row],[Column5]]),"")</f>
        <v/>
      </c>
      <c r="G539" s="175" t="str">
        <f>IF(ISNUMBER(deployment_raw[[#This Row],[Column7]]), (deployment_raw[[#This Row],[Column7]] * deployment_raw[[#This Row],[Column5]])/1048576,"")</f>
        <v/>
      </c>
      <c r="H539" s="175" t="str">
        <f>IF(ISNUMBER(deployment_raw[[#This Row],[Column8]]), (deployment_raw[[#This Row],[Column8]]  * deployment_raw[[#This Row],[Column5]]),"")</f>
        <v/>
      </c>
      <c r="I539" s="176" t="str">
        <f>IF(ISNUMBER(deployment_raw[[#This Row],[Column9]]), (deployment_raw[[#This Row],[Column9]] * deployment_raw[[#This Row],[Column5]])/1048576,"")</f>
        <v/>
      </c>
      <c r="J539" s="57" t="str">
        <f>IF(ISNUMBER(deployment_raw[[#This Row],[Column10]]), (deployment_raw[[#This Row],[Column10]] * deployment_raw[[#This Row],[Column5]]),"")</f>
        <v/>
      </c>
      <c r="K539" s="58" t="str">
        <f>IF(ISNUMBER(deployment_raw[[#This Row],[Column11]]), (deployment_raw[[#This Row],[Column11]] * deployment_raw[[#This Row],[Column5]])/1048576,"")</f>
        <v/>
      </c>
      <c r="L539" s="180" t="str">
        <f>IF(ISNUMBER(deployment_raw[[#This Row],[Column8]]),IF(deployment_raw[[#This Row],[Column5]] &lt;&gt; 0, MAX((deployment_raw[[#This Row],[Column12]] * deployment_raw[[#This Row],[Column5]]), ((deployment_raw[[#This Row],[Column8]] * deployment_raw[[#This Row],[Column5]]) * $L$2), ($H$2 * deployment_raw[[#This Row],[Column5]])), 0),"")</f>
        <v/>
      </c>
      <c r="M53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39" s="188" t="str">
        <f>IF(ISNUMBER(deployment_raw[[#This Row],[Column14]]), deployment_raw[[#This Row],[Column14]],"")</f>
        <v/>
      </c>
      <c r="O539" s="189" t="str">
        <f>IF(ISNUMBER(deployment_raw[[#This Row],[Column15]]), deployment_raw[[#This Row],[Column15]]/1048576,"")</f>
        <v/>
      </c>
      <c r="P539" s="190" t="str">
        <f>IF(ISNUMBER(deployment_raw[[#This Row],[Column12]]), (deployment_raw[[#This Row],[Column12]] * deployment_raw[[#This Row],[Column5]]),"")</f>
        <v/>
      </c>
      <c r="Q539" s="189" t="str">
        <f>IF(ISNUMBER(deployment_raw[[#This Row],[Column13]]), (deployment_raw[[#This Row],[Column13]] * deployment_raw[[#This Row],[Column5]])/1048576,"")</f>
        <v/>
      </c>
    </row>
    <row r="540" spans="1:17" ht="15.75" customHeight="1" x14ac:dyDescent="0.25">
      <c r="A540" s="37" t="str">
        <f>IF(ISNONTEXT(deployment_raw[[#This Row],[Column1]]), "", deployment_raw[[#This Row],[Column1]])</f>
        <v/>
      </c>
      <c r="B540" s="38" t="str">
        <f>IF(ISNONTEXT(deployment_raw[[#This Row],[Column2]]), "", deployment_raw[[#This Row],[Column2]])</f>
        <v/>
      </c>
      <c r="C540" s="38" t="str">
        <f>IF(ISNONTEXT(deployment_raw[[#This Row],[Column3]]), "", deployment_raw[[#This Row],[Column3]])</f>
        <v/>
      </c>
      <c r="D540" s="38" t="str">
        <f>IF(ISNONTEXT(deployment_raw[[#This Row],[Column4]]), "", deployment_raw[[#This Row],[Column4]])</f>
        <v/>
      </c>
      <c r="E540" s="39" t="str">
        <f>IF(ISNUMBER(deployment_raw[[#This Row],[Column5]]), deployment_raw[[#This Row],[Column5]],"")</f>
        <v/>
      </c>
      <c r="F540" s="174" t="str">
        <f>IF(ISNUMBER(deployment_raw[[#This Row],[Column6]]), (deployment_raw[[#This Row],[Column6]] * deployment_raw[[#This Row],[Column5]]),"")</f>
        <v/>
      </c>
      <c r="G540" s="175" t="str">
        <f>IF(ISNUMBER(deployment_raw[[#This Row],[Column7]]), (deployment_raw[[#This Row],[Column7]] * deployment_raw[[#This Row],[Column5]])/1048576,"")</f>
        <v/>
      </c>
      <c r="H540" s="175" t="str">
        <f>IF(ISNUMBER(deployment_raw[[#This Row],[Column8]]), (deployment_raw[[#This Row],[Column8]]  * deployment_raw[[#This Row],[Column5]]),"")</f>
        <v/>
      </c>
      <c r="I540" s="176" t="str">
        <f>IF(ISNUMBER(deployment_raw[[#This Row],[Column9]]), (deployment_raw[[#This Row],[Column9]] * deployment_raw[[#This Row],[Column5]])/1048576,"")</f>
        <v/>
      </c>
      <c r="J540" s="57" t="str">
        <f>IF(ISNUMBER(deployment_raw[[#This Row],[Column10]]), (deployment_raw[[#This Row],[Column10]] * deployment_raw[[#This Row],[Column5]]),"")</f>
        <v/>
      </c>
      <c r="K540" s="58" t="str">
        <f>IF(ISNUMBER(deployment_raw[[#This Row],[Column11]]), (deployment_raw[[#This Row],[Column11]] * deployment_raw[[#This Row],[Column5]])/1048576,"")</f>
        <v/>
      </c>
      <c r="L540" s="180" t="str">
        <f>IF(ISNUMBER(deployment_raw[[#This Row],[Column8]]),IF(deployment_raw[[#This Row],[Column5]] &lt;&gt; 0, MAX((deployment_raw[[#This Row],[Column12]] * deployment_raw[[#This Row],[Column5]]), ((deployment_raw[[#This Row],[Column8]] * deployment_raw[[#This Row],[Column5]]) * $L$2), ($H$2 * deployment_raw[[#This Row],[Column5]])), 0),"")</f>
        <v/>
      </c>
      <c r="M54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40" s="188" t="str">
        <f>IF(ISNUMBER(deployment_raw[[#This Row],[Column14]]), deployment_raw[[#This Row],[Column14]],"")</f>
        <v/>
      </c>
      <c r="O540" s="189" t="str">
        <f>IF(ISNUMBER(deployment_raw[[#This Row],[Column15]]), deployment_raw[[#This Row],[Column15]]/1048576,"")</f>
        <v/>
      </c>
      <c r="P540" s="190" t="str">
        <f>IF(ISNUMBER(deployment_raw[[#This Row],[Column12]]), (deployment_raw[[#This Row],[Column12]] * deployment_raw[[#This Row],[Column5]]),"")</f>
        <v/>
      </c>
      <c r="Q540" s="189" t="str">
        <f>IF(ISNUMBER(deployment_raw[[#This Row],[Column13]]), (deployment_raw[[#This Row],[Column13]] * deployment_raw[[#This Row],[Column5]])/1048576,"")</f>
        <v/>
      </c>
    </row>
    <row r="541" spans="1:17" ht="15.75" customHeight="1" x14ac:dyDescent="0.25">
      <c r="A541" s="37" t="str">
        <f>IF(ISNONTEXT(deployment_raw[[#This Row],[Column1]]), "", deployment_raw[[#This Row],[Column1]])</f>
        <v/>
      </c>
      <c r="B541" s="38" t="str">
        <f>IF(ISNONTEXT(deployment_raw[[#This Row],[Column2]]), "", deployment_raw[[#This Row],[Column2]])</f>
        <v/>
      </c>
      <c r="C541" s="38" t="str">
        <f>IF(ISNONTEXT(deployment_raw[[#This Row],[Column3]]), "", deployment_raw[[#This Row],[Column3]])</f>
        <v/>
      </c>
      <c r="D541" s="38" t="str">
        <f>IF(ISNONTEXT(deployment_raw[[#This Row],[Column4]]), "", deployment_raw[[#This Row],[Column4]])</f>
        <v/>
      </c>
      <c r="E541" s="39" t="str">
        <f>IF(ISNUMBER(deployment_raw[[#This Row],[Column5]]), deployment_raw[[#This Row],[Column5]],"")</f>
        <v/>
      </c>
      <c r="F541" s="174" t="str">
        <f>IF(ISNUMBER(deployment_raw[[#This Row],[Column6]]), (deployment_raw[[#This Row],[Column6]] * deployment_raw[[#This Row],[Column5]]),"")</f>
        <v/>
      </c>
      <c r="G541" s="175" t="str">
        <f>IF(ISNUMBER(deployment_raw[[#This Row],[Column7]]), (deployment_raw[[#This Row],[Column7]] * deployment_raw[[#This Row],[Column5]])/1048576,"")</f>
        <v/>
      </c>
      <c r="H541" s="175" t="str">
        <f>IF(ISNUMBER(deployment_raw[[#This Row],[Column8]]), (deployment_raw[[#This Row],[Column8]]  * deployment_raw[[#This Row],[Column5]]),"")</f>
        <v/>
      </c>
      <c r="I541" s="176" t="str">
        <f>IF(ISNUMBER(deployment_raw[[#This Row],[Column9]]), (deployment_raw[[#This Row],[Column9]] * deployment_raw[[#This Row],[Column5]])/1048576,"")</f>
        <v/>
      </c>
      <c r="J541" s="57" t="str">
        <f>IF(ISNUMBER(deployment_raw[[#This Row],[Column10]]), (deployment_raw[[#This Row],[Column10]] * deployment_raw[[#This Row],[Column5]]),"")</f>
        <v/>
      </c>
      <c r="K541" s="58" t="str">
        <f>IF(ISNUMBER(deployment_raw[[#This Row],[Column11]]), (deployment_raw[[#This Row],[Column11]] * deployment_raw[[#This Row],[Column5]])/1048576,"")</f>
        <v/>
      </c>
      <c r="L541" s="180" t="str">
        <f>IF(ISNUMBER(deployment_raw[[#This Row],[Column8]]),IF(deployment_raw[[#This Row],[Column5]] &lt;&gt; 0, MAX((deployment_raw[[#This Row],[Column12]] * deployment_raw[[#This Row],[Column5]]), ((deployment_raw[[#This Row],[Column8]] * deployment_raw[[#This Row],[Column5]]) * $L$2), ($H$2 * deployment_raw[[#This Row],[Column5]])), 0),"")</f>
        <v/>
      </c>
      <c r="M54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41" s="188" t="str">
        <f>IF(ISNUMBER(deployment_raw[[#This Row],[Column14]]), deployment_raw[[#This Row],[Column14]],"")</f>
        <v/>
      </c>
      <c r="O541" s="189" t="str">
        <f>IF(ISNUMBER(deployment_raw[[#This Row],[Column15]]), deployment_raw[[#This Row],[Column15]]/1048576,"")</f>
        <v/>
      </c>
      <c r="P541" s="190" t="str">
        <f>IF(ISNUMBER(deployment_raw[[#This Row],[Column12]]), (deployment_raw[[#This Row],[Column12]] * deployment_raw[[#This Row],[Column5]]),"")</f>
        <v/>
      </c>
      <c r="Q541" s="189" t="str">
        <f>IF(ISNUMBER(deployment_raw[[#This Row],[Column13]]), (deployment_raw[[#This Row],[Column13]] * deployment_raw[[#This Row],[Column5]])/1048576,"")</f>
        <v/>
      </c>
    </row>
    <row r="542" spans="1:17" ht="15.75" customHeight="1" x14ac:dyDescent="0.25">
      <c r="A542" s="37" t="str">
        <f>IF(ISNONTEXT(deployment_raw[[#This Row],[Column1]]), "", deployment_raw[[#This Row],[Column1]])</f>
        <v/>
      </c>
      <c r="B542" s="38" t="str">
        <f>IF(ISNONTEXT(deployment_raw[[#This Row],[Column2]]), "", deployment_raw[[#This Row],[Column2]])</f>
        <v/>
      </c>
      <c r="C542" s="38" t="str">
        <f>IF(ISNONTEXT(deployment_raw[[#This Row],[Column3]]), "", deployment_raw[[#This Row],[Column3]])</f>
        <v/>
      </c>
      <c r="D542" s="38" t="str">
        <f>IF(ISNONTEXT(deployment_raw[[#This Row],[Column4]]), "", deployment_raw[[#This Row],[Column4]])</f>
        <v/>
      </c>
      <c r="E542" s="39" t="str">
        <f>IF(ISNUMBER(deployment_raw[[#This Row],[Column5]]), deployment_raw[[#This Row],[Column5]],"")</f>
        <v/>
      </c>
      <c r="F542" s="174" t="str">
        <f>IF(ISNUMBER(deployment_raw[[#This Row],[Column6]]), (deployment_raw[[#This Row],[Column6]] * deployment_raw[[#This Row],[Column5]]),"")</f>
        <v/>
      </c>
      <c r="G542" s="175" t="str">
        <f>IF(ISNUMBER(deployment_raw[[#This Row],[Column7]]), (deployment_raw[[#This Row],[Column7]] * deployment_raw[[#This Row],[Column5]])/1048576,"")</f>
        <v/>
      </c>
      <c r="H542" s="175" t="str">
        <f>IF(ISNUMBER(deployment_raw[[#This Row],[Column8]]), (deployment_raw[[#This Row],[Column8]]  * deployment_raw[[#This Row],[Column5]]),"")</f>
        <v/>
      </c>
      <c r="I542" s="176" t="str">
        <f>IF(ISNUMBER(deployment_raw[[#This Row],[Column9]]), (deployment_raw[[#This Row],[Column9]] * deployment_raw[[#This Row],[Column5]])/1048576,"")</f>
        <v/>
      </c>
      <c r="J542" s="57" t="str">
        <f>IF(ISNUMBER(deployment_raw[[#This Row],[Column10]]), (deployment_raw[[#This Row],[Column10]] * deployment_raw[[#This Row],[Column5]]),"")</f>
        <v/>
      </c>
      <c r="K542" s="58" t="str">
        <f>IF(ISNUMBER(deployment_raw[[#This Row],[Column11]]), (deployment_raw[[#This Row],[Column11]] * deployment_raw[[#This Row],[Column5]])/1048576,"")</f>
        <v/>
      </c>
      <c r="L542" s="180" t="str">
        <f>IF(ISNUMBER(deployment_raw[[#This Row],[Column8]]),IF(deployment_raw[[#This Row],[Column5]] &lt;&gt; 0, MAX((deployment_raw[[#This Row],[Column12]] * deployment_raw[[#This Row],[Column5]]), ((deployment_raw[[#This Row],[Column8]] * deployment_raw[[#This Row],[Column5]]) * $L$2), ($H$2 * deployment_raw[[#This Row],[Column5]])), 0),"")</f>
        <v/>
      </c>
      <c r="M54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42" s="188" t="str">
        <f>IF(ISNUMBER(deployment_raw[[#This Row],[Column14]]), deployment_raw[[#This Row],[Column14]],"")</f>
        <v/>
      </c>
      <c r="O542" s="189" t="str">
        <f>IF(ISNUMBER(deployment_raw[[#This Row],[Column15]]), deployment_raw[[#This Row],[Column15]]/1048576,"")</f>
        <v/>
      </c>
      <c r="P542" s="190" t="str">
        <f>IF(ISNUMBER(deployment_raw[[#This Row],[Column12]]), (deployment_raw[[#This Row],[Column12]] * deployment_raw[[#This Row],[Column5]]),"")</f>
        <v/>
      </c>
      <c r="Q542" s="189" t="str">
        <f>IF(ISNUMBER(deployment_raw[[#This Row],[Column13]]), (deployment_raw[[#This Row],[Column13]] * deployment_raw[[#This Row],[Column5]])/1048576,"")</f>
        <v/>
      </c>
    </row>
    <row r="543" spans="1:17" ht="15.75" customHeight="1" x14ac:dyDescent="0.25">
      <c r="A543" s="37" t="str">
        <f>IF(ISNONTEXT(deployment_raw[[#This Row],[Column1]]), "", deployment_raw[[#This Row],[Column1]])</f>
        <v/>
      </c>
      <c r="B543" s="38" t="str">
        <f>IF(ISNONTEXT(deployment_raw[[#This Row],[Column2]]), "", deployment_raw[[#This Row],[Column2]])</f>
        <v/>
      </c>
      <c r="C543" s="38" t="str">
        <f>IF(ISNONTEXT(deployment_raw[[#This Row],[Column3]]), "", deployment_raw[[#This Row],[Column3]])</f>
        <v/>
      </c>
      <c r="D543" s="38" t="str">
        <f>IF(ISNONTEXT(deployment_raw[[#This Row],[Column4]]), "", deployment_raw[[#This Row],[Column4]])</f>
        <v/>
      </c>
      <c r="E543" s="39" t="str">
        <f>IF(ISNUMBER(deployment_raw[[#This Row],[Column5]]), deployment_raw[[#This Row],[Column5]],"")</f>
        <v/>
      </c>
      <c r="F543" s="174" t="str">
        <f>IF(ISNUMBER(deployment_raw[[#This Row],[Column6]]), (deployment_raw[[#This Row],[Column6]] * deployment_raw[[#This Row],[Column5]]),"")</f>
        <v/>
      </c>
      <c r="G543" s="175" t="str">
        <f>IF(ISNUMBER(deployment_raw[[#This Row],[Column7]]), (deployment_raw[[#This Row],[Column7]] * deployment_raw[[#This Row],[Column5]])/1048576,"")</f>
        <v/>
      </c>
      <c r="H543" s="175" t="str">
        <f>IF(ISNUMBER(deployment_raw[[#This Row],[Column8]]), (deployment_raw[[#This Row],[Column8]]  * deployment_raw[[#This Row],[Column5]]),"")</f>
        <v/>
      </c>
      <c r="I543" s="176" t="str">
        <f>IF(ISNUMBER(deployment_raw[[#This Row],[Column9]]), (deployment_raw[[#This Row],[Column9]] * deployment_raw[[#This Row],[Column5]])/1048576,"")</f>
        <v/>
      </c>
      <c r="J543" s="57" t="str">
        <f>IF(ISNUMBER(deployment_raw[[#This Row],[Column10]]), (deployment_raw[[#This Row],[Column10]] * deployment_raw[[#This Row],[Column5]]),"")</f>
        <v/>
      </c>
      <c r="K543" s="58" t="str">
        <f>IF(ISNUMBER(deployment_raw[[#This Row],[Column11]]), (deployment_raw[[#This Row],[Column11]] * deployment_raw[[#This Row],[Column5]])/1048576,"")</f>
        <v/>
      </c>
      <c r="L543" s="180" t="str">
        <f>IF(ISNUMBER(deployment_raw[[#This Row],[Column8]]),IF(deployment_raw[[#This Row],[Column5]] &lt;&gt; 0, MAX((deployment_raw[[#This Row],[Column12]] * deployment_raw[[#This Row],[Column5]]), ((deployment_raw[[#This Row],[Column8]] * deployment_raw[[#This Row],[Column5]]) * $L$2), ($H$2 * deployment_raw[[#This Row],[Column5]])), 0),"")</f>
        <v/>
      </c>
      <c r="M54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43" s="188" t="str">
        <f>IF(ISNUMBER(deployment_raw[[#This Row],[Column14]]), deployment_raw[[#This Row],[Column14]],"")</f>
        <v/>
      </c>
      <c r="O543" s="189" t="str">
        <f>IF(ISNUMBER(deployment_raw[[#This Row],[Column15]]), deployment_raw[[#This Row],[Column15]]/1048576,"")</f>
        <v/>
      </c>
      <c r="P543" s="190" t="str">
        <f>IF(ISNUMBER(deployment_raw[[#This Row],[Column12]]), (deployment_raw[[#This Row],[Column12]] * deployment_raw[[#This Row],[Column5]]),"")</f>
        <v/>
      </c>
      <c r="Q543" s="189" t="str">
        <f>IF(ISNUMBER(deployment_raw[[#This Row],[Column13]]), (deployment_raw[[#This Row],[Column13]] * deployment_raw[[#This Row],[Column5]])/1048576,"")</f>
        <v/>
      </c>
    </row>
    <row r="544" spans="1:17" ht="15.75" customHeight="1" x14ac:dyDescent="0.25">
      <c r="A544" s="37" t="str">
        <f>IF(ISNONTEXT(deployment_raw[[#This Row],[Column1]]), "", deployment_raw[[#This Row],[Column1]])</f>
        <v/>
      </c>
      <c r="B544" s="38" t="str">
        <f>IF(ISNONTEXT(deployment_raw[[#This Row],[Column2]]), "", deployment_raw[[#This Row],[Column2]])</f>
        <v/>
      </c>
      <c r="C544" s="38" t="str">
        <f>IF(ISNONTEXT(deployment_raw[[#This Row],[Column3]]), "", deployment_raw[[#This Row],[Column3]])</f>
        <v/>
      </c>
      <c r="D544" s="38" t="str">
        <f>IF(ISNONTEXT(deployment_raw[[#This Row],[Column4]]), "", deployment_raw[[#This Row],[Column4]])</f>
        <v/>
      </c>
      <c r="E544" s="39" t="str">
        <f>IF(ISNUMBER(deployment_raw[[#This Row],[Column5]]), deployment_raw[[#This Row],[Column5]],"")</f>
        <v/>
      </c>
      <c r="F544" s="174" t="str">
        <f>IF(ISNUMBER(deployment_raw[[#This Row],[Column6]]), (deployment_raw[[#This Row],[Column6]] * deployment_raw[[#This Row],[Column5]]),"")</f>
        <v/>
      </c>
      <c r="G544" s="175" t="str">
        <f>IF(ISNUMBER(deployment_raw[[#This Row],[Column7]]), (deployment_raw[[#This Row],[Column7]] * deployment_raw[[#This Row],[Column5]])/1048576,"")</f>
        <v/>
      </c>
      <c r="H544" s="175" t="str">
        <f>IF(ISNUMBER(deployment_raw[[#This Row],[Column8]]), (deployment_raw[[#This Row],[Column8]]  * deployment_raw[[#This Row],[Column5]]),"")</f>
        <v/>
      </c>
      <c r="I544" s="176" t="str">
        <f>IF(ISNUMBER(deployment_raw[[#This Row],[Column9]]), (deployment_raw[[#This Row],[Column9]] * deployment_raw[[#This Row],[Column5]])/1048576,"")</f>
        <v/>
      </c>
      <c r="J544" s="57" t="str">
        <f>IF(ISNUMBER(deployment_raw[[#This Row],[Column10]]), (deployment_raw[[#This Row],[Column10]] * deployment_raw[[#This Row],[Column5]]),"")</f>
        <v/>
      </c>
      <c r="K544" s="58" t="str">
        <f>IF(ISNUMBER(deployment_raw[[#This Row],[Column11]]), (deployment_raw[[#This Row],[Column11]] * deployment_raw[[#This Row],[Column5]])/1048576,"")</f>
        <v/>
      </c>
      <c r="L544" s="180" t="str">
        <f>IF(ISNUMBER(deployment_raw[[#This Row],[Column8]]),IF(deployment_raw[[#This Row],[Column5]] &lt;&gt; 0, MAX((deployment_raw[[#This Row],[Column12]] * deployment_raw[[#This Row],[Column5]]), ((deployment_raw[[#This Row],[Column8]] * deployment_raw[[#This Row],[Column5]]) * $L$2), ($H$2 * deployment_raw[[#This Row],[Column5]])), 0),"")</f>
        <v/>
      </c>
      <c r="M54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44" s="188" t="str">
        <f>IF(ISNUMBER(deployment_raw[[#This Row],[Column14]]), deployment_raw[[#This Row],[Column14]],"")</f>
        <v/>
      </c>
      <c r="O544" s="189" t="str">
        <f>IF(ISNUMBER(deployment_raw[[#This Row],[Column15]]), deployment_raw[[#This Row],[Column15]]/1048576,"")</f>
        <v/>
      </c>
      <c r="P544" s="190" t="str">
        <f>IF(ISNUMBER(deployment_raw[[#This Row],[Column12]]), (deployment_raw[[#This Row],[Column12]] * deployment_raw[[#This Row],[Column5]]),"")</f>
        <v/>
      </c>
      <c r="Q544" s="189" t="str">
        <f>IF(ISNUMBER(deployment_raw[[#This Row],[Column13]]), (deployment_raw[[#This Row],[Column13]] * deployment_raw[[#This Row],[Column5]])/1048576,"")</f>
        <v/>
      </c>
    </row>
    <row r="545" spans="1:17" ht="15.75" customHeight="1" x14ac:dyDescent="0.25">
      <c r="A545" s="37" t="str">
        <f>IF(ISNONTEXT(deployment_raw[[#This Row],[Column1]]), "", deployment_raw[[#This Row],[Column1]])</f>
        <v/>
      </c>
      <c r="B545" s="38" t="str">
        <f>IF(ISNONTEXT(deployment_raw[[#This Row],[Column2]]), "", deployment_raw[[#This Row],[Column2]])</f>
        <v/>
      </c>
      <c r="C545" s="38" t="str">
        <f>IF(ISNONTEXT(deployment_raw[[#This Row],[Column3]]), "", deployment_raw[[#This Row],[Column3]])</f>
        <v/>
      </c>
      <c r="D545" s="38" t="str">
        <f>IF(ISNONTEXT(deployment_raw[[#This Row],[Column4]]), "", deployment_raw[[#This Row],[Column4]])</f>
        <v/>
      </c>
      <c r="E545" s="39" t="str">
        <f>IF(ISNUMBER(deployment_raw[[#This Row],[Column5]]), deployment_raw[[#This Row],[Column5]],"")</f>
        <v/>
      </c>
      <c r="F545" s="174" t="str">
        <f>IF(ISNUMBER(deployment_raw[[#This Row],[Column6]]), (deployment_raw[[#This Row],[Column6]] * deployment_raw[[#This Row],[Column5]]),"")</f>
        <v/>
      </c>
      <c r="G545" s="175" t="str">
        <f>IF(ISNUMBER(deployment_raw[[#This Row],[Column7]]), (deployment_raw[[#This Row],[Column7]] * deployment_raw[[#This Row],[Column5]])/1048576,"")</f>
        <v/>
      </c>
      <c r="H545" s="175" t="str">
        <f>IF(ISNUMBER(deployment_raw[[#This Row],[Column8]]), (deployment_raw[[#This Row],[Column8]]  * deployment_raw[[#This Row],[Column5]]),"")</f>
        <v/>
      </c>
      <c r="I545" s="176" t="str">
        <f>IF(ISNUMBER(deployment_raw[[#This Row],[Column9]]), (deployment_raw[[#This Row],[Column9]] * deployment_raw[[#This Row],[Column5]])/1048576,"")</f>
        <v/>
      </c>
      <c r="J545" s="57" t="str">
        <f>IF(ISNUMBER(deployment_raw[[#This Row],[Column10]]), (deployment_raw[[#This Row],[Column10]] * deployment_raw[[#This Row],[Column5]]),"")</f>
        <v/>
      </c>
      <c r="K545" s="58" t="str">
        <f>IF(ISNUMBER(deployment_raw[[#This Row],[Column11]]), (deployment_raw[[#This Row],[Column11]] * deployment_raw[[#This Row],[Column5]])/1048576,"")</f>
        <v/>
      </c>
      <c r="L545" s="180" t="str">
        <f>IF(ISNUMBER(deployment_raw[[#This Row],[Column8]]),IF(deployment_raw[[#This Row],[Column5]] &lt;&gt; 0, MAX((deployment_raw[[#This Row],[Column12]] * deployment_raw[[#This Row],[Column5]]), ((deployment_raw[[#This Row],[Column8]] * deployment_raw[[#This Row],[Column5]]) * $L$2), ($H$2 * deployment_raw[[#This Row],[Column5]])), 0),"")</f>
        <v/>
      </c>
      <c r="M54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45" s="188" t="str">
        <f>IF(ISNUMBER(deployment_raw[[#This Row],[Column14]]), deployment_raw[[#This Row],[Column14]],"")</f>
        <v/>
      </c>
      <c r="O545" s="189" t="str">
        <f>IF(ISNUMBER(deployment_raw[[#This Row],[Column15]]), deployment_raw[[#This Row],[Column15]]/1048576,"")</f>
        <v/>
      </c>
      <c r="P545" s="190" t="str">
        <f>IF(ISNUMBER(deployment_raw[[#This Row],[Column12]]), (deployment_raw[[#This Row],[Column12]] * deployment_raw[[#This Row],[Column5]]),"")</f>
        <v/>
      </c>
      <c r="Q545" s="189" t="str">
        <f>IF(ISNUMBER(deployment_raw[[#This Row],[Column13]]), (deployment_raw[[#This Row],[Column13]] * deployment_raw[[#This Row],[Column5]])/1048576,"")</f>
        <v/>
      </c>
    </row>
    <row r="546" spans="1:17" ht="15.75" customHeight="1" x14ac:dyDescent="0.25">
      <c r="A546" s="37" t="str">
        <f>IF(ISNONTEXT(deployment_raw[[#This Row],[Column1]]), "", deployment_raw[[#This Row],[Column1]])</f>
        <v/>
      </c>
      <c r="B546" s="38" t="str">
        <f>IF(ISNONTEXT(deployment_raw[[#This Row],[Column2]]), "", deployment_raw[[#This Row],[Column2]])</f>
        <v/>
      </c>
      <c r="C546" s="38" t="str">
        <f>IF(ISNONTEXT(deployment_raw[[#This Row],[Column3]]), "", deployment_raw[[#This Row],[Column3]])</f>
        <v/>
      </c>
      <c r="D546" s="38" t="str">
        <f>IF(ISNONTEXT(deployment_raw[[#This Row],[Column4]]), "", deployment_raw[[#This Row],[Column4]])</f>
        <v/>
      </c>
      <c r="E546" s="39" t="str">
        <f>IF(ISNUMBER(deployment_raw[[#This Row],[Column5]]), deployment_raw[[#This Row],[Column5]],"")</f>
        <v/>
      </c>
      <c r="F546" s="174" t="str">
        <f>IF(ISNUMBER(deployment_raw[[#This Row],[Column6]]), (deployment_raw[[#This Row],[Column6]] * deployment_raw[[#This Row],[Column5]]),"")</f>
        <v/>
      </c>
      <c r="G546" s="175" t="str">
        <f>IF(ISNUMBER(deployment_raw[[#This Row],[Column7]]), (deployment_raw[[#This Row],[Column7]] * deployment_raw[[#This Row],[Column5]])/1048576,"")</f>
        <v/>
      </c>
      <c r="H546" s="175" t="str">
        <f>IF(ISNUMBER(deployment_raw[[#This Row],[Column8]]), (deployment_raw[[#This Row],[Column8]]  * deployment_raw[[#This Row],[Column5]]),"")</f>
        <v/>
      </c>
      <c r="I546" s="176" t="str">
        <f>IF(ISNUMBER(deployment_raw[[#This Row],[Column9]]), (deployment_raw[[#This Row],[Column9]] * deployment_raw[[#This Row],[Column5]])/1048576,"")</f>
        <v/>
      </c>
      <c r="J546" s="57" t="str">
        <f>IF(ISNUMBER(deployment_raw[[#This Row],[Column10]]), (deployment_raw[[#This Row],[Column10]] * deployment_raw[[#This Row],[Column5]]),"")</f>
        <v/>
      </c>
      <c r="K546" s="58" t="str">
        <f>IF(ISNUMBER(deployment_raw[[#This Row],[Column11]]), (deployment_raw[[#This Row],[Column11]] * deployment_raw[[#This Row],[Column5]])/1048576,"")</f>
        <v/>
      </c>
      <c r="L546" s="180" t="str">
        <f>IF(ISNUMBER(deployment_raw[[#This Row],[Column8]]),IF(deployment_raw[[#This Row],[Column5]] &lt;&gt; 0, MAX((deployment_raw[[#This Row],[Column12]] * deployment_raw[[#This Row],[Column5]]), ((deployment_raw[[#This Row],[Column8]] * deployment_raw[[#This Row],[Column5]]) * $L$2), ($H$2 * deployment_raw[[#This Row],[Column5]])), 0),"")</f>
        <v/>
      </c>
      <c r="M54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46" s="188" t="str">
        <f>IF(ISNUMBER(deployment_raw[[#This Row],[Column14]]), deployment_raw[[#This Row],[Column14]],"")</f>
        <v/>
      </c>
      <c r="O546" s="189" t="str">
        <f>IF(ISNUMBER(deployment_raw[[#This Row],[Column15]]), deployment_raw[[#This Row],[Column15]]/1048576,"")</f>
        <v/>
      </c>
      <c r="P546" s="190" t="str">
        <f>IF(ISNUMBER(deployment_raw[[#This Row],[Column12]]), (deployment_raw[[#This Row],[Column12]] * deployment_raw[[#This Row],[Column5]]),"")</f>
        <v/>
      </c>
      <c r="Q546" s="189" t="str">
        <f>IF(ISNUMBER(deployment_raw[[#This Row],[Column13]]), (deployment_raw[[#This Row],[Column13]] * deployment_raw[[#This Row],[Column5]])/1048576,"")</f>
        <v/>
      </c>
    </row>
    <row r="547" spans="1:17" ht="15.75" customHeight="1" x14ac:dyDescent="0.25">
      <c r="A547" s="37" t="str">
        <f>IF(ISNONTEXT(deployment_raw[[#This Row],[Column1]]), "", deployment_raw[[#This Row],[Column1]])</f>
        <v/>
      </c>
      <c r="B547" s="38" t="str">
        <f>IF(ISNONTEXT(deployment_raw[[#This Row],[Column2]]), "", deployment_raw[[#This Row],[Column2]])</f>
        <v/>
      </c>
      <c r="C547" s="38" t="str">
        <f>IF(ISNONTEXT(deployment_raw[[#This Row],[Column3]]), "", deployment_raw[[#This Row],[Column3]])</f>
        <v/>
      </c>
      <c r="D547" s="38" t="str">
        <f>IF(ISNONTEXT(deployment_raw[[#This Row],[Column4]]), "", deployment_raw[[#This Row],[Column4]])</f>
        <v/>
      </c>
      <c r="E547" s="39" t="str">
        <f>IF(ISNUMBER(deployment_raw[[#This Row],[Column5]]), deployment_raw[[#This Row],[Column5]],"")</f>
        <v/>
      </c>
      <c r="F547" s="174" t="str">
        <f>IF(ISNUMBER(deployment_raw[[#This Row],[Column6]]), (deployment_raw[[#This Row],[Column6]] * deployment_raw[[#This Row],[Column5]]),"")</f>
        <v/>
      </c>
      <c r="G547" s="175" t="str">
        <f>IF(ISNUMBER(deployment_raw[[#This Row],[Column7]]), (deployment_raw[[#This Row],[Column7]] * deployment_raw[[#This Row],[Column5]])/1048576,"")</f>
        <v/>
      </c>
      <c r="H547" s="175" t="str">
        <f>IF(ISNUMBER(deployment_raw[[#This Row],[Column8]]), (deployment_raw[[#This Row],[Column8]]  * deployment_raw[[#This Row],[Column5]]),"")</f>
        <v/>
      </c>
      <c r="I547" s="176" t="str">
        <f>IF(ISNUMBER(deployment_raw[[#This Row],[Column9]]), (deployment_raw[[#This Row],[Column9]] * deployment_raw[[#This Row],[Column5]])/1048576,"")</f>
        <v/>
      </c>
      <c r="J547" s="57" t="str">
        <f>IF(ISNUMBER(deployment_raw[[#This Row],[Column10]]), (deployment_raw[[#This Row],[Column10]] * deployment_raw[[#This Row],[Column5]]),"")</f>
        <v/>
      </c>
      <c r="K547" s="58" t="str">
        <f>IF(ISNUMBER(deployment_raw[[#This Row],[Column11]]), (deployment_raw[[#This Row],[Column11]] * deployment_raw[[#This Row],[Column5]])/1048576,"")</f>
        <v/>
      </c>
      <c r="L547" s="180" t="str">
        <f>IF(ISNUMBER(deployment_raw[[#This Row],[Column8]]),IF(deployment_raw[[#This Row],[Column5]] &lt;&gt; 0, MAX((deployment_raw[[#This Row],[Column12]] * deployment_raw[[#This Row],[Column5]]), ((deployment_raw[[#This Row],[Column8]] * deployment_raw[[#This Row],[Column5]]) * $L$2), ($H$2 * deployment_raw[[#This Row],[Column5]])), 0),"")</f>
        <v/>
      </c>
      <c r="M54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47" s="188" t="str">
        <f>IF(ISNUMBER(deployment_raw[[#This Row],[Column14]]), deployment_raw[[#This Row],[Column14]],"")</f>
        <v/>
      </c>
      <c r="O547" s="189" t="str">
        <f>IF(ISNUMBER(deployment_raw[[#This Row],[Column15]]), deployment_raw[[#This Row],[Column15]]/1048576,"")</f>
        <v/>
      </c>
      <c r="P547" s="190" t="str">
        <f>IF(ISNUMBER(deployment_raw[[#This Row],[Column12]]), (deployment_raw[[#This Row],[Column12]] * deployment_raw[[#This Row],[Column5]]),"")</f>
        <v/>
      </c>
      <c r="Q547" s="189" t="str">
        <f>IF(ISNUMBER(deployment_raw[[#This Row],[Column13]]), (deployment_raw[[#This Row],[Column13]] * deployment_raw[[#This Row],[Column5]])/1048576,"")</f>
        <v/>
      </c>
    </row>
    <row r="548" spans="1:17" ht="15.75" customHeight="1" x14ac:dyDescent="0.25">
      <c r="A548" s="37" t="str">
        <f>IF(ISNONTEXT(deployment_raw[[#This Row],[Column1]]), "", deployment_raw[[#This Row],[Column1]])</f>
        <v/>
      </c>
      <c r="B548" s="38" t="str">
        <f>IF(ISNONTEXT(deployment_raw[[#This Row],[Column2]]), "", deployment_raw[[#This Row],[Column2]])</f>
        <v/>
      </c>
      <c r="C548" s="38" t="str">
        <f>IF(ISNONTEXT(deployment_raw[[#This Row],[Column3]]), "", deployment_raw[[#This Row],[Column3]])</f>
        <v/>
      </c>
      <c r="D548" s="38" t="str">
        <f>IF(ISNONTEXT(deployment_raw[[#This Row],[Column4]]), "", deployment_raw[[#This Row],[Column4]])</f>
        <v/>
      </c>
      <c r="E548" s="39" t="str">
        <f>IF(ISNUMBER(deployment_raw[[#This Row],[Column5]]), deployment_raw[[#This Row],[Column5]],"")</f>
        <v/>
      </c>
      <c r="F548" s="174" t="str">
        <f>IF(ISNUMBER(deployment_raw[[#This Row],[Column6]]), (deployment_raw[[#This Row],[Column6]] * deployment_raw[[#This Row],[Column5]]),"")</f>
        <v/>
      </c>
      <c r="G548" s="175" t="str">
        <f>IF(ISNUMBER(deployment_raw[[#This Row],[Column7]]), (deployment_raw[[#This Row],[Column7]] * deployment_raw[[#This Row],[Column5]])/1048576,"")</f>
        <v/>
      </c>
      <c r="H548" s="175" t="str">
        <f>IF(ISNUMBER(deployment_raw[[#This Row],[Column8]]), (deployment_raw[[#This Row],[Column8]]  * deployment_raw[[#This Row],[Column5]]),"")</f>
        <v/>
      </c>
      <c r="I548" s="176" t="str">
        <f>IF(ISNUMBER(deployment_raw[[#This Row],[Column9]]), (deployment_raw[[#This Row],[Column9]] * deployment_raw[[#This Row],[Column5]])/1048576,"")</f>
        <v/>
      </c>
      <c r="J548" s="57" t="str">
        <f>IF(ISNUMBER(deployment_raw[[#This Row],[Column10]]), (deployment_raw[[#This Row],[Column10]] * deployment_raw[[#This Row],[Column5]]),"")</f>
        <v/>
      </c>
      <c r="K548" s="58" t="str">
        <f>IF(ISNUMBER(deployment_raw[[#This Row],[Column11]]), (deployment_raw[[#This Row],[Column11]] * deployment_raw[[#This Row],[Column5]])/1048576,"")</f>
        <v/>
      </c>
      <c r="L548" s="180" t="str">
        <f>IF(ISNUMBER(deployment_raw[[#This Row],[Column8]]),IF(deployment_raw[[#This Row],[Column5]] &lt;&gt; 0, MAX((deployment_raw[[#This Row],[Column12]] * deployment_raw[[#This Row],[Column5]]), ((deployment_raw[[#This Row],[Column8]] * deployment_raw[[#This Row],[Column5]]) * $L$2), ($H$2 * deployment_raw[[#This Row],[Column5]])), 0),"")</f>
        <v/>
      </c>
      <c r="M54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48" s="188" t="str">
        <f>IF(ISNUMBER(deployment_raw[[#This Row],[Column14]]), deployment_raw[[#This Row],[Column14]],"")</f>
        <v/>
      </c>
      <c r="O548" s="189" t="str">
        <f>IF(ISNUMBER(deployment_raw[[#This Row],[Column15]]), deployment_raw[[#This Row],[Column15]]/1048576,"")</f>
        <v/>
      </c>
      <c r="P548" s="190" t="str">
        <f>IF(ISNUMBER(deployment_raw[[#This Row],[Column12]]), (deployment_raw[[#This Row],[Column12]] * deployment_raw[[#This Row],[Column5]]),"")</f>
        <v/>
      </c>
      <c r="Q548" s="189" t="str">
        <f>IF(ISNUMBER(deployment_raw[[#This Row],[Column13]]), (deployment_raw[[#This Row],[Column13]] * deployment_raw[[#This Row],[Column5]])/1048576,"")</f>
        <v/>
      </c>
    </row>
    <row r="549" spans="1:17" ht="15.75" customHeight="1" x14ac:dyDescent="0.25">
      <c r="A549" s="37" t="str">
        <f>IF(ISNONTEXT(deployment_raw[[#This Row],[Column1]]), "", deployment_raw[[#This Row],[Column1]])</f>
        <v/>
      </c>
      <c r="B549" s="38" t="str">
        <f>IF(ISNONTEXT(deployment_raw[[#This Row],[Column2]]), "", deployment_raw[[#This Row],[Column2]])</f>
        <v/>
      </c>
      <c r="C549" s="38" t="str">
        <f>IF(ISNONTEXT(deployment_raw[[#This Row],[Column3]]), "", deployment_raw[[#This Row],[Column3]])</f>
        <v/>
      </c>
      <c r="D549" s="38" t="str">
        <f>IF(ISNONTEXT(deployment_raw[[#This Row],[Column4]]), "", deployment_raw[[#This Row],[Column4]])</f>
        <v/>
      </c>
      <c r="E549" s="39" t="str">
        <f>IF(ISNUMBER(deployment_raw[[#This Row],[Column5]]), deployment_raw[[#This Row],[Column5]],"")</f>
        <v/>
      </c>
      <c r="F549" s="174" t="str">
        <f>IF(ISNUMBER(deployment_raw[[#This Row],[Column6]]), (deployment_raw[[#This Row],[Column6]] * deployment_raw[[#This Row],[Column5]]),"")</f>
        <v/>
      </c>
      <c r="G549" s="175" t="str">
        <f>IF(ISNUMBER(deployment_raw[[#This Row],[Column7]]), (deployment_raw[[#This Row],[Column7]] * deployment_raw[[#This Row],[Column5]])/1048576,"")</f>
        <v/>
      </c>
      <c r="H549" s="175" t="str">
        <f>IF(ISNUMBER(deployment_raw[[#This Row],[Column8]]), (deployment_raw[[#This Row],[Column8]]  * deployment_raw[[#This Row],[Column5]]),"")</f>
        <v/>
      </c>
      <c r="I549" s="176" t="str">
        <f>IF(ISNUMBER(deployment_raw[[#This Row],[Column9]]), (deployment_raw[[#This Row],[Column9]] * deployment_raw[[#This Row],[Column5]])/1048576,"")</f>
        <v/>
      </c>
      <c r="J549" s="57" t="str">
        <f>IF(ISNUMBER(deployment_raw[[#This Row],[Column10]]), (deployment_raw[[#This Row],[Column10]] * deployment_raw[[#This Row],[Column5]]),"")</f>
        <v/>
      </c>
      <c r="K549" s="58" t="str">
        <f>IF(ISNUMBER(deployment_raw[[#This Row],[Column11]]), (deployment_raw[[#This Row],[Column11]] * deployment_raw[[#This Row],[Column5]])/1048576,"")</f>
        <v/>
      </c>
      <c r="L549" s="180" t="str">
        <f>IF(ISNUMBER(deployment_raw[[#This Row],[Column8]]),IF(deployment_raw[[#This Row],[Column5]] &lt;&gt; 0, MAX((deployment_raw[[#This Row],[Column12]] * deployment_raw[[#This Row],[Column5]]), ((deployment_raw[[#This Row],[Column8]] * deployment_raw[[#This Row],[Column5]]) * $L$2), ($H$2 * deployment_raw[[#This Row],[Column5]])), 0),"")</f>
        <v/>
      </c>
      <c r="M54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49" s="188" t="str">
        <f>IF(ISNUMBER(deployment_raw[[#This Row],[Column14]]), deployment_raw[[#This Row],[Column14]],"")</f>
        <v/>
      </c>
      <c r="O549" s="189" t="str">
        <f>IF(ISNUMBER(deployment_raw[[#This Row],[Column15]]), deployment_raw[[#This Row],[Column15]]/1048576,"")</f>
        <v/>
      </c>
      <c r="P549" s="190" t="str">
        <f>IF(ISNUMBER(deployment_raw[[#This Row],[Column12]]), (deployment_raw[[#This Row],[Column12]] * deployment_raw[[#This Row],[Column5]]),"")</f>
        <v/>
      </c>
      <c r="Q549" s="189" t="str">
        <f>IF(ISNUMBER(deployment_raw[[#This Row],[Column13]]), (deployment_raw[[#This Row],[Column13]] * deployment_raw[[#This Row],[Column5]])/1048576,"")</f>
        <v/>
      </c>
    </row>
    <row r="550" spans="1:17" ht="15.75" customHeight="1" x14ac:dyDescent="0.25">
      <c r="A550" s="37" t="str">
        <f>IF(ISNONTEXT(deployment_raw[[#This Row],[Column1]]), "", deployment_raw[[#This Row],[Column1]])</f>
        <v/>
      </c>
      <c r="B550" s="38" t="str">
        <f>IF(ISNONTEXT(deployment_raw[[#This Row],[Column2]]), "", deployment_raw[[#This Row],[Column2]])</f>
        <v/>
      </c>
      <c r="C550" s="38" t="str">
        <f>IF(ISNONTEXT(deployment_raw[[#This Row],[Column3]]), "", deployment_raw[[#This Row],[Column3]])</f>
        <v/>
      </c>
      <c r="D550" s="38" t="str">
        <f>IF(ISNONTEXT(deployment_raw[[#This Row],[Column4]]), "", deployment_raw[[#This Row],[Column4]])</f>
        <v/>
      </c>
      <c r="E550" s="39" t="str">
        <f>IF(ISNUMBER(deployment_raw[[#This Row],[Column5]]), deployment_raw[[#This Row],[Column5]],"")</f>
        <v/>
      </c>
      <c r="F550" s="174" t="str">
        <f>IF(ISNUMBER(deployment_raw[[#This Row],[Column6]]), (deployment_raw[[#This Row],[Column6]] * deployment_raw[[#This Row],[Column5]]),"")</f>
        <v/>
      </c>
      <c r="G550" s="175" t="str">
        <f>IF(ISNUMBER(deployment_raw[[#This Row],[Column7]]), (deployment_raw[[#This Row],[Column7]] * deployment_raw[[#This Row],[Column5]])/1048576,"")</f>
        <v/>
      </c>
      <c r="H550" s="175" t="str">
        <f>IF(ISNUMBER(deployment_raw[[#This Row],[Column8]]), (deployment_raw[[#This Row],[Column8]]  * deployment_raw[[#This Row],[Column5]]),"")</f>
        <v/>
      </c>
      <c r="I550" s="176" t="str">
        <f>IF(ISNUMBER(deployment_raw[[#This Row],[Column9]]), (deployment_raw[[#This Row],[Column9]] * deployment_raw[[#This Row],[Column5]])/1048576,"")</f>
        <v/>
      </c>
      <c r="J550" s="57" t="str">
        <f>IF(ISNUMBER(deployment_raw[[#This Row],[Column10]]), (deployment_raw[[#This Row],[Column10]] * deployment_raw[[#This Row],[Column5]]),"")</f>
        <v/>
      </c>
      <c r="K550" s="58" t="str">
        <f>IF(ISNUMBER(deployment_raw[[#This Row],[Column11]]), (deployment_raw[[#This Row],[Column11]] * deployment_raw[[#This Row],[Column5]])/1048576,"")</f>
        <v/>
      </c>
      <c r="L550" s="180" t="str">
        <f>IF(ISNUMBER(deployment_raw[[#This Row],[Column8]]),IF(deployment_raw[[#This Row],[Column5]] &lt;&gt; 0, MAX((deployment_raw[[#This Row],[Column12]] * deployment_raw[[#This Row],[Column5]]), ((deployment_raw[[#This Row],[Column8]] * deployment_raw[[#This Row],[Column5]]) * $L$2), ($H$2 * deployment_raw[[#This Row],[Column5]])), 0),"")</f>
        <v/>
      </c>
      <c r="M55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50" s="188" t="str">
        <f>IF(ISNUMBER(deployment_raw[[#This Row],[Column14]]), deployment_raw[[#This Row],[Column14]],"")</f>
        <v/>
      </c>
      <c r="O550" s="189" t="str">
        <f>IF(ISNUMBER(deployment_raw[[#This Row],[Column15]]), deployment_raw[[#This Row],[Column15]]/1048576,"")</f>
        <v/>
      </c>
      <c r="P550" s="190" t="str">
        <f>IF(ISNUMBER(deployment_raw[[#This Row],[Column12]]), (deployment_raw[[#This Row],[Column12]] * deployment_raw[[#This Row],[Column5]]),"")</f>
        <v/>
      </c>
      <c r="Q550" s="189" t="str">
        <f>IF(ISNUMBER(deployment_raw[[#This Row],[Column13]]), (deployment_raw[[#This Row],[Column13]] * deployment_raw[[#This Row],[Column5]])/1048576,"")</f>
        <v/>
      </c>
    </row>
    <row r="551" spans="1:17" ht="15.75" customHeight="1" x14ac:dyDescent="0.25">
      <c r="A551" s="37" t="str">
        <f>IF(ISNONTEXT(deployment_raw[[#This Row],[Column1]]), "", deployment_raw[[#This Row],[Column1]])</f>
        <v/>
      </c>
      <c r="B551" s="38" t="str">
        <f>IF(ISNONTEXT(deployment_raw[[#This Row],[Column2]]), "", deployment_raw[[#This Row],[Column2]])</f>
        <v/>
      </c>
      <c r="C551" s="38" t="str">
        <f>IF(ISNONTEXT(deployment_raw[[#This Row],[Column3]]), "", deployment_raw[[#This Row],[Column3]])</f>
        <v/>
      </c>
      <c r="D551" s="38" t="str">
        <f>IF(ISNONTEXT(deployment_raw[[#This Row],[Column4]]), "", deployment_raw[[#This Row],[Column4]])</f>
        <v/>
      </c>
      <c r="E551" s="39" t="str">
        <f>IF(ISNUMBER(deployment_raw[[#This Row],[Column5]]), deployment_raw[[#This Row],[Column5]],"")</f>
        <v/>
      </c>
      <c r="F551" s="174" t="str">
        <f>IF(ISNUMBER(deployment_raw[[#This Row],[Column6]]), (deployment_raw[[#This Row],[Column6]] * deployment_raw[[#This Row],[Column5]]),"")</f>
        <v/>
      </c>
      <c r="G551" s="175" t="str">
        <f>IF(ISNUMBER(deployment_raw[[#This Row],[Column7]]), (deployment_raw[[#This Row],[Column7]] * deployment_raw[[#This Row],[Column5]])/1048576,"")</f>
        <v/>
      </c>
      <c r="H551" s="175" t="str">
        <f>IF(ISNUMBER(deployment_raw[[#This Row],[Column8]]), (deployment_raw[[#This Row],[Column8]]  * deployment_raw[[#This Row],[Column5]]),"")</f>
        <v/>
      </c>
      <c r="I551" s="176" t="str">
        <f>IF(ISNUMBER(deployment_raw[[#This Row],[Column9]]), (deployment_raw[[#This Row],[Column9]] * deployment_raw[[#This Row],[Column5]])/1048576,"")</f>
        <v/>
      </c>
      <c r="J551" s="57" t="str">
        <f>IF(ISNUMBER(deployment_raw[[#This Row],[Column10]]), (deployment_raw[[#This Row],[Column10]] * deployment_raw[[#This Row],[Column5]]),"")</f>
        <v/>
      </c>
      <c r="K551" s="58" t="str">
        <f>IF(ISNUMBER(deployment_raw[[#This Row],[Column11]]), (deployment_raw[[#This Row],[Column11]] * deployment_raw[[#This Row],[Column5]])/1048576,"")</f>
        <v/>
      </c>
      <c r="L551" s="180" t="str">
        <f>IF(ISNUMBER(deployment_raw[[#This Row],[Column8]]),IF(deployment_raw[[#This Row],[Column5]] &lt;&gt; 0, MAX((deployment_raw[[#This Row],[Column12]] * deployment_raw[[#This Row],[Column5]]), ((deployment_raw[[#This Row],[Column8]] * deployment_raw[[#This Row],[Column5]]) * $L$2), ($H$2 * deployment_raw[[#This Row],[Column5]])), 0),"")</f>
        <v/>
      </c>
      <c r="M55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51" s="188" t="str">
        <f>IF(ISNUMBER(deployment_raw[[#This Row],[Column14]]), deployment_raw[[#This Row],[Column14]],"")</f>
        <v/>
      </c>
      <c r="O551" s="189" t="str">
        <f>IF(ISNUMBER(deployment_raw[[#This Row],[Column15]]), deployment_raw[[#This Row],[Column15]]/1048576,"")</f>
        <v/>
      </c>
      <c r="P551" s="190" t="str">
        <f>IF(ISNUMBER(deployment_raw[[#This Row],[Column12]]), (deployment_raw[[#This Row],[Column12]] * deployment_raw[[#This Row],[Column5]]),"")</f>
        <v/>
      </c>
      <c r="Q551" s="189" t="str">
        <f>IF(ISNUMBER(deployment_raw[[#This Row],[Column13]]), (deployment_raw[[#This Row],[Column13]] * deployment_raw[[#This Row],[Column5]])/1048576,"")</f>
        <v/>
      </c>
    </row>
    <row r="552" spans="1:17" ht="15.75" customHeight="1" x14ac:dyDescent="0.25">
      <c r="A552" s="37" t="str">
        <f>IF(ISNONTEXT(deployment_raw[[#This Row],[Column1]]), "", deployment_raw[[#This Row],[Column1]])</f>
        <v/>
      </c>
      <c r="B552" s="38" t="str">
        <f>IF(ISNONTEXT(deployment_raw[[#This Row],[Column2]]), "", deployment_raw[[#This Row],[Column2]])</f>
        <v/>
      </c>
      <c r="C552" s="38" t="str">
        <f>IF(ISNONTEXT(deployment_raw[[#This Row],[Column3]]), "", deployment_raw[[#This Row],[Column3]])</f>
        <v/>
      </c>
      <c r="D552" s="38" t="str">
        <f>IF(ISNONTEXT(deployment_raw[[#This Row],[Column4]]), "", deployment_raw[[#This Row],[Column4]])</f>
        <v/>
      </c>
      <c r="E552" s="39" t="str">
        <f>IF(ISNUMBER(deployment_raw[[#This Row],[Column5]]), deployment_raw[[#This Row],[Column5]],"")</f>
        <v/>
      </c>
      <c r="F552" s="174" t="str">
        <f>IF(ISNUMBER(deployment_raw[[#This Row],[Column6]]), (deployment_raw[[#This Row],[Column6]] * deployment_raw[[#This Row],[Column5]]),"")</f>
        <v/>
      </c>
      <c r="G552" s="175" t="str">
        <f>IF(ISNUMBER(deployment_raw[[#This Row],[Column7]]), (deployment_raw[[#This Row],[Column7]] * deployment_raw[[#This Row],[Column5]])/1048576,"")</f>
        <v/>
      </c>
      <c r="H552" s="175" t="str">
        <f>IF(ISNUMBER(deployment_raw[[#This Row],[Column8]]), (deployment_raw[[#This Row],[Column8]]  * deployment_raw[[#This Row],[Column5]]),"")</f>
        <v/>
      </c>
      <c r="I552" s="176" t="str">
        <f>IF(ISNUMBER(deployment_raw[[#This Row],[Column9]]), (deployment_raw[[#This Row],[Column9]] * deployment_raw[[#This Row],[Column5]])/1048576,"")</f>
        <v/>
      </c>
      <c r="J552" s="57" t="str">
        <f>IF(ISNUMBER(deployment_raw[[#This Row],[Column10]]), (deployment_raw[[#This Row],[Column10]] * deployment_raw[[#This Row],[Column5]]),"")</f>
        <v/>
      </c>
      <c r="K552" s="58" t="str">
        <f>IF(ISNUMBER(deployment_raw[[#This Row],[Column11]]), (deployment_raw[[#This Row],[Column11]] * deployment_raw[[#This Row],[Column5]])/1048576,"")</f>
        <v/>
      </c>
      <c r="L552" s="180" t="str">
        <f>IF(ISNUMBER(deployment_raw[[#This Row],[Column8]]),IF(deployment_raw[[#This Row],[Column5]] &lt;&gt; 0, MAX((deployment_raw[[#This Row],[Column12]] * deployment_raw[[#This Row],[Column5]]), ((deployment_raw[[#This Row],[Column8]] * deployment_raw[[#This Row],[Column5]]) * $L$2), ($H$2 * deployment_raw[[#This Row],[Column5]])), 0),"")</f>
        <v/>
      </c>
      <c r="M55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52" s="188" t="str">
        <f>IF(ISNUMBER(deployment_raw[[#This Row],[Column14]]), deployment_raw[[#This Row],[Column14]],"")</f>
        <v/>
      </c>
      <c r="O552" s="189" t="str">
        <f>IF(ISNUMBER(deployment_raw[[#This Row],[Column15]]), deployment_raw[[#This Row],[Column15]]/1048576,"")</f>
        <v/>
      </c>
      <c r="P552" s="190" t="str">
        <f>IF(ISNUMBER(deployment_raw[[#This Row],[Column12]]), (deployment_raw[[#This Row],[Column12]] * deployment_raw[[#This Row],[Column5]]),"")</f>
        <v/>
      </c>
      <c r="Q552" s="189" t="str">
        <f>IF(ISNUMBER(deployment_raw[[#This Row],[Column13]]), (deployment_raw[[#This Row],[Column13]] * deployment_raw[[#This Row],[Column5]])/1048576,"")</f>
        <v/>
      </c>
    </row>
    <row r="553" spans="1:17" ht="15.75" customHeight="1" x14ac:dyDescent="0.25">
      <c r="A553" s="37" t="str">
        <f>IF(ISNONTEXT(deployment_raw[[#This Row],[Column1]]), "", deployment_raw[[#This Row],[Column1]])</f>
        <v/>
      </c>
      <c r="B553" s="38" t="str">
        <f>IF(ISNONTEXT(deployment_raw[[#This Row],[Column2]]), "", deployment_raw[[#This Row],[Column2]])</f>
        <v/>
      </c>
      <c r="C553" s="38" t="str">
        <f>IF(ISNONTEXT(deployment_raw[[#This Row],[Column3]]), "", deployment_raw[[#This Row],[Column3]])</f>
        <v/>
      </c>
      <c r="D553" s="38" t="str">
        <f>IF(ISNONTEXT(deployment_raw[[#This Row],[Column4]]), "", deployment_raw[[#This Row],[Column4]])</f>
        <v/>
      </c>
      <c r="E553" s="39" t="str">
        <f>IF(ISNUMBER(deployment_raw[[#This Row],[Column5]]), deployment_raw[[#This Row],[Column5]],"")</f>
        <v/>
      </c>
      <c r="F553" s="174" t="str">
        <f>IF(ISNUMBER(deployment_raw[[#This Row],[Column6]]), (deployment_raw[[#This Row],[Column6]] * deployment_raw[[#This Row],[Column5]]),"")</f>
        <v/>
      </c>
      <c r="G553" s="175" t="str">
        <f>IF(ISNUMBER(deployment_raw[[#This Row],[Column7]]), (deployment_raw[[#This Row],[Column7]] * deployment_raw[[#This Row],[Column5]])/1048576,"")</f>
        <v/>
      </c>
      <c r="H553" s="175" t="str">
        <f>IF(ISNUMBER(deployment_raw[[#This Row],[Column8]]), (deployment_raw[[#This Row],[Column8]]  * deployment_raw[[#This Row],[Column5]]),"")</f>
        <v/>
      </c>
      <c r="I553" s="176" t="str">
        <f>IF(ISNUMBER(deployment_raw[[#This Row],[Column9]]), (deployment_raw[[#This Row],[Column9]] * deployment_raw[[#This Row],[Column5]])/1048576,"")</f>
        <v/>
      </c>
      <c r="J553" s="57" t="str">
        <f>IF(ISNUMBER(deployment_raw[[#This Row],[Column10]]), (deployment_raw[[#This Row],[Column10]] * deployment_raw[[#This Row],[Column5]]),"")</f>
        <v/>
      </c>
      <c r="K553" s="58" t="str">
        <f>IF(ISNUMBER(deployment_raw[[#This Row],[Column11]]), (deployment_raw[[#This Row],[Column11]] * deployment_raw[[#This Row],[Column5]])/1048576,"")</f>
        <v/>
      </c>
      <c r="L553" s="180" t="str">
        <f>IF(ISNUMBER(deployment_raw[[#This Row],[Column8]]),IF(deployment_raw[[#This Row],[Column5]] &lt;&gt; 0, MAX((deployment_raw[[#This Row],[Column12]] * deployment_raw[[#This Row],[Column5]]), ((deployment_raw[[#This Row],[Column8]] * deployment_raw[[#This Row],[Column5]]) * $L$2), ($H$2 * deployment_raw[[#This Row],[Column5]])), 0),"")</f>
        <v/>
      </c>
      <c r="M55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53" s="188" t="str">
        <f>IF(ISNUMBER(deployment_raw[[#This Row],[Column14]]), deployment_raw[[#This Row],[Column14]],"")</f>
        <v/>
      </c>
      <c r="O553" s="189" t="str">
        <f>IF(ISNUMBER(deployment_raw[[#This Row],[Column15]]), deployment_raw[[#This Row],[Column15]]/1048576,"")</f>
        <v/>
      </c>
      <c r="P553" s="190" t="str">
        <f>IF(ISNUMBER(deployment_raw[[#This Row],[Column12]]), (deployment_raw[[#This Row],[Column12]] * deployment_raw[[#This Row],[Column5]]),"")</f>
        <v/>
      </c>
      <c r="Q553" s="189" t="str">
        <f>IF(ISNUMBER(deployment_raw[[#This Row],[Column13]]), (deployment_raw[[#This Row],[Column13]] * deployment_raw[[#This Row],[Column5]])/1048576,"")</f>
        <v/>
      </c>
    </row>
    <row r="554" spans="1:17" ht="15.75" customHeight="1" x14ac:dyDescent="0.25">
      <c r="A554" s="37" t="str">
        <f>IF(ISNONTEXT(deployment_raw[[#This Row],[Column1]]), "", deployment_raw[[#This Row],[Column1]])</f>
        <v/>
      </c>
      <c r="B554" s="38" t="str">
        <f>IF(ISNONTEXT(deployment_raw[[#This Row],[Column2]]), "", deployment_raw[[#This Row],[Column2]])</f>
        <v/>
      </c>
      <c r="C554" s="38" t="str">
        <f>IF(ISNONTEXT(deployment_raw[[#This Row],[Column3]]), "", deployment_raw[[#This Row],[Column3]])</f>
        <v/>
      </c>
      <c r="D554" s="38" t="str">
        <f>IF(ISNONTEXT(deployment_raw[[#This Row],[Column4]]), "", deployment_raw[[#This Row],[Column4]])</f>
        <v/>
      </c>
      <c r="E554" s="39" t="str">
        <f>IF(ISNUMBER(deployment_raw[[#This Row],[Column5]]), deployment_raw[[#This Row],[Column5]],"")</f>
        <v/>
      </c>
      <c r="F554" s="174" t="str">
        <f>IF(ISNUMBER(deployment_raw[[#This Row],[Column6]]), (deployment_raw[[#This Row],[Column6]] * deployment_raw[[#This Row],[Column5]]),"")</f>
        <v/>
      </c>
      <c r="G554" s="175" t="str">
        <f>IF(ISNUMBER(deployment_raw[[#This Row],[Column7]]), (deployment_raw[[#This Row],[Column7]] * deployment_raw[[#This Row],[Column5]])/1048576,"")</f>
        <v/>
      </c>
      <c r="H554" s="175" t="str">
        <f>IF(ISNUMBER(deployment_raw[[#This Row],[Column8]]), (deployment_raw[[#This Row],[Column8]]  * deployment_raw[[#This Row],[Column5]]),"")</f>
        <v/>
      </c>
      <c r="I554" s="176" t="str">
        <f>IF(ISNUMBER(deployment_raw[[#This Row],[Column9]]), (deployment_raw[[#This Row],[Column9]] * deployment_raw[[#This Row],[Column5]])/1048576,"")</f>
        <v/>
      </c>
      <c r="J554" s="57" t="str">
        <f>IF(ISNUMBER(deployment_raw[[#This Row],[Column10]]), (deployment_raw[[#This Row],[Column10]] * deployment_raw[[#This Row],[Column5]]),"")</f>
        <v/>
      </c>
      <c r="K554" s="58" t="str">
        <f>IF(ISNUMBER(deployment_raw[[#This Row],[Column11]]), (deployment_raw[[#This Row],[Column11]] * deployment_raw[[#This Row],[Column5]])/1048576,"")</f>
        <v/>
      </c>
      <c r="L554" s="180" t="str">
        <f>IF(ISNUMBER(deployment_raw[[#This Row],[Column8]]),IF(deployment_raw[[#This Row],[Column5]] &lt;&gt; 0, MAX((deployment_raw[[#This Row],[Column12]] * deployment_raw[[#This Row],[Column5]]), ((deployment_raw[[#This Row],[Column8]] * deployment_raw[[#This Row],[Column5]]) * $L$2), ($H$2 * deployment_raw[[#This Row],[Column5]])), 0),"")</f>
        <v/>
      </c>
      <c r="M55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54" s="188" t="str">
        <f>IF(ISNUMBER(deployment_raw[[#This Row],[Column14]]), deployment_raw[[#This Row],[Column14]],"")</f>
        <v/>
      </c>
      <c r="O554" s="189" t="str">
        <f>IF(ISNUMBER(deployment_raw[[#This Row],[Column15]]), deployment_raw[[#This Row],[Column15]]/1048576,"")</f>
        <v/>
      </c>
      <c r="P554" s="190" t="str">
        <f>IF(ISNUMBER(deployment_raw[[#This Row],[Column12]]), (deployment_raw[[#This Row],[Column12]] * deployment_raw[[#This Row],[Column5]]),"")</f>
        <v/>
      </c>
      <c r="Q554" s="189" t="str">
        <f>IF(ISNUMBER(deployment_raw[[#This Row],[Column13]]), (deployment_raw[[#This Row],[Column13]] * deployment_raw[[#This Row],[Column5]])/1048576,"")</f>
        <v/>
      </c>
    </row>
    <row r="555" spans="1:17" ht="15.75" customHeight="1" x14ac:dyDescent="0.25">
      <c r="A555" s="37" t="str">
        <f>IF(ISNONTEXT(deployment_raw[[#This Row],[Column1]]), "", deployment_raw[[#This Row],[Column1]])</f>
        <v/>
      </c>
      <c r="B555" s="38" t="str">
        <f>IF(ISNONTEXT(deployment_raw[[#This Row],[Column2]]), "", deployment_raw[[#This Row],[Column2]])</f>
        <v/>
      </c>
      <c r="C555" s="38" t="str">
        <f>IF(ISNONTEXT(deployment_raw[[#This Row],[Column3]]), "", deployment_raw[[#This Row],[Column3]])</f>
        <v/>
      </c>
      <c r="D555" s="38" t="str">
        <f>IF(ISNONTEXT(deployment_raw[[#This Row],[Column4]]), "", deployment_raw[[#This Row],[Column4]])</f>
        <v/>
      </c>
      <c r="E555" s="39" t="str">
        <f>IF(ISNUMBER(deployment_raw[[#This Row],[Column5]]), deployment_raw[[#This Row],[Column5]],"")</f>
        <v/>
      </c>
      <c r="F555" s="174" t="str">
        <f>IF(ISNUMBER(deployment_raw[[#This Row],[Column6]]), (deployment_raw[[#This Row],[Column6]] * deployment_raw[[#This Row],[Column5]]),"")</f>
        <v/>
      </c>
      <c r="G555" s="175" t="str">
        <f>IF(ISNUMBER(deployment_raw[[#This Row],[Column7]]), (deployment_raw[[#This Row],[Column7]] * deployment_raw[[#This Row],[Column5]])/1048576,"")</f>
        <v/>
      </c>
      <c r="H555" s="175" t="str">
        <f>IF(ISNUMBER(deployment_raw[[#This Row],[Column8]]), (deployment_raw[[#This Row],[Column8]]  * deployment_raw[[#This Row],[Column5]]),"")</f>
        <v/>
      </c>
      <c r="I555" s="176" t="str">
        <f>IF(ISNUMBER(deployment_raw[[#This Row],[Column9]]), (deployment_raw[[#This Row],[Column9]] * deployment_raw[[#This Row],[Column5]])/1048576,"")</f>
        <v/>
      </c>
      <c r="J555" s="57" t="str">
        <f>IF(ISNUMBER(deployment_raw[[#This Row],[Column10]]), (deployment_raw[[#This Row],[Column10]] * deployment_raw[[#This Row],[Column5]]),"")</f>
        <v/>
      </c>
      <c r="K555" s="58" t="str">
        <f>IF(ISNUMBER(deployment_raw[[#This Row],[Column11]]), (deployment_raw[[#This Row],[Column11]] * deployment_raw[[#This Row],[Column5]])/1048576,"")</f>
        <v/>
      </c>
      <c r="L555" s="180" t="str">
        <f>IF(ISNUMBER(deployment_raw[[#This Row],[Column8]]),IF(deployment_raw[[#This Row],[Column5]] &lt;&gt; 0, MAX((deployment_raw[[#This Row],[Column12]] * deployment_raw[[#This Row],[Column5]]), ((deployment_raw[[#This Row],[Column8]] * deployment_raw[[#This Row],[Column5]]) * $L$2), ($H$2 * deployment_raw[[#This Row],[Column5]])), 0),"")</f>
        <v/>
      </c>
      <c r="M55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55" s="188" t="str">
        <f>IF(ISNUMBER(deployment_raw[[#This Row],[Column14]]), deployment_raw[[#This Row],[Column14]],"")</f>
        <v/>
      </c>
      <c r="O555" s="189" t="str">
        <f>IF(ISNUMBER(deployment_raw[[#This Row],[Column15]]), deployment_raw[[#This Row],[Column15]]/1048576,"")</f>
        <v/>
      </c>
      <c r="P555" s="190" t="str">
        <f>IF(ISNUMBER(deployment_raw[[#This Row],[Column12]]), (deployment_raw[[#This Row],[Column12]] * deployment_raw[[#This Row],[Column5]]),"")</f>
        <v/>
      </c>
      <c r="Q555" s="189" t="str">
        <f>IF(ISNUMBER(deployment_raw[[#This Row],[Column13]]), (deployment_raw[[#This Row],[Column13]] * deployment_raw[[#This Row],[Column5]])/1048576,"")</f>
        <v/>
      </c>
    </row>
    <row r="556" spans="1:17" ht="15.75" customHeight="1" x14ac:dyDescent="0.25">
      <c r="A556" s="37" t="str">
        <f>IF(ISNONTEXT(deployment_raw[[#This Row],[Column1]]), "", deployment_raw[[#This Row],[Column1]])</f>
        <v/>
      </c>
      <c r="B556" s="38" t="str">
        <f>IF(ISNONTEXT(deployment_raw[[#This Row],[Column2]]), "", deployment_raw[[#This Row],[Column2]])</f>
        <v/>
      </c>
      <c r="C556" s="38" t="str">
        <f>IF(ISNONTEXT(deployment_raw[[#This Row],[Column3]]), "", deployment_raw[[#This Row],[Column3]])</f>
        <v/>
      </c>
      <c r="D556" s="38" t="str">
        <f>IF(ISNONTEXT(deployment_raw[[#This Row],[Column4]]), "", deployment_raw[[#This Row],[Column4]])</f>
        <v/>
      </c>
      <c r="E556" s="39" t="str">
        <f>IF(ISNUMBER(deployment_raw[[#This Row],[Column5]]), deployment_raw[[#This Row],[Column5]],"")</f>
        <v/>
      </c>
      <c r="F556" s="174" t="str">
        <f>IF(ISNUMBER(deployment_raw[[#This Row],[Column6]]), (deployment_raw[[#This Row],[Column6]] * deployment_raw[[#This Row],[Column5]]),"")</f>
        <v/>
      </c>
      <c r="G556" s="175" t="str">
        <f>IF(ISNUMBER(deployment_raw[[#This Row],[Column7]]), (deployment_raw[[#This Row],[Column7]] * deployment_raw[[#This Row],[Column5]])/1048576,"")</f>
        <v/>
      </c>
      <c r="H556" s="175" t="str">
        <f>IF(ISNUMBER(deployment_raw[[#This Row],[Column8]]), (deployment_raw[[#This Row],[Column8]]  * deployment_raw[[#This Row],[Column5]]),"")</f>
        <v/>
      </c>
      <c r="I556" s="176" t="str">
        <f>IF(ISNUMBER(deployment_raw[[#This Row],[Column9]]), (deployment_raw[[#This Row],[Column9]] * deployment_raw[[#This Row],[Column5]])/1048576,"")</f>
        <v/>
      </c>
      <c r="J556" s="57" t="str">
        <f>IF(ISNUMBER(deployment_raw[[#This Row],[Column10]]), (deployment_raw[[#This Row],[Column10]] * deployment_raw[[#This Row],[Column5]]),"")</f>
        <v/>
      </c>
      <c r="K556" s="58" t="str">
        <f>IF(ISNUMBER(deployment_raw[[#This Row],[Column11]]), (deployment_raw[[#This Row],[Column11]] * deployment_raw[[#This Row],[Column5]])/1048576,"")</f>
        <v/>
      </c>
      <c r="L556" s="180" t="str">
        <f>IF(ISNUMBER(deployment_raw[[#This Row],[Column8]]),IF(deployment_raw[[#This Row],[Column5]] &lt;&gt; 0, MAX((deployment_raw[[#This Row],[Column12]] * deployment_raw[[#This Row],[Column5]]), ((deployment_raw[[#This Row],[Column8]] * deployment_raw[[#This Row],[Column5]]) * $L$2), ($H$2 * deployment_raw[[#This Row],[Column5]])), 0),"")</f>
        <v/>
      </c>
      <c r="M55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56" s="188" t="str">
        <f>IF(ISNUMBER(deployment_raw[[#This Row],[Column14]]), deployment_raw[[#This Row],[Column14]],"")</f>
        <v/>
      </c>
      <c r="O556" s="189" t="str">
        <f>IF(ISNUMBER(deployment_raw[[#This Row],[Column15]]), deployment_raw[[#This Row],[Column15]]/1048576,"")</f>
        <v/>
      </c>
      <c r="P556" s="190" t="str">
        <f>IF(ISNUMBER(deployment_raw[[#This Row],[Column12]]), (deployment_raw[[#This Row],[Column12]] * deployment_raw[[#This Row],[Column5]]),"")</f>
        <v/>
      </c>
      <c r="Q556" s="189" t="str">
        <f>IF(ISNUMBER(deployment_raw[[#This Row],[Column13]]), (deployment_raw[[#This Row],[Column13]] * deployment_raw[[#This Row],[Column5]])/1048576,"")</f>
        <v/>
      </c>
    </row>
    <row r="557" spans="1:17" ht="15.75" customHeight="1" x14ac:dyDescent="0.25">
      <c r="A557" s="37" t="str">
        <f>IF(ISNONTEXT(deployment_raw[[#This Row],[Column1]]), "", deployment_raw[[#This Row],[Column1]])</f>
        <v/>
      </c>
      <c r="B557" s="38" t="str">
        <f>IF(ISNONTEXT(deployment_raw[[#This Row],[Column2]]), "", deployment_raw[[#This Row],[Column2]])</f>
        <v/>
      </c>
      <c r="C557" s="38" t="str">
        <f>IF(ISNONTEXT(deployment_raw[[#This Row],[Column3]]), "", deployment_raw[[#This Row],[Column3]])</f>
        <v/>
      </c>
      <c r="D557" s="38" t="str">
        <f>IF(ISNONTEXT(deployment_raw[[#This Row],[Column4]]), "", deployment_raw[[#This Row],[Column4]])</f>
        <v/>
      </c>
      <c r="E557" s="39" t="str">
        <f>IF(ISNUMBER(deployment_raw[[#This Row],[Column5]]), deployment_raw[[#This Row],[Column5]],"")</f>
        <v/>
      </c>
      <c r="F557" s="174" t="str">
        <f>IF(ISNUMBER(deployment_raw[[#This Row],[Column6]]), (deployment_raw[[#This Row],[Column6]] * deployment_raw[[#This Row],[Column5]]),"")</f>
        <v/>
      </c>
      <c r="G557" s="175" t="str">
        <f>IF(ISNUMBER(deployment_raw[[#This Row],[Column7]]), (deployment_raw[[#This Row],[Column7]] * deployment_raw[[#This Row],[Column5]])/1048576,"")</f>
        <v/>
      </c>
      <c r="H557" s="175" t="str">
        <f>IF(ISNUMBER(deployment_raw[[#This Row],[Column8]]), (deployment_raw[[#This Row],[Column8]]  * deployment_raw[[#This Row],[Column5]]),"")</f>
        <v/>
      </c>
      <c r="I557" s="176" t="str">
        <f>IF(ISNUMBER(deployment_raw[[#This Row],[Column9]]), (deployment_raw[[#This Row],[Column9]] * deployment_raw[[#This Row],[Column5]])/1048576,"")</f>
        <v/>
      </c>
      <c r="J557" s="57" t="str">
        <f>IF(ISNUMBER(deployment_raw[[#This Row],[Column10]]), (deployment_raw[[#This Row],[Column10]] * deployment_raw[[#This Row],[Column5]]),"")</f>
        <v/>
      </c>
      <c r="K557" s="58" t="str">
        <f>IF(ISNUMBER(deployment_raw[[#This Row],[Column11]]), (deployment_raw[[#This Row],[Column11]] * deployment_raw[[#This Row],[Column5]])/1048576,"")</f>
        <v/>
      </c>
      <c r="L557" s="180" t="str">
        <f>IF(ISNUMBER(deployment_raw[[#This Row],[Column8]]),IF(deployment_raw[[#This Row],[Column5]] &lt;&gt; 0, MAX((deployment_raw[[#This Row],[Column12]] * deployment_raw[[#This Row],[Column5]]), ((deployment_raw[[#This Row],[Column8]] * deployment_raw[[#This Row],[Column5]]) * $L$2), ($H$2 * deployment_raw[[#This Row],[Column5]])), 0),"")</f>
        <v/>
      </c>
      <c r="M55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57" s="188" t="str">
        <f>IF(ISNUMBER(deployment_raw[[#This Row],[Column14]]), deployment_raw[[#This Row],[Column14]],"")</f>
        <v/>
      </c>
      <c r="O557" s="189" t="str">
        <f>IF(ISNUMBER(deployment_raw[[#This Row],[Column15]]), deployment_raw[[#This Row],[Column15]]/1048576,"")</f>
        <v/>
      </c>
      <c r="P557" s="190" t="str">
        <f>IF(ISNUMBER(deployment_raw[[#This Row],[Column12]]), (deployment_raw[[#This Row],[Column12]] * deployment_raw[[#This Row],[Column5]]),"")</f>
        <v/>
      </c>
      <c r="Q557" s="189" t="str">
        <f>IF(ISNUMBER(deployment_raw[[#This Row],[Column13]]), (deployment_raw[[#This Row],[Column13]] * deployment_raw[[#This Row],[Column5]])/1048576,"")</f>
        <v/>
      </c>
    </row>
    <row r="558" spans="1:17" ht="15.75" customHeight="1" x14ac:dyDescent="0.25">
      <c r="A558" s="37" t="str">
        <f>IF(ISNONTEXT(deployment_raw[[#This Row],[Column1]]), "", deployment_raw[[#This Row],[Column1]])</f>
        <v/>
      </c>
      <c r="B558" s="38" t="str">
        <f>IF(ISNONTEXT(deployment_raw[[#This Row],[Column2]]), "", deployment_raw[[#This Row],[Column2]])</f>
        <v/>
      </c>
      <c r="C558" s="38" t="str">
        <f>IF(ISNONTEXT(deployment_raw[[#This Row],[Column3]]), "", deployment_raw[[#This Row],[Column3]])</f>
        <v/>
      </c>
      <c r="D558" s="38" t="str">
        <f>IF(ISNONTEXT(deployment_raw[[#This Row],[Column4]]), "", deployment_raw[[#This Row],[Column4]])</f>
        <v/>
      </c>
      <c r="E558" s="39" t="str">
        <f>IF(ISNUMBER(deployment_raw[[#This Row],[Column5]]), deployment_raw[[#This Row],[Column5]],"")</f>
        <v/>
      </c>
      <c r="F558" s="174" t="str">
        <f>IF(ISNUMBER(deployment_raw[[#This Row],[Column6]]), (deployment_raw[[#This Row],[Column6]] * deployment_raw[[#This Row],[Column5]]),"")</f>
        <v/>
      </c>
      <c r="G558" s="175" t="str">
        <f>IF(ISNUMBER(deployment_raw[[#This Row],[Column7]]), (deployment_raw[[#This Row],[Column7]] * deployment_raw[[#This Row],[Column5]])/1048576,"")</f>
        <v/>
      </c>
      <c r="H558" s="175" t="str">
        <f>IF(ISNUMBER(deployment_raw[[#This Row],[Column8]]), (deployment_raw[[#This Row],[Column8]]  * deployment_raw[[#This Row],[Column5]]),"")</f>
        <v/>
      </c>
      <c r="I558" s="176" t="str">
        <f>IF(ISNUMBER(deployment_raw[[#This Row],[Column9]]), (deployment_raw[[#This Row],[Column9]] * deployment_raw[[#This Row],[Column5]])/1048576,"")</f>
        <v/>
      </c>
      <c r="J558" s="57" t="str">
        <f>IF(ISNUMBER(deployment_raw[[#This Row],[Column10]]), (deployment_raw[[#This Row],[Column10]] * deployment_raw[[#This Row],[Column5]]),"")</f>
        <v/>
      </c>
      <c r="K558" s="58" t="str">
        <f>IF(ISNUMBER(deployment_raw[[#This Row],[Column11]]), (deployment_raw[[#This Row],[Column11]] * deployment_raw[[#This Row],[Column5]])/1048576,"")</f>
        <v/>
      </c>
      <c r="L558" s="180" t="str">
        <f>IF(ISNUMBER(deployment_raw[[#This Row],[Column8]]),IF(deployment_raw[[#This Row],[Column5]] &lt;&gt; 0, MAX((deployment_raw[[#This Row],[Column12]] * deployment_raw[[#This Row],[Column5]]), ((deployment_raw[[#This Row],[Column8]] * deployment_raw[[#This Row],[Column5]]) * $L$2), ($H$2 * deployment_raw[[#This Row],[Column5]])), 0),"")</f>
        <v/>
      </c>
      <c r="M55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58" s="188" t="str">
        <f>IF(ISNUMBER(deployment_raw[[#This Row],[Column14]]), deployment_raw[[#This Row],[Column14]],"")</f>
        <v/>
      </c>
      <c r="O558" s="189" t="str">
        <f>IF(ISNUMBER(deployment_raw[[#This Row],[Column15]]), deployment_raw[[#This Row],[Column15]]/1048576,"")</f>
        <v/>
      </c>
      <c r="P558" s="190" t="str">
        <f>IF(ISNUMBER(deployment_raw[[#This Row],[Column12]]), (deployment_raw[[#This Row],[Column12]] * deployment_raw[[#This Row],[Column5]]),"")</f>
        <v/>
      </c>
      <c r="Q558" s="189" t="str">
        <f>IF(ISNUMBER(deployment_raw[[#This Row],[Column13]]), (deployment_raw[[#This Row],[Column13]] * deployment_raw[[#This Row],[Column5]])/1048576,"")</f>
        <v/>
      </c>
    </row>
    <row r="559" spans="1:17" ht="15.75" customHeight="1" x14ac:dyDescent="0.25">
      <c r="A559" s="37" t="str">
        <f>IF(ISNONTEXT(deployment_raw[[#This Row],[Column1]]), "", deployment_raw[[#This Row],[Column1]])</f>
        <v/>
      </c>
      <c r="B559" s="38" t="str">
        <f>IF(ISNONTEXT(deployment_raw[[#This Row],[Column2]]), "", deployment_raw[[#This Row],[Column2]])</f>
        <v/>
      </c>
      <c r="C559" s="38" t="str">
        <f>IF(ISNONTEXT(deployment_raw[[#This Row],[Column3]]), "", deployment_raw[[#This Row],[Column3]])</f>
        <v/>
      </c>
      <c r="D559" s="38" t="str">
        <f>IF(ISNONTEXT(deployment_raw[[#This Row],[Column4]]), "", deployment_raw[[#This Row],[Column4]])</f>
        <v/>
      </c>
      <c r="E559" s="39" t="str">
        <f>IF(ISNUMBER(deployment_raw[[#This Row],[Column5]]), deployment_raw[[#This Row],[Column5]],"")</f>
        <v/>
      </c>
      <c r="F559" s="174" t="str">
        <f>IF(ISNUMBER(deployment_raw[[#This Row],[Column6]]), (deployment_raw[[#This Row],[Column6]] * deployment_raw[[#This Row],[Column5]]),"")</f>
        <v/>
      </c>
      <c r="G559" s="175" t="str">
        <f>IF(ISNUMBER(deployment_raw[[#This Row],[Column7]]), (deployment_raw[[#This Row],[Column7]] * deployment_raw[[#This Row],[Column5]])/1048576,"")</f>
        <v/>
      </c>
      <c r="H559" s="175" t="str">
        <f>IF(ISNUMBER(deployment_raw[[#This Row],[Column8]]), (deployment_raw[[#This Row],[Column8]]  * deployment_raw[[#This Row],[Column5]]),"")</f>
        <v/>
      </c>
      <c r="I559" s="176" t="str">
        <f>IF(ISNUMBER(deployment_raw[[#This Row],[Column9]]), (deployment_raw[[#This Row],[Column9]] * deployment_raw[[#This Row],[Column5]])/1048576,"")</f>
        <v/>
      </c>
      <c r="J559" s="57" t="str">
        <f>IF(ISNUMBER(deployment_raw[[#This Row],[Column10]]), (deployment_raw[[#This Row],[Column10]] * deployment_raw[[#This Row],[Column5]]),"")</f>
        <v/>
      </c>
      <c r="K559" s="58" t="str">
        <f>IF(ISNUMBER(deployment_raw[[#This Row],[Column11]]), (deployment_raw[[#This Row],[Column11]] * deployment_raw[[#This Row],[Column5]])/1048576,"")</f>
        <v/>
      </c>
      <c r="L559" s="180" t="str">
        <f>IF(ISNUMBER(deployment_raw[[#This Row],[Column8]]),IF(deployment_raw[[#This Row],[Column5]] &lt;&gt; 0, MAX((deployment_raw[[#This Row],[Column12]] * deployment_raw[[#This Row],[Column5]]), ((deployment_raw[[#This Row],[Column8]] * deployment_raw[[#This Row],[Column5]]) * $L$2), ($H$2 * deployment_raw[[#This Row],[Column5]])), 0),"")</f>
        <v/>
      </c>
      <c r="M55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59" s="188" t="str">
        <f>IF(ISNUMBER(deployment_raw[[#This Row],[Column14]]), deployment_raw[[#This Row],[Column14]],"")</f>
        <v/>
      </c>
      <c r="O559" s="189" t="str">
        <f>IF(ISNUMBER(deployment_raw[[#This Row],[Column15]]), deployment_raw[[#This Row],[Column15]]/1048576,"")</f>
        <v/>
      </c>
      <c r="P559" s="190" t="str">
        <f>IF(ISNUMBER(deployment_raw[[#This Row],[Column12]]), (deployment_raw[[#This Row],[Column12]] * deployment_raw[[#This Row],[Column5]]),"")</f>
        <v/>
      </c>
      <c r="Q559" s="189" t="str">
        <f>IF(ISNUMBER(deployment_raw[[#This Row],[Column13]]), (deployment_raw[[#This Row],[Column13]] * deployment_raw[[#This Row],[Column5]])/1048576,"")</f>
        <v/>
      </c>
    </row>
    <row r="560" spans="1:17" ht="15.75" customHeight="1" x14ac:dyDescent="0.25">
      <c r="A560" s="37" t="str">
        <f>IF(ISNONTEXT(deployment_raw[[#This Row],[Column1]]), "", deployment_raw[[#This Row],[Column1]])</f>
        <v/>
      </c>
      <c r="B560" s="38" t="str">
        <f>IF(ISNONTEXT(deployment_raw[[#This Row],[Column2]]), "", deployment_raw[[#This Row],[Column2]])</f>
        <v/>
      </c>
      <c r="C560" s="38" t="str">
        <f>IF(ISNONTEXT(deployment_raw[[#This Row],[Column3]]), "", deployment_raw[[#This Row],[Column3]])</f>
        <v/>
      </c>
      <c r="D560" s="38" t="str">
        <f>IF(ISNONTEXT(deployment_raw[[#This Row],[Column4]]), "", deployment_raw[[#This Row],[Column4]])</f>
        <v/>
      </c>
      <c r="E560" s="39" t="str">
        <f>IF(ISNUMBER(deployment_raw[[#This Row],[Column5]]), deployment_raw[[#This Row],[Column5]],"")</f>
        <v/>
      </c>
      <c r="F560" s="174" t="str">
        <f>IF(ISNUMBER(deployment_raw[[#This Row],[Column6]]), (deployment_raw[[#This Row],[Column6]] * deployment_raw[[#This Row],[Column5]]),"")</f>
        <v/>
      </c>
      <c r="G560" s="175" t="str">
        <f>IF(ISNUMBER(deployment_raw[[#This Row],[Column7]]), (deployment_raw[[#This Row],[Column7]] * deployment_raw[[#This Row],[Column5]])/1048576,"")</f>
        <v/>
      </c>
      <c r="H560" s="175" t="str">
        <f>IF(ISNUMBER(deployment_raw[[#This Row],[Column8]]), (deployment_raw[[#This Row],[Column8]]  * deployment_raw[[#This Row],[Column5]]),"")</f>
        <v/>
      </c>
      <c r="I560" s="176" t="str">
        <f>IF(ISNUMBER(deployment_raw[[#This Row],[Column9]]), (deployment_raw[[#This Row],[Column9]] * deployment_raw[[#This Row],[Column5]])/1048576,"")</f>
        <v/>
      </c>
      <c r="J560" s="57" t="str">
        <f>IF(ISNUMBER(deployment_raw[[#This Row],[Column10]]), (deployment_raw[[#This Row],[Column10]] * deployment_raw[[#This Row],[Column5]]),"")</f>
        <v/>
      </c>
      <c r="K560" s="58" t="str">
        <f>IF(ISNUMBER(deployment_raw[[#This Row],[Column11]]), (deployment_raw[[#This Row],[Column11]] * deployment_raw[[#This Row],[Column5]])/1048576,"")</f>
        <v/>
      </c>
      <c r="L560" s="180" t="str">
        <f>IF(ISNUMBER(deployment_raw[[#This Row],[Column8]]),IF(deployment_raw[[#This Row],[Column5]] &lt;&gt; 0, MAX((deployment_raw[[#This Row],[Column12]] * deployment_raw[[#This Row],[Column5]]), ((deployment_raw[[#This Row],[Column8]] * deployment_raw[[#This Row],[Column5]]) * $L$2), ($H$2 * deployment_raw[[#This Row],[Column5]])), 0),"")</f>
        <v/>
      </c>
      <c r="M56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60" s="188" t="str">
        <f>IF(ISNUMBER(deployment_raw[[#This Row],[Column14]]), deployment_raw[[#This Row],[Column14]],"")</f>
        <v/>
      </c>
      <c r="O560" s="189" t="str">
        <f>IF(ISNUMBER(deployment_raw[[#This Row],[Column15]]), deployment_raw[[#This Row],[Column15]]/1048576,"")</f>
        <v/>
      </c>
      <c r="P560" s="190" t="str">
        <f>IF(ISNUMBER(deployment_raw[[#This Row],[Column12]]), (deployment_raw[[#This Row],[Column12]] * deployment_raw[[#This Row],[Column5]]),"")</f>
        <v/>
      </c>
      <c r="Q560" s="189" t="str">
        <f>IF(ISNUMBER(deployment_raw[[#This Row],[Column13]]), (deployment_raw[[#This Row],[Column13]] * deployment_raw[[#This Row],[Column5]])/1048576,"")</f>
        <v/>
      </c>
    </row>
    <row r="561" spans="1:17" ht="15.75" customHeight="1" x14ac:dyDescent="0.25">
      <c r="A561" s="37" t="str">
        <f>IF(ISNONTEXT(deployment_raw[[#This Row],[Column1]]), "", deployment_raw[[#This Row],[Column1]])</f>
        <v/>
      </c>
      <c r="B561" s="38" t="str">
        <f>IF(ISNONTEXT(deployment_raw[[#This Row],[Column2]]), "", deployment_raw[[#This Row],[Column2]])</f>
        <v/>
      </c>
      <c r="C561" s="38" t="str">
        <f>IF(ISNONTEXT(deployment_raw[[#This Row],[Column3]]), "", deployment_raw[[#This Row],[Column3]])</f>
        <v/>
      </c>
      <c r="D561" s="38" t="str">
        <f>IF(ISNONTEXT(deployment_raw[[#This Row],[Column4]]), "", deployment_raw[[#This Row],[Column4]])</f>
        <v/>
      </c>
      <c r="E561" s="39" t="str">
        <f>IF(ISNUMBER(deployment_raw[[#This Row],[Column5]]), deployment_raw[[#This Row],[Column5]],"")</f>
        <v/>
      </c>
      <c r="F561" s="174" t="str">
        <f>IF(ISNUMBER(deployment_raw[[#This Row],[Column6]]), (deployment_raw[[#This Row],[Column6]] * deployment_raw[[#This Row],[Column5]]),"")</f>
        <v/>
      </c>
      <c r="G561" s="175" t="str">
        <f>IF(ISNUMBER(deployment_raw[[#This Row],[Column7]]), (deployment_raw[[#This Row],[Column7]] * deployment_raw[[#This Row],[Column5]])/1048576,"")</f>
        <v/>
      </c>
      <c r="H561" s="175" t="str">
        <f>IF(ISNUMBER(deployment_raw[[#This Row],[Column8]]), (deployment_raw[[#This Row],[Column8]]  * deployment_raw[[#This Row],[Column5]]),"")</f>
        <v/>
      </c>
      <c r="I561" s="176" t="str">
        <f>IF(ISNUMBER(deployment_raw[[#This Row],[Column9]]), (deployment_raw[[#This Row],[Column9]] * deployment_raw[[#This Row],[Column5]])/1048576,"")</f>
        <v/>
      </c>
      <c r="J561" s="57" t="str">
        <f>IF(ISNUMBER(deployment_raw[[#This Row],[Column10]]), (deployment_raw[[#This Row],[Column10]] * deployment_raw[[#This Row],[Column5]]),"")</f>
        <v/>
      </c>
      <c r="K561" s="58" t="str">
        <f>IF(ISNUMBER(deployment_raw[[#This Row],[Column11]]), (deployment_raw[[#This Row],[Column11]] * deployment_raw[[#This Row],[Column5]])/1048576,"")</f>
        <v/>
      </c>
      <c r="L561" s="180" t="str">
        <f>IF(ISNUMBER(deployment_raw[[#This Row],[Column8]]),IF(deployment_raw[[#This Row],[Column5]] &lt;&gt; 0, MAX((deployment_raw[[#This Row],[Column12]] * deployment_raw[[#This Row],[Column5]]), ((deployment_raw[[#This Row],[Column8]] * deployment_raw[[#This Row],[Column5]]) * $L$2), ($H$2 * deployment_raw[[#This Row],[Column5]])), 0),"")</f>
        <v/>
      </c>
      <c r="M56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61" s="188" t="str">
        <f>IF(ISNUMBER(deployment_raw[[#This Row],[Column14]]), deployment_raw[[#This Row],[Column14]],"")</f>
        <v/>
      </c>
      <c r="O561" s="189" t="str">
        <f>IF(ISNUMBER(deployment_raw[[#This Row],[Column15]]), deployment_raw[[#This Row],[Column15]]/1048576,"")</f>
        <v/>
      </c>
      <c r="P561" s="190" t="str">
        <f>IF(ISNUMBER(deployment_raw[[#This Row],[Column12]]), (deployment_raw[[#This Row],[Column12]] * deployment_raw[[#This Row],[Column5]]),"")</f>
        <v/>
      </c>
      <c r="Q561" s="189" t="str">
        <f>IF(ISNUMBER(deployment_raw[[#This Row],[Column13]]), (deployment_raw[[#This Row],[Column13]] * deployment_raw[[#This Row],[Column5]])/1048576,"")</f>
        <v/>
      </c>
    </row>
    <row r="562" spans="1:17" ht="15.75" customHeight="1" x14ac:dyDescent="0.25">
      <c r="A562" s="37" t="str">
        <f>IF(ISNONTEXT(deployment_raw[[#This Row],[Column1]]), "", deployment_raw[[#This Row],[Column1]])</f>
        <v/>
      </c>
      <c r="B562" s="38" t="str">
        <f>IF(ISNONTEXT(deployment_raw[[#This Row],[Column2]]), "", deployment_raw[[#This Row],[Column2]])</f>
        <v/>
      </c>
      <c r="C562" s="38" t="str">
        <f>IF(ISNONTEXT(deployment_raw[[#This Row],[Column3]]), "", deployment_raw[[#This Row],[Column3]])</f>
        <v/>
      </c>
      <c r="D562" s="38" t="str">
        <f>IF(ISNONTEXT(deployment_raw[[#This Row],[Column4]]), "", deployment_raw[[#This Row],[Column4]])</f>
        <v/>
      </c>
      <c r="E562" s="39" t="str">
        <f>IF(ISNUMBER(deployment_raw[[#This Row],[Column5]]), deployment_raw[[#This Row],[Column5]],"")</f>
        <v/>
      </c>
      <c r="F562" s="174" t="str">
        <f>IF(ISNUMBER(deployment_raw[[#This Row],[Column6]]), (deployment_raw[[#This Row],[Column6]] * deployment_raw[[#This Row],[Column5]]),"")</f>
        <v/>
      </c>
      <c r="G562" s="175" t="str">
        <f>IF(ISNUMBER(deployment_raw[[#This Row],[Column7]]), (deployment_raw[[#This Row],[Column7]] * deployment_raw[[#This Row],[Column5]])/1048576,"")</f>
        <v/>
      </c>
      <c r="H562" s="175" t="str">
        <f>IF(ISNUMBER(deployment_raw[[#This Row],[Column8]]), (deployment_raw[[#This Row],[Column8]]  * deployment_raw[[#This Row],[Column5]]),"")</f>
        <v/>
      </c>
      <c r="I562" s="176" t="str">
        <f>IF(ISNUMBER(deployment_raw[[#This Row],[Column9]]), (deployment_raw[[#This Row],[Column9]] * deployment_raw[[#This Row],[Column5]])/1048576,"")</f>
        <v/>
      </c>
      <c r="J562" s="57" t="str">
        <f>IF(ISNUMBER(deployment_raw[[#This Row],[Column10]]), (deployment_raw[[#This Row],[Column10]] * deployment_raw[[#This Row],[Column5]]),"")</f>
        <v/>
      </c>
      <c r="K562" s="58" t="str">
        <f>IF(ISNUMBER(deployment_raw[[#This Row],[Column11]]), (deployment_raw[[#This Row],[Column11]] * deployment_raw[[#This Row],[Column5]])/1048576,"")</f>
        <v/>
      </c>
      <c r="L562" s="180" t="str">
        <f>IF(ISNUMBER(deployment_raw[[#This Row],[Column8]]),IF(deployment_raw[[#This Row],[Column5]] &lt;&gt; 0, MAX((deployment_raw[[#This Row],[Column12]] * deployment_raw[[#This Row],[Column5]]), ((deployment_raw[[#This Row],[Column8]] * deployment_raw[[#This Row],[Column5]]) * $L$2), ($H$2 * deployment_raw[[#This Row],[Column5]])), 0),"")</f>
        <v/>
      </c>
      <c r="M56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62" s="188" t="str">
        <f>IF(ISNUMBER(deployment_raw[[#This Row],[Column14]]), deployment_raw[[#This Row],[Column14]],"")</f>
        <v/>
      </c>
      <c r="O562" s="189" t="str">
        <f>IF(ISNUMBER(deployment_raw[[#This Row],[Column15]]), deployment_raw[[#This Row],[Column15]]/1048576,"")</f>
        <v/>
      </c>
      <c r="P562" s="190" t="str">
        <f>IF(ISNUMBER(deployment_raw[[#This Row],[Column12]]), (deployment_raw[[#This Row],[Column12]] * deployment_raw[[#This Row],[Column5]]),"")</f>
        <v/>
      </c>
      <c r="Q562" s="189" t="str">
        <f>IF(ISNUMBER(deployment_raw[[#This Row],[Column13]]), (deployment_raw[[#This Row],[Column13]] * deployment_raw[[#This Row],[Column5]])/1048576,"")</f>
        <v/>
      </c>
    </row>
    <row r="563" spans="1:17" ht="15.75" customHeight="1" x14ac:dyDescent="0.25">
      <c r="A563" s="37" t="str">
        <f>IF(ISNONTEXT(deployment_raw[[#This Row],[Column1]]), "", deployment_raw[[#This Row],[Column1]])</f>
        <v/>
      </c>
      <c r="B563" s="38" t="str">
        <f>IF(ISNONTEXT(deployment_raw[[#This Row],[Column2]]), "", deployment_raw[[#This Row],[Column2]])</f>
        <v/>
      </c>
      <c r="C563" s="38" t="str">
        <f>IF(ISNONTEXT(deployment_raw[[#This Row],[Column3]]), "", deployment_raw[[#This Row],[Column3]])</f>
        <v/>
      </c>
      <c r="D563" s="38" t="str">
        <f>IF(ISNONTEXT(deployment_raw[[#This Row],[Column4]]), "", deployment_raw[[#This Row],[Column4]])</f>
        <v/>
      </c>
      <c r="E563" s="39" t="str">
        <f>IF(ISNUMBER(deployment_raw[[#This Row],[Column5]]), deployment_raw[[#This Row],[Column5]],"")</f>
        <v/>
      </c>
      <c r="F563" s="174" t="str">
        <f>IF(ISNUMBER(deployment_raw[[#This Row],[Column6]]), (deployment_raw[[#This Row],[Column6]] * deployment_raw[[#This Row],[Column5]]),"")</f>
        <v/>
      </c>
      <c r="G563" s="175" t="str">
        <f>IF(ISNUMBER(deployment_raw[[#This Row],[Column7]]), (deployment_raw[[#This Row],[Column7]] * deployment_raw[[#This Row],[Column5]])/1048576,"")</f>
        <v/>
      </c>
      <c r="H563" s="175" t="str">
        <f>IF(ISNUMBER(deployment_raw[[#This Row],[Column8]]), (deployment_raw[[#This Row],[Column8]]  * deployment_raw[[#This Row],[Column5]]),"")</f>
        <v/>
      </c>
      <c r="I563" s="176" t="str">
        <f>IF(ISNUMBER(deployment_raw[[#This Row],[Column9]]), (deployment_raw[[#This Row],[Column9]] * deployment_raw[[#This Row],[Column5]])/1048576,"")</f>
        <v/>
      </c>
      <c r="J563" s="57" t="str">
        <f>IF(ISNUMBER(deployment_raw[[#This Row],[Column10]]), (deployment_raw[[#This Row],[Column10]] * deployment_raw[[#This Row],[Column5]]),"")</f>
        <v/>
      </c>
      <c r="K563" s="58" t="str">
        <f>IF(ISNUMBER(deployment_raw[[#This Row],[Column11]]), (deployment_raw[[#This Row],[Column11]] * deployment_raw[[#This Row],[Column5]])/1048576,"")</f>
        <v/>
      </c>
      <c r="L563" s="180" t="str">
        <f>IF(ISNUMBER(deployment_raw[[#This Row],[Column8]]),IF(deployment_raw[[#This Row],[Column5]] &lt;&gt; 0, MAX((deployment_raw[[#This Row],[Column12]] * deployment_raw[[#This Row],[Column5]]), ((deployment_raw[[#This Row],[Column8]] * deployment_raw[[#This Row],[Column5]]) * $L$2), ($H$2 * deployment_raw[[#This Row],[Column5]])), 0),"")</f>
        <v/>
      </c>
      <c r="M56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63" s="188" t="str">
        <f>IF(ISNUMBER(deployment_raw[[#This Row],[Column14]]), deployment_raw[[#This Row],[Column14]],"")</f>
        <v/>
      </c>
      <c r="O563" s="189" t="str">
        <f>IF(ISNUMBER(deployment_raw[[#This Row],[Column15]]), deployment_raw[[#This Row],[Column15]]/1048576,"")</f>
        <v/>
      </c>
      <c r="P563" s="190" t="str">
        <f>IF(ISNUMBER(deployment_raw[[#This Row],[Column12]]), (deployment_raw[[#This Row],[Column12]] * deployment_raw[[#This Row],[Column5]]),"")</f>
        <v/>
      </c>
      <c r="Q563" s="189" t="str">
        <f>IF(ISNUMBER(deployment_raw[[#This Row],[Column13]]), (deployment_raw[[#This Row],[Column13]] * deployment_raw[[#This Row],[Column5]])/1048576,"")</f>
        <v/>
      </c>
    </row>
    <row r="564" spans="1:17" ht="15.75" customHeight="1" x14ac:dyDescent="0.25">
      <c r="A564" s="37" t="str">
        <f>IF(ISNONTEXT(deployment_raw[[#This Row],[Column1]]), "", deployment_raw[[#This Row],[Column1]])</f>
        <v/>
      </c>
      <c r="B564" s="38" t="str">
        <f>IF(ISNONTEXT(deployment_raw[[#This Row],[Column2]]), "", deployment_raw[[#This Row],[Column2]])</f>
        <v/>
      </c>
      <c r="C564" s="38" t="str">
        <f>IF(ISNONTEXT(deployment_raw[[#This Row],[Column3]]), "", deployment_raw[[#This Row],[Column3]])</f>
        <v/>
      </c>
      <c r="D564" s="38" t="str">
        <f>IF(ISNONTEXT(deployment_raw[[#This Row],[Column4]]), "", deployment_raw[[#This Row],[Column4]])</f>
        <v/>
      </c>
      <c r="E564" s="39" t="str">
        <f>IF(ISNUMBER(deployment_raw[[#This Row],[Column5]]), deployment_raw[[#This Row],[Column5]],"")</f>
        <v/>
      </c>
      <c r="F564" s="174" t="str">
        <f>IF(ISNUMBER(deployment_raw[[#This Row],[Column6]]), (deployment_raw[[#This Row],[Column6]] * deployment_raw[[#This Row],[Column5]]),"")</f>
        <v/>
      </c>
      <c r="G564" s="175" t="str">
        <f>IF(ISNUMBER(deployment_raw[[#This Row],[Column7]]), (deployment_raw[[#This Row],[Column7]] * deployment_raw[[#This Row],[Column5]])/1048576,"")</f>
        <v/>
      </c>
      <c r="H564" s="175" t="str">
        <f>IF(ISNUMBER(deployment_raw[[#This Row],[Column8]]), (deployment_raw[[#This Row],[Column8]]  * deployment_raw[[#This Row],[Column5]]),"")</f>
        <v/>
      </c>
      <c r="I564" s="176" t="str">
        <f>IF(ISNUMBER(deployment_raw[[#This Row],[Column9]]), (deployment_raw[[#This Row],[Column9]] * deployment_raw[[#This Row],[Column5]])/1048576,"")</f>
        <v/>
      </c>
      <c r="J564" s="57" t="str">
        <f>IF(ISNUMBER(deployment_raw[[#This Row],[Column10]]), (deployment_raw[[#This Row],[Column10]] * deployment_raw[[#This Row],[Column5]]),"")</f>
        <v/>
      </c>
      <c r="K564" s="58" t="str">
        <f>IF(ISNUMBER(deployment_raw[[#This Row],[Column11]]), (deployment_raw[[#This Row],[Column11]] * deployment_raw[[#This Row],[Column5]])/1048576,"")</f>
        <v/>
      </c>
      <c r="L564" s="180" t="str">
        <f>IF(ISNUMBER(deployment_raw[[#This Row],[Column8]]),IF(deployment_raw[[#This Row],[Column5]] &lt;&gt; 0, MAX((deployment_raw[[#This Row],[Column12]] * deployment_raw[[#This Row],[Column5]]), ((deployment_raw[[#This Row],[Column8]] * deployment_raw[[#This Row],[Column5]]) * $L$2), ($H$2 * deployment_raw[[#This Row],[Column5]])), 0),"")</f>
        <v/>
      </c>
      <c r="M56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64" s="188" t="str">
        <f>IF(ISNUMBER(deployment_raw[[#This Row],[Column14]]), deployment_raw[[#This Row],[Column14]],"")</f>
        <v/>
      </c>
      <c r="O564" s="189" t="str">
        <f>IF(ISNUMBER(deployment_raw[[#This Row],[Column15]]), deployment_raw[[#This Row],[Column15]]/1048576,"")</f>
        <v/>
      </c>
      <c r="P564" s="190" t="str">
        <f>IF(ISNUMBER(deployment_raw[[#This Row],[Column12]]), (deployment_raw[[#This Row],[Column12]] * deployment_raw[[#This Row],[Column5]]),"")</f>
        <v/>
      </c>
      <c r="Q564" s="189" t="str">
        <f>IF(ISNUMBER(deployment_raw[[#This Row],[Column13]]), (deployment_raw[[#This Row],[Column13]] * deployment_raw[[#This Row],[Column5]])/1048576,"")</f>
        <v/>
      </c>
    </row>
    <row r="565" spans="1:17" ht="15.75" customHeight="1" x14ac:dyDescent="0.25">
      <c r="A565" s="37" t="str">
        <f>IF(ISNONTEXT(deployment_raw[[#This Row],[Column1]]), "", deployment_raw[[#This Row],[Column1]])</f>
        <v/>
      </c>
      <c r="B565" s="38" t="str">
        <f>IF(ISNONTEXT(deployment_raw[[#This Row],[Column2]]), "", deployment_raw[[#This Row],[Column2]])</f>
        <v/>
      </c>
      <c r="C565" s="38" t="str">
        <f>IF(ISNONTEXT(deployment_raw[[#This Row],[Column3]]), "", deployment_raw[[#This Row],[Column3]])</f>
        <v/>
      </c>
      <c r="D565" s="38" t="str">
        <f>IF(ISNONTEXT(deployment_raw[[#This Row],[Column4]]), "", deployment_raw[[#This Row],[Column4]])</f>
        <v/>
      </c>
      <c r="E565" s="39" t="str">
        <f>IF(ISNUMBER(deployment_raw[[#This Row],[Column5]]), deployment_raw[[#This Row],[Column5]],"")</f>
        <v/>
      </c>
      <c r="F565" s="174" t="str">
        <f>IF(ISNUMBER(deployment_raw[[#This Row],[Column6]]), (deployment_raw[[#This Row],[Column6]] * deployment_raw[[#This Row],[Column5]]),"")</f>
        <v/>
      </c>
      <c r="G565" s="175" t="str">
        <f>IF(ISNUMBER(deployment_raw[[#This Row],[Column7]]), (deployment_raw[[#This Row],[Column7]] * deployment_raw[[#This Row],[Column5]])/1048576,"")</f>
        <v/>
      </c>
      <c r="H565" s="175" t="str">
        <f>IF(ISNUMBER(deployment_raw[[#This Row],[Column8]]), (deployment_raw[[#This Row],[Column8]]  * deployment_raw[[#This Row],[Column5]]),"")</f>
        <v/>
      </c>
      <c r="I565" s="176" t="str">
        <f>IF(ISNUMBER(deployment_raw[[#This Row],[Column9]]), (deployment_raw[[#This Row],[Column9]] * deployment_raw[[#This Row],[Column5]])/1048576,"")</f>
        <v/>
      </c>
      <c r="J565" s="57" t="str">
        <f>IF(ISNUMBER(deployment_raw[[#This Row],[Column10]]), (deployment_raw[[#This Row],[Column10]] * deployment_raw[[#This Row],[Column5]]),"")</f>
        <v/>
      </c>
      <c r="K565" s="58" t="str">
        <f>IF(ISNUMBER(deployment_raw[[#This Row],[Column11]]), (deployment_raw[[#This Row],[Column11]] * deployment_raw[[#This Row],[Column5]])/1048576,"")</f>
        <v/>
      </c>
      <c r="L565" s="180" t="str">
        <f>IF(ISNUMBER(deployment_raw[[#This Row],[Column8]]),IF(deployment_raw[[#This Row],[Column5]] &lt;&gt; 0, MAX((deployment_raw[[#This Row],[Column12]] * deployment_raw[[#This Row],[Column5]]), ((deployment_raw[[#This Row],[Column8]] * deployment_raw[[#This Row],[Column5]]) * $L$2), ($H$2 * deployment_raw[[#This Row],[Column5]])), 0),"")</f>
        <v/>
      </c>
      <c r="M56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65" s="188" t="str">
        <f>IF(ISNUMBER(deployment_raw[[#This Row],[Column14]]), deployment_raw[[#This Row],[Column14]],"")</f>
        <v/>
      </c>
      <c r="O565" s="189" t="str">
        <f>IF(ISNUMBER(deployment_raw[[#This Row],[Column15]]), deployment_raw[[#This Row],[Column15]]/1048576,"")</f>
        <v/>
      </c>
      <c r="P565" s="190" t="str">
        <f>IF(ISNUMBER(deployment_raw[[#This Row],[Column12]]), (deployment_raw[[#This Row],[Column12]] * deployment_raw[[#This Row],[Column5]]),"")</f>
        <v/>
      </c>
      <c r="Q565" s="189" t="str">
        <f>IF(ISNUMBER(deployment_raw[[#This Row],[Column13]]), (deployment_raw[[#This Row],[Column13]] * deployment_raw[[#This Row],[Column5]])/1048576,"")</f>
        <v/>
      </c>
    </row>
    <row r="566" spans="1:17" ht="15.75" customHeight="1" x14ac:dyDescent="0.25">
      <c r="A566" s="37" t="str">
        <f>IF(ISNONTEXT(deployment_raw[[#This Row],[Column1]]), "", deployment_raw[[#This Row],[Column1]])</f>
        <v/>
      </c>
      <c r="B566" s="38" t="str">
        <f>IF(ISNONTEXT(deployment_raw[[#This Row],[Column2]]), "", deployment_raw[[#This Row],[Column2]])</f>
        <v/>
      </c>
      <c r="C566" s="38" t="str">
        <f>IF(ISNONTEXT(deployment_raw[[#This Row],[Column3]]), "", deployment_raw[[#This Row],[Column3]])</f>
        <v/>
      </c>
      <c r="D566" s="38" t="str">
        <f>IF(ISNONTEXT(deployment_raw[[#This Row],[Column4]]), "", deployment_raw[[#This Row],[Column4]])</f>
        <v/>
      </c>
      <c r="E566" s="39" t="str">
        <f>IF(ISNUMBER(deployment_raw[[#This Row],[Column5]]), deployment_raw[[#This Row],[Column5]],"")</f>
        <v/>
      </c>
      <c r="F566" s="174" t="str">
        <f>IF(ISNUMBER(deployment_raw[[#This Row],[Column6]]), (deployment_raw[[#This Row],[Column6]] * deployment_raw[[#This Row],[Column5]]),"")</f>
        <v/>
      </c>
      <c r="G566" s="175" t="str">
        <f>IF(ISNUMBER(deployment_raw[[#This Row],[Column7]]), (deployment_raw[[#This Row],[Column7]] * deployment_raw[[#This Row],[Column5]])/1048576,"")</f>
        <v/>
      </c>
      <c r="H566" s="175" t="str">
        <f>IF(ISNUMBER(deployment_raw[[#This Row],[Column8]]), (deployment_raw[[#This Row],[Column8]]  * deployment_raw[[#This Row],[Column5]]),"")</f>
        <v/>
      </c>
      <c r="I566" s="176" t="str">
        <f>IF(ISNUMBER(deployment_raw[[#This Row],[Column9]]), (deployment_raw[[#This Row],[Column9]] * deployment_raw[[#This Row],[Column5]])/1048576,"")</f>
        <v/>
      </c>
      <c r="J566" s="57" t="str">
        <f>IF(ISNUMBER(deployment_raw[[#This Row],[Column10]]), (deployment_raw[[#This Row],[Column10]] * deployment_raw[[#This Row],[Column5]]),"")</f>
        <v/>
      </c>
      <c r="K566" s="58" t="str">
        <f>IF(ISNUMBER(deployment_raw[[#This Row],[Column11]]), (deployment_raw[[#This Row],[Column11]] * deployment_raw[[#This Row],[Column5]])/1048576,"")</f>
        <v/>
      </c>
      <c r="L566" s="180" t="str">
        <f>IF(ISNUMBER(deployment_raw[[#This Row],[Column8]]),IF(deployment_raw[[#This Row],[Column5]] &lt;&gt; 0, MAX((deployment_raw[[#This Row],[Column12]] * deployment_raw[[#This Row],[Column5]]), ((deployment_raw[[#This Row],[Column8]] * deployment_raw[[#This Row],[Column5]]) * $L$2), ($H$2 * deployment_raw[[#This Row],[Column5]])), 0),"")</f>
        <v/>
      </c>
      <c r="M56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66" s="188" t="str">
        <f>IF(ISNUMBER(deployment_raw[[#This Row],[Column14]]), deployment_raw[[#This Row],[Column14]],"")</f>
        <v/>
      </c>
      <c r="O566" s="189" t="str">
        <f>IF(ISNUMBER(deployment_raw[[#This Row],[Column15]]), deployment_raw[[#This Row],[Column15]]/1048576,"")</f>
        <v/>
      </c>
      <c r="P566" s="190" t="str">
        <f>IF(ISNUMBER(deployment_raw[[#This Row],[Column12]]), (deployment_raw[[#This Row],[Column12]] * deployment_raw[[#This Row],[Column5]]),"")</f>
        <v/>
      </c>
      <c r="Q566" s="189" t="str">
        <f>IF(ISNUMBER(deployment_raw[[#This Row],[Column13]]), (deployment_raw[[#This Row],[Column13]] * deployment_raw[[#This Row],[Column5]])/1048576,"")</f>
        <v/>
      </c>
    </row>
    <row r="567" spans="1:17" ht="15.75" customHeight="1" x14ac:dyDescent="0.25">
      <c r="A567" s="37" t="str">
        <f>IF(ISNONTEXT(deployment_raw[[#This Row],[Column1]]), "", deployment_raw[[#This Row],[Column1]])</f>
        <v/>
      </c>
      <c r="B567" s="38" t="str">
        <f>IF(ISNONTEXT(deployment_raw[[#This Row],[Column2]]), "", deployment_raw[[#This Row],[Column2]])</f>
        <v/>
      </c>
      <c r="C567" s="38" t="str">
        <f>IF(ISNONTEXT(deployment_raw[[#This Row],[Column3]]), "", deployment_raw[[#This Row],[Column3]])</f>
        <v/>
      </c>
      <c r="D567" s="38" t="str">
        <f>IF(ISNONTEXT(deployment_raw[[#This Row],[Column4]]), "", deployment_raw[[#This Row],[Column4]])</f>
        <v/>
      </c>
      <c r="E567" s="39" t="str">
        <f>IF(ISNUMBER(deployment_raw[[#This Row],[Column5]]), deployment_raw[[#This Row],[Column5]],"")</f>
        <v/>
      </c>
      <c r="F567" s="174" t="str">
        <f>IF(ISNUMBER(deployment_raw[[#This Row],[Column6]]), (deployment_raw[[#This Row],[Column6]] * deployment_raw[[#This Row],[Column5]]),"")</f>
        <v/>
      </c>
      <c r="G567" s="175" t="str">
        <f>IF(ISNUMBER(deployment_raw[[#This Row],[Column7]]), (deployment_raw[[#This Row],[Column7]] * deployment_raw[[#This Row],[Column5]])/1048576,"")</f>
        <v/>
      </c>
      <c r="H567" s="175" t="str">
        <f>IF(ISNUMBER(deployment_raw[[#This Row],[Column8]]), (deployment_raw[[#This Row],[Column8]]  * deployment_raw[[#This Row],[Column5]]),"")</f>
        <v/>
      </c>
      <c r="I567" s="176" t="str">
        <f>IF(ISNUMBER(deployment_raw[[#This Row],[Column9]]), (deployment_raw[[#This Row],[Column9]] * deployment_raw[[#This Row],[Column5]])/1048576,"")</f>
        <v/>
      </c>
      <c r="J567" s="57" t="str">
        <f>IF(ISNUMBER(deployment_raw[[#This Row],[Column10]]), (deployment_raw[[#This Row],[Column10]] * deployment_raw[[#This Row],[Column5]]),"")</f>
        <v/>
      </c>
      <c r="K567" s="58" t="str">
        <f>IF(ISNUMBER(deployment_raw[[#This Row],[Column11]]), (deployment_raw[[#This Row],[Column11]] * deployment_raw[[#This Row],[Column5]])/1048576,"")</f>
        <v/>
      </c>
      <c r="L567" s="180" t="str">
        <f>IF(ISNUMBER(deployment_raw[[#This Row],[Column8]]),IF(deployment_raw[[#This Row],[Column5]] &lt;&gt; 0, MAX((deployment_raw[[#This Row],[Column12]] * deployment_raw[[#This Row],[Column5]]), ((deployment_raw[[#This Row],[Column8]] * deployment_raw[[#This Row],[Column5]]) * $L$2), ($H$2 * deployment_raw[[#This Row],[Column5]])), 0),"")</f>
        <v/>
      </c>
      <c r="M56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67" s="188" t="str">
        <f>IF(ISNUMBER(deployment_raw[[#This Row],[Column14]]), deployment_raw[[#This Row],[Column14]],"")</f>
        <v/>
      </c>
      <c r="O567" s="189" t="str">
        <f>IF(ISNUMBER(deployment_raw[[#This Row],[Column15]]), deployment_raw[[#This Row],[Column15]]/1048576,"")</f>
        <v/>
      </c>
      <c r="P567" s="190" t="str">
        <f>IF(ISNUMBER(deployment_raw[[#This Row],[Column12]]), (deployment_raw[[#This Row],[Column12]] * deployment_raw[[#This Row],[Column5]]),"")</f>
        <v/>
      </c>
      <c r="Q567" s="189" t="str">
        <f>IF(ISNUMBER(deployment_raw[[#This Row],[Column13]]), (deployment_raw[[#This Row],[Column13]] * deployment_raw[[#This Row],[Column5]])/1048576,"")</f>
        <v/>
      </c>
    </row>
    <row r="568" spans="1:17" ht="15.75" customHeight="1" x14ac:dyDescent="0.25">
      <c r="A568" s="37" t="str">
        <f>IF(ISNONTEXT(deployment_raw[[#This Row],[Column1]]), "", deployment_raw[[#This Row],[Column1]])</f>
        <v/>
      </c>
      <c r="B568" s="38" t="str">
        <f>IF(ISNONTEXT(deployment_raw[[#This Row],[Column2]]), "", deployment_raw[[#This Row],[Column2]])</f>
        <v/>
      </c>
      <c r="C568" s="38" t="str">
        <f>IF(ISNONTEXT(deployment_raw[[#This Row],[Column3]]), "", deployment_raw[[#This Row],[Column3]])</f>
        <v/>
      </c>
      <c r="D568" s="38" t="str">
        <f>IF(ISNONTEXT(deployment_raw[[#This Row],[Column4]]), "", deployment_raw[[#This Row],[Column4]])</f>
        <v/>
      </c>
      <c r="E568" s="39" t="str">
        <f>IF(ISNUMBER(deployment_raw[[#This Row],[Column5]]), deployment_raw[[#This Row],[Column5]],"")</f>
        <v/>
      </c>
      <c r="F568" s="174" t="str">
        <f>IF(ISNUMBER(deployment_raw[[#This Row],[Column6]]), (deployment_raw[[#This Row],[Column6]] * deployment_raw[[#This Row],[Column5]]),"")</f>
        <v/>
      </c>
      <c r="G568" s="175" t="str">
        <f>IF(ISNUMBER(deployment_raw[[#This Row],[Column7]]), (deployment_raw[[#This Row],[Column7]] * deployment_raw[[#This Row],[Column5]])/1048576,"")</f>
        <v/>
      </c>
      <c r="H568" s="175" t="str">
        <f>IF(ISNUMBER(deployment_raw[[#This Row],[Column8]]), (deployment_raw[[#This Row],[Column8]]  * deployment_raw[[#This Row],[Column5]]),"")</f>
        <v/>
      </c>
      <c r="I568" s="176" t="str">
        <f>IF(ISNUMBER(deployment_raw[[#This Row],[Column9]]), (deployment_raw[[#This Row],[Column9]] * deployment_raw[[#This Row],[Column5]])/1048576,"")</f>
        <v/>
      </c>
      <c r="J568" s="57" t="str">
        <f>IF(ISNUMBER(deployment_raw[[#This Row],[Column10]]), (deployment_raw[[#This Row],[Column10]] * deployment_raw[[#This Row],[Column5]]),"")</f>
        <v/>
      </c>
      <c r="K568" s="58" t="str">
        <f>IF(ISNUMBER(deployment_raw[[#This Row],[Column11]]), (deployment_raw[[#This Row],[Column11]] * deployment_raw[[#This Row],[Column5]])/1048576,"")</f>
        <v/>
      </c>
      <c r="L568" s="180" t="str">
        <f>IF(ISNUMBER(deployment_raw[[#This Row],[Column8]]),IF(deployment_raw[[#This Row],[Column5]] &lt;&gt; 0, MAX((deployment_raw[[#This Row],[Column12]] * deployment_raw[[#This Row],[Column5]]), ((deployment_raw[[#This Row],[Column8]] * deployment_raw[[#This Row],[Column5]]) * $L$2), ($H$2 * deployment_raw[[#This Row],[Column5]])), 0),"")</f>
        <v/>
      </c>
      <c r="M56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68" s="188" t="str">
        <f>IF(ISNUMBER(deployment_raw[[#This Row],[Column14]]), deployment_raw[[#This Row],[Column14]],"")</f>
        <v/>
      </c>
      <c r="O568" s="189" t="str">
        <f>IF(ISNUMBER(deployment_raw[[#This Row],[Column15]]), deployment_raw[[#This Row],[Column15]]/1048576,"")</f>
        <v/>
      </c>
      <c r="P568" s="190" t="str">
        <f>IF(ISNUMBER(deployment_raw[[#This Row],[Column12]]), (deployment_raw[[#This Row],[Column12]] * deployment_raw[[#This Row],[Column5]]),"")</f>
        <v/>
      </c>
      <c r="Q568" s="189" t="str">
        <f>IF(ISNUMBER(deployment_raw[[#This Row],[Column13]]), (deployment_raw[[#This Row],[Column13]] * deployment_raw[[#This Row],[Column5]])/1048576,"")</f>
        <v/>
      </c>
    </row>
    <row r="569" spans="1:17" ht="15.75" customHeight="1" x14ac:dyDescent="0.25">
      <c r="A569" s="37" t="str">
        <f>IF(ISNONTEXT(deployment_raw[[#This Row],[Column1]]), "", deployment_raw[[#This Row],[Column1]])</f>
        <v/>
      </c>
      <c r="B569" s="38" t="str">
        <f>IF(ISNONTEXT(deployment_raw[[#This Row],[Column2]]), "", deployment_raw[[#This Row],[Column2]])</f>
        <v/>
      </c>
      <c r="C569" s="38" t="str">
        <f>IF(ISNONTEXT(deployment_raw[[#This Row],[Column3]]), "", deployment_raw[[#This Row],[Column3]])</f>
        <v/>
      </c>
      <c r="D569" s="38" t="str">
        <f>IF(ISNONTEXT(deployment_raw[[#This Row],[Column4]]), "", deployment_raw[[#This Row],[Column4]])</f>
        <v/>
      </c>
      <c r="E569" s="39" t="str">
        <f>IF(ISNUMBER(deployment_raw[[#This Row],[Column5]]), deployment_raw[[#This Row],[Column5]],"")</f>
        <v/>
      </c>
      <c r="F569" s="174" t="str">
        <f>IF(ISNUMBER(deployment_raw[[#This Row],[Column6]]), (deployment_raw[[#This Row],[Column6]] * deployment_raw[[#This Row],[Column5]]),"")</f>
        <v/>
      </c>
      <c r="G569" s="175" t="str">
        <f>IF(ISNUMBER(deployment_raw[[#This Row],[Column7]]), (deployment_raw[[#This Row],[Column7]] * deployment_raw[[#This Row],[Column5]])/1048576,"")</f>
        <v/>
      </c>
      <c r="H569" s="175" t="str">
        <f>IF(ISNUMBER(deployment_raw[[#This Row],[Column8]]), (deployment_raw[[#This Row],[Column8]]  * deployment_raw[[#This Row],[Column5]]),"")</f>
        <v/>
      </c>
      <c r="I569" s="176" t="str">
        <f>IF(ISNUMBER(deployment_raw[[#This Row],[Column9]]), (deployment_raw[[#This Row],[Column9]] * deployment_raw[[#This Row],[Column5]])/1048576,"")</f>
        <v/>
      </c>
      <c r="J569" s="57" t="str">
        <f>IF(ISNUMBER(deployment_raw[[#This Row],[Column10]]), (deployment_raw[[#This Row],[Column10]] * deployment_raw[[#This Row],[Column5]]),"")</f>
        <v/>
      </c>
      <c r="K569" s="58" t="str">
        <f>IF(ISNUMBER(deployment_raw[[#This Row],[Column11]]), (deployment_raw[[#This Row],[Column11]] * deployment_raw[[#This Row],[Column5]])/1048576,"")</f>
        <v/>
      </c>
      <c r="L569" s="180" t="str">
        <f>IF(ISNUMBER(deployment_raw[[#This Row],[Column8]]),IF(deployment_raw[[#This Row],[Column5]] &lt;&gt; 0, MAX((deployment_raw[[#This Row],[Column12]] * deployment_raw[[#This Row],[Column5]]), ((deployment_raw[[#This Row],[Column8]] * deployment_raw[[#This Row],[Column5]]) * $L$2), ($H$2 * deployment_raw[[#This Row],[Column5]])), 0),"")</f>
        <v/>
      </c>
      <c r="M56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69" s="188" t="str">
        <f>IF(ISNUMBER(deployment_raw[[#This Row],[Column14]]), deployment_raw[[#This Row],[Column14]],"")</f>
        <v/>
      </c>
      <c r="O569" s="189" t="str">
        <f>IF(ISNUMBER(deployment_raw[[#This Row],[Column15]]), deployment_raw[[#This Row],[Column15]]/1048576,"")</f>
        <v/>
      </c>
      <c r="P569" s="190" t="str">
        <f>IF(ISNUMBER(deployment_raw[[#This Row],[Column12]]), (deployment_raw[[#This Row],[Column12]] * deployment_raw[[#This Row],[Column5]]),"")</f>
        <v/>
      </c>
      <c r="Q569" s="189" t="str">
        <f>IF(ISNUMBER(deployment_raw[[#This Row],[Column13]]), (deployment_raw[[#This Row],[Column13]] * deployment_raw[[#This Row],[Column5]])/1048576,"")</f>
        <v/>
      </c>
    </row>
    <row r="570" spans="1:17" ht="15.75" customHeight="1" x14ac:dyDescent="0.25">
      <c r="A570" s="37" t="str">
        <f>IF(ISNONTEXT(deployment_raw[[#This Row],[Column1]]), "", deployment_raw[[#This Row],[Column1]])</f>
        <v/>
      </c>
      <c r="B570" s="38" t="str">
        <f>IF(ISNONTEXT(deployment_raw[[#This Row],[Column2]]), "", deployment_raw[[#This Row],[Column2]])</f>
        <v/>
      </c>
      <c r="C570" s="38" t="str">
        <f>IF(ISNONTEXT(deployment_raw[[#This Row],[Column3]]), "", deployment_raw[[#This Row],[Column3]])</f>
        <v/>
      </c>
      <c r="D570" s="38" t="str">
        <f>IF(ISNONTEXT(deployment_raw[[#This Row],[Column4]]), "", deployment_raw[[#This Row],[Column4]])</f>
        <v/>
      </c>
      <c r="E570" s="39" t="str">
        <f>IF(ISNUMBER(deployment_raw[[#This Row],[Column5]]), deployment_raw[[#This Row],[Column5]],"")</f>
        <v/>
      </c>
      <c r="F570" s="174" t="str">
        <f>IF(ISNUMBER(deployment_raw[[#This Row],[Column6]]), (deployment_raw[[#This Row],[Column6]] * deployment_raw[[#This Row],[Column5]]),"")</f>
        <v/>
      </c>
      <c r="G570" s="175" t="str">
        <f>IF(ISNUMBER(deployment_raw[[#This Row],[Column7]]), (deployment_raw[[#This Row],[Column7]] * deployment_raw[[#This Row],[Column5]])/1048576,"")</f>
        <v/>
      </c>
      <c r="H570" s="175" t="str">
        <f>IF(ISNUMBER(deployment_raw[[#This Row],[Column8]]), (deployment_raw[[#This Row],[Column8]]  * deployment_raw[[#This Row],[Column5]]),"")</f>
        <v/>
      </c>
      <c r="I570" s="176" t="str">
        <f>IF(ISNUMBER(deployment_raw[[#This Row],[Column9]]), (deployment_raw[[#This Row],[Column9]] * deployment_raw[[#This Row],[Column5]])/1048576,"")</f>
        <v/>
      </c>
      <c r="J570" s="57" t="str">
        <f>IF(ISNUMBER(deployment_raw[[#This Row],[Column10]]), (deployment_raw[[#This Row],[Column10]] * deployment_raw[[#This Row],[Column5]]),"")</f>
        <v/>
      </c>
      <c r="K570" s="58" t="str">
        <f>IF(ISNUMBER(deployment_raw[[#This Row],[Column11]]), (deployment_raw[[#This Row],[Column11]] * deployment_raw[[#This Row],[Column5]])/1048576,"")</f>
        <v/>
      </c>
      <c r="L570" s="180" t="str">
        <f>IF(ISNUMBER(deployment_raw[[#This Row],[Column8]]),IF(deployment_raw[[#This Row],[Column5]] &lt;&gt; 0, MAX((deployment_raw[[#This Row],[Column12]] * deployment_raw[[#This Row],[Column5]]), ((deployment_raw[[#This Row],[Column8]] * deployment_raw[[#This Row],[Column5]]) * $L$2), ($H$2 * deployment_raw[[#This Row],[Column5]])), 0),"")</f>
        <v/>
      </c>
      <c r="M57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70" s="188" t="str">
        <f>IF(ISNUMBER(deployment_raw[[#This Row],[Column14]]), deployment_raw[[#This Row],[Column14]],"")</f>
        <v/>
      </c>
      <c r="O570" s="189" t="str">
        <f>IF(ISNUMBER(deployment_raw[[#This Row],[Column15]]), deployment_raw[[#This Row],[Column15]]/1048576,"")</f>
        <v/>
      </c>
      <c r="P570" s="190" t="str">
        <f>IF(ISNUMBER(deployment_raw[[#This Row],[Column12]]), (deployment_raw[[#This Row],[Column12]] * deployment_raw[[#This Row],[Column5]]),"")</f>
        <v/>
      </c>
      <c r="Q570" s="189" t="str">
        <f>IF(ISNUMBER(deployment_raw[[#This Row],[Column13]]), (deployment_raw[[#This Row],[Column13]] * deployment_raw[[#This Row],[Column5]])/1048576,"")</f>
        <v/>
      </c>
    </row>
    <row r="571" spans="1:17" ht="15.75" customHeight="1" x14ac:dyDescent="0.25">
      <c r="A571" s="37" t="str">
        <f>IF(ISNONTEXT(deployment_raw[[#This Row],[Column1]]), "", deployment_raw[[#This Row],[Column1]])</f>
        <v/>
      </c>
      <c r="B571" s="38" t="str">
        <f>IF(ISNONTEXT(deployment_raw[[#This Row],[Column2]]), "", deployment_raw[[#This Row],[Column2]])</f>
        <v/>
      </c>
      <c r="C571" s="38" t="str">
        <f>IF(ISNONTEXT(deployment_raw[[#This Row],[Column3]]), "", deployment_raw[[#This Row],[Column3]])</f>
        <v/>
      </c>
      <c r="D571" s="38" t="str">
        <f>IF(ISNONTEXT(deployment_raw[[#This Row],[Column4]]), "", deployment_raw[[#This Row],[Column4]])</f>
        <v/>
      </c>
      <c r="E571" s="39" t="str">
        <f>IF(ISNUMBER(deployment_raw[[#This Row],[Column5]]), deployment_raw[[#This Row],[Column5]],"")</f>
        <v/>
      </c>
      <c r="F571" s="174" t="str">
        <f>IF(ISNUMBER(deployment_raw[[#This Row],[Column6]]), (deployment_raw[[#This Row],[Column6]] * deployment_raw[[#This Row],[Column5]]),"")</f>
        <v/>
      </c>
      <c r="G571" s="175" t="str">
        <f>IF(ISNUMBER(deployment_raw[[#This Row],[Column7]]), (deployment_raw[[#This Row],[Column7]] * deployment_raw[[#This Row],[Column5]])/1048576,"")</f>
        <v/>
      </c>
      <c r="H571" s="175" t="str">
        <f>IF(ISNUMBER(deployment_raw[[#This Row],[Column8]]), (deployment_raw[[#This Row],[Column8]]  * deployment_raw[[#This Row],[Column5]]),"")</f>
        <v/>
      </c>
      <c r="I571" s="176" t="str">
        <f>IF(ISNUMBER(deployment_raw[[#This Row],[Column9]]), (deployment_raw[[#This Row],[Column9]] * deployment_raw[[#This Row],[Column5]])/1048576,"")</f>
        <v/>
      </c>
      <c r="J571" s="57" t="str">
        <f>IF(ISNUMBER(deployment_raw[[#This Row],[Column10]]), (deployment_raw[[#This Row],[Column10]] * deployment_raw[[#This Row],[Column5]]),"")</f>
        <v/>
      </c>
      <c r="K571" s="58" t="str">
        <f>IF(ISNUMBER(deployment_raw[[#This Row],[Column11]]), (deployment_raw[[#This Row],[Column11]] * deployment_raw[[#This Row],[Column5]])/1048576,"")</f>
        <v/>
      </c>
      <c r="L571" s="180" t="str">
        <f>IF(ISNUMBER(deployment_raw[[#This Row],[Column8]]),IF(deployment_raw[[#This Row],[Column5]] &lt;&gt; 0, MAX((deployment_raw[[#This Row],[Column12]] * deployment_raw[[#This Row],[Column5]]), ((deployment_raw[[#This Row],[Column8]] * deployment_raw[[#This Row],[Column5]]) * $L$2), ($H$2 * deployment_raw[[#This Row],[Column5]])), 0),"")</f>
        <v/>
      </c>
      <c r="M57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71" s="188" t="str">
        <f>IF(ISNUMBER(deployment_raw[[#This Row],[Column14]]), deployment_raw[[#This Row],[Column14]],"")</f>
        <v/>
      </c>
      <c r="O571" s="189" t="str">
        <f>IF(ISNUMBER(deployment_raw[[#This Row],[Column15]]), deployment_raw[[#This Row],[Column15]]/1048576,"")</f>
        <v/>
      </c>
      <c r="P571" s="190" t="str">
        <f>IF(ISNUMBER(deployment_raw[[#This Row],[Column12]]), (deployment_raw[[#This Row],[Column12]] * deployment_raw[[#This Row],[Column5]]),"")</f>
        <v/>
      </c>
      <c r="Q571" s="189" t="str">
        <f>IF(ISNUMBER(deployment_raw[[#This Row],[Column13]]), (deployment_raw[[#This Row],[Column13]] * deployment_raw[[#This Row],[Column5]])/1048576,"")</f>
        <v/>
      </c>
    </row>
    <row r="572" spans="1:17" ht="15.75" customHeight="1" x14ac:dyDescent="0.25">
      <c r="A572" s="37" t="str">
        <f>IF(ISNONTEXT(deployment_raw[[#This Row],[Column1]]), "", deployment_raw[[#This Row],[Column1]])</f>
        <v/>
      </c>
      <c r="B572" s="38" t="str">
        <f>IF(ISNONTEXT(deployment_raw[[#This Row],[Column2]]), "", deployment_raw[[#This Row],[Column2]])</f>
        <v/>
      </c>
      <c r="C572" s="38" t="str">
        <f>IF(ISNONTEXT(deployment_raw[[#This Row],[Column3]]), "", deployment_raw[[#This Row],[Column3]])</f>
        <v/>
      </c>
      <c r="D572" s="38" t="str">
        <f>IF(ISNONTEXT(deployment_raw[[#This Row],[Column4]]), "", deployment_raw[[#This Row],[Column4]])</f>
        <v/>
      </c>
      <c r="E572" s="39" t="str">
        <f>IF(ISNUMBER(deployment_raw[[#This Row],[Column5]]), deployment_raw[[#This Row],[Column5]],"")</f>
        <v/>
      </c>
      <c r="F572" s="174" t="str">
        <f>IF(ISNUMBER(deployment_raw[[#This Row],[Column6]]), (deployment_raw[[#This Row],[Column6]] * deployment_raw[[#This Row],[Column5]]),"")</f>
        <v/>
      </c>
      <c r="G572" s="175" t="str">
        <f>IF(ISNUMBER(deployment_raw[[#This Row],[Column7]]), (deployment_raw[[#This Row],[Column7]] * deployment_raw[[#This Row],[Column5]])/1048576,"")</f>
        <v/>
      </c>
      <c r="H572" s="175" t="str">
        <f>IF(ISNUMBER(deployment_raw[[#This Row],[Column8]]), (deployment_raw[[#This Row],[Column8]]  * deployment_raw[[#This Row],[Column5]]),"")</f>
        <v/>
      </c>
      <c r="I572" s="176" t="str">
        <f>IF(ISNUMBER(deployment_raw[[#This Row],[Column9]]), (deployment_raw[[#This Row],[Column9]] * deployment_raw[[#This Row],[Column5]])/1048576,"")</f>
        <v/>
      </c>
      <c r="J572" s="57" t="str">
        <f>IF(ISNUMBER(deployment_raw[[#This Row],[Column10]]), (deployment_raw[[#This Row],[Column10]] * deployment_raw[[#This Row],[Column5]]),"")</f>
        <v/>
      </c>
      <c r="K572" s="58" t="str">
        <f>IF(ISNUMBER(deployment_raw[[#This Row],[Column11]]), (deployment_raw[[#This Row],[Column11]] * deployment_raw[[#This Row],[Column5]])/1048576,"")</f>
        <v/>
      </c>
      <c r="L572" s="180" t="str">
        <f>IF(ISNUMBER(deployment_raw[[#This Row],[Column8]]),IF(deployment_raw[[#This Row],[Column5]] &lt;&gt; 0, MAX((deployment_raw[[#This Row],[Column12]] * deployment_raw[[#This Row],[Column5]]), ((deployment_raw[[#This Row],[Column8]] * deployment_raw[[#This Row],[Column5]]) * $L$2), ($H$2 * deployment_raw[[#This Row],[Column5]])), 0),"")</f>
        <v/>
      </c>
      <c r="M57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72" s="188" t="str">
        <f>IF(ISNUMBER(deployment_raw[[#This Row],[Column14]]), deployment_raw[[#This Row],[Column14]],"")</f>
        <v/>
      </c>
      <c r="O572" s="189" t="str">
        <f>IF(ISNUMBER(deployment_raw[[#This Row],[Column15]]), deployment_raw[[#This Row],[Column15]]/1048576,"")</f>
        <v/>
      </c>
      <c r="P572" s="190" t="str">
        <f>IF(ISNUMBER(deployment_raw[[#This Row],[Column12]]), (deployment_raw[[#This Row],[Column12]] * deployment_raw[[#This Row],[Column5]]),"")</f>
        <v/>
      </c>
      <c r="Q572" s="189" t="str">
        <f>IF(ISNUMBER(deployment_raw[[#This Row],[Column13]]), (deployment_raw[[#This Row],[Column13]] * deployment_raw[[#This Row],[Column5]])/1048576,"")</f>
        <v/>
      </c>
    </row>
    <row r="573" spans="1:17" ht="15.75" customHeight="1" x14ac:dyDescent="0.25">
      <c r="A573" s="37" t="str">
        <f>IF(ISNONTEXT(deployment_raw[[#This Row],[Column1]]), "", deployment_raw[[#This Row],[Column1]])</f>
        <v/>
      </c>
      <c r="B573" s="38" t="str">
        <f>IF(ISNONTEXT(deployment_raw[[#This Row],[Column2]]), "", deployment_raw[[#This Row],[Column2]])</f>
        <v/>
      </c>
      <c r="C573" s="38" t="str">
        <f>IF(ISNONTEXT(deployment_raw[[#This Row],[Column3]]), "", deployment_raw[[#This Row],[Column3]])</f>
        <v/>
      </c>
      <c r="D573" s="38" t="str">
        <f>IF(ISNONTEXT(deployment_raw[[#This Row],[Column4]]), "", deployment_raw[[#This Row],[Column4]])</f>
        <v/>
      </c>
      <c r="E573" s="39" t="str">
        <f>IF(ISNUMBER(deployment_raw[[#This Row],[Column5]]), deployment_raw[[#This Row],[Column5]],"")</f>
        <v/>
      </c>
      <c r="F573" s="174" t="str">
        <f>IF(ISNUMBER(deployment_raw[[#This Row],[Column6]]), (deployment_raw[[#This Row],[Column6]] * deployment_raw[[#This Row],[Column5]]),"")</f>
        <v/>
      </c>
      <c r="G573" s="175" t="str">
        <f>IF(ISNUMBER(deployment_raw[[#This Row],[Column7]]), (deployment_raw[[#This Row],[Column7]] * deployment_raw[[#This Row],[Column5]])/1048576,"")</f>
        <v/>
      </c>
      <c r="H573" s="175" t="str">
        <f>IF(ISNUMBER(deployment_raw[[#This Row],[Column8]]), (deployment_raw[[#This Row],[Column8]]  * deployment_raw[[#This Row],[Column5]]),"")</f>
        <v/>
      </c>
      <c r="I573" s="176" t="str">
        <f>IF(ISNUMBER(deployment_raw[[#This Row],[Column9]]), (deployment_raw[[#This Row],[Column9]] * deployment_raw[[#This Row],[Column5]])/1048576,"")</f>
        <v/>
      </c>
      <c r="J573" s="57" t="str">
        <f>IF(ISNUMBER(deployment_raw[[#This Row],[Column10]]), (deployment_raw[[#This Row],[Column10]] * deployment_raw[[#This Row],[Column5]]),"")</f>
        <v/>
      </c>
      <c r="K573" s="58" t="str">
        <f>IF(ISNUMBER(deployment_raw[[#This Row],[Column11]]), (deployment_raw[[#This Row],[Column11]] * deployment_raw[[#This Row],[Column5]])/1048576,"")</f>
        <v/>
      </c>
      <c r="L573" s="180" t="str">
        <f>IF(ISNUMBER(deployment_raw[[#This Row],[Column8]]),IF(deployment_raw[[#This Row],[Column5]] &lt;&gt; 0, MAX((deployment_raw[[#This Row],[Column12]] * deployment_raw[[#This Row],[Column5]]), ((deployment_raw[[#This Row],[Column8]] * deployment_raw[[#This Row],[Column5]]) * $L$2), ($H$2 * deployment_raw[[#This Row],[Column5]])), 0),"")</f>
        <v/>
      </c>
      <c r="M57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73" s="188" t="str">
        <f>IF(ISNUMBER(deployment_raw[[#This Row],[Column14]]), deployment_raw[[#This Row],[Column14]],"")</f>
        <v/>
      </c>
      <c r="O573" s="189" t="str">
        <f>IF(ISNUMBER(deployment_raw[[#This Row],[Column15]]), deployment_raw[[#This Row],[Column15]]/1048576,"")</f>
        <v/>
      </c>
      <c r="P573" s="190" t="str">
        <f>IF(ISNUMBER(deployment_raw[[#This Row],[Column12]]), (deployment_raw[[#This Row],[Column12]] * deployment_raw[[#This Row],[Column5]]),"")</f>
        <v/>
      </c>
      <c r="Q573" s="189" t="str">
        <f>IF(ISNUMBER(deployment_raw[[#This Row],[Column13]]), (deployment_raw[[#This Row],[Column13]] * deployment_raw[[#This Row],[Column5]])/1048576,"")</f>
        <v/>
      </c>
    </row>
    <row r="574" spans="1:17" ht="15.75" customHeight="1" x14ac:dyDescent="0.25">
      <c r="A574" s="37" t="str">
        <f>IF(ISNONTEXT(deployment_raw[[#This Row],[Column1]]), "", deployment_raw[[#This Row],[Column1]])</f>
        <v/>
      </c>
      <c r="B574" s="38" t="str">
        <f>IF(ISNONTEXT(deployment_raw[[#This Row],[Column2]]), "", deployment_raw[[#This Row],[Column2]])</f>
        <v/>
      </c>
      <c r="C574" s="38" t="str">
        <f>IF(ISNONTEXT(deployment_raw[[#This Row],[Column3]]), "", deployment_raw[[#This Row],[Column3]])</f>
        <v/>
      </c>
      <c r="D574" s="38" t="str">
        <f>IF(ISNONTEXT(deployment_raw[[#This Row],[Column4]]), "", deployment_raw[[#This Row],[Column4]])</f>
        <v/>
      </c>
      <c r="E574" s="39" t="str">
        <f>IF(ISNUMBER(deployment_raw[[#This Row],[Column5]]), deployment_raw[[#This Row],[Column5]],"")</f>
        <v/>
      </c>
      <c r="F574" s="174" t="str">
        <f>IF(ISNUMBER(deployment_raw[[#This Row],[Column6]]), (deployment_raw[[#This Row],[Column6]] * deployment_raw[[#This Row],[Column5]]),"")</f>
        <v/>
      </c>
      <c r="G574" s="175" t="str">
        <f>IF(ISNUMBER(deployment_raw[[#This Row],[Column7]]), (deployment_raw[[#This Row],[Column7]] * deployment_raw[[#This Row],[Column5]])/1048576,"")</f>
        <v/>
      </c>
      <c r="H574" s="175" t="str">
        <f>IF(ISNUMBER(deployment_raw[[#This Row],[Column8]]), (deployment_raw[[#This Row],[Column8]]  * deployment_raw[[#This Row],[Column5]]),"")</f>
        <v/>
      </c>
      <c r="I574" s="176" t="str">
        <f>IF(ISNUMBER(deployment_raw[[#This Row],[Column9]]), (deployment_raw[[#This Row],[Column9]] * deployment_raw[[#This Row],[Column5]])/1048576,"")</f>
        <v/>
      </c>
      <c r="J574" s="57" t="str">
        <f>IF(ISNUMBER(deployment_raw[[#This Row],[Column10]]), (deployment_raw[[#This Row],[Column10]] * deployment_raw[[#This Row],[Column5]]),"")</f>
        <v/>
      </c>
      <c r="K574" s="58" t="str">
        <f>IF(ISNUMBER(deployment_raw[[#This Row],[Column11]]), (deployment_raw[[#This Row],[Column11]] * deployment_raw[[#This Row],[Column5]])/1048576,"")</f>
        <v/>
      </c>
      <c r="L574" s="180" t="str">
        <f>IF(ISNUMBER(deployment_raw[[#This Row],[Column8]]),IF(deployment_raw[[#This Row],[Column5]] &lt;&gt; 0, MAX((deployment_raw[[#This Row],[Column12]] * deployment_raw[[#This Row],[Column5]]), ((deployment_raw[[#This Row],[Column8]] * deployment_raw[[#This Row],[Column5]]) * $L$2), ($H$2 * deployment_raw[[#This Row],[Column5]])), 0),"")</f>
        <v/>
      </c>
      <c r="M57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74" s="188" t="str">
        <f>IF(ISNUMBER(deployment_raw[[#This Row],[Column14]]), deployment_raw[[#This Row],[Column14]],"")</f>
        <v/>
      </c>
      <c r="O574" s="189" t="str">
        <f>IF(ISNUMBER(deployment_raw[[#This Row],[Column15]]), deployment_raw[[#This Row],[Column15]]/1048576,"")</f>
        <v/>
      </c>
      <c r="P574" s="190" t="str">
        <f>IF(ISNUMBER(deployment_raw[[#This Row],[Column12]]), (deployment_raw[[#This Row],[Column12]] * deployment_raw[[#This Row],[Column5]]),"")</f>
        <v/>
      </c>
      <c r="Q574" s="189" t="str">
        <f>IF(ISNUMBER(deployment_raw[[#This Row],[Column13]]), (deployment_raw[[#This Row],[Column13]] * deployment_raw[[#This Row],[Column5]])/1048576,"")</f>
        <v/>
      </c>
    </row>
    <row r="575" spans="1:17" ht="15.75" customHeight="1" x14ac:dyDescent="0.25">
      <c r="A575" s="37" t="str">
        <f>IF(ISNONTEXT(deployment_raw[[#This Row],[Column1]]), "", deployment_raw[[#This Row],[Column1]])</f>
        <v/>
      </c>
      <c r="B575" s="38" t="str">
        <f>IF(ISNONTEXT(deployment_raw[[#This Row],[Column2]]), "", deployment_raw[[#This Row],[Column2]])</f>
        <v/>
      </c>
      <c r="C575" s="38" t="str">
        <f>IF(ISNONTEXT(deployment_raw[[#This Row],[Column3]]), "", deployment_raw[[#This Row],[Column3]])</f>
        <v/>
      </c>
      <c r="D575" s="38" t="str">
        <f>IF(ISNONTEXT(deployment_raw[[#This Row],[Column4]]), "", deployment_raw[[#This Row],[Column4]])</f>
        <v/>
      </c>
      <c r="E575" s="39" t="str">
        <f>IF(ISNUMBER(deployment_raw[[#This Row],[Column5]]), deployment_raw[[#This Row],[Column5]],"")</f>
        <v/>
      </c>
      <c r="F575" s="174" t="str">
        <f>IF(ISNUMBER(deployment_raw[[#This Row],[Column6]]), (deployment_raw[[#This Row],[Column6]] * deployment_raw[[#This Row],[Column5]]),"")</f>
        <v/>
      </c>
      <c r="G575" s="175" t="str">
        <f>IF(ISNUMBER(deployment_raw[[#This Row],[Column7]]), (deployment_raw[[#This Row],[Column7]] * deployment_raw[[#This Row],[Column5]])/1048576,"")</f>
        <v/>
      </c>
      <c r="H575" s="175" t="str">
        <f>IF(ISNUMBER(deployment_raw[[#This Row],[Column8]]), (deployment_raw[[#This Row],[Column8]]  * deployment_raw[[#This Row],[Column5]]),"")</f>
        <v/>
      </c>
      <c r="I575" s="176" t="str">
        <f>IF(ISNUMBER(deployment_raw[[#This Row],[Column9]]), (deployment_raw[[#This Row],[Column9]] * deployment_raw[[#This Row],[Column5]])/1048576,"")</f>
        <v/>
      </c>
      <c r="J575" s="57" t="str">
        <f>IF(ISNUMBER(deployment_raw[[#This Row],[Column10]]), (deployment_raw[[#This Row],[Column10]] * deployment_raw[[#This Row],[Column5]]),"")</f>
        <v/>
      </c>
      <c r="K575" s="58" t="str">
        <f>IF(ISNUMBER(deployment_raw[[#This Row],[Column11]]), (deployment_raw[[#This Row],[Column11]] * deployment_raw[[#This Row],[Column5]])/1048576,"")</f>
        <v/>
      </c>
      <c r="L575" s="180" t="str">
        <f>IF(ISNUMBER(deployment_raw[[#This Row],[Column8]]),IF(deployment_raw[[#This Row],[Column5]] &lt;&gt; 0, MAX((deployment_raw[[#This Row],[Column12]] * deployment_raw[[#This Row],[Column5]]), ((deployment_raw[[#This Row],[Column8]] * deployment_raw[[#This Row],[Column5]]) * $L$2), ($H$2 * deployment_raw[[#This Row],[Column5]])), 0),"")</f>
        <v/>
      </c>
      <c r="M57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75" s="188" t="str">
        <f>IF(ISNUMBER(deployment_raw[[#This Row],[Column14]]), deployment_raw[[#This Row],[Column14]],"")</f>
        <v/>
      </c>
      <c r="O575" s="189" t="str">
        <f>IF(ISNUMBER(deployment_raw[[#This Row],[Column15]]), deployment_raw[[#This Row],[Column15]]/1048576,"")</f>
        <v/>
      </c>
      <c r="P575" s="190" t="str">
        <f>IF(ISNUMBER(deployment_raw[[#This Row],[Column12]]), (deployment_raw[[#This Row],[Column12]] * deployment_raw[[#This Row],[Column5]]),"")</f>
        <v/>
      </c>
      <c r="Q575" s="189" t="str">
        <f>IF(ISNUMBER(deployment_raw[[#This Row],[Column13]]), (deployment_raw[[#This Row],[Column13]] * deployment_raw[[#This Row],[Column5]])/1048576,"")</f>
        <v/>
      </c>
    </row>
    <row r="576" spans="1:17" ht="15.75" customHeight="1" x14ac:dyDescent="0.25">
      <c r="A576" s="37" t="str">
        <f>IF(ISNONTEXT(deployment_raw[[#This Row],[Column1]]), "", deployment_raw[[#This Row],[Column1]])</f>
        <v/>
      </c>
      <c r="B576" s="38" t="str">
        <f>IF(ISNONTEXT(deployment_raw[[#This Row],[Column2]]), "", deployment_raw[[#This Row],[Column2]])</f>
        <v/>
      </c>
      <c r="C576" s="38" t="str">
        <f>IF(ISNONTEXT(deployment_raw[[#This Row],[Column3]]), "", deployment_raw[[#This Row],[Column3]])</f>
        <v/>
      </c>
      <c r="D576" s="38" t="str">
        <f>IF(ISNONTEXT(deployment_raw[[#This Row],[Column4]]), "", deployment_raw[[#This Row],[Column4]])</f>
        <v/>
      </c>
      <c r="E576" s="39" t="str">
        <f>IF(ISNUMBER(deployment_raw[[#This Row],[Column5]]), deployment_raw[[#This Row],[Column5]],"")</f>
        <v/>
      </c>
      <c r="F576" s="174" t="str">
        <f>IF(ISNUMBER(deployment_raw[[#This Row],[Column6]]), (deployment_raw[[#This Row],[Column6]] * deployment_raw[[#This Row],[Column5]]),"")</f>
        <v/>
      </c>
      <c r="G576" s="175" t="str">
        <f>IF(ISNUMBER(deployment_raw[[#This Row],[Column7]]), (deployment_raw[[#This Row],[Column7]] * deployment_raw[[#This Row],[Column5]])/1048576,"")</f>
        <v/>
      </c>
      <c r="H576" s="175" t="str">
        <f>IF(ISNUMBER(deployment_raw[[#This Row],[Column8]]), (deployment_raw[[#This Row],[Column8]]  * deployment_raw[[#This Row],[Column5]]),"")</f>
        <v/>
      </c>
      <c r="I576" s="176" t="str">
        <f>IF(ISNUMBER(deployment_raw[[#This Row],[Column9]]), (deployment_raw[[#This Row],[Column9]] * deployment_raw[[#This Row],[Column5]])/1048576,"")</f>
        <v/>
      </c>
      <c r="J576" s="57" t="str">
        <f>IF(ISNUMBER(deployment_raw[[#This Row],[Column10]]), (deployment_raw[[#This Row],[Column10]] * deployment_raw[[#This Row],[Column5]]),"")</f>
        <v/>
      </c>
      <c r="K576" s="58" t="str">
        <f>IF(ISNUMBER(deployment_raw[[#This Row],[Column11]]), (deployment_raw[[#This Row],[Column11]] * deployment_raw[[#This Row],[Column5]])/1048576,"")</f>
        <v/>
      </c>
      <c r="L576" s="180" t="str">
        <f>IF(ISNUMBER(deployment_raw[[#This Row],[Column8]]),IF(deployment_raw[[#This Row],[Column5]] &lt;&gt; 0, MAX((deployment_raw[[#This Row],[Column12]] * deployment_raw[[#This Row],[Column5]]), ((deployment_raw[[#This Row],[Column8]] * deployment_raw[[#This Row],[Column5]]) * $L$2), ($H$2 * deployment_raw[[#This Row],[Column5]])), 0),"")</f>
        <v/>
      </c>
      <c r="M57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76" s="188" t="str">
        <f>IF(ISNUMBER(deployment_raw[[#This Row],[Column14]]), deployment_raw[[#This Row],[Column14]],"")</f>
        <v/>
      </c>
      <c r="O576" s="189" t="str">
        <f>IF(ISNUMBER(deployment_raw[[#This Row],[Column15]]), deployment_raw[[#This Row],[Column15]]/1048576,"")</f>
        <v/>
      </c>
      <c r="P576" s="190" t="str">
        <f>IF(ISNUMBER(deployment_raw[[#This Row],[Column12]]), (deployment_raw[[#This Row],[Column12]] * deployment_raw[[#This Row],[Column5]]),"")</f>
        <v/>
      </c>
      <c r="Q576" s="189" t="str">
        <f>IF(ISNUMBER(deployment_raw[[#This Row],[Column13]]), (deployment_raw[[#This Row],[Column13]] * deployment_raw[[#This Row],[Column5]])/1048576,"")</f>
        <v/>
      </c>
    </row>
    <row r="577" spans="1:17" ht="15.75" customHeight="1" x14ac:dyDescent="0.25">
      <c r="A577" s="37" t="str">
        <f>IF(ISNONTEXT(deployment_raw[[#This Row],[Column1]]), "", deployment_raw[[#This Row],[Column1]])</f>
        <v/>
      </c>
      <c r="B577" s="38" t="str">
        <f>IF(ISNONTEXT(deployment_raw[[#This Row],[Column2]]), "", deployment_raw[[#This Row],[Column2]])</f>
        <v/>
      </c>
      <c r="C577" s="38" t="str">
        <f>IF(ISNONTEXT(deployment_raw[[#This Row],[Column3]]), "", deployment_raw[[#This Row],[Column3]])</f>
        <v/>
      </c>
      <c r="D577" s="38" t="str">
        <f>IF(ISNONTEXT(deployment_raw[[#This Row],[Column4]]), "", deployment_raw[[#This Row],[Column4]])</f>
        <v/>
      </c>
      <c r="E577" s="39" t="str">
        <f>IF(ISNUMBER(deployment_raw[[#This Row],[Column5]]), deployment_raw[[#This Row],[Column5]],"")</f>
        <v/>
      </c>
      <c r="F577" s="174" t="str">
        <f>IF(ISNUMBER(deployment_raw[[#This Row],[Column6]]), (deployment_raw[[#This Row],[Column6]] * deployment_raw[[#This Row],[Column5]]),"")</f>
        <v/>
      </c>
      <c r="G577" s="175" t="str">
        <f>IF(ISNUMBER(deployment_raw[[#This Row],[Column7]]), (deployment_raw[[#This Row],[Column7]] * deployment_raw[[#This Row],[Column5]])/1048576,"")</f>
        <v/>
      </c>
      <c r="H577" s="175" t="str">
        <f>IF(ISNUMBER(deployment_raw[[#This Row],[Column8]]), (deployment_raw[[#This Row],[Column8]]  * deployment_raw[[#This Row],[Column5]]),"")</f>
        <v/>
      </c>
      <c r="I577" s="176" t="str">
        <f>IF(ISNUMBER(deployment_raw[[#This Row],[Column9]]), (deployment_raw[[#This Row],[Column9]] * deployment_raw[[#This Row],[Column5]])/1048576,"")</f>
        <v/>
      </c>
      <c r="J577" s="57" t="str">
        <f>IF(ISNUMBER(deployment_raw[[#This Row],[Column10]]), (deployment_raw[[#This Row],[Column10]] * deployment_raw[[#This Row],[Column5]]),"")</f>
        <v/>
      </c>
      <c r="K577" s="58" t="str">
        <f>IF(ISNUMBER(deployment_raw[[#This Row],[Column11]]), (deployment_raw[[#This Row],[Column11]] * deployment_raw[[#This Row],[Column5]])/1048576,"")</f>
        <v/>
      </c>
      <c r="L577" s="180" t="str">
        <f>IF(ISNUMBER(deployment_raw[[#This Row],[Column8]]),IF(deployment_raw[[#This Row],[Column5]] &lt;&gt; 0, MAX((deployment_raw[[#This Row],[Column12]] * deployment_raw[[#This Row],[Column5]]), ((deployment_raw[[#This Row],[Column8]] * deployment_raw[[#This Row],[Column5]]) * $L$2), ($H$2 * deployment_raw[[#This Row],[Column5]])), 0),"")</f>
        <v/>
      </c>
      <c r="M57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77" s="188" t="str">
        <f>IF(ISNUMBER(deployment_raw[[#This Row],[Column14]]), deployment_raw[[#This Row],[Column14]],"")</f>
        <v/>
      </c>
      <c r="O577" s="189" t="str">
        <f>IF(ISNUMBER(deployment_raw[[#This Row],[Column15]]), deployment_raw[[#This Row],[Column15]]/1048576,"")</f>
        <v/>
      </c>
      <c r="P577" s="190" t="str">
        <f>IF(ISNUMBER(deployment_raw[[#This Row],[Column12]]), (deployment_raw[[#This Row],[Column12]] * deployment_raw[[#This Row],[Column5]]),"")</f>
        <v/>
      </c>
      <c r="Q577" s="189" t="str">
        <f>IF(ISNUMBER(deployment_raw[[#This Row],[Column13]]), (deployment_raw[[#This Row],[Column13]] * deployment_raw[[#This Row],[Column5]])/1048576,"")</f>
        <v/>
      </c>
    </row>
    <row r="578" spans="1:17" ht="15.75" customHeight="1" x14ac:dyDescent="0.25">
      <c r="A578" s="37" t="str">
        <f>IF(ISNONTEXT(deployment_raw[[#This Row],[Column1]]), "", deployment_raw[[#This Row],[Column1]])</f>
        <v/>
      </c>
      <c r="B578" s="38" t="str">
        <f>IF(ISNONTEXT(deployment_raw[[#This Row],[Column2]]), "", deployment_raw[[#This Row],[Column2]])</f>
        <v/>
      </c>
      <c r="C578" s="38" t="str">
        <f>IF(ISNONTEXT(deployment_raw[[#This Row],[Column3]]), "", deployment_raw[[#This Row],[Column3]])</f>
        <v/>
      </c>
      <c r="D578" s="38" t="str">
        <f>IF(ISNONTEXT(deployment_raw[[#This Row],[Column4]]), "", deployment_raw[[#This Row],[Column4]])</f>
        <v/>
      </c>
      <c r="E578" s="39" t="str">
        <f>IF(ISNUMBER(deployment_raw[[#This Row],[Column5]]), deployment_raw[[#This Row],[Column5]],"")</f>
        <v/>
      </c>
      <c r="F578" s="174" t="str">
        <f>IF(ISNUMBER(deployment_raw[[#This Row],[Column6]]), (deployment_raw[[#This Row],[Column6]] * deployment_raw[[#This Row],[Column5]]),"")</f>
        <v/>
      </c>
      <c r="G578" s="175" t="str">
        <f>IF(ISNUMBER(deployment_raw[[#This Row],[Column7]]), (deployment_raw[[#This Row],[Column7]] * deployment_raw[[#This Row],[Column5]])/1048576,"")</f>
        <v/>
      </c>
      <c r="H578" s="175" t="str">
        <f>IF(ISNUMBER(deployment_raw[[#This Row],[Column8]]), (deployment_raw[[#This Row],[Column8]]  * deployment_raw[[#This Row],[Column5]]),"")</f>
        <v/>
      </c>
      <c r="I578" s="176" t="str">
        <f>IF(ISNUMBER(deployment_raw[[#This Row],[Column9]]), (deployment_raw[[#This Row],[Column9]] * deployment_raw[[#This Row],[Column5]])/1048576,"")</f>
        <v/>
      </c>
      <c r="J578" s="57" t="str">
        <f>IF(ISNUMBER(deployment_raw[[#This Row],[Column10]]), (deployment_raw[[#This Row],[Column10]] * deployment_raw[[#This Row],[Column5]]),"")</f>
        <v/>
      </c>
      <c r="K578" s="58" t="str">
        <f>IF(ISNUMBER(deployment_raw[[#This Row],[Column11]]), (deployment_raw[[#This Row],[Column11]] * deployment_raw[[#This Row],[Column5]])/1048576,"")</f>
        <v/>
      </c>
      <c r="L578" s="180" t="str">
        <f>IF(ISNUMBER(deployment_raw[[#This Row],[Column8]]),IF(deployment_raw[[#This Row],[Column5]] &lt;&gt; 0, MAX((deployment_raw[[#This Row],[Column12]] * deployment_raw[[#This Row],[Column5]]), ((deployment_raw[[#This Row],[Column8]] * deployment_raw[[#This Row],[Column5]]) * $L$2), ($H$2 * deployment_raw[[#This Row],[Column5]])), 0),"")</f>
        <v/>
      </c>
      <c r="M57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78" s="188" t="str">
        <f>IF(ISNUMBER(deployment_raw[[#This Row],[Column14]]), deployment_raw[[#This Row],[Column14]],"")</f>
        <v/>
      </c>
      <c r="O578" s="189" t="str">
        <f>IF(ISNUMBER(deployment_raw[[#This Row],[Column15]]), deployment_raw[[#This Row],[Column15]]/1048576,"")</f>
        <v/>
      </c>
      <c r="P578" s="190" t="str">
        <f>IF(ISNUMBER(deployment_raw[[#This Row],[Column12]]), (deployment_raw[[#This Row],[Column12]] * deployment_raw[[#This Row],[Column5]]),"")</f>
        <v/>
      </c>
      <c r="Q578" s="189" t="str">
        <f>IF(ISNUMBER(deployment_raw[[#This Row],[Column13]]), (deployment_raw[[#This Row],[Column13]] * deployment_raw[[#This Row],[Column5]])/1048576,"")</f>
        <v/>
      </c>
    </row>
    <row r="579" spans="1:17" ht="15.75" customHeight="1" x14ac:dyDescent="0.25">
      <c r="A579" s="37" t="str">
        <f>IF(ISNONTEXT(deployment_raw[[#This Row],[Column1]]), "", deployment_raw[[#This Row],[Column1]])</f>
        <v/>
      </c>
      <c r="B579" s="38" t="str">
        <f>IF(ISNONTEXT(deployment_raw[[#This Row],[Column2]]), "", deployment_raw[[#This Row],[Column2]])</f>
        <v/>
      </c>
      <c r="C579" s="38" t="str">
        <f>IF(ISNONTEXT(deployment_raw[[#This Row],[Column3]]), "", deployment_raw[[#This Row],[Column3]])</f>
        <v/>
      </c>
      <c r="D579" s="38" t="str">
        <f>IF(ISNONTEXT(deployment_raw[[#This Row],[Column4]]), "", deployment_raw[[#This Row],[Column4]])</f>
        <v/>
      </c>
      <c r="E579" s="39" t="str">
        <f>IF(ISNUMBER(deployment_raw[[#This Row],[Column5]]), deployment_raw[[#This Row],[Column5]],"")</f>
        <v/>
      </c>
      <c r="F579" s="174" t="str">
        <f>IF(ISNUMBER(deployment_raw[[#This Row],[Column6]]), (deployment_raw[[#This Row],[Column6]] * deployment_raw[[#This Row],[Column5]]),"")</f>
        <v/>
      </c>
      <c r="G579" s="175" t="str">
        <f>IF(ISNUMBER(deployment_raw[[#This Row],[Column7]]), (deployment_raw[[#This Row],[Column7]] * deployment_raw[[#This Row],[Column5]])/1048576,"")</f>
        <v/>
      </c>
      <c r="H579" s="175" t="str">
        <f>IF(ISNUMBER(deployment_raw[[#This Row],[Column8]]), (deployment_raw[[#This Row],[Column8]]  * deployment_raw[[#This Row],[Column5]]),"")</f>
        <v/>
      </c>
      <c r="I579" s="176" t="str">
        <f>IF(ISNUMBER(deployment_raw[[#This Row],[Column9]]), (deployment_raw[[#This Row],[Column9]] * deployment_raw[[#This Row],[Column5]])/1048576,"")</f>
        <v/>
      </c>
      <c r="J579" s="57" t="str">
        <f>IF(ISNUMBER(deployment_raw[[#This Row],[Column10]]), (deployment_raw[[#This Row],[Column10]] * deployment_raw[[#This Row],[Column5]]),"")</f>
        <v/>
      </c>
      <c r="K579" s="58" t="str">
        <f>IF(ISNUMBER(deployment_raw[[#This Row],[Column11]]), (deployment_raw[[#This Row],[Column11]] * deployment_raw[[#This Row],[Column5]])/1048576,"")</f>
        <v/>
      </c>
      <c r="L579" s="180" t="str">
        <f>IF(ISNUMBER(deployment_raw[[#This Row],[Column8]]),IF(deployment_raw[[#This Row],[Column5]] &lt;&gt; 0, MAX((deployment_raw[[#This Row],[Column12]] * deployment_raw[[#This Row],[Column5]]), ((deployment_raw[[#This Row],[Column8]] * deployment_raw[[#This Row],[Column5]]) * $L$2), ($H$2 * deployment_raw[[#This Row],[Column5]])), 0),"")</f>
        <v/>
      </c>
      <c r="M57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79" s="188" t="str">
        <f>IF(ISNUMBER(deployment_raw[[#This Row],[Column14]]), deployment_raw[[#This Row],[Column14]],"")</f>
        <v/>
      </c>
      <c r="O579" s="189" t="str">
        <f>IF(ISNUMBER(deployment_raw[[#This Row],[Column15]]), deployment_raw[[#This Row],[Column15]]/1048576,"")</f>
        <v/>
      </c>
      <c r="P579" s="190" t="str">
        <f>IF(ISNUMBER(deployment_raw[[#This Row],[Column12]]), (deployment_raw[[#This Row],[Column12]] * deployment_raw[[#This Row],[Column5]]),"")</f>
        <v/>
      </c>
      <c r="Q579" s="189" t="str">
        <f>IF(ISNUMBER(deployment_raw[[#This Row],[Column13]]), (deployment_raw[[#This Row],[Column13]] * deployment_raw[[#This Row],[Column5]])/1048576,"")</f>
        <v/>
      </c>
    </row>
    <row r="580" spans="1:17" ht="15.75" customHeight="1" x14ac:dyDescent="0.25">
      <c r="A580" s="37" t="str">
        <f>IF(ISNONTEXT(deployment_raw[[#This Row],[Column1]]), "", deployment_raw[[#This Row],[Column1]])</f>
        <v/>
      </c>
      <c r="B580" s="38" t="str">
        <f>IF(ISNONTEXT(deployment_raw[[#This Row],[Column2]]), "", deployment_raw[[#This Row],[Column2]])</f>
        <v/>
      </c>
      <c r="C580" s="38" t="str">
        <f>IF(ISNONTEXT(deployment_raw[[#This Row],[Column3]]), "", deployment_raw[[#This Row],[Column3]])</f>
        <v/>
      </c>
      <c r="D580" s="38" t="str">
        <f>IF(ISNONTEXT(deployment_raw[[#This Row],[Column4]]), "", deployment_raw[[#This Row],[Column4]])</f>
        <v/>
      </c>
      <c r="E580" s="39" t="str">
        <f>IF(ISNUMBER(deployment_raw[[#This Row],[Column5]]), deployment_raw[[#This Row],[Column5]],"")</f>
        <v/>
      </c>
      <c r="F580" s="174" t="str">
        <f>IF(ISNUMBER(deployment_raw[[#This Row],[Column6]]), (deployment_raw[[#This Row],[Column6]] * deployment_raw[[#This Row],[Column5]]),"")</f>
        <v/>
      </c>
      <c r="G580" s="175" t="str">
        <f>IF(ISNUMBER(deployment_raw[[#This Row],[Column7]]), (deployment_raw[[#This Row],[Column7]] * deployment_raw[[#This Row],[Column5]])/1048576,"")</f>
        <v/>
      </c>
      <c r="H580" s="175" t="str">
        <f>IF(ISNUMBER(deployment_raw[[#This Row],[Column8]]), (deployment_raw[[#This Row],[Column8]]  * deployment_raw[[#This Row],[Column5]]),"")</f>
        <v/>
      </c>
      <c r="I580" s="176" t="str">
        <f>IF(ISNUMBER(deployment_raw[[#This Row],[Column9]]), (deployment_raw[[#This Row],[Column9]] * deployment_raw[[#This Row],[Column5]])/1048576,"")</f>
        <v/>
      </c>
      <c r="J580" s="57" t="str">
        <f>IF(ISNUMBER(deployment_raw[[#This Row],[Column10]]), (deployment_raw[[#This Row],[Column10]] * deployment_raw[[#This Row],[Column5]]),"")</f>
        <v/>
      </c>
      <c r="K580" s="58" t="str">
        <f>IF(ISNUMBER(deployment_raw[[#This Row],[Column11]]), (deployment_raw[[#This Row],[Column11]] * deployment_raw[[#This Row],[Column5]])/1048576,"")</f>
        <v/>
      </c>
      <c r="L580" s="180" t="str">
        <f>IF(ISNUMBER(deployment_raw[[#This Row],[Column8]]),IF(deployment_raw[[#This Row],[Column5]] &lt;&gt; 0, MAX((deployment_raw[[#This Row],[Column12]] * deployment_raw[[#This Row],[Column5]]), ((deployment_raw[[#This Row],[Column8]] * deployment_raw[[#This Row],[Column5]]) * $L$2), ($H$2 * deployment_raw[[#This Row],[Column5]])), 0),"")</f>
        <v/>
      </c>
      <c r="M58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80" s="188" t="str">
        <f>IF(ISNUMBER(deployment_raw[[#This Row],[Column14]]), deployment_raw[[#This Row],[Column14]],"")</f>
        <v/>
      </c>
      <c r="O580" s="189" t="str">
        <f>IF(ISNUMBER(deployment_raw[[#This Row],[Column15]]), deployment_raw[[#This Row],[Column15]]/1048576,"")</f>
        <v/>
      </c>
      <c r="P580" s="190" t="str">
        <f>IF(ISNUMBER(deployment_raw[[#This Row],[Column12]]), (deployment_raw[[#This Row],[Column12]] * deployment_raw[[#This Row],[Column5]]),"")</f>
        <v/>
      </c>
      <c r="Q580" s="189" t="str">
        <f>IF(ISNUMBER(deployment_raw[[#This Row],[Column13]]), (deployment_raw[[#This Row],[Column13]] * deployment_raw[[#This Row],[Column5]])/1048576,"")</f>
        <v/>
      </c>
    </row>
    <row r="581" spans="1:17" ht="15.75" customHeight="1" x14ac:dyDescent="0.25">
      <c r="A581" s="37" t="str">
        <f>IF(ISNONTEXT(deployment_raw[[#This Row],[Column1]]), "", deployment_raw[[#This Row],[Column1]])</f>
        <v/>
      </c>
      <c r="B581" s="38" t="str">
        <f>IF(ISNONTEXT(deployment_raw[[#This Row],[Column2]]), "", deployment_raw[[#This Row],[Column2]])</f>
        <v/>
      </c>
      <c r="C581" s="38" t="str">
        <f>IF(ISNONTEXT(deployment_raw[[#This Row],[Column3]]), "", deployment_raw[[#This Row],[Column3]])</f>
        <v/>
      </c>
      <c r="D581" s="38" t="str">
        <f>IF(ISNONTEXT(deployment_raw[[#This Row],[Column4]]), "", deployment_raw[[#This Row],[Column4]])</f>
        <v/>
      </c>
      <c r="E581" s="39" t="str">
        <f>IF(ISNUMBER(deployment_raw[[#This Row],[Column5]]), deployment_raw[[#This Row],[Column5]],"")</f>
        <v/>
      </c>
      <c r="F581" s="174" t="str">
        <f>IF(ISNUMBER(deployment_raw[[#This Row],[Column6]]), (deployment_raw[[#This Row],[Column6]] * deployment_raw[[#This Row],[Column5]]),"")</f>
        <v/>
      </c>
      <c r="G581" s="175" t="str">
        <f>IF(ISNUMBER(deployment_raw[[#This Row],[Column7]]), (deployment_raw[[#This Row],[Column7]] * deployment_raw[[#This Row],[Column5]])/1048576,"")</f>
        <v/>
      </c>
      <c r="H581" s="175" t="str">
        <f>IF(ISNUMBER(deployment_raw[[#This Row],[Column8]]), (deployment_raw[[#This Row],[Column8]]  * deployment_raw[[#This Row],[Column5]]),"")</f>
        <v/>
      </c>
      <c r="I581" s="176" t="str">
        <f>IF(ISNUMBER(deployment_raw[[#This Row],[Column9]]), (deployment_raw[[#This Row],[Column9]] * deployment_raw[[#This Row],[Column5]])/1048576,"")</f>
        <v/>
      </c>
      <c r="J581" s="57" t="str">
        <f>IF(ISNUMBER(deployment_raw[[#This Row],[Column10]]), (deployment_raw[[#This Row],[Column10]] * deployment_raw[[#This Row],[Column5]]),"")</f>
        <v/>
      </c>
      <c r="K581" s="58" t="str">
        <f>IF(ISNUMBER(deployment_raw[[#This Row],[Column11]]), (deployment_raw[[#This Row],[Column11]] * deployment_raw[[#This Row],[Column5]])/1048576,"")</f>
        <v/>
      </c>
      <c r="L581" s="180" t="str">
        <f>IF(ISNUMBER(deployment_raw[[#This Row],[Column8]]),IF(deployment_raw[[#This Row],[Column5]] &lt;&gt; 0, MAX((deployment_raw[[#This Row],[Column12]] * deployment_raw[[#This Row],[Column5]]), ((deployment_raw[[#This Row],[Column8]] * deployment_raw[[#This Row],[Column5]]) * $L$2), ($H$2 * deployment_raw[[#This Row],[Column5]])), 0),"")</f>
        <v/>
      </c>
      <c r="M58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81" s="188" t="str">
        <f>IF(ISNUMBER(deployment_raw[[#This Row],[Column14]]), deployment_raw[[#This Row],[Column14]],"")</f>
        <v/>
      </c>
      <c r="O581" s="189" t="str">
        <f>IF(ISNUMBER(deployment_raw[[#This Row],[Column15]]), deployment_raw[[#This Row],[Column15]]/1048576,"")</f>
        <v/>
      </c>
      <c r="P581" s="190" t="str">
        <f>IF(ISNUMBER(deployment_raw[[#This Row],[Column12]]), (deployment_raw[[#This Row],[Column12]] * deployment_raw[[#This Row],[Column5]]),"")</f>
        <v/>
      </c>
      <c r="Q581" s="189" t="str">
        <f>IF(ISNUMBER(deployment_raw[[#This Row],[Column13]]), (deployment_raw[[#This Row],[Column13]] * deployment_raw[[#This Row],[Column5]])/1048576,"")</f>
        <v/>
      </c>
    </row>
    <row r="582" spans="1:17" ht="15.75" customHeight="1" x14ac:dyDescent="0.25">
      <c r="A582" s="37" t="str">
        <f>IF(ISNONTEXT(deployment_raw[[#This Row],[Column1]]), "", deployment_raw[[#This Row],[Column1]])</f>
        <v/>
      </c>
      <c r="B582" s="38" t="str">
        <f>IF(ISNONTEXT(deployment_raw[[#This Row],[Column2]]), "", deployment_raw[[#This Row],[Column2]])</f>
        <v/>
      </c>
      <c r="C582" s="38" t="str">
        <f>IF(ISNONTEXT(deployment_raw[[#This Row],[Column3]]), "", deployment_raw[[#This Row],[Column3]])</f>
        <v/>
      </c>
      <c r="D582" s="38" t="str">
        <f>IF(ISNONTEXT(deployment_raw[[#This Row],[Column4]]), "", deployment_raw[[#This Row],[Column4]])</f>
        <v/>
      </c>
      <c r="E582" s="39" t="str">
        <f>IF(ISNUMBER(deployment_raw[[#This Row],[Column5]]), deployment_raw[[#This Row],[Column5]],"")</f>
        <v/>
      </c>
      <c r="F582" s="174" t="str">
        <f>IF(ISNUMBER(deployment_raw[[#This Row],[Column6]]), (deployment_raw[[#This Row],[Column6]] * deployment_raw[[#This Row],[Column5]]),"")</f>
        <v/>
      </c>
      <c r="G582" s="175" t="str">
        <f>IF(ISNUMBER(deployment_raw[[#This Row],[Column7]]), (deployment_raw[[#This Row],[Column7]] * deployment_raw[[#This Row],[Column5]])/1048576,"")</f>
        <v/>
      </c>
      <c r="H582" s="175" t="str">
        <f>IF(ISNUMBER(deployment_raw[[#This Row],[Column8]]), (deployment_raw[[#This Row],[Column8]]  * deployment_raw[[#This Row],[Column5]]),"")</f>
        <v/>
      </c>
      <c r="I582" s="176" t="str">
        <f>IF(ISNUMBER(deployment_raw[[#This Row],[Column9]]), (deployment_raw[[#This Row],[Column9]] * deployment_raw[[#This Row],[Column5]])/1048576,"")</f>
        <v/>
      </c>
      <c r="J582" s="57" t="str">
        <f>IF(ISNUMBER(deployment_raw[[#This Row],[Column10]]), (deployment_raw[[#This Row],[Column10]] * deployment_raw[[#This Row],[Column5]]),"")</f>
        <v/>
      </c>
      <c r="K582" s="58" t="str">
        <f>IF(ISNUMBER(deployment_raw[[#This Row],[Column11]]), (deployment_raw[[#This Row],[Column11]] * deployment_raw[[#This Row],[Column5]])/1048576,"")</f>
        <v/>
      </c>
      <c r="L582" s="180" t="str">
        <f>IF(ISNUMBER(deployment_raw[[#This Row],[Column8]]),IF(deployment_raw[[#This Row],[Column5]] &lt;&gt; 0, MAX((deployment_raw[[#This Row],[Column12]] * deployment_raw[[#This Row],[Column5]]), ((deployment_raw[[#This Row],[Column8]] * deployment_raw[[#This Row],[Column5]]) * $L$2), ($H$2 * deployment_raw[[#This Row],[Column5]])), 0),"")</f>
        <v/>
      </c>
      <c r="M58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82" s="188" t="str">
        <f>IF(ISNUMBER(deployment_raw[[#This Row],[Column14]]), deployment_raw[[#This Row],[Column14]],"")</f>
        <v/>
      </c>
      <c r="O582" s="189" t="str">
        <f>IF(ISNUMBER(deployment_raw[[#This Row],[Column15]]), deployment_raw[[#This Row],[Column15]]/1048576,"")</f>
        <v/>
      </c>
      <c r="P582" s="190" t="str">
        <f>IF(ISNUMBER(deployment_raw[[#This Row],[Column12]]), (deployment_raw[[#This Row],[Column12]] * deployment_raw[[#This Row],[Column5]]),"")</f>
        <v/>
      </c>
      <c r="Q582" s="189" t="str">
        <f>IF(ISNUMBER(deployment_raw[[#This Row],[Column13]]), (deployment_raw[[#This Row],[Column13]] * deployment_raw[[#This Row],[Column5]])/1048576,"")</f>
        <v/>
      </c>
    </row>
    <row r="583" spans="1:17" ht="15.75" customHeight="1" x14ac:dyDescent="0.25">
      <c r="A583" s="37" t="str">
        <f>IF(ISNONTEXT(deployment_raw[[#This Row],[Column1]]), "", deployment_raw[[#This Row],[Column1]])</f>
        <v/>
      </c>
      <c r="B583" s="38" t="str">
        <f>IF(ISNONTEXT(deployment_raw[[#This Row],[Column2]]), "", deployment_raw[[#This Row],[Column2]])</f>
        <v/>
      </c>
      <c r="C583" s="38" t="str">
        <f>IF(ISNONTEXT(deployment_raw[[#This Row],[Column3]]), "", deployment_raw[[#This Row],[Column3]])</f>
        <v/>
      </c>
      <c r="D583" s="38" t="str">
        <f>IF(ISNONTEXT(deployment_raw[[#This Row],[Column4]]), "", deployment_raw[[#This Row],[Column4]])</f>
        <v/>
      </c>
      <c r="E583" s="39" t="str">
        <f>IF(ISNUMBER(deployment_raw[[#This Row],[Column5]]), deployment_raw[[#This Row],[Column5]],"")</f>
        <v/>
      </c>
      <c r="F583" s="174" t="str">
        <f>IF(ISNUMBER(deployment_raw[[#This Row],[Column6]]), (deployment_raw[[#This Row],[Column6]] * deployment_raw[[#This Row],[Column5]]),"")</f>
        <v/>
      </c>
      <c r="G583" s="175" t="str">
        <f>IF(ISNUMBER(deployment_raw[[#This Row],[Column7]]), (deployment_raw[[#This Row],[Column7]] * deployment_raw[[#This Row],[Column5]])/1048576,"")</f>
        <v/>
      </c>
      <c r="H583" s="175" t="str">
        <f>IF(ISNUMBER(deployment_raw[[#This Row],[Column8]]), (deployment_raw[[#This Row],[Column8]]  * deployment_raw[[#This Row],[Column5]]),"")</f>
        <v/>
      </c>
      <c r="I583" s="176" t="str">
        <f>IF(ISNUMBER(deployment_raw[[#This Row],[Column9]]), (deployment_raw[[#This Row],[Column9]] * deployment_raw[[#This Row],[Column5]])/1048576,"")</f>
        <v/>
      </c>
      <c r="J583" s="57" t="str">
        <f>IF(ISNUMBER(deployment_raw[[#This Row],[Column10]]), (deployment_raw[[#This Row],[Column10]] * deployment_raw[[#This Row],[Column5]]),"")</f>
        <v/>
      </c>
      <c r="K583" s="58" t="str">
        <f>IF(ISNUMBER(deployment_raw[[#This Row],[Column11]]), (deployment_raw[[#This Row],[Column11]] * deployment_raw[[#This Row],[Column5]])/1048576,"")</f>
        <v/>
      </c>
      <c r="L583" s="180" t="str">
        <f>IF(ISNUMBER(deployment_raw[[#This Row],[Column8]]),IF(deployment_raw[[#This Row],[Column5]] &lt;&gt; 0, MAX((deployment_raw[[#This Row],[Column12]] * deployment_raw[[#This Row],[Column5]]), ((deployment_raw[[#This Row],[Column8]] * deployment_raw[[#This Row],[Column5]]) * $L$2), ($H$2 * deployment_raw[[#This Row],[Column5]])), 0),"")</f>
        <v/>
      </c>
      <c r="M58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83" s="188" t="str">
        <f>IF(ISNUMBER(deployment_raw[[#This Row],[Column14]]), deployment_raw[[#This Row],[Column14]],"")</f>
        <v/>
      </c>
      <c r="O583" s="189" t="str">
        <f>IF(ISNUMBER(deployment_raw[[#This Row],[Column15]]), deployment_raw[[#This Row],[Column15]]/1048576,"")</f>
        <v/>
      </c>
      <c r="P583" s="190" t="str">
        <f>IF(ISNUMBER(deployment_raw[[#This Row],[Column12]]), (deployment_raw[[#This Row],[Column12]] * deployment_raw[[#This Row],[Column5]]),"")</f>
        <v/>
      </c>
      <c r="Q583" s="189" t="str">
        <f>IF(ISNUMBER(deployment_raw[[#This Row],[Column13]]), (deployment_raw[[#This Row],[Column13]] * deployment_raw[[#This Row],[Column5]])/1048576,"")</f>
        <v/>
      </c>
    </row>
    <row r="584" spans="1:17" ht="15.75" customHeight="1" x14ac:dyDescent="0.25">
      <c r="A584" s="37" t="str">
        <f>IF(ISNONTEXT(deployment_raw[[#This Row],[Column1]]), "", deployment_raw[[#This Row],[Column1]])</f>
        <v/>
      </c>
      <c r="B584" s="38" t="str">
        <f>IF(ISNONTEXT(deployment_raw[[#This Row],[Column2]]), "", deployment_raw[[#This Row],[Column2]])</f>
        <v/>
      </c>
      <c r="C584" s="38" t="str">
        <f>IF(ISNONTEXT(deployment_raw[[#This Row],[Column3]]), "", deployment_raw[[#This Row],[Column3]])</f>
        <v/>
      </c>
      <c r="D584" s="38" t="str">
        <f>IF(ISNONTEXT(deployment_raw[[#This Row],[Column4]]), "", deployment_raw[[#This Row],[Column4]])</f>
        <v/>
      </c>
      <c r="E584" s="39" t="str">
        <f>IF(ISNUMBER(deployment_raw[[#This Row],[Column5]]), deployment_raw[[#This Row],[Column5]],"")</f>
        <v/>
      </c>
      <c r="F584" s="174" t="str">
        <f>IF(ISNUMBER(deployment_raw[[#This Row],[Column6]]), (deployment_raw[[#This Row],[Column6]] * deployment_raw[[#This Row],[Column5]]),"")</f>
        <v/>
      </c>
      <c r="G584" s="175" t="str">
        <f>IF(ISNUMBER(deployment_raw[[#This Row],[Column7]]), (deployment_raw[[#This Row],[Column7]] * deployment_raw[[#This Row],[Column5]])/1048576,"")</f>
        <v/>
      </c>
      <c r="H584" s="175" t="str">
        <f>IF(ISNUMBER(deployment_raw[[#This Row],[Column8]]), (deployment_raw[[#This Row],[Column8]]  * deployment_raw[[#This Row],[Column5]]),"")</f>
        <v/>
      </c>
      <c r="I584" s="176" t="str">
        <f>IF(ISNUMBER(deployment_raw[[#This Row],[Column9]]), (deployment_raw[[#This Row],[Column9]] * deployment_raw[[#This Row],[Column5]])/1048576,"")</f>
        <v/>
      </c>
      <c r="J584" s="57" t="str">
        <f>IF(ISNUMBER(deployment_raw[[#This Row],[Column10]]), (deployment_raw[[#This Row],[Column10]] * deployment_raw[[#This Row],[Column5]]),"")</f>
        <v/>
      </c>
      <c r="K584" s="58" t="str">
        <f>IF(ISNUMBER(deployment_raw[[#This Row],[Column11]]), (deployment_raw[[#This Row],[Column11]] * deployment_raw[[#This Row],[Column5]])/1048576,"")</f>
        <v/>
      </c>
      <c r="L584" s="180" t="str">
        <f>IF(ISNUMBER(deployment_raw[[#This Row],[Column8]]),IF(deployment_raw[[#This Row],[Column5]] &lt;&gt; 0, MAX((deployment_raw[[#This Row],[Column12]] * deployment_raw[[#This Row],[Column5]]), ((deployment_raw[[#This Row],[Column8]] * deployment_raw[[#This Row],[Column5]]) * $L$2), ($H$2 * deployment_raw[[#This Row],[Column5]])), 0),"")</f>
        <v/>
      </c>
      <c r="M58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84" s="188" t="str">
        <f>IF(ISNUMBER(deployment_raw[[#This Row],[Column14]]), deployment_raw[[#This Row],[Column14]],"")</f>
        <v/>
      </c>
      <c r="O584" s="189" t="str">
        <f>IF(ISNUMBER(deployment_raw[[#This Row],[Column15]]), deployment_raw[[#This Row],[Column15]]/1048576,"")</f>
        <v/>
      </c>
      <c r="P584" s="190" t="str">
        <f>IF(ISNUMBER(deployment_raw[[#This Row],[Column12]]), (deployment_raw[[#This Row],[Column12]] * deployment_raw[[#This Row],[Column5]]),"")</f>
        <v/>
      </c>
      <c r="Q584" s="189" t="str">
        <f>IF(ISNUMBER(deployment_raw[[#This Row],[Column13]]), (deployment_raw[[#This Row],[Column13]] * deployment_raw[[#This Row],[Column5]])/1048576,"")</f>
        <v/>
      </c>
    </row>
    <row r="585" spans="1:17" ht="15.75" customHeight="1" x14ac:dyDescent="0.25">
      <c r="A585" s="37" t="str">
        <f>IF(ISNONTEXT(deployment_raw[[#This Row],[Column1]]), "", deployment_raw[[#This Row],[Column1]])</f>
        <v/>
      </c>
      <c r="B585" s="38" t="str">
        <f>IF(ISNONTEXT(deployment_raw[[#This Row],[Column2]]), "", deployment_raw[[#This Row],[Column2]])</f>
        <v/>
      </c>
      <c r="C585" s="38" t="str">
        <f>IF(ISNONTEXT(deployment_raw[[#This Row],[Column3]]), "", deployment_raw[[#This Row],[Column3]])</f>
        <v/>
      </c>
      <c r="D585" s="38" t="str">
        <f>IF(ISNONTEXT(deployment_raw[[#This Row],[Column4]]), "", deployment_raw[[#This Row],[Column4]])</f>
        <v/>
      </c>
      <c r="E585" s="39" t="str">
        <f>IF(ISNUMBER(deployment_raw[[#This Row],[Column5]]), deployment_raw[[#This Row],[Column5]],"")</f>
        <v/>
      </c>
      <c r="F585" s="174" t="str">
        <f>IF(ISNUMBER(deployment_raw[[#This Row],[Column6]]), (deployment_raw[[#This Row],[Column6]] * deployment_raw[[#This Row],[Column5]]),"")</f>
        <v/>
      </c>
      <c r="G585" s="175" t="str">
        <f>IF(ISNUMBER(deployment_raw[[#This Row],[Column7]]), (deployment_raw[[#This Row],[Column7]] * deployment_raw[[#This Row],[Column5]])/1048576,"")</f>
        <v/>
      </c>
      <c r="H585" s="175" t="str">
        <f>IF(ISNUMBER(deployment_raw[[#This Row],[Column8]]), (deployment_raw[[#This Row],[Column8]]  * deployment_raw[[#This Row],[Column5]]),"")</f>
        <v/>
      </c>
      <c r="I585" s="176" t="str">
        <f>IF(ISNUMBER(deployment_raw[[#This Row],[Column9]]), (deployment_raw[[#This Row],[Column9]] * deployment_raw[[#This Row],[Column5]])/1048576,"")</f>
        <v/>
      </c>
      <c r="J585" s="57" t="str">
        <f>IF(ISNUMBER(deployment_raw[[#This Row],[Column10]]), (deployment_raw[[#This Row],[Column10]] * deployment_raw[[#This Row],[Column5]]),"")</f>
        <v/>
      </c>
      <c r="K585" s="58" t="str">
        <f>IF(ISNUMBER(deployment_raw[[#This Row],[Column11]]), (deployment_raw[[#This Row],[Column11]] * deployment_raw[[#This Row],[Column5]])/1048576,"")</f>
        <v/>
      </c>
      <c r="L585" s="180" t="str">
        <f>IF(ISNUMBER(deployment_raw[[#This Row],[Column8]]),IF(deployment_raw[[#This Row],[Column5]] &lt;&gt; 0, MAX((deployment_raw[[#This Row],[Column12]] * deployment_raw[[#This Row],[Column5]]), ((deployment_raw[[#This Row],[Column8]] * deployment_raw[[#This Row],[Column5]]) * $L$2), ($H$2 * deployment_raw[[#This Row],[Column5]])), 0),"")</f>
        <v/>
      </c>
      <c r="M58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85" s="188" t="str">
        <f>IF(ISNUMBER(deployment_raw[[#This Row],[Column14]]), deployment_raw[[#This Row],[Column14]],"")</f>
        <v/>
      </c>
      <c r="O585" s="189" t="str">
        <f>IF(ISNUMBER(deployment_raw[[#This Row],[Column15]]), deployment_raw[[#This Row],[Column15]]/1048576,"")</f>
        <v/>
      </c>
      <c r="P585" s="190" t="str">
        <f>IF(ISNUMBER(deployment_raw[[#This Row],[Column12]]), (deployment_raw[[#This Row],[Column12]] * deployment_raw[[#This Row],[Column5]]),"")</f>
        <v/>
      </c>
      <c r="Q585" s="189" t="str">
        <f>IF(ISNUMBER(deployment_raw[[#This Row],[Column13]]), (deployment_raw[[#This Row],[Column13]] * deployment_raw[[#This Row],[Column5]])/1048576,"")</f>
        <v/>
      </c>
    </row>
    <row r="586" spans="1:17" ht="15.75" customHeight="1" x14ac:dyDescent="0.25">
      <c r="A586" s="37" t="str">
        <f>IF(ISNONTEXT(deployment_raw[[#This Row],[Column1]]), "", deployment_raw[[#This Row],[Column1]])</f>
        <v/>
      </c>
      <c r="B586" s="38" t="str">
        <f>IF(ISNONTEXT(deployment_raw[[#This Row],[Column2]]), "", deployment_raw[[#This Row],[Column2]])</f>
        <v/>
      </c>
      <c r="C586" s="38" t="str">
        <f>IF(ISNONTEXT(deployment_raw[[#This Row],[Column3]]), "", deployment_raw[[#This Row],[Column3]])</f>
        <v/>
      </c>
      <c r="D586" s="38" t="str">
        <f>IF(ISNONTEXT(deployment_raw[[#This Row],[Column4]]), "", deployment_raw[[#This Row],[Column4]])</f>
        <v/>
      </c>
      <c r="E586" s="39" t="str">
        <f>IF(ISNUMBER(deployment_raw[[#This Row],[Column5]]), deployment_raw[[#This Row],[Column5]],"")</f>
        <v/>
      </c>
      <c r="F586" s="174" t="str">
        <f>IF(ISNUMBER(deployment_raw[[#This Row],[Column6]]), (deployment_raw[[#This Row],[Column6]] * deployment_raw[[#This Row],[Column5]]),"")</f>
        <v/>
      </c>
      <c r="G586" s="175" t="str">
        <f>IF(ISNUMBER(deployment_raw[[#This Row],[Column7]]), (deployment_raw[[#This Row],[Column7]] * deployment_raw[[#This Row],[Column5]])/1048576,"")</f>
        <v/>
      </c>
      <c r="H586" s="175" t="str">
        <f>IF(ISNUMBER(deployment_raw[[#This Row],[Column8]]), (deployment_raw[[#This Row],[Column8]]  * deployment_raw[[#This Row],[Column5]]),"")</f>
        <v/>
      </c>
      <c r="I586" s="176" t="str">
        <f>IF(ISNUMBER(deployment_raw[[#This Row],[Column9]]), (deployment_raw[[#This Row],[Column9]] * deployment_raw[[#This Row],[Column5]])/1048576,"")</f>
        <v/>
      </c>
      <c r="J586" s="57" t="str">
        <f>IF(ISNUMBER(deployment_raw[[#This Row],[Column10]]), (deployment_raw[[#This Row],[Column10]] * deployment_raw[[#This Row],[Column5]]),"")</f>
        <v/>
      </c>
      <c r="K586" s="58" t="str">
        <f>IF(ISNUMBER(deployment_raw[[#This Row],[Column11]]), (deployment_raw[[#This Row],[Column11]] * deployment_raw[[#This Row],[Column5]])/1048576,"")</f>
        <v/>
      </c>
      <c r="L586" s="180" t="str">
        <f>IF(ISNUMBER(deployment_raw[[#This Row],[Column8]]),IF(deployment_raw[[#This Row],[Column5]] &lt;&gt; 0, MAX((deployment_raw[[#This Row],[Column12]] * deployment_raw[[#This Row],[Column5]]), ((deployment_raw[[#This Row],[Column8]] * deployment_raw[[#This Row],[Column5]]) * $L$2), ($H$2 * deployment_raw[[#This Row],[Column5]])), 0),"")</f>
        <v/>
      </c>
      <c r="M58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86" s="188" t="str">
        <f>IF(ISNUMBER(deployment_raw[[#This Row],[Column14]]), deployment_raw[[#This Row],[Column14]],"")</f>
        <v/>
      </c>
      <c r="O586" s="189" t="str">
        <f>IF(ISNUMBER(deployment_raw[[#This Row],[Column15]]), deployment_raw[[#This Row],[Column15]]/1048576,"")</f>
        <v/>
      </c>
      <c r="P586" s="190" t="str">
        <f>IF(ISNUMBER(deployment_raw[[#This Row],[Column12]]), (deployment_raw[[#This Row],[Column12]] * deployment_raw[[#This Row],[Column5]]),"")</f>
        <v/>
      </c>
      <c r="Q586" s="189" t="str">
        <f>IF(ISNUMBER(deployment_raw[[#This Row],[Column13]]), (deployment_raw[[#This Row],[Column13]] * deployment_raw[[#This Row],[Column5]])/1048576,"")</f>
        <v/>
      </c>
    </row>
    <row r="587" spans="1:17" ht="15.75" customHeight="1" x14ac:dyDescent="0.25">
      <c r="A587" s="37" t="str">
        <f>IF(ISNONTEXT(deployment_raw[[#This Row],[Column1]]), "", deployment_raw[[#This Row],[Column1]])</f>
        <v/>
      </c>
      <c r="B587" s="38" t="str">
        <f>IF(ISNONTEXT(deployment_raw[[#This Row],[Column2]]), "", deployment_raw[[#This Row],[Column2]])</f>
        <v/>
      </c>
      <c r="C587" s="38" t="str">
        <f>IF(ISNONTEXT(deployment_raw[[#This Row],[Column3]]), "", deployment_raw[[#This Row],[Column3]])</f>
        <v/>
      </c>
      <c r="D587" s="38" t="str">
        <f>IF(ISNONTEXT(deployment_raw[[#This Row],[Column4]]), "", deployment_raw[[#This Row],[Column4]])</f>
        <v/>
      </c>
      <c r="E587" s="39" t="str">
        <f>IF(ISNUMBER(deployment_raw[[#This Row],[Column5]]), deployment_raw[[#This Row],[Column5]],"")</f>
        <v/>
      </c>
      <c r="F587" s="174" t="str">
        <f>IF(ISNUMBER(deployment_raw[[#This Row],[Column6]]), (deployment_raw[[#This Row],[Column6]] * deployment_raw[[#This Row],[Column5]]),"")</f>
        <v/>
      </c>
      <c r="G587" s="175" t="str">
        <f>IF(ISNUMBER(deployment_raw[[#This Row],[Column7]]), (deployment_raw[[#This Row],[Column7]] * deployment_raw[[#This Row],[Column5]])/1048576,"")</f>
        <v/>
      </c>
      <c r="H587" s="175" t="str">
        <f>IF(ISNUMBER(deployment_raw[[#This Row],[Column8]]), (deployment_raw[[#This Row],[Column8]]  * deployment_raw[[#This Row],[Column5]]),"")</f>
        <v/>
      </c>
      <c r="I587" s="176" t="str">
        <f>IF(ISNUMBER(deployment_raw[[#This Row],[Column9]]), (deployment_raw[[#This Row],[Column9]] * deployment_raw[[#This Row],[Column5]])/1048576,"")</f>
        <v/>
      </c>
      <c r="J587" s="57" t="str">
        <f>IF(ISNUMBER(deployment_raw[[#This Row],[Column10]]), (deployment_raw[[#This Row],[Column10]] * deployment_raw[[#This Row],[Column5]]),"")</f>
        <v/>
      </c>
      <c r="K587" s="58" t="str">
        <f>IF(ISNUMBER(deployment_raw[[#This Row],[Column11]]), (deployment_raw[[#This Row],[Column11]] * deployment_raw[[#This Row],[Column5]])/1048576,"")</f>
        <v/>
      </c>
      <c r="L587" s="180" t="str">
        <f>IF(ISNUMBER(deployment_raw[[#This Row],[Column8]]),IF(deployment_raw[[#This Row],[Column5]] &lt;&gt; 0, MAX((deployment_raw[[#This Row],[Column12]] * deployment_raw[[#This Row],[Column5]]), ((deployment_raw[[#This Row],[Column8]] * deployment_raw[[#This Row],[Column5]]) * $L$2), ($H$2 * deployment_raw[[#This Row],[Column5]])), 0),"")</f>
        <v/>
      </c>
      <c r="M58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87" s="188" t="str">
        <f>IF(ISNUMBER(deployment_raw[[#This Row],[Column14]]), deployment_raw[[#This Row],[Column14]],"")</f>
        <v/>
      </c>
      <c r="O587" s="189" t="str">
        <f>IF(ISNUMBER(deployment_raw[[#This Row],[Column15]]), deployment_raw[[#This Row],[Column15]]/1048576,"")</f>
        <v/>
      </c>
      <c r="P587" s="190" t="str">
        <f>IF(ISNUMBER(deployment_raw[[#This Row],[Column12]]), (deployment_raw[[#This Row],[Column12]] * deployment_raw[[#This Row],[Column5]]),"")</f>
        <v/>
      </c>
      <c r="Q587" s="189" t="str">
        <f>IF(ISNUMBER(deployment_raw[[#This Row],[Column13]]), (deployment_raw[[#This Row],[Column13]] * deployment_raw[[#This Row],[Column5]])/1048576,"")</f>
        <v/>
      </c>
    </row>
    <row r="588" spans="1:17" ht="15.75" customHeight="1" x14ac:dyDescent="0.25">
      <c r="A588" s="37" t="str">
        <f>IF(ISNONTEXT(deployment_raw[[#This Row],[Column1]]), "", deployment_raw[[#This Row],[Column1]])</f>
        <v/>
      </c>
      <c r="B588" s="38" t="str">
        <f>IF(ISNONTEXT(deployment_raw[[#This Row],[Column2]]), "", deployment_raw[[#This Row],[Column2]])</f>
        <v/>
      </c>
      <c r="C588" s="38" t="str">
        <f>IF(ISNONTEXT(deployment_raw[[#This Row],[Column3]]), "", deployment_raw[[#This Row],[Column3]])</f>
        <v/>
      </c>
      <c r="D588" s="38" t="str">
        <f>IF(ISNONTEXT(deployment_raw[[#This Row],[Column4]]), "", deployment_raw[[#This Row],[Column4]])</f>
        <v/>
      </c>
      <c r="E588" s="39" t="str">
        <f>IF(ISNUMBER(deployment_raw[[#This Row],[Column5]]), deployment_raw[[#This Row],[Column5]],"")</f>
        <v/>
      </c>
      <c r="F588" s="174" t="str">
        <f>IF(ISNUMBER(deployment_raw[[#This Row],[Column6]]), (deployment_raw[[#This Row],[Column6]] * deployment_raw[[#This Row],[Column5]]),"")</f>
        <v/>
      </c>
      <c r="G588" s="175" t="str">
        <f>IF(ISNUMBER(deployment_raw[[#This Row],[Column7]]), (deployment_raw[[#This Row],[Column7]] * deployment_raw[[#This Row],[Column5]])/1048576,"")</f>
        <v/>
      </c>
      <c r="H588" s="175" t="str">
        <f>IF(ISNUMBER(deployment_raw[[#This Row],[Column8]]), (deployment_raw[[#This Row],[Column8]]  * deployment_raw[[#This Row],[Column5]]),"")</f>
        <v/>
      </c>
      <c r="I588" s="176" t="str">
        <f>IF(ISNUMBER(deployment_raw[[#This Row],[Column9]]), (deployment_raw[[#This Row],[Column9]] * deployment_raw[[#This Row],[Column5]])/1048576,"")</f>
        <v/>
      </c>
      <c r="J588" s="57" t="str">
        <f>IF(ISNUMBER(deployment_raw[[#This Row],[Column10]]), (deployment_raw[[#This Row],[Column10]] * deployment_raw[[#This Row],[Column5]]),"")</f>
        <v/>
      </c>
      <c r="K588" s="58" t="str">
        <f>IF(ISNUMBER(deployment_raw[[#This Row],[Column11]]), (deployment_raw[[#This Row],[Column11]] * deployment_raw[[#This Row],[Column5]])/1048576,"")</f>
        <v/>
      </c>
      <c r="L588" s="180" t="str">
        <f>IF(ISNUMBER(deployment_raw[[#This Row],[Column8]]),IF(deployment_raw[[#This Row],[Column5]] &lt;&gt; 0, MAX((deployment_raw[[#This Row],[Column12]] * deployment_raw[[#This Row],[Column5]]), ((deployment_raw[[#This Row],[Column8]] * deployment_raw[[#This Row],[Column5]]) * $L$2), ($H$2 * deployment_raw[[#This Row],[Column5]])), 0),"")</f>
        <v/>
      </c>
      <c r="M58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88" s="188" t="str">
        <f>IF(ISNUMBER(deployment_raw[[#This Row],[Column14]]), deployment_raw[[#This Row],[Column14]],"")</f>
        <v/>
      </c>
      <c r="O588" s="189" t="str">
        <f>IF(ISNUMBER(deployment_raw[[#This Row],[Column15]]), deployment_raw[[#This Row],[Column15]]/1048576,"")</f>
        <v/>
      </c>
      <c r="P588" s="190" t="str">
        <f>IF(ISNUMBER(deployment_raw[[#This Row],[Column12]]), (deployment_raw[[#This Row],[Column12]] * deployment_raw[[#This Row],[Column5]]),"")</f>
        <v/>
      </c>
      <c r="Q588" s="189" t="str">
        <f>IF(ISNUMBER(deployment_raw[[#This Row],[Column13]]), (deployment_raw[[#This Row],[Column13]] * deployment_raw[[#This Row],[Column5]])/1048576,"")</f>
        <v/>
      </c>
    </row>
    <row r="589" spans="1:17" ht="15.75" customHeight="1" x14ac:dyDescent="0.25">
      <c r="A589" s="37" t="str">
        <f>IF(ISNONTEXT(deployment_raw[[#This Row],[Column1]]), "", deployment_raw[[#This Row],[Column1]])</f>
        <v/>
      </c>
      <c r="B589" s="38" t="str">
        <f>IF(ISNONTEXT(deployment_raw[[#This Row],[Column2]]), "", deployment_raw[[#This Row],[Column2]])</f>
        <v/>
      </c>
      <c r="C589" s="38" t="str">
        <f>IF(ISNONTEXT(deployment_raw[[#This Row],[Column3]]), "", deployment_raw[[#This Row],[Column3]])</f>
        <v/>
      </c>
      <c r="D589" s="38" t="str">
        <f>IF(ISNONTEXT(deployment_raw[[#This Row],[Column4]]), "", deployment_raw[[#This Row],[Column4]])</f>
        <v/>
      </c>
      <c r="E589" s="39" t="str">
        <f>IF(ISNUMBER(deployment_raw[[#This Row],[Column5]]), deployment_raw[[#This Row],[Column5]],"")</f>
        <v/>
      </c>
      <c r="F589" s="174" t="str">
        <f>IF(ISNUMBER(deployment_raw[[#This Row],[Column6]]), (deployment_raw[[#This Row],[Column6]] * deployment_raw[[#This Row],[Column5]]),"")</f>
        <v/>
      </c>
      <c r="G589" s="175" t="str">
        <f>IF(ISNUMBER(deployment_raw[[#This Row],[Column7]]), (deployment_raw[[#This Row],[Column7]] * deployment_raw[[#This Row],[Column5]])/1048576,"")</f>
        <v/>
      </c>
      <c r="H589" s="175" t="str">
        <f>IF(ISNUMBER(deployment_raw[[#This Row],[Column8]]), (deployment_raw[[#This Row],[Column8]]  * deployment_raw[[#This Row],[Column5]]),"")</f>
        <v/>
      </c>
      <c r="I589" s="176" t="str">
        <f>IF(ISNUMBER(deployment_raw[[#This Row],[Column9]]), (deployment_raw[[#This Row],[Column9]] * deployment_raw[[#This Row],[Column5]])/1048576,"")</f>
        <v/>
      </c>
      <c r="J589" s="57" t="str">
        <f>IF(ISNUMBER(deployment_raw[[#This Row],[Column10]]), (deployment_raw[[#This Row],[Column10]] * deployment_raw[[#This Row],[Column5]]),"")</f>
        <v/>
      </c>
      <c r="K589" s="58" t="str">
        <f>IF(ISNUMBER(deployment_raw[[#This Row],[Column11]]), (deployment_raw[[#This Row],[Column11]] * deployment_raw[[#This Row],[Column5]])/1048576,"")</f>
        <v/>
      </c>
      <c r="L589" s="180" t="str">
        <f>IF(ISNUMBER(deployment_raw[[#This Row],[Column8]]),IF(deployment_raw[[#This Row],[Column5]] &lt;&gt; 0, MAX((deployment_raw[[#This Row],[Column12]] * deployment_raw[[#This Row],[Column5]]), ((deployment_raw[[#This Row],[Column8]] * deployment_raw[[#This Row],[Column5]]) * $L$2), ($H$2 * deployment_raw[[#This Row],[Column5]])), 0),"")</f>
        <v/>
      </c>
      <c r="M58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89" s="188" t="str">
        <f>IF(ISNUMBER(deployment_raw[[#This Row],[Column14]]), deployment_raw[[#This Row],[Column14]],"")</f>
        <v/>
      </c>
      <c r="O589" s="189" t="str">
        <f>IF(ISNUMBER(deployment_raw[[#This Row],[Column15]]), deployment_raw[[#This Row],[Column15]]/1048576,"")</f>
        <v/>
      </c>
      <c r="P589" s="190" t="str">
        <f>IF(ISNUMBER(deployment_raw[[#This Row],[Column12]]), (deployment_raw[[#This Row],[Column12]] * deployment_raw[[#This Row],[Column5]]),"")</f>
        <v/>
      </c>
      <c r="Q589" s="189" t="str">
        <f>IF(ISNUMBER(deployment_raw[[#This Row],[Column13]]), (deployment_raw[[#This Row],[Column13]] * deployment_raw[[#This Row],[Column5]])/1048576,"")</f>
        <v/>
      </c>
    </row>
    <row r="590" spans="1:17" ht="15.75" customHeight="1" x14ac:dyDescent="0.25">
      <c r="A590" s="37" t="str">
        <f>IF(ISNONTEXT(deployment_raw[[#This Row],[Column1]]), "", deployment_raw[[#This Row],[Column1]])</f>
        <v/>
      </c>
      <c r="B590" s="38" t="str">
        <f>IF(ISNONTEXT(deployment_raw[[#This Row],[Column2]]), "", deployment_raw[[#This Row],[Column2]])</f>
        <v/>
      </c>
      <c r="C590" s="38" t="str">
        <f>IF(ISNONTEXT(deployment_raw[[#This Row],[Column3]]), "", deployment_raw[[#This Row],[Column3]])</f>
        <v/>
      </c>
      <c r="D590" s="38" t="str">
        <f>IF(ISNONTEXT(deployment_raw[[#This Row],[Column4]]), "", deployment_raw[[#This Row],[Column4]])</f>
        <v/>
      </c>
      <c r="E590" s="39" t="str">
        <f>IF(ISNUMBER(deployment_raw[[#This Row],[Column5]]), deployment_raw[[#This Row],[Column5]],"")</f>
        <v/>
      </c>
      <c r="F590" s="174" t="str">
        <f>IF(ISNUMBER(deployment_raw[[#This Row],[Column6]]), (deployment_raw[[#This Row],[Column6]] * deployment_raw[[#This Row],[Column5]]),"")</f>
        <v/>
      </c>
      <c r="G590" s="175" t="str">
        <f>IF(ISNUMBER(deployment_raw[[#This Row],[Column7]]), (deployment_raw[[#This Row],[Column7]] * deployment_raw[[#This Row],[Column5]])/1048576,"")</f>
        <v/>
      </c>
      <c r="H590" s="175" t="str">
        <f>IF(ISNUMBER(deployment_raw[[#This Row],[Column8]]), (deployment_raw[[#This Row],[Column8]]  * deployment_raw[[#This Row],[Column5]]),"")</f>
        <v/>
      </c>
      <c r="I590" s="176" t="str">
        <f>IF(ISNUMBER(deployment_raw[[#This Row],[Column9]]), (deployment_raw[[#This Row],[Column9]] * deployment_raw[[#This Row],[Column5]])/1048576,"")</f>
        <v/>
      </c>
      <c r="J590" s="57" t="str">
        <f>IF(ISNUMBER(deployment_raw[[#This Row],[Column10]]), (deployment_raw[[#This Row],[Column10]] * deployment_raw[[#This Row],[Column5]]),"")</f>
        <v/>
      </c>
      <c r="K590" s="58" t="str">
        <f>IF(ISNUMBER(deployment_raw[[#This Row],[Column11]]), (deployment_raw[[#This Row],[Column11]] * deployment_raw[[#This Row],[Column5]])/1048576,"")</f>
        <v/>
      </c>
      <c r="L590" s="180" t="str">
        <f>IF(ISNUMBER(deployment_raw[[#This Row],[Column8]]),IF(deployment_raw[[#This Row],[Column5]] &lt;&gt; 0, MAX((deployment_raw[[#This Row],[Column12]] * deployment_raw[[#This Row],[Column5]]), ((deployment_raw[[#This Row],[Column8]] * deployment_raw[[#This Row],[Column5]]) * $L$2), ($H$2 * deployment_raw[[#This Row],[Column5]])), 0),"")</f>
        <v/>
      </c>
      <c r="M59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90" s="188" t="str">
        <f>IF(ISNUMBER(deployment_raw[[#This Row],[Column14]]), deployment_raw[[#This Row],[Column14]],"")</f>
        <v/>
      </c>
      <c r="O590" s="189" t="str">
        <f>IF(ISNUMBER(deployment_raw[[#This Row],[Column15]]), deployment_raw[[#This Row],[Column15]]/1048576,"")</f>
        <v/>
      </c>
      <c r="P590" s="190" t="str">
        <f>IF(ISNUMBER(deployment_raw[[#This Row],[Column12]]), (deployment_raw[[#This Row],[Column12]] * deployment_raw[[#This Row],[Column5]]),"")</f>
        <v/>
      </c>
      <c r="Q590" s="189" t="str">
        <f>IF(ISNUMBER(deployment_raw[[#This Row],[Column13]]), (deployment_raw[[#This Row],[Column13]] * deployment_raw[[#This Row],[Column5]])/1048576,"")</f>
        <v/>
      </c>
    </row>
    <row r="591" spans="1:17" ht="15.75" customHeight="1" x14ac:dyDescent="0.25">
      <c r="A591" s="37" t="str">
        <f>IF(ISNONTEXT(deployment_raw[[#This Row],[Column1]]), "", deployment_raw[[#This Row],[Column1]])</f>
        <v/>
      </c>
      <c r="B591" s="38" t="str">
        <f>IF(ISNONTEXT(deployment_raw[[#This Row],[Column2]]), "", deployment_raw[[#This Row],[Column2]])</f>
        <v/>
      </c>
      <c r="C591" s="38" t="str">
        <f>IF(ISNONTEXT(deployment_raw[[#This Row],[Column3]]), "", deployment_raw[[#This Row],[Column3]])</f>
        <v/>
      </c>
      <c r="D591" s="38" t="str">
        <f>IF(ISNONTEXT(deployment_raw[[#This Row],[Column4]]), "", deployment_raw[[#This Row],[Column4]])</f>
        <v/>
      </c>
      <c r="E591" s="39" t="str">
        <f>IF(ISNUMBER(deployment_raw[[#This Row],[Column5]]), deployment_raw[[#This Row],[Column5]],"")</f>
        <v/>
      </c>
      <c r="F591" s="174" t="str">
        <f>IF(ISNUMBER(deployment_raw[[#This Row],[Column6]]), (deployment_raw[[#This Row],[Column6]] * deployment_raw[[#This Row],[Column5]]),"")</f>
        <v/>
      </c>
      <c r="G591" s="175" t="str">
        <f>IF(ISNUMBER(deployment_raw[[#This Row],[Column7]]), (deployment_raw[[#This Row],[Column7]] * deployment_raw[[#This Row],[Column5]])/1048576,"")</f>
        <v/>
      </c>
      <c r="H591" s="175" t="str">
        <f>IF(ISNUMBER(deployment_raw[[#This Row],[Column8]]), (deployment_raw[[#This Row],[Column8]]  * deployment_raw[[#This Row],[Column5]]),"")</f>
        <v/>
      </c>
      <c r="I591" s="176" t="str">
        <f>IF(ISNUMBER(deployment_raw[[#This Row],[Column9]]), (deployment_raw[[#This Row],[Column9]] * deployment_raw[[#This Row],[Column5]])/1048576,"")</f>
        <v/>
      </c>
      <c r="J591" s="57" t="str">
        <f>IF(ISNUMBER(deployment_raw[[#This Row],[Column10]]), (deployment_raw[[#This Row],[Column10]] * deployment_raw[[#This Row],[Column5]]),"")</f>
        <v/>
      </c>
      <c r="K591" s="58" t="str">
        <f>IF(ISNUMBER(deployment_raw[[#This Row],[Column11]]), (deployment_raw[[#This Row],[Column11]] * deployment_raw[[#This Row],[Column5]])/1048576,"")</f>
        <v/>
      </c>
      <c r="L591" s="180" t="str">
        <f>IF(ISNUMBER(deployment_raw[[#This Row],[Column8]]),IF(deployment_raw[[#This Row],[Column5]] &lt;&gt; 0, MAX((deployment_raw[[#This Row],[Column12]] * deployment_raw[[#This Row],[Column5]]), ((deployment_raw[[#This Row],[Column8]] * deployment_raw[[#This Row],[Column5]]) * $L$2), ($H$2 * deployment_raw[[#This Row],[Column5]])), 0),"")</f>
        <v/>
      </c>
      <c r="M59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91" s="188" t="str">
        <f>IF(ISNUMBER(deployment_raw[[#This Row],[Column14]]), deployment_raw[[#This Row],[Column14]],"")</f>
        <v/>
      </c>
      <c r="O591" s="189" t="str">
        <f>IF(ISNUMBER(deployment_raw[[#This Row],[Column15]]), deployment_raw[[#This Row],[Column15]]/1048576,"")</f>
        <v/>
      </c>
      <c r="P591" s="190" t="str">
        <f>IF(ISNUMBER(deployment_raw[[#This Row],[Column12]]), (deployment_raw[[#This Row],[Column12]] * deployment_raw[[#This Row],[Column5]]),"")</f>
        <v/>
      </c>
      <c r="Q591" s="189" t="str">
        <f>IF(ISNUMBER(deployment_raw[[#This Row],[Column13]]), (deployment_raw[[#This Row],[Column13]] * deployment_raw[[#This Row],[Column5]])/1048576,"")</f>
        <v/>
      </c>
    </row>
    <row r="592" spans="1:17" ht="15.75" customHeight="1" x14ac:dyDescent="0.25">
      <c r="A592" s="37" t="str">
        <f>IF(ISNONTEXT(deployment_raw[[#This Row],[Column1]]), "", deployment_raw[[#This Row],[Column1]])</f>
        <v/>
      </c>
      <c r="B592" s="38" t="str">
        <f>IF(ISNONTEXT(deployment_raw[[#This Row],[Column2]]), "", deployment_raw[[#This Row],[Column2]])</f>
        <v/>
      </c>
      <c r="C592" s="38" t="str">
        <f>IF(ISNONTEXT(deployment_raw[[#This Row],[Column3]]), "", deployment_raw[[#This Row],[Column3]])</f>
        <v/>
      </c>
      <c r="D592" s="38" t="str">
        <f>IF(ISNONTEXT(deployment_raw[[#This Row],[Column4]]), "", deployment_raw[[#This Row],[Column4]])</f>
        <v/>
      </c>
      <c r="E592" s="39" t="str">
        <f>IF(ISNUMBER(deployment_raw[[#This Row],[Column5]]), deployment_raw[[#This Row],[Column5]],"")</f>
        <v/>
      </c>
      <c r="F592" s="174" t="str">
        <f>IF(ISNUMBER(deployment_raw[[#This Row],[Column6]]), (deployment_raw[[#This Row],[Column6]] * deployment_raw[[#This Row],[Column5]]),"")</f>
        <v/>
      </c>
      <c r="G592" s="175" t="str">
        <f>IF(ISNUMBER(deployment_raw[[#This Row],[Column7]]), (deployment_raw[[#This Row],[Column7]] * deployment_raw[[#This Row],[Column5]])/1048576,"")</f>
        <v/>
      </c>
      <c r="H592" s="175" t="str">
        <f>IF(ISNUMBER(deployment_raw[[#This Row],[Column8]]), (deployment_raw[[#This Row],[Column8]]  * deployment_raw[[#This Row],[Column5]]),"")</f>
        <v/>
      </c>
      <c r="I592" s="176" t="str">
        <f>IF(ISNUMBER(deployment_raw[[#This Row],[Column9]]), (deployment_raw[[#This Row],[Column9]] * deployment_raw[[#This Row],[Column5]])/1048576,"")</f>
        <v/>
      </c>
      <c r="J592" s="57" t="str">
        <f>IF(ISNUMBER(deployment_raw[[#This Row],[Column10]]), (deployment_raw[[#This Row],[Column10]] * deployment_raw[[#This Row],[Column5]]),"")</f>
        <v/>
      </c>
      <c r="K592" s="58" t="str">
        <f>IF(ISNUMBER(deployment_raw[[#This Row],[Column11]]), (deployment_raw[[#This Row],[Column11]] * deployment_raw[[#This Row],[Column5]])/1048576,"")</f>
        <v/>
      </c>
      <c r="L592" s="180" t="str">
        <f>IF(ISNUMBER(deployment_raw[[#This Row],[Column8]]),IF(deployment_raw[[#This Row],[Column5]] &lt;&gt; 0, MAX((deployment_raw[[#This Row],[Column12]] * deployment_raw[[#This Row],[Column5]]), ((deployment_raw[[#This Row],[Column8]] * deployment_raw[[#This Row],[Column5]]) * $L$2), ($H$2 * deployment_raw[[#This Row],[Column5]])), 0),"")</f>
        <v/>
      </c>
      <c r="M59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92" s="188" t="str">
        <f>IF(ISNUMBER(deployment_raw[[#This Row],[Column14]]), deployment_raw[[#This Row],[Column14]],"")</f>
        <v/>
      </c>
      <c r="O592" s="189" t="str">
        <f>IF(ISNUMBER(deployment_raw[[#This Row],[Column15]]), deployment_raw[[#This Row],[Column15]]/1048576,"")</f>
        <v/>
      </c>
      <c r="P592" s="190" t="str">
        <f>IF(ISNUMBER(deployment_raw[[#This Row],[Column12]]), (deployment_raw[[#This Row],[Column12]] * deployment_raw[[#This Row],[Column5]]),"")</f>
        <v/>
      </c>
      <c r="Q592" s="189" t="str">
        <f>IF(ISNUMBER(deployment_raw[[#This Row],[Column13]]), (deployment_raw[[#This Row],[Column13]] * deployment_raw[[#This Row],[Column5]])/1048576,"")</f>
        <v/>
      </c>
    </row>
    <row r="593" spans="1:17" ht="15.75" customHeight="1" x14ac:dyDescent="0.25">
      <c r="A593" s="37" t="str">
        <f>IF(ISNONTEXT(deployment_raw[[#This Row],[Column1]]), "", deployment_raw[[#This Row],[Column1]])</f>
        <v/>
      </c>
      <c r="B593" s="38" t="str">
        <f>IF(ISNONTEXT(deployment_raw[[#This Row],[Column2]]), "", deployment_raw[[#This Row],[Column2]])</f>
        <v/>
      </c>
      <c r="C593" s="38" t="str">
        <f>IF(ISNONTEXT(deployment_raw[[#This Row],[Column3]]), "", deployment_raw[[#This Row],[Column3]])</f>
        <v/>
      </c>
      <c r="D593" s="38" t="str">
        <f>IF(ISNONTEXT(deployment_raw[[#This Row],[Column4]]), "", deployment_raw[[#This Row],[Column4]])</f>
        <v/>
      </c>
      <c r="E593" s="39" t="str">
        <f>IF(ISNUMBER(deployment_raw[[#This Row],[Column5]]), deployment_raw[[#This Row],[Column5]],"")</f>
        <v/>
      </c>
      <c r="F593" s="174" t="str">
        <f>IF(ISNUMBER(deployment_raw[[#This Row],[Column6]]), (deployment_raw[[#This Row],[Column6]] * deployment_raw[[#This Row],[Column5]]),"")</f>
        <v/>
      </c>
      <c r="G593" s="175" t="str">
        <f>IF(ISNUMBER(deployment_raw[[#This Row],[Column7]]), (deployment_raw[[#This Row],[Column7]] * deployment_raw[[#This Row],[Column5]])/1048576,"")</f>
        <v/>
      </c>
      <c r="H593" s="175" t="str">
        <f>IF(ISNUMBER(deployment_raw[[#This Row],[Column8]]), (deployment_raw[[#This Row],[Column8]]  * deployment_raw[[#This Row],[Column5]]),"")</f>
        <v/>
      </c>
      <c r="I593" s="176" t="str">
        <f>IF(ISNUMBER(deployment_raw[[#This Row],[Column9]]), (deployment_raw[[#This Row],[Column9]] * deployment_raw[[#This Row],[Column5]])/1048576,"")</f>
        <v/>
      </c>
      <c r="J593" s="57" t="str">
        <f>IF(ISNUMBER(deployment_raw[[#This Row],[Column10]]), (deployment_raw[[#This Row],[Column10]] * deployment_raw[[#This Row],[Column5]]),"")</f>
        <v/>
      </c>
      <c r="K593" s="58" t="str">
        <f>IF(ISNUMBER(deployment_raw[[#This Row],[Column11]]), (deployment_raw[[#This Row],[Column11]] * deployment_raw[[#This Row],[Column5]])/1048576,"")</f>
        <v/>
      </c>
      <c r="L593" s="180" t="str">
        <f>IF(ISNUMBER(deployment_raw[[#This Row],[Column8]]),IF(deployment_raw[[#This Row],[Column5]] &lt;&gt; 0, MAX((deployment_raw[[#This Row],[Column12]] * deployment_raw[[#This Row],[Column5]]), ((deployment_raw[[#This Row],[Column8]] * deployment_raw[[#This Row],[Column5]]) * $L$2), ($H$2 * deployment_raw[[#This Row],[Column5]])), 0),"")</f>
        <v/>
      </c>
      <c r="M59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93" s="188" t="str">
        <f>IF(ISNUMBER(deployment_raw[[#This Row],[Column14]]), deployment_raw[[#This Row],[Column14]],"")</f>
        <v/>
      </c>
      <c r="O593" s="189" t="str">
        <f>IF(ISNUMBER(deployment_raw[[#This Row],[Column15]]), deployment_raw[[#This Row],[Column15]]/1048576,"")</f>
        <v/>
      </c>
      <c r="P593" s="190" t="str">
        <f>IF(ISNUMBER(deployment_raw[[#This Row],[Column12]]), (deployment_raw[[#This Row],[Column12]] * deployment_raw[[#This Row],[Column5]]),"")</f>
        <v/>
      </c>
      <c r="Q593" s="189" t="str">
        <f>IF(ISNUMBER(deployment_raw[[#This Row],[Column13]]), (deployment_raw[[#This Row],[Column13]] * deployment_raw[[#This Row],[Column5]])/1048576,"")</f>
        <v/>
      </c>
    </row>
    <row r="594" spans="1:17" ht="15.75" customHeight="1" x14ac:dyDescent="0.25">
      <c r="A594" s="37" t="str">
        <f>IF(ISNONTEXT(deployment_raw[[#This Row],[Column1]]), "", deployment_raw[[#This Row],[Column1]])</f>
        <v/>
      </c>
      <c r="B594" s="38" t="str">
        <f>IF(ISNONTEXT(deployment_raw[[#This Row],[Column2]]), "", deployment_raw[[#This Row],[Column2]])</f>
        <v/>
      </c>
      <c r="C594" s="38" t="str">
        <f>IF(ISNONTEXT(deployment_raw[[#This Row],[Column3]]), "", deployment_raw[[#This Row],[Column3]])</f>
        <v/>
      </c>
      <c r="D594" s="38" t="str">
        <f>IF(ISNONTEXT(deployment_raw[[#This Row],[Column4]]), "", deployment_raw[[#This Row],[Column4]])</f>
        <v/>
      </c>
      <c r="E594" s="39" t="str">
        <f>IF(ISNUMBER(deployment_raw[[#This Row],[Column5]]), deployment_raw[[#This Row],[Column5]],"")</f>
        <v/>
      </c>
      <c r="F594" s="174" t="str">
        <f>IF(ISNUMBER(deployment_raw[[#This Row],[Column6]]), (deployment_raw[[#This Row],[Column6]] * deployment_raw[[#This Row],[Column5]]),"")</f>
        <v/>
      </c>
      <c r="G594" s="175" t="str">
        <f>IF(ISNUMBER(deployment_raw[[#This Row],[Column7]]), (deployment_raw[[#This Row],[Column7]] * deployment_raw[[#This Row],[Column5]])/1048576,"")</f>
        <v/>
      </c>
      <c r="H594" s="175" t="str">
        <f>IF(ISNUMBER(deployment_raw[[#This Row],[Column8]]), (deployment_raw[[#This Row],[Column8]]  * deployment_raw[[#This Row],[Column5]]),"")</f>
        <v/>
      </c>
      <c r="I594" s="176" t="str">
        <f>IF(ISNUMBER(deployment_raw[[#This Row],[Column9]]), (deployment_raw[[#This Row],[Column9]] * deployment_raw[[#This Row],[Column5]])/1048576,"")</f>
        <v/>
      </c>
      <c r="J594" s="57" t="str">
        <f>IF(ISNUMBER(deployment_raw[[#This Row],[Column10]]), (deployment_raw[[#This Row],[Column10]] * deployment_raw[[#This Row],[Column5]]),"")</f>
        <v/>
      </c>
      <c r="K594" s="58" t="str">
        <f>IF(ISNUMBER(deployment_raw[[#This Row],[Column11]]), (deployment_raw[[#This Row],[Column11]] * deployment_raw[[#This Row],[Column5]])/1048576,"")</f>
        <v/>
      </c>
      <c r="L594" s="180" t="str">
        <f>IF(ISNUMBER(deployment_raw[[#This Row],[Column8]]),IF(deployment_raw[[#This Row],[Column5]] &lt;&gt; 0, MAX((deployment_raw[[#This Row],[Column12]] * deployment_raw[[#This Row],[Column5]]), ((deployment_raw[[#This Row],[Column8]] * deployment_raw[[#This Row],[Column5]]) * $L$2), ($H$2 * deployment_raw[[#This Row],[Column5]])), 0),"")</f>
        <v/>
      </c>
      <c r="M59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94" s="188" t="str">
        <f>IF(ISNUMBER(deployment_raw[[#This Row],[Column14]]), deployment_raw[[#This Row],[Column14]],"")</f>
        <v/>
      </c>
      <c r="O594" s="189" t="str">
        <f>IF(ISNUMBER(deployment_raw[[#This Row],[Column15]]), deployment_raw[[#This Row],[Column15]]/1048576,"")</f>
        <v/>
      </c>
      <c r="P594" s="190" t="str">
        <f>IF(ISNUMBER(deployment_raw[[#This Row],[Column12]]), (deployment_raw[[#This Row],[Column12]] * deployment_raw[[#This Row],[Column5]]),"")</f>
        <v/>
      </c>
      <c r="Q594" s="189" t="str">
        <f>IF(ISNUMBER(deployment_raw[[#This Row],[Column13]]), (deployment_raw[[#This Row],[Column13]] * deployment_raw[[#This Row],[Column5]])/1048576,"")</f>
        <v/>
      </c>
    </row>
    <row r="595" spans="1:17" ht="15.75" customHeight="1" x14ac:dyDescent="0.25">
      <c r="A595" s="37" t="str">
        <f>IF(ISNONTEXT(deployment_raw[[#This Row],[Column1]]), "", deployment_raw[[#This Row],[Column1]])</f>
        <v/>
      </c>
      <c r="B595" s="38" t="str">
        <f>IF(ISNONTEXT(deployment_raw[[#This Row],[Column2]]), "", deployment_raw[[#This Row],[Column2]])</f>
        <v/>
      </c>
      <c r="C595" s="38" t="str">
        <f>IF(ISNONTEXT(deployment_raw[[#This Row],[Column3]]), "", deployment_raw[[#This Row],[Column3]])</f>
        <v/>
      </c>
      <c r="D595" s="38" t="str">
        <f>IF(ISNONTEXT(deployment_raw[[#This Row],[Column4]]), "", deployment_raw[[#This Row],[Column4]])</f>
        <v/>
      </c>
      <c r="E595" s="39" t="str">
        <f>IF(ISNUMBER(deployment_raw[[#This Row],[Column5]]), deployment_raw[[#This Row],[Column5]],"")</f>
        <v/>
      </c>
      <c r="F595" s="174" t="str">
        <f>IF(ISNUMBER(deployment_raw[[#This Row],[Column6]]), (deployment_raw[[#This Row],[Column6]] * deployment_raw[[#This Row],[Column5]]),"")</f>
        <v/>
      </c>
      <c r="G595" s="175" t="str">
        <f>IF(ISNUMBER(deployment_raw[[#This Row],[Column7]]), (deployment_raw[[#This Row],[Column7]] * deployment_raw[[#This Row],[Column5]])/1048576,"")</f>
        <v/>
      </c>
      <c r="H595" s="175" t="str">
        <f>IF(ISNUMBER(deployment_raw[[#This Row],[Column8]]), (deployment_raw[[#This Row],[Column8]]  * deployment_raw[[#This Row],[Column5]]),"")</f>
        <v/>
      </c>
      <c r="I595" s="176" t="str">
        <f>IF(ISNUMBER(deployment_raw[[#This Row],[Column9]]), (deployment_raw[[#This Row],[Column9]] * deployment_raw[[#This Row],[Column5]])/1048576,"")</f>
        <v/>
      </c>
      <c r="J595" s="57" t="str">
        <f>IF(ISNUMBER(deployment_raw[[#This Row],[Column10]]), (deployment_raw[[#This Row],[Column10]] * deployment_raw[[#This Row],[Column5]]),"")</f>
        <v/>
      </c>
      <c r="K595" s="58" t="str">
        <f>IF(ISNUMBER(deployment_raw[[#This Row],[Column11]]), (deployment_raw[[#This Row],[Column11]] * deployment_raw[[#This Row],[Column5]])/1048576,"")</f>
        <v/>
      </c>
      <c r="L595" s="180" t="str">
        <f>IF(ISNUMBER(deployment_raw[[#This Row],[Column8]]),IF(deployment_raw[[#This Row],[Column5]] &lt;&gt; 0, MAX((deployment_raw[[#This Row],[Column12]] * deployment_raw[[#This Row],[Column5]]), ((deployment_raw[[#This Row],[Column8]] * deployment_raw[[#This Row],[Column5]]) * $L$2), ($H$2 * deployment_raw[[#This Row],[Column5]])), 0),"")</f>
        <v/>
      </c>
      <c r="M59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95" s="188" t="str">
        <f>IF(ISNUMBER(deployment_raw[[#This Row],[Column14]]), deployment_raw[[#This Row],[Column14]],"")</f>
        <v/>
      </c>
      <c r="O595" s="189" t="str">
        <f>IF(ISNUMBER(deployment_raw[[#This Row],[Column15]]), deployment_raw[[#This Row],[Column15]]/1048576,"")</f>
        <v/>
      </c>
      <c r="P595" s="190" t="str">
        <f>IF(ISNUMBER(deployment_raw[[#This Row],[Column12]]), (deployment_raw[[#This Row],[Column12]] * deployment_raw[[#This Row],[Column5]]),"")</f>
        <v/>
      </c>
      <c r="Q595" s="189" t="str">
        <f>IF(ISNUMBER(deployment_raw[[#This Row],[Column13]]), (deployment_raw[[#This Row],[Column13]] * deployment_raw[[#This Row],[Column5]])/1048576,"")</f>
        <v/>
      </c>
    </row>
    <row r="596" spans="1:17" ht="15.75" customHeight="1" x14ac:dyDescent="0.25">
      <c r="A596" s="37" t="str">
        <f>IF(ISNONTEXT(deployment_raw[[#This Row],[Column1]]), "", deployment_raw[[#This Row],[Column1]])</f>
        <v/>
      </c>
      <c r="B596" s="38" t="str">
        <f>IF(ISNONTEXT(deployment_raw[[#This Row],[Column2]]), "", deployment_raw[[#This Row],[Column2]])</f>
        <v/>
      </c>
      <c r="C596" s="38" t="str">
        <f>IF(ISNONTEXT(deployment_raw[[#This Row],[Column3]]), "", deployment_raw[[#This Row],[Column3]])</f>
        <v/>
      </c>
      <c r="D596" s="38" t="str">
        <f>IF(ISNONTEXT(deployment_raw[[#This Row],[Column4]]), "", deployment_raw[[#This Row],[Column4]])</f>
        <v/>
      </c>
      <c r="E596" s="39" t="str">
        <f>IF(ISNUMBER(deployment_raw[[#This Row],[Column5]]), deployment_raw[[#This Row],[Column5]],"")</f>
        <v/>
      </c>
      <c r="F596" s="174" t="str">
        <f>IF(ISNUMBER(deployment_raw[[#This Row],[Column6]]), (deployment_raw[[#This Row],[Column6]] * deployment_raw[[#This Row],[Column5]]),"")</f>
        <v/>
      </c>
      <c r="G596" s="175" t="str">
        <f>IF(ISNUMBER(deployment_raw[[#This Row],[Column7]]), (deployment_raw[[#This Row],[Column7]] * deployment_raw[[#This Row],[Column5]])/1048576,"")</f>
        <v/>
      </c>
      <c r="H596" s="175" t="str">
        <f>IF(ISNUMBER(deployment_raw[[#This Row],[Column8]]), (deployment_raw[[#This Row],[Column8]]  * deployment_raw[[#This Row],[Column5]]),"")</f>
        <v/>
      </c>
      <c r="I596" s="176" t="str">
        <f>IF(ISNUMBER(deployment_raw[[#This Row],[Column9]]), (deployment_raw[[#This Row],[Column9]] * deployment_raw[[#This Row],[Column5]])/1048576,"")</f>
        <v/>
      </c>
      <c r="J596" s="57" t="str">
        <f>IF(ISNUMBER(deployment_raw[[#This Row],[Column10]]), (deployment_raw[[#This Row],[Column10]] * deployment_raw[[#This Row],[Column5]]),"")</f>
        <v/>
      </c>
      <c r="K596" s="58" t="str">
        <f>IF(ISNUMBER(deployment_raw[[#This Row],[Column11]]), (deployment_raw[[#This Row],[Column11]] * deployment_raw[[#This Row],[Column5]])/1048576,"")</f>
        <v/>
      </c>
      <c r="L596" s="180" t="str">
        <f>IF(ISNUMBER(deployment_raw[[#This Row],[Column8]]),IF(deployment_raw[[#This Row],[Column5]] &lt;&gt; 0, MAX((deployment_raw[[#This Row],[Column12]] * deployment_raw[[#This Row],[Column5]]), ((deployment_raw[[#This Row],[Column8]] * deployment_raw[[#This Row],[Column5]]) * $L$2), ($H$2 * deployment_raw[[#This Row],[Column5]])), 0),"")</f>
        <v/>
      </c>
      <c r="M59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96" s="188" t="str">
        <f>IF(ISNUMBER(deployment_raw[[#This Row],[Column14]]), deployment_raw[[#This Row],[Column14]],"")</f>
        <v/>
      </c>
      <c r="O596" s="189" t="str">
        <f>IF(ISNUMBER(deployment_raw[[#This Row],[Column15]]), deployment_raw[[#This Row],[Column15]]/1048576,"")</f>
        <v/>
      </c>
      <c r="P596" s="190" t="str">
        <f>IF(ISNUMBER(deployment_raw[[#This Row],[Column12]]), (deployment_raw[[#This Row],[Column12]] * deployment_raw[[#This Row],[Column5]]),"")</f>
        <v/>
      </c>
      <c r="Q596" s="189" t="str">
        <f>IF(ISNUMBER(deployment_raw[[#This Row],[Column13]]), (deployment_raw[[#This Row],[Column13]] * deployment_raw[[#This Row],[Column5]])/1048576,"")</f>
        <v/>
      </c>
    </row>
    <row r="597" spans="1:17" ht="15.75" customHeight="1" x14ac:dyDescent="0.25">
      <c r="A597" s="37" t="str">
        <f>IF(ISNONTEXT(deployment_raw[[#This Row],[Column1]]), "", deployment_raw[[#This Row],[Column1]])</f>
        <v/>
      </c>
      <c r="B597" s="38" t="str">
        <f>IF(ISNONTEXT(deployment_raw[[#This Row],[Column2]]), "", deployment_raw[[#This Row],[Column2]])</f>
        <v/>
      </c>
      <c r="C597" s="38" t="str">
        <f>IF(ISNONTEXT(deployment_raw[[#This Row],[Column3]]), "", deployment_raw[[#This Row],[Column3]])</f>
        <v/>
      </c>
      <c r="D597" s="38" t="str">
        <f>IF(ISNONTEXT(deployment_raw[[#This Row],[Column4]]), "", deployment_raw[[#This Row],[Column4]])</f>
        <v/>
      </c>
      <c r="E597" s="39" t="str">
        <f>IF(ISNUMBER(deployment_raw[[#This Row],[Column5]]), deployment_raw[[#This Row],[Column5]],"")</f>
        <v/>
      </c>
      <c r="F597" s="174" t="str">
        <f>IF(ISNUMBER(deployment_raw[[#This Row],[Column6]]), (deployment_raw[[#This Row],[Column6]] * deployment_raw[[#This Row],[Column5]]),"")</f>
        <v/>
      </c>
      <c r="G597" s="175" t="str">
        <f>IF(ISNUMBER(deployment_raw[[#This Row],[Column7]]), (deployment_raw[[#This Row],[Column7]] * deployment_raw[[#This Row],[Column5]])/1048576,"")</f>
        <v/>
      </c>
      <c r="H597" s="175" t="str">
        <f>IF(ISNUMBER(deployment_raw[[#This Row],[Column8]]), (deployment_raw[[#This Row],[Column8]]  * deployment_raw[[#This Row],[Column5]]),"")</f>
        <v/>
      </c>
      <c r="I597" s="176" t="str">
        <f>IF(ISNUMBER(deployment_raw[[#This Row],[Column9]]), (deployment_raw[[#This Row],[Column9]] * deployment_raw[[#This Row],[Column5]])/1048576,"")</f>
        <v/>
      </c>
      <c r="J597" s="57" t="str">
        <f>IF(ISNUMBER(deployment_raw[[#This Row],[Column10]]), (deployment_raw[[#This Row],[Column10]] * deployment_raw[[#This Row],[Column5]]),"")</f>
        <v/>
      </c>
      <c r="K597" s="58" t="str">
        <f>IF(ISNUMBER(deployment_raw[[#This Row],[Column11]]), (deployment_raw[[#This Row],[Column11]] * deployment_raw[[#This Row],[Column5]])/1048576,"")</f>
        <v/>
      </c>
      <c r="L597" s="180" t="str">
        <f>IF(ISNUMBER(deployment_raw[[#This Row],[Column8]]),IF(deployment_raw[[#This Row],[Column5]] &lt;&gt; 0, MAX((deployment_raw[[#This Row],[Column12]] * deployment_raw[[#This Row],[Column5]]), ((deployment_raw[[#This Row],[Column8]] * deployment_raw[[#This Row],[Column5]]) * $L$2), ($H$2 * deployment_raw[[#This Row],[Column5]])), 0),"")</f>
        <v/>
      </c>
      <c r="M59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97" s="188" t="str">
        <f>IF(ISNUMBER(deployment_raw[[#This Row],[Column14]]), deployment_raw[[#This Row],[Column14]],"")</f>
        <v/>
      </c>
      <c r="O597" s="189" t="str">
        <f>IF(ISNUMBER(deployment_raw[[#This Row],[Column15]]), deployment_raw[[#This Row],[Column15]]/1048576,"")</f>
        <v/>
      </c>
      <c r="P597" s="190" t="str">
        <f>IF(ISNUMBER(deployment_raw[[#This Row],[Column12]]), (deployment_raw[[#This Row],[Column12]] * deployment_raw[[#This Row],[Column5]]),"")</f>
        <v/>
      </c>
      <c r="Q597" s="189" t="str">
        <f>IF(ISNUMBER(deployment_raw[[#This Row],[Column13]]), (deployment_raw[[#This Row],[Column13]] * deployment_raw[[#This Row],[Column5]])/1048576,"")</f>
        <v/>
      </c>
    </row>
    <row r="598" spans="1:17" ht="15.75" customHeight="1" x14ac:dyDescent="0.25">
      <c r="A598" s="37" t="str">
        <f>IF(ISNONTEXT(deployment_raw[[#This Row],[Column1]]), "", deployment_raw[[#This Row],[Column1]])</f>
        <v/>
      </c>
      <c r="B598" s="38" t="str">
        <f>IF(ISNONTEXT(deployment_raw[[#This Row],[Column2]]), "", deployment_raw[[#This Row],[Column2]])</f>
        <v/>
      </c>
      <c r="C598" s="38" t="str">
        <f>IF(ISNONTEXT(deployment_raw[[#This Row],[Column3]]), "", deployment_raw[[#This Row],[Column3]])</f>
        <v/>
      </c>
      <c r="D598" s="38" t="str">
        <f>IF(ISNONTEXT(deployment_raw[[#This Row],[Column4]]), "", deployment_raw[[#This Row],[Column4]])</f>
        <v/>
      </c>
      <c r="E598" s="39" t="str">
        <f>IF(ISNUMBER(deployment_raw[[#This Row],[Column5]]), deployment_raw[[#This Row],[Column5]],"")</f>
        <v/>
      </c>
      <c r="F598" s="174" t="str">
        <f>IF(ISNUMBER(deployment_raw[[#This Row],[Column6]]), (deployment_raw[[#This Row],[Column6]] * deployment_raw[[#This Row],[Column5]]),"")</f>
        <v/>
      </c>
      <c r="G598" s="175" t="str">
        <f>IF(ISNUMBER(deployment_raw[[#This Row],[Column7]]), (deployment_raw[[#This Row],[Column7]] * deployment_raw[[#This Row],[Column5]])/1048576,"")</f>
        <v/>
      </c>
      <c r="H598" s="175" t="str">
        <f>IF(ISNUMBER(deployment_raw[[#This Row],[Column8]]), (deployment_raw[[#This Row],[Column8]]  * deployment_raw[[#This Row],[Column5]]),"")</f>
        <v/>
      </c>
      <c r="I598" s="176" t="str">
        <f>IF(ISNUMBER(deployment_raw[[#This Row],[Column9]]), (deployment_raw[[#This Row],[Column9]] * deployment_raw[[#This Row],[Column5]])/1048576,"")</f>
        <v/>
      </c>
      <c r="J598" s="57" t="str">
        <f>IF(ISNUMBER(deployment_raw[[#This Row],[Column10]]), (deployment_raw[[#This Row],[Column10]] * deployment_raw[[#This Row],[Column5]]),"")</f>
        <v/>
      </c>
      <c r="K598" s="58" t="str">
        <f>IF(ISNUMBER(deployment_raw[[#This Row],[Column11]]), (deployment_raw[[#This Row],[Column11]] * deployment_raw[[#This Row],[Column5]])/1048576,"")</f>
        <v/>
      </c>
      <c r="L598" s="180" t="str">
        <f>IF(ISNUMBER(deployment_raw[[#This Row],[Column8]]),IF(deployment_raw[[#This Row],[Column5]] &lt;&gt; 0, MAX((deployment_raw[[#This Row],[Column12]] * deployment_raw[[#This Row],[Column5]]), ((deployment_raw[[#This Row],[Column8]] * deployment_raw[[#This Row],[Column5]]) * $L$2), ($H$2 * deployment_raw[[#This Row],[Column5]])), 0),"")</f>
        <v/>
      </c>
      <c r="M59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98" s="188" t="str">
        <f>IF(ISNUMBER(deployment_raw[[#This Row],[Column14]]), deployment_raw[[#This Row],[Column14]],"")</f>
        <v/>
      </c>
      <c r="O598" s="189" t="str">
        <f>IF(ISNUMBER(deployment_raw[[#This Row],[Column15]]), deployment_raw[[#This Row],[Column15]]/1048576,"")</f>
        <v/>
      </c>
      <c r="P598" s="190" t="str">
        <f>IF(ISNUMBER(deployment_raw[[#This Row],[Column12]]), (deployment_raw[[#This Row],[Column12]] * deployment_raw[[#This Row],[Column5]]),"")</f>
        <v/>
      </c>
      <c r="Q598" s="189" t="str">
        <f>IF(ISNUMBER(deployment_raw[[#This Row],[Column13]]), (deployment_raw[[#This Row],[Column13]] * deployment_raw[[#This Row],[Column5]])/1048576,"")</f>
        <v/>
      </c>
    </row>
    <row r="599" spans="1:17" ht="15.75" customHeight="1" x14ac:dyDescent="0.25">
      <c r="A599" s="37" t="str">
        <f>IF(ISNONTEXT(deployment_raw[[#This Row],[Column1]]), "", deployment_raw[[#This Row],[Column1]])</f>
        <v/>
      </c>
      <c r="B599" s="38" t="str">
        <f>IF(ISNONTEXT(deployment_raw[[#This Row],[Column2]]), "", deployment_raw[[#This Row],[Column2]])</f>
        <v/>
      </c>
      <c r="C599" s="38" t="str">
        <f>IF(ISNONTEXT(deployment_raw[[#This Row],[Column3]]), "", deployment_raw[[#This Row],[Column3]])</f>
        <v/>
      </c>
      <c r="D599" s="38" t="str">
        <f>IF(ISNONTEXT(deployment_raw[[#This Row],[Column4]]), "", deployment_raw[[#This Row],[Column4]])</f>
        <v/>
      </c>
      <c r="E599" s="39" t="str">
        <f>IF(ISNUMBER(deployment_raw[[#This Row],[Column5]]), deployment_raw[[#This Row],[Column5]],"")</f>
        <v/>
      </c>
      <c r="F599" s="174" t="str">
        <f>IF(ISNUMBER(deployment_raw[[#This Row],[Column6]]), (deployment_raw[[#This Row],[Column6]] * deployment_raw[[#This Row],[Column5]]),"")</f>
        <v/>
      </c>
      <c r="G599" s="175" t="str">
        <f>IF(ISNUMBER(deployment_raw[[#This Row],[Column7]]), (deployment_raw[[#This Row],[Column7]] * deployment_raw[[#This Row],[Column5]])/1048576,"")</f>
        <v/>
      </c>
      <c r="H599" s="175" t="str">
        <f>IF(ISNUMBER(deployment_raw[[#This Row],[Column8]]), (deployment_raw[[#This Row],[Column8]]  * deployment_raw[[#This Row],[Column5]]),"")</f>
        <v/>
      </c>
      <c r="I599" s="176" t="str">
        <f>IF(ISNUMBER(deployment_raw[[#This Row],[Column9]]), (deployment_raw[[#This Row],[Column9]] * deployment_raw[[#This Row],[Column5]])/1048576,"")</f>
        <v/>
      </c>
      <c r="J599" s="57" t="str">
        <f>IF(ISNUMBER(deployment_raw[[#This Row],[Column10]]), (deployment_raw[[#This Row],[Column10]] * deployment_raw[[#This Row],[Column5]]),"")</f>
        <v/>
      </c>
      <c r="K599" s="58" t="str">
        <f>IF(ISNUMBER(deployment_raw[[#This Row],[Column11]]), (deployment_raw[[#This Row],[Column11]] * deployment_raw[[#This Row],[Column5]])/1048576,"")</f>
        <v/>
      </c>
      <c r="L599" s="180" t="str">
        <f>IF(ISNUMBER(deployment_raw[[#This Row],[Column8]]),IF(deployment_raw[[#This Row],[Column5]] &lt;&gt; 0, MAX((deployment_raw[[#This Row],[Column12]] * deployment_raw[[#This Row],[Column5]]), ((deployment_raw[[#This Row],[Column8]] * deployment_raw[[#This Row],[Column5]]) * $L$2), ($H$2 * deployment_raw[[#This Row],[Column5]])), 0),"")</f>
        <v/>
      </c>
      <c r="M59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599" s="188" t="str">
        <f>IF(ISNUMBER(deployment_raw[[#This Row],[Column14]]), deployment_raw[[#This Row],[Column14]],"")</f>
        <v/>
      </c>
      <c r="O599" s="189" t="str">
        <f>IF(ISNUMBER(deployment_raw[[#This Row],[Column15]]), deployment_raw[[#This Row],[Column15]]/1048576,"")</f>
        <v/>
      </c>
      <c r="P599" s="190" t="str">
        <f>IF(ISNUMBER(deployment_raw[[#This Row],[Column12]]), (deployment_raw[[#This Row],[Column12]] * deployment_raw[[#This Row],[Column5]]),"")</f>
        <v/>
      </c>
      <c r="Q599" s="189" t="str">
        <f>IF(ISNUMBER(deployment_raw[[#This Row],[Column13]]), (deployment_raw[[#This Row],[Column13]] * deployment_raw[[#This Row],[Column5]])/1048576,"")</f>
        <v/>
      </c>
    </row>
    <row r="600" spans="1:17" ht="15.75" customHeight="1" x14ac:dyDescent="0.25">
      <c r="A600" s="37" t="str">
        <f>IF(ISNONTEXT(deployment_raw[[#This Row],[Column1]]), "", deployment_raw[[#This Row],[Column1]])</f>
        <v/>
      </c>
      <c r="B600" s="38" t="str">
        <f>IF(ISNONTEXT(deployment_raw[[#This Row],[Column2]]), "", deployment_raw[[#This Row],[Column2]])</f>
        <v/>
      </c>
      <c r="C600" s="38" t="str">
        <f>IF(ISNONTEXT(deployment_raw[[#This Row],[Column3]]), "", deployment_raw[[#This Row],[Column3]])</f>
        <v/>
      </c>
      <c r="D600" s="38" t="str">
        <f>IF(ISNONTEXT(deployment_raw[[#This Row],[Column4]]), "", deployment_raw[[#This Row],[Column4]])</f>
        <v/>
      </c>
      <c r="E600" s="39" t="str">
        <f>IF(ISNUMBER(deployment_raw[[#This Row],[Column5]]), deployment_raw[[#This Row],[Column5]],"")</f>
        <v/>
      </c>
      <c r="F600" s="174" t="str">
        <f>IF(ISNUMBER(deployment_raw[[#This Row],[Column6]]), (deployment_raw[[#This Row],[Column6]] * deployment_raw[[#This Row],[Column5]]),"")</f>
        <v/>
      </c>
      <c r="G600" s="175" t="str">
        <f>IF(ISNUMBER(deployment_raw[[#This Row],[Column7]]), (deployment_raw[[#This Row],[Column7]] * deployment_raw[[#This Row],[Column5]])/1048576,"")</f>
        <v/>
      </c>
      <c r="H600" s="175" t="str">
        <f>IF(ISNUMBER(deployment_raw[[#This Row],[Column8]]), (deployment_raw[[#This Row],[Column8]]  * deployment_raw[[#This Row],[Column5]]),"")</f>
        <v/>
      </c>
      <c r="I600" s="176" t="str">
        <f>IF(ISNUMBER(deployment_raw[[#This Row],[Column9]]), (deployment_raw[[#This Row],[Column9]] * deployment_raw[[#This Row],[Column5]])/1048576,"")</f>
        <v/>
      </c>
      <c r="J600" s="57" t="str">
        <f>IF(ISNUMBER(deployment_raw[[#This Row],[Column10]]), (deployment_raw[[#This Row],[Column10]] * deployment_raw[[#This Row],[Column5]]),"")</f>
        <v/>
      </c>
      <c r="K600" s="58" t="str">
        <f>IF(ISNUMBER(deployment_raw[[#This Row],[Column11]]), (deployment_raw[[#This Row],[Column11]] * deployment_raw[[#This Row],[Column5]])/1048576,"")</f>
        <v/>
      </c>
      <c r="L600" s="180" t="str">
        <f>IF(ISNUMBER(deployment_raw[[#This Row],[Column8]]),IF(deployment_raw[[#This Row],[Column5]] &lt;&gt; 0, MAX((deployment_raw[[#This Row],[Column12]] * deployment_raw[[#This Row],[Column5]]), ((deployment_raw[[#This Row],[Column8]] * deployment_raw[[#This Row],[Column5]]) * $L$2), ($H$2 * deployment_raw[[#This Row],[Column5]])), 0),"")</f>
        <v/>
      </c>
      <c r="M60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00" s="188" t="str">
        <f>IF(ISNUMBER(deployment_raw[[#This Row],[Column14]]), deployment_raw[[#This Row],[Column14]],"")</f>
        <v/>
      </c>
      <c r="O600" s="189" t="str">
        <f>IF(ISNUMBER(deployment_raw[[#This Row],[Column15]]), deployment_raw[[#This Row],[Column15]]/1048576,"")</f>
        <v/>
      </c>
      <c r="P600" s="190" t="str">
        <f>IF(ISNUMBER(deployment_raw[[#This Row],[Column12]]), (deployment_raw[[#This Row],[Column12]] * deployment_raw[[#This Row],[Column5]]),"")</f>
        <v/>
      </c>
      <c r="Q600" s="189" t="str">
        <f>IF(ISNUMBER(deployment_raw[[#This Row],[Column13]]), (deployment_raw[[#This Row],[Column13]] * deployment_raw[[#This Row],[Column5]])/1048576,"")</f>
        <v/>
      </c>
    </row>
    <row r="601" spans="1:17" ht="15.75" customHeight="1" x14ac:dyDescent="0.25">
      <c r="A601" s="37" t="str">
        <f>IF(ISNONTEXT(deployment_raw[[#This Row],[Column1]]), "", deployment_raw[[#This Row],[Column1]])</f>
        <v/>
      </c>
      <c r="B601" s="38" t="str">
        <f>IF(ISNONTEXT(deployment_raw[[#This Row],[Column2]]), "", deployment_raw[[#This Row],[Column2]])</f>
        <v/>
      </c>
      <c r="C601" s="38" t="str">
        <f>IF(ISNONTEXT(deployment_raw[[#This Row],[Column3]]), "", deployment_raw[[#This Row],[Column3]])</f>
        <v/>
      </c>
      <c r="D601" s="38" t="str">
        <f>IF(ISNONTEXT(deployment_raw[[#This Row],[Column4]]), "", deployment_raw[[#This Row],[Column4]])</f>
        <v/>
      </c>
      <c r="E601" s="39" t="str">
        <f>IF(ISNUMBER(deployment_raw[[#This Row],[Column5]]), deployment_raw[[#This Row],[Column5]],"")</f>
        <v/>
      </c>
      <c r="F601" s="174" t="str">
        <f>IF(ISNUMBER(deployment_raw[[#This Row],[Column6]]), (deployment_raw[[#This Row],[Column6]] * deployment_raw[[#This Row],[Column5]]),"")</f>
        <v/>
      </c>
      <c r="G601" s="175" t="str">
        <f>IF(ISNUMBER(deployment_raw[[#This Row],[Column7]]), (deployment_raw[[#This Row],[Column7]] * deployment_raw[[#This Row],[Column5]])/1048576,"")</f>
        <v/>
      </c>
      <c r="H601" s="175" t="str">
        <f>IF(ISNUMBER(deployment_raw[[#This Row],[Column8]]), (deployment_raw[[#This Row],[Column8]]  * deployment_raw[[#This Row],[Column5]]),"")</f>
        <v/>
      </c>
      <c r="I601" s="176" t="str">
        <f>IF(ISNUMBER(deployment_raw[[#This Row],[Column9]]), (deployment_raw[[#This Row],[Column9]] * deployment_raw[[#This Row],[Column5]])/1048576,"")</f>
        <v/>
      </c>
      <c r="J601" s="57" t="str">
        <f>IF(ISNUMBER(deployment_raw[[#This Row],[Column10]]), (deployment_raw[[#This Row],[Column10]] * deployment_raw[[#This Row],[Column5]]),"")</f>
        <v/>
      </c>
      <c r="K601" s="58" t="str">
        <f>IF(ISNUMBER(deployment_raw[[#This Row],[Column11]]), (deployment_raw[[#This Row],[Column11]] * deployment_raw[[#This Row],[Column5]])/1048576,"")</f>
        <v/>
      </c>
      <c r="L601" s="180" t="str">
        <f>IF(ISNUMBER(deployment_raw[[#This Row],[Column8]]),IF(deployment_raw[[#This Row],[Column5]] &lt;&gt; 0, MAX((deployment_raw[[#This Row],[Column12]] * deployment_raw[[#This Row],[Column5]]), ((deployment_raw[[#This Row],[Column8]] * deployment_raw[[#This Row],[Column5]]) * $L$2), ($H$2 * deployment_raw[[#This Row],[Column5]])), 0),"")</f>
        <v/>
      </c>
      <c r="M60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01" s="188" t="str">
        <f>IF(ISNUMBER(deployment_raw[[#This Row],[Column14]]), deployment_raw[[#This Row],[Column14]],"")</f>
        <v/>
      </c>
      <c r="O601" s="189" t="str">
        <f>IF(ISNUMBER(deployment_raw[[#This Row],[Column15]]), deployment_raw[[#This Row],[Column15]]/1048576,"")</f>
        <v/>
      </c>
      <c r="P601" s="190" t="str">
        <f>IF(ISNUMBER(deployment_raw[[#This Row],[Column12]]), (deployment_raw[[#This Row],[Column12]] * deployment_raw[[#This Row],[Column5]]),"")</f>
        <v/>
      </c>
      <c r="Q601" s="189" t="str">
        <f>IF(ISNUMBER(deployment_raw[[#This Row],[Column13]]), (deployment_raw[[#This Row],[Column13]] * deployment_raw[[#This Row],[Column5]])/1048576,"")</f>
        <v/>
      </c>
    </row>
    <row r="602" spans="1:17" ht="15.75" customHeight="1" x14ac:dyDescent="0.25">
      <c r="A602" s="37" t="str">
        <f>IF(ISNONTEXT(deployment_raw[[#This Row],[Column1]]), "", deployment_raw[[#This Row],[Column1]])</f>
        <v/>
      </c>
      <c r="B602" s="38" t="str">
        <f>IF(ISNONTEXT(deployment_raw[[#This Row],[Column2]]), "", deployment_raw[[#This Row],[Column2]])</f>
        <v/>
      </c>
      <c r="C602" s="38" t="str">
        <f>IF(ISNONTEXT(deployment_raw[[#This Row],[Column3]]), "", deployment_raw[[#This Row],[Column3]])</f>
        <v/>
      </c>
      <c r="D602" s="38" t="str">
        <f>IF(ISNONTEXT(deployment_raw[[#This Row],[Column4]]), "", deployment_raw[[#This Row],[Column4]])</f>
        <v/>
      </c>
      <c r="E602" s="39" t="str">
        <f>IF(ISNUMBER(deployment_raw[[#This Row],[Column5]]), deployment_raw[[#This Row],[Column5]],"")</f>
        <v/>
      </c>
      <c r="F602" s="174" t="str">
        <f>IF(ISNUMBER(deployment_raw[[#This Row],[Column6]]), (deployment_raw[[#This Row],[Column6]] * deployment_raw[[#This Row],[Column5]]),"")</f>
        <v/>
      </c>
      <c r="G602" s="175" t="str">
        <f>IF(ISNUMBER(deployment_raw[[#This Row],[Column7]]), (deployment_raw[[#This Row],[Column7]] * deployment_raw[[#This Row],[Column5]])/1048576,"")</f>
        <v/>
      </c>
      <c r="H602" s="175" t="str">
        <f>IF(ISNUMBER(deployment_raw[[#This Row],[Column8]]), (deployment_raw[[#This Row],[Column8]]  * deployment_raw[[#This Row],[Column5]]),"")</f>
        <v/>
      </c>
      <c r="I602" s="176" t="str">
        <f>IF(ISNUMBER(deployment_raw[[#This Row],[Column9]]), (deployment_raw[[#This Row],[Column9]] * deployment_raw[[#This Row],[Column5]])/1048576,"")</f>
        <v/>
      </c>
      <c r="J602" s="57" t="str">
        <f>IF(ISNUMBER(deployment_raw[[#This Row],[Column10]]), (deployment_raw[[#This Row],[Column10]] * deployment_raw[[#This Row],[Column5]]),"")</f>
        <v/>
      </c>
      <c r="K602" s="58" t="str">
        <f>IF(ISNUMBER(deployment_raw[[#This Row],[Column11]]), (deployment_raw[[#This Row],[Column11]] * deployment_raw[[#This Row],[Column5]])/1048576,"")</f>
        <v/>
      </c>
      <c r="L602" s="180" t="str">
        <f>IF(ISNUMBER(deployment_raw[[#This Row],[Column8]]),IF(deployment_raw[[#This Row],[Column5]] &lt;&gt; 0, MAX((deployment_raw[[#This Row],[Column12]] * deployment_raw[[#This Row],[Column5]]), ((deployment_raw[[#This Row],[Column8]] * deployment_raw[[#This Row],[Column5]]) * $L$2), ($H$2 * deployment_raw[[#This Row],[Column5]])), 0),"")</f>
        <v/>
      </c>
      <c r="M60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02" s="188" t="str">
        <f>IF(ISNUMBER(deployment_raw[[#This Row],[Column14]]), deployment_raw[[#This Row],[Column14]],"")</f>
        <v/>
      </c>
      <c r="O602" s="189" t="str">
        <f>IF(ISNUMBER(deployment_raw[[#This Row],[Column15]]), deployment_raw[[#This Row],[Column15]]/1048576,"")</f>
        <v/>
      </c>
      <c r="P602" s="190" t="str">
        <f>IF(ISNUMBER(deployment_raw[[#This Row],[Column12]]), (deployment_raw[[#This Row],[Column12]] * deployment_raw[[#This Row],[Column5]]),"")</f>
        <v/>
      </c>
      <c r="Q602" s="189" t="str">
        <f>IF(ISNUMBER(deployment_raw[[#This Row],[Column13]]), (deployment_raw[[#This Row],[Column13]] * deployment_raw[[#This Row],[Column5]])/1048576,"")</f>
        <v/>
      </c>
    </row>
    <row r="603" spans="1:17" ht="15.75" customHeight="1" x14ac:dyDescent="0.25">
      <c r="A603" s="37" t="str">
        <f>IF(ISNONTEXT(deployment_raw[[#This Row],[Column1]]), "", deployment_raw[[#This Row],[Column1]])</f>
        <v/>
      </c>
      <c r="B603" s="38" t="str">
        <f>IF(ISNONTEXT(deployment_raw[[#This Row],[Column2]]), "", deployment_raw[[#This Row],[Column2]])</f>
        <v/>
      </c>
      <c r="C603" s="38" t="str">
        <f>IF(ISNONTEXT(deployment_raw[[#This Row],[Column3]]), "", deployment_raw[[#This Row],[Column3]])</f>
        <v/>
      </c>
      <c r="D603" s="38" t="str">
        <f>IF(ISNONTEXT(deployment_raw[[#This Row],[Column4]]), "", deployment_raw[[#This Row],[Column4]])</f>
        <v/>
      </c>
      <c r="E603" s="39" t="str">
        <f>IF(ISNUMBER(deployment_raw[[#This Row],[Column5]]), deployment_raw[[#This Row],[Column5]],"")</f>
        <v/>
      </c>
      <c r="F603" s="174" t="str">
        <f>IF(ISNUMBER(deployment_raw[[#This Row],[Column6]]), (deployment_raw[[#This Row],[Column6]] * deployment_raw[[#This Row],[Column5]]),"")</f>
        <v/>
      </c>
      <c r="G603" s="175" t="str">
        <f>IF(ISNUMBER(deployment_raw[[#This Row],[Column7]]), (deployment_raw[[#This Row],[Column7]] * deployment_raw[[#This Row],[Column5]])/1048576,"")</f>
        <v/>
      </c>
      <c r="H603" s="175" t="str">
        <f>IF(ISNUMBER(deployment_raw[[#This Row],[Column8]]), (deployment_raw[[#This Row],[Column8]]  * deployment_raw[[#This Row],[Column5]]),"")</f>
        <v/>
      </c>
      <c r="I603" s="176" t="str">
        <f>IF(ISNUMBER(deployment_raw[[#This Row],[Column9]]), (deployment_raw[[#This Row],[Column9]] * deployment_raw[[#This Row],[Column5]])/1048576,"")</f>
        <v/>
      </c>
      <c r="J603" s="57" t="str">
        <f>IF(ISNUMBER(deployment_raw[[#This Row],[Column10]]), (deployment_raw[[#This Row],[Column10]] * deployment_raw[[#This Row],[Column5]]),"")</f>
        <v/>
      </c>
      <c r="K603" s="58" t="str">
        <f>IF(ISNUMBER(deployment_raw[[#This Row],[Column11]]), (deployment_raw[[#This Row],[Column11]] * deployment_raw[[#This Row],[Column5]])/1048576,"")</f>
        <v/>
      </c>
      <c r="L603" s="180" t="str">
        <f>IF(ISNUMBER(deployment_raw[[#This Row],[Column8]]),IF(deployment_raw[[#This Row],[Column5]] &lt;&gt; 0, MAX((deployment_raw[[#This Row],[Column12]] * deployment_raw[[#This Row],[Column5]]), ((deployment_raw[[#This Row],[Column8]] * deployment_raw[[#This Row],[Column5]]) * $L$2), ($H$2 * deployment_raw[[#This Row],[Column5]])), 0),"")</f>
        <v/>
      </c>
      <c r="M60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03" s="188" t="str">
        <f>IF(ISNUMBER(deployment_raw[[#This Row],[Column14]]), deployment_raw[[#This Row],[Column14]],"")</f>
        <v/>
      </c>
      <c r="O603" s="189" t="str">
        <f>IF(ISNUMBER(deployment_raw[[#This Row],[Column15]]), deployment_raw[[#This Row],[Column15]]/1048576,"")</f>
        <v/>
      </c>
      <c r="P603" s="190" t="str">
        <f>IF(ISNUMBER(deployment_raw[[#This Row],[Column12]]), (deployment_raw[[#This Row],[Column12]] * deployment_raw[[#This Row],[Column5]]),"")</f>
        <v/>
      </c>
      <c r="Q603" s="189" t="str">
        <f>IF(ISNUMBER(deployment_raw[[#This Row],[Column13]]), (deployment_raw[[#This Row],[Column13]] * deployment_raw[[#This Row],[Column5]])/1048576,"")</f>
        <v/>
      </c>
    </row>
    <row r="604" spans="1:17" ht="15.75" customHeight="1" x14ac:dyDescent="0.25">
      <c r="A604" s="37" t="str">
        <f>IF(ISNONTEXT(deployment_raw[[#This Row],[Column1]]), "", deployment_raw[[#This Row],[Column1]])</f>
        <v/>
      </c>
      <c r="B604" s="38" t="str">
        <f>IF(ISNONTEXT(deployment_raw[[#This Row],[Column2]]), "", deployment_raw[[#This Row],[Column2]])</f>
        <v/>
      </c>
      <c r="C604" s="38" t="str">
        <f>IF(ISNONTEXT(deployment_raw[[#This Row],[Column3]]), "", deployment_raw[[#This Row],[Column3]])</f>
        <v/>
      </c>
      <c r="D604" s="38" t="str">
        <f>IF(ISNONTEXT(deployment_raw[[#This Row],[Column4]]), "", deployment_raw[[#This Row],[Column4]])</f>
        <v/>
      </c>
      <c r="E604" s="39" t="str">
        <f>IF(ISNUMBER(deployment_raw[[#This Row],[Column5]]), deployment_raw[[#This Row],[Column5]],"")</f>
        <v/>
      </c>
      <c r="F604" s="174" t="str">
        <f>IF(ISNUMBER(deployment_raw[[#This Row],[Column6]]), (deployment_raw[[#This Row],[Column6]] * deployment_raw[[#This Row],[Column5]]),"")</f>
        <v/>
      </c>
      <c r="G604" s="175" t="str">
        <f>IF(ISNUMBER(deployment_raw[[#This Row],[Column7]]), (deployment_raw[[#This Row],[Column7]] * deployment_raw[[#This Row],[Column5]])/1048576,"")</f>
        <v/>
      </c>
      <c r="H604" s="175" t="str">
        <f>IF(ISNUMBER(deployment_raw[[#This Row],[Column8]]), (deployment_raw[[#This Row],[Column8]]  * deployment_raw[[#This Row],[Column5]]),"")</f>
        <v/>
      </c>
      <c r="I604" s="176" t="str">
        <f>IF(ISNUMBER(deployment_raw[[#This Row],[Column9]]), (deployment_raw[[#This Row],[Column9]] * deployment_raw[[#This Row],[Column5]])/1048576,"")</f>
        <v/>
      </c>
      <c r="J604" s="57" t="str">
        <f>IF(ISNUMBER(deployment_raw[[#This Row],[Column10]]), (deployment_raw[[#This Row],[Column10]] * deployment_raw[[#This Row],[Column5]]),"")</f>
        <v/>
      </c>
      <c r="K604" s="58" t="str">
        <f>IF(ISNUMBER(deployment_raw[[#This Row],[Column11]]), (deployment_raw[[#This Row],[Column11]] * deployment_raw[[#This Row],[Column5]])/1048576,"")</f>
        <v/>
      </c>
      <c r="L604" s="180" t="str">
        <f>IF(ISNUMBER(deployment_raw[[#This Row],[Column8]]),IF(deployment_raw[[#This Row],[Column5]] &lt;&gt; 0, MAX((deployment_raw[[#This Row],[Column12]] * deployment_raw[[#This Row],[Column5]]), ((deployment_raw[[#This Row],[Column8]] * deployment_raw[[#This Row],[Column5]]) * $L$2), ($H$2 * deployment_raw[[#This Row],[Column5]])), 0),"")</f>
        <v/>
      </c>
      <c r="M60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04" s="188" t="str">
        <f>IF(ISNUMBER(deployment_raw[[#This Row],[Column14]]), deployment_raw[[#This Row],[Column14]],"")</f>
        <v/>
      </c>
      <c r="O604" s="189" t="str">
        <f>IF(ISNUMBER(deployment_raw[[#This Row],[Column15]]), deployment_raw[[#This Row],[Column15]]/1048576,"")</f>
        <v/>
      </c>
      <c r="P604" s="190" t="str">
        <f>IF(ISNUMBER(deployment_raw[[#This Row],[Column12]]), (deployment_raw[[#This Row],[Column12]] * deployment_raw[[#This Row],[Column5]]),"")</f>
        <v/>
      </c>
      <c r="Q604" s="189" t="str">
        <f>IF(ISNUMBER(deployment_raw[[#This Row],[Column13]]), (deployment_raw[[#This Row],[Column13]] * deployment_raw[[#This Row],[Column5]])/1048576,"")</f>
        <v/>
      </c>
    </row>
    <row r="605" spans="1:17" ht="15.75" customHeight="1" x14ac:dyDescent="0.25">
      <c r="A605" s="37" t="str">
        <f>IF(ISNONTEXT(deployment_raw[[#This Row],[Column1]]), "", deployment_raw[[#This Row],[Column1]])</f>
        <v/>
      </c>
      <c r="B605" s="38" t="str">
        <f>IF(ISNONTEXT(deployment_raw[[#This Row],[Column2]]), "", deployment_raw[[#This Row],[Column2]])</f>
        <v/>
      </c>
      <c r="C605" s="38" t="str">
        <f>IF(ISNONTEXT(deployment_raw[[#This Row],[Column3]]), "", deployment_raw[[#This Row],[Column3]])</f>
        <v/>
      </c>
      <c r="D605" s="38" t="str">
        <f>IF(ISNONTEXT(deployment_raw[[#This Row],[Column4]]), "", deployment_raw[[#This Row],[Column4]])</f>
        <v/>
      </c>
      <c r="E605" s="39" t="str">
        <f>IF(ISNUMBER(deployment_raw[[#This Row],[Column5]]), deployment_raw[[#This Row],[Column5]],"")</f>
        <v/>
      </c>
      <c r="F605" s="174" t="str">
        <f>IF(ISNUMBER(deployment_raw[[#This Row],[Column6]]), (deployment_raw[[#This Row],[Column6]] * deployment_raw[[#This Row],[Column5]]),"")</f>
        <v/>
      </c>
      <c r="G605" s="175" t="str">
        <f>IF(ISNUMBER(deployment_raw[[#This Row],[Column7]]), (deployment_raw[[#This Row],[Column7]] * deployment_raw[[#This Row],[Column5]])/1048576,"")</f>
        <v/>
      </c>
      <c r="H605" s="175" t="str">
        <f>IF(ISNUMBER(deployment_raw[[#This Row],[Column8]]), (deployment_raw[[#This Row],[Column8]]  * deployment_raw[[#This Row],[Column5]]),"")</f>
        <v/>
      </c>
      <c r="I605" s="176" t="str">
        <f>IF(ISNUMBER(deployment_raw[[#This Row],[Column9]]), (deployment_raw[[#This Row],[Column9]] * deployment_raw[[#This Row],[Column5]])/1048576,"")</f>
        <v/>
      </c>
      <c r="J605" s="57" t="str">
        <f>IF(ISNUMBER(deployment_raw[[#This Row],[Column10]]), (deployment_raw[[#This Row],[Column10]] * deployment_raw[[#This Row],[Column5]]),"")</f>
        <v/>
      </c>
      <c r="K605" s="58" t="str">
        <f>IF(ISNUMBER(deployment_raw[[#This Row],[Column11]]), (deployment_raw[[#This Row],[Column11]] * deployment_raw[[#This Row],[Column5]])/1048576,"")</f>
        <v/>
      </c>
      <c r="L605" s="180" t="str">
        <f>IF(ISNUMBER(deployment_raw[[#This Row],[Column8]]),IF(deployment_raw[[#This Row],[Column5]] &lt;&gt; 0, MAX((deployment_raw[[#This Row],[Column12]] * deployment_raw[[#This Row],[Column5]]), ((deployment_raw[[#This Row],[Column8]] * deployment_raw[[#This Row],[Column5]]) * $L$2), ($H$2 * deployment_raw[[#This Row],[Column5]])), 0),"")</f>
        <v/>
      </c>
      <c r="M60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05" s="188" t="str">
        <f>IF(ISNUMBER(deployment_raw[[#This Row],[Column14]]), deployment_raw[[#This Row],[Column14]],"")</f>
        <v/>
      </c>
      <c r="O605" s="189" t="str">
        <f>IF(ISNUMBER(deployment_raw[[#This Row],[Column15]]), deployment_raw[[#This Row],[Column15]]/1048576,"")</f>
        <v/>
      </c>
      <c r="P605" s="190" t="str">
        <f>IF(ISNUMBER(deployment_raw[[#This Row],[Column12]]), (deployment_raw[[#This Row],[Column12]] * deployment_raw[[#This Row],[Column5]]),"")</f>
        <v/>
      </c>
      <c r="Q605" s="189" t="str">
        <f>IF(ISNUMBER(deployment_raw[[#This Row],[Column13]]), (deployment_raw[[#This Row],[Column13]] * deployment_raw[[#This Row],[Column5]])/1048576,"")</f>
        <v/>
      </c>
    </row>
    <row r="606" spans="1:17" ht="15.75" customHeight="1" x14ac:dyDescent="0.25">
      <c r="A606" s="37" t="str">
        <f>IF(ISNONTEXT(deployment_raw[[#This Row],[Column1]]), "", deployment_raw[[#This Row],[Column1]])</f>
        <v/>
      </c>
      <c r="B606" s="38" t="str">
        <f>IF(ISNONTEXT(deployment_raw[[#This Row],[Column2]]), "", deployment_raw[[#This Row],[Column2]])</f>
        <v/>
      </c>
      <c r="C606" s="38" t="str">
        <f>IF(ISNONTEXT(deployment_raw[[#This Row],[Column3]]), "", deployment_raw[[#This Row],[Column3]])</f>
        <v/>
      </c>
      <c r="D606" s="38" t="str">
        <f>IF(ISNONTEXT(deployment_raw[[#This Row],[Column4]]), "", deployment_raw[[#This Row],[Column4]])</f>
        <v/>
      </c>
      <c r="E606" s="39" t="str">
        <f>IF(ISNUMBER(deployment_raw[[#This Row],[Column5]]), deployment_raw[[#This Row],[Column5]],"")</f>
        <v/>
      </c>
      <c r="F606" s="174" t="str">
        <f>IF(ISNUMBER(deployment_raw[[#This Row],[Column6]]), (deployment_raw[[#This Row],[Column6]] * deployment_raw[[#This Row],[Column5]]),"")</f>
        <v/>
      </c>
      <c r="G606" s="175" t="str">
        <f>IF(ISNUMBER(deployment_raw[[#This Row],[Column7]]), (deployment_raw[[#This Row],[Column7]] * deployment_raw[[#This Row],[Column5]])/1048576,"")</f>
        <v/>
      </c>
      <c r="H606" s="175" t="str">
        <f>IF(ISNUMBER(deployment_raw[[#This Row],[Column8]]), (deployment_raw[[#This Row],[Column8]]  * deployment_raw[[#This Row],[Column5]]),"")</f>
        <v/>
      </c>
      <c r="I606" s="176" t="str">
        <f>IF(ISNUMBER(deployment_raw[[#This Row],[Column9]]), (deployment_raw[[#This Row],[Column9]] * deployment_raw[[#This Row],[Column5]])/1048576,"")</f>
        <v/>
      </c>
      <c r="J606" s="57" t="str">
        <f>IF(ISNUMBER(deployment_raw[[#This Row],[Column10]]), (deployment_raw[[#This Row],[Column10]] * deployment_raw[[#This Row],[Column5]]),"")</f>
        <v/>
      </c>
      <c r="K606" s="58" t="str">
        <f>IF(ISNUMBER(deployment_raw[[#This Row],[Column11]]), (deployment_raw[[#This Row],[Column11]] * deployment_raw[[#This Row],[Column5]])/1048576,"")</f>
        <v/>
      </c>
      <c r="L606" s="180" t="str">
        <f>IF(ISNUMBER(deployment_raw[[#This Row],[Column8]]),IF(deployment_raw[[#This Row],[Column5]] &lt;&gt; 0, MAX((deployment_raw[[#This Row],[Column12]] * deployment_raw[[#This Row],[Column5]]), ((deployment_raw[[#This Row],[Column8]] * deployment_raw[[#This Row],[Column5]]) * $L$2), ($H$2 * deployment_raw[[#This Row],[Column5]])), 0),"")</f>
        <v/>
      </c>
      <c r="M60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06" s="188" t="str">
        <f>IF(ISNUMBER(deployment_raw[[#This Row],[Column14]]), deployment_raw[[#This Row],[Column14]],"")</f>
        <v/>
      </c>
      <c r="O606" s="189" t="str">
        <f>IF(ISNUMBER(deployment_raw[[#This Row],[Column15]]), deployment_raw[[#This Row],[Column15]]/1048576,"")</f>
        <v/>
      </c>
      <c r="P606" s="190" t="str">
        <f>IF(ISNUMBER(deployment_raw[[#This Row],[Column12]]), (deployment_raw[[#This Row],[Column12]] * deployment_raw[[#This Row],[Column5]]),"")</f>
        <v/>
      </c>
      <c r="Q606" s="189" t="str">
        <f>IF(ISNUMBER(deployment_raw[[#This Row],[Column13]]), (deployment_raw[[#This Row],[Column13]] * deployment_raw[[#This Row],[Column5]])/1048576,"")</f>
        <v/>
      </c>
    </row>
    <row r="607" spans="1:17" ht="15.75" customHeight="1" x14ac:dyDescent="0.25">
      <c r="A607" s="37" t="str">
        <f>IF(ISNONTEXT(deployment_raw[[#This Row],[Column1]]), "", deployment_raw[[#This Row],[Column1]])</f>
        <v/>
      </c>
      <c r="B607" s="38" t="str">
        <f>IF(ISNONTEXT(deployment_raw[[#This Row],[Column2]]), "", deployment_raw[[#This Row],[Column2]])</f>
        <v/>
      </c>
      <c r="C607" s="38" t="str">
        <f>IF(ISNONTEXT(deployment_raw[[#This Row],[Column3]]), "", deployment_raw[[#This Row],[Column3]])</f>
        <v/>
      </c>
      <c r="D607" s="38" t="str">
        <f>IF(ISNONTEXT(deployment_raw[[#This Row],[Column4]]), "", deployment_raw[[#This Row],[Column4]])</f>
        <v/>
      </c>
      <c r="E607" s="39" t="str">
        <f>IF(ISNUMBER(deployment_raw[[#This Row],[Column5]]), deployment_raw[[#This Row],[Column5]],"")</f>
        <v/>
      </c>
      <c r="F607" s="174" t="str">
        <f>IF(ISNUMBER(deployment_raw[[#This Row],[Column6]]), (deployment_raw[[#This Row],[Column6]] * deployment_raw[[#This Row],[Column5]]),"")</f>
        <v/>
      </c>
      <c r="G607" s="175" t="str">
        <f>IF(ISNUMBER(deployment_raw[[#This Row],[Column7]]), (deployment_raw[[#This Row],[Column7]] * deployment_raw[[#This Row],[Column5]])/1048576,"")</f>
        <v/>
      </c>
      <c r="H607" s="175" t="str">
        <f>IF(ISNUMBER(deployment_raw[[#This Row],[Column8]]), (deployment_raw[[#This Row],[Column8]]  * deployment_raw[[#This Row],[Column5]]),"")</f>
        <v/>
      </c>
      <c r="I607" s="176" t="str">
        <f>IF(ISNUMBER(deployment_raw[[#This Row],[Column9]]), (deployment_raw[[#This Row],[Column9]] * deployment_raw[[#This Row],[Column5]])/1048576,"")</f>
        <v/>
      </c>
      <c r="J607" s="57" t="str">
        <f>IF(ISNUMBER(deployment_raw[[#This Row],[Column10]]), (deployment_raw[[#This Row],[Column10]] * deployment_raw[[#This Row],[Column5]]),"")</f>
        <v/>
      </c>
      <c r="K607" s="58" t="str">
        <f>IF(ISNUMBER(deployment_raw[[#This Row],[Column11]]), (deployment_raw[[#This Row],[Column11]] * deployment_raw[[#This Row],[Column5]])/1048576,"")</f>
        <v/>
      </c>
      <c r="L607" s="180" t="str">
        <f>IF(ISNUMBER(deployment_raw[[#This Row],[Column8]]),IF(deployment_raw[[#This Row],[Column5]] &lt;&gt; 0, MAX((deployment_raw[[#This Row],[Column12]] * deployment_raw[[#This Row],[Column5]]), ((deployment_raw[[#This Row],[Column8]] * deployment_raw[[#This Row],[Column5]]) * $L$2), ($H$2 * deployment_raw[[#This Row],[Column5]])), 0),"")</f>
        <v/>
      </c>
      <c r="M60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07" s="188" t="str">
        <f>IF(ISNUMBER(deployment_raw[[#This Row],[Column14]]), deployment_raw[[#This Row],[Column14]],"")</f>
        <v/>
      </c>
      <c r="O607" s="189" t="str">
        <f>IF(ISNUMBER(deployment_raw[[#This Row],[Column15]]), deployment_raw[[#This Row],[Column15]]/1048576,"")</f>
        <v/>
      </c>
      <c r="P607" s="190" t="str">
        <f>IF(ISNUMBER(deployment_raw[[#This Row],[Column12]]), (deployment_raw[[#This Row],[Column12]] * deployment_raw[[#This Row],[Column5]]),"")</f>
        <v/>
      </c>
      <c r="Q607" s="189" t="str">
        <f>IF(ISNUMBER(deployment_raw[[#This Row],[Column13]]), (deployment_raw[[#This Row],[Column13]] * deployment_raw[[#This Row],[Column5]])/1048576,"")</f>
        <v/>
      </c>
    </row>
    <row r="608" spans="1:17" ht="15.75" customHeight="1" x14ac:dyDescent="0.25">
      <c r="A608" s="37" t="str">
        <f>IF(ISNONTEXT(deployment_raw[[#This Row],[Column1]]), "", deployment_raw[[#This Row],[Column1]])</f>
        <v/>
      </c>
      <c r="B608" s="38" t="str">
        <f>IF(ISNONTEXT(deployment_raw[[#This Row],[Column2]]), "", deployment_raw[[#This Row],[Column2]])</f>
        <v/>
      </c>
      <c r="C608" s="38" t="str">
        <f>IF(ISNONTEXT(deployment_raw[[#This Row],[Column3]]), "", deployment_raw[[#This Row],[Column3]])</f>
        <v/>
      </c>
      <c r="D608" s="38" t="str">
        <f>IF(ISNONTEXT(deployment_raw[[#This Row],[Column4]]), "", deployment_raw[[#This Row],[Column4]])</f>
        <v/>
      </c>
      <c r="E608" s="39" t="str">
        <f>IF(ISNUMBER(deployment_raw[[#This Row],[Column5]]), deployment_raw[[#This Row],[Column5]],"")</f>
        <v/>
      </c>
      <c r="F608" s="174" t="str">
        <f>IF(ISNUMBER(deployment_raw[[#This Row],[Column6]]), (deployment_raw[[#This Row],[Column6]] * deployment_raw[[#This Row],[Column5]]),"")</f>
        <v/>
      </c>
      <c r="G608" s="175" t="str">
        <f>IF(ISNUMBER(deployment_raw[[#This Row],[Column7]]), (deployment_raw[[#This Row],[Column7]] * deployment_raw[[#This Row],[Column5]])/1048576,"")</f>
        <v/>
      </c>
      <c r="H608" s="175" t="str">
        <f>IF(ISNUMBER(deployment_raw[[#This Row],[Column8]]), (deployment_raw[[#This Row],[Column8]]  * deployment_raw[[#This Row],[Column5]]),"")</f>
        <v/>
      </c>
      <c r="I608" s="176" t="str">
        <f>IF(ISNUMBER(deployment_raw[[#This Row],[Column9]]), (deployment_raw[[#This Row],[Column9]] * deployment_raw[[#This Row],[Column5]])/1048576,"")</f>
        <v/>
      </c>
      <c r="J608" s="57" t="str">
        <f>IF(ISNUMBER(deployment_raw[[#This Row],[Column10]]), (deployment_raw[[#This Row],[Column10]] * deployment_raw[[#This Row],[Column5]]),"")</f>
        <v/>
      </c>
      <c r="K608" s="58" t="str">
        <f>IF(ISNUMBER(deployment_raw[[#This Row],[Column11]]), (deployment_raw[[#This Row],[Column11]] * deployment_raw[[#This Row],[Column5]])/1048576,"")</f>
        <v/>
      </c>
      <c r="L608" s="180" t="str">
        <f>IF(ISNUMBER(deployment_raw[[#This Row],[Column8]]),IF(deployment_raw[[#This Row],[Column5]] &lt;&gt; 0, MAX((deployment_raw[[#This Row],[Column12]] * deployment_raw[[#This Row],[Column5]]), ((deployment_raw[[#This Row],[Column8]] * deployment_raw[[#This Row],[Column5]]) * $L$2), ($H$2 * deployment_raw[[#This Row],[Column5]])), 0),"")</f>
        <v/>
      </c>
      <c r="M60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08" s="188" t="str">
        <f>IF(ISNUMBER(deployment_raw[[#This Row],[Column14]]), deployment_raw[[#This Row],[Column14]],"")</f>
        <v/>
      </c>
      <c r="O608" s="189" t="str">
        <f>IF(ISNUMBER(deployment_raw[[#This Row],[Column15]]), deployment_raw[[#This Row],[Column15]]/1048576,"")</f>
        <v/>
      </c>
      <c r="P608" s="190" t="str">
        <f>IF(ISNUMBER(deployment_raw[[#This Row],[Column12]]), (deployment_raw[[#This Row],[Column12]] * deployment_raw[[#This Row],[Column5]]),"")</f>
        <v/>
      </c>
      <c r="Q608" s="189" t="str">
        <f>IF(ISNUMBER(deployment_raw[[#This Row],[Column13]]), (deployment_raw[[#This Row],[Column13]] * deployment_raw[[#This Row],[Column5]])/1048576,"")</f>
        <v/>
      </c>
    </row>
    <row r="609" spans="1:17" ht="15.75" customHeight="1" x14ac:dyDescent="0.25">
      <c r="A609" s="37" t="str">
        <f>IF(ISNONTEXT(deployment_raw[[#This Row],[Column1]]), "", deployment_raw[[#This Row],[Column1]])</f>
        <v/>
      </c>
      <c r="B609" s="38" t="str">
        <f>IF(ISNONTEXT(deployment_raw[[#This Row],[Column2]]), "", deployment_raw[[#This Row],[Column2]])</f>
        <v/>
      </c>
      <c r="C609" s="38" t="str">
        <f>IF(ISNONTEXT(deployment_raw[[#This Row],[Column3]]), "", deployment_raw[[#This Row],[Column3]])</f>
        <v/>
      </c>
      <c r="D609" s="38" t="str">
        <f>IF(ISNONTEXT(deployment_raw[[#This Row],[Column4]]), "", deployment_raw[[#This Row],[Column4]])</f>
        <v/>
      </c>
      <c r="E609" s="39" t="str">
        <f>IF(ISNUMBER(deployment_raw[[#This Row],[Column5]]), deployment_raw[[#This Row],[Column5]],"")</f>
        <v/>
      </c>
      <c r="F609" s="174" t="str">
        <f>IF(ISNUMBER(deployment_raw[[#This Row],[Column6]]), (deployment_raw[[#This Row],[Column6]] * deployment_raw[[#This Row],[Column5]]),"")</f>
        <v/>
      </c>
      <c r="G609" s="175" t="str">
        <f>IF(ISNUMBER(deployment_raw[[#This Row],[Column7]]), (deployment_raw[[#This Row],[Column7]] * deployment_raw[[#This Row],[Column5]])/1048576,"")</f>
        <v/>
      </c>
      <c r="H609" s="175" t="str">
        <f>IF(ISNUMBER(deployment_raw[[#This Row],[Column8]]), (deployment_raw[[#This Row],[Column8]]  * deployment_raw[[#This Row],[Column5]]),"")</f>
        <v/>
      </c>
      <c r="I609" s="176" t="str">
        <f>IF(ISNUMBER(deployment_raw[[#This Row],[Column9]]), (deployment_raw[[#This Row],[Column9]] * deployment_raw[[#This Row],[Column5]])/1048576,"")</f>
        <v/>
      </c>
      <c r="J609" s="57" t="str">
        <f>IF(ISNUMBER(deployment_raw[[#This Row],[Column10]]), (deployment_raw[[#This Row],[Column10]] * deployment_raw[[#This Row],[Column5]]),"")</f>
        <v/>
      </c>
      <c r="K609" s="58" t="str">
        <f>IF(ISNUMBER(deployment_raw[[#This Row],[Column11]]), (deployment_raw[[#This Row],[Column11]] * deployment_raw[[#This Row],[Column5]])/1048576,"")</f>
        <v/>
      </c>
      <c r="L609" s="180" t="str">
        <f>IF(ISNUMBER(deployment_raw[[#This Row],[Column8]]),IF(deployment_raw[[#This Row],[Column5]] &lt;&gt; 0, MAX((deployment_raw[[#This Row],[Column12]] * deployment_raw[[#This Row],[Column5]]), ((deployment_raw[[#This Row],[Column8]] * deployment_raw[[#This Row],[Column5]]) * $L$2), ($H$2 * deployment_raw[[#This Row],[Column5]])), 0),"")</f>
        <v/>
      </c>
      <c r="M60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09" s="188" t="str">
        <f>IF(ISNUMBER(deployment_raw[[#This Row],[Column14]]), deployment_raw[[#This Row],[Column14]],"")</f>
        <v/>
      </c>
      <c r="O609" s="189" t="str">
        <f>IF(ISNUMBER(deployment_raw[[#This Row],[Column15]]), deployment_raw[[#This Row],[Column15]]/1048576,"")</f>
        <v/>
      </c>
      <c r="P609" s="190" t="str">
        <f>IF(ISNUMBER(deployment_raw[[#This Row],[Column12]]), (deployment_raw[[#This Row],[Column12]] * deployment_raw[[#This Row],[Column5]]),"")</f>
        <v/>
      </c>
      <c r="Q609" s="189" t="str">
        <f>IF(ISNUMBER(deployment_raw[[#This Row],[Column13]]), (deployment_raw[[#This Row],[Column13]] * deployment_raw[[#This Row],[Column5]])/1048576,"")</f>
        <v/>
      </c>
    </row>
    <row r="610" spans="1:17" ht="15.75" customHeight="1" x14ac:dyDescent="0.25">
      <c r="A610" s="37" t="str">
        <f>IF(ISNONTEXT(deployment_raw[[#This Row],[Column1]]), "", deployment_raw[[#This Row],[Column1]])</f>
        <v/>
      </c>
      <c r="B610" s="38" t="str">
        <f>IF(ISNONTEXT(deployment_raw[[#This Row],[Column2]]), "", deployment_raw[[#This Row],[Column2]])</f>
        <v/>
      </c>
      <c r="C610" s="38" t="str">
        <f>IF(ISNONTEXT(deployment_raw[[#This Row],[Column3]]), "", deployment_raw[[#This Row],[Column3]])</f>
        <v/>
      </c>
      <c r="D610" s="38" t="str">
        <f>IF(ISNONTEXT(deployment_raw[[#This Row],[Column4]]), "", deployment_raw[[#This Row],[Column4]])</f>
        <v/>
      </c>
      <c r="E610" s="39" t="str">
        <f>IF(ISNUMBER(deployment_raw[[#This Row],[Column5]]), deployment_raw[[#This Row],[Column5]],"")</f>
        <v/>
      </c>
      <c r="F610" s="174" t="str">
        <f>IF(ISNUMBER(deployment_raw[[#This Row],[Column6]]), (deployment_raw[[#This Row],[Column6]] * deployment_raw[[#This Row],[Column5]]),"")</f>
        <v/>
      </c>
      <c r="G610" s="175" t="str">
        <f>IF(ISNUMBER(deployment_raw[[#This Row],[Column7]]), (deployment_raw[[#This Row],[Column7]] * deployment_raw[[#This Row],[Column5]])/1048576,"")</f>
        <v/>
      </c>
      <c r="H610" s="175" t="str">
        <f>IF(ISNUMBER(deployment_raw[[#This Row],[Column8]]), (deployment_raw[[#This Row],[Column8]]  * deployment_raw[[#This Row],[Column5]]),"")</f>
        <v/>
      </c>
      <c r="I610" s="176" t="str">
        <f>IF(ISNUMBER(deployment_raw[[#This Row],[Column9]]), (deployment_raw[[#This Row],[Column9]] * deployment_raw[[#This Row],[Column5]])/1048576,"")</f>
        <v/>
      </c>
      <c r="J610" s="57" t="str">
        <f>IF(ISNUMBER(deployment_raw[[#This Row],[Column10]]), (deployment_raw[[#This Row],[Column10]] * deployment_raw[[#This Row],[Column5]]),"")</f>
        <v/>
      </c>
      <c r="K610" s="58" t="str">
        <f>IF(ISNUMBER(deployment_raw[[#This Row],[Column11]]), (deployment_raw[[#This Row],[Column11]] * deployment_raw[[#This Row],[Column5]])/1048576,"")</f>
        <v/>
      </c>
      <c r="L610" s="180" t="str">
        <f>IF(ISNUMBER(deployment_raw[[#This Row],[Column8]]),IF(deployment_raw[[#This Row],[Column5]] &lt;&gt; 0, MAX((deployment_raw[[#This Row],[Column12]] * deployment_raw[[#This Row],[Column5]]), ((deployment_raw[[#This Row],[Column8]] * deployment_raw[[#This Row],[Column5]]) * $L$2), ($H$2 * deployment_raw[[#This Row],[Column5]])), 0),"")</f>
        <v/>
      </c>
      <c r="M61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10" s="188" t="str">
        <f>IF(ISNUMBER(deployment_raw[[#This Row],[Column14]]), deployment_raw[[#This Row],[Column14]],"")</f>
        <v/>
      </c>
      <c r="O610" s="189" t="str">
        <f>IF(ISNUMBER(deployment_raw[[#This Row],[Column15]]), deployment_raw[[#This Row],[Column15]]/1048576,"")</f>
        <v/>
      </c>
      <c r="P610" s="190" t="str">
        <f>IF(ISNUMBER(deployment_raw[[#This Row],[Column12]]), (deployment_raw[[#This Row],[Column12]] * deployment_raw[[#This Row],[Column5]]),"")</f>
        <v/>
      </c>
      <c r="Q610" s="189" t="str">
        <f>IF(ISNUMBER(deployment_raw[[#This Row],[Column13]]), (deployment_raw[[#This Row],[Column13]] * deployment_raw[[#This Row],[Column5]])/1048576,"")</f>
        <v/>
      </c>
    </row>
    <row r="611" spans="1:17" ht="15.75" customHeight="1" x14ac:dyDescent="0.25">
      <c r="A611" s="37" t="str">
        <f>IF(ISNONTEXT(deployment_raw[[#This Row],[Column1]]), "", deployment_raw[[#This Row],[Column1]])</f>
        <v/>
      </c>
      <c r="B611" s="38" t="str">
        <f>IF(ISNONTEXT(deployment_raw[[#This Row],[Column2]]), "", deployment_raw[[#This Row],[Column2]])</f>
        <v/>
      </c>
      <c r="C611" s="38" t="str">
        <f>IF(ISNONTEXT(deployment_raw[[#This Row],[Column3]]), "", deployment_raw[[#This Row],[Column3]])</f>
        <v/>
      </c>
      <c r="D611" s="38" t="str">
        <f>IF(ISNONTEXT(deployment_raw[[#This Row],[Column4]]), "", deployment_raw[[#This Row],[Column4]])</f>
        <v/>
      </c>
      <c r="E611" s="39" t="str">
        <f>IF(ISNUMBER(deployment_raw[[#This Row],[Column5]]), deployment_raw[[#This Row],[Column5]],"")</f>
        <v/>
      </c>
      <c r="F611" s="174" t="str">
        <f>IF(ISNUMBER(deployment_raw[[#This Row],[Column6]]), (deployment_raw[[#This Row],[Column6]] * deployment_raw[[#This Row],[Column5]]),"")</f>
        <v/>
      </c>
      <c r="G611" s="175" t="str">
        <f>IF(ISNUMBER(deployment_raw[[#This Row],[Column7]]), (deployment_raw[[#This Row],[Column7]] * deployment_raw[[#This Row],[Column5]])/1048576,"")</f>
        <v/>
      </c>
      <c r="H611" s="175" t="str">
        <f>IF(ISNUMBER(deployment_raw[[#This Row],[Column8]]), (deployment_raw[[#This Row],[Column8]]  * deployment_raw[[#This Row],[Column5]]),"")</f>
        <v/>
      </c>
      <c r="I611" s="176" t="str">
        <f>IF(ISNUMBER(deployment_raw[[#This Row],[Column9]]), (deployment_raw[[#This Row],[Column9]] * deployment_raw[[#This Row],[Column5]])/1048576,"")</f>
        <v/>
      </c>
      <c r="J611" s="57" t="str">
        <f>IF(ISNUMBER(deployment_raw[[#This Row],[Column10]]), (deployment_raw[[#This Row],[Column10]] * deployment_raw[[#This Row],[Column5]]),"")</f>
        <v/>
      </c>
      <c r="K611" s="58" t="str">
        <f>IF(ISNUMBER(deployment_raw[[#This Row],[Column11]]), (deployment_raw[[#This Row],[Column11]] * deployment_raw[[#This Row],[Column5]])/1048576,"")</f>
        <v/>
      </c>
      <c r="L611" s="180" t="str">
        <f>IF(ISNUMBER(deployment_raw[[#This Row],[Column8]]),IF(deployment_raw[[#This Row],[Column5]] &lt;&gt; 0, MAX((deployment_raw[[#This Row],[Column12]] * deployment_raw[[#This Row],[Column5]]), ((deployment_raw[[#This Row],[Column8]] * deployment_raw[[#This Row],[Column5]]) * $L$2), ($H$2 * deployment_raw[[#This Row],[Column5]])), 0),"")</f>
        <v/>
      </c>
      <c r="M61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11" s="188" t="str">
        <f>IF(ISNUMBER(deployment_raw[[#This Row],[Column14]]), deployment_raw[[#This Row],[Column14]],"")</f>
        <v/>
      </c>
      <c r="O611" s="189" t="str">
        <f>IF(ISNUMBER(deployment_raw[[#This Row],[Column15]]), deployment_raw[[#This Row],[Column15]]/1048576,"")</f>
        <v/>
      </c>
      <c r="P611" s="190" t="str">
        <f>IF(ISNUMBER(deployment_raw[[#This Row],[Column12]]), (deployment_raw[[#This Row],[Column12]] * deployment_raw[[#This Row],[Column5]]),"")</f>
        <v/>
      </c>
      <c r="Q611" s="189" t="str">
        <f>IF(ISNUMBER(deployment_raw[[#This Row],[Column13]]), (deployment_raw[[#This Row],[Column13]] * deployment_raw[[#This Row],[Column5]])/1048576,"")</f>
        <v/>
      </c>
    </row>
    <row r="612" spans="1:17" ht="15.75" customHeight="1" x14ac:dyDescent="0.25">
      <c r="A612" s="37" t="str">
        <f>IF(ISNONTEXT(deployment_raw[[#This Row],[Column1]]), "", deployment_raw[[#This Row],[Column1]])</f>
        <v/>
      </c>
      <c r="B612" s="38" t="str">
        <f>IF(ISNONTEXT(deployment_raw[[#This Row],[Column2]]), "", deployment_raw[[#This Row],[Column2]])</f>
        <v/>
      </c>
      <c r="C612" s="38" t="str">
        <f>IF(ISNONTEXT(deployment_raw[[#This Row],[Column3]]), "", deployment_raw[[#This Row],[Column3]])</f>
        <v/>
      </c>
      <c r="D612" s="38" t="str">
        <f>IF(ISNONTEXT(deployment_raw[[#This Row],[Column4]]), "", deployment_raw[[#This Row],[Column4]])</f>
        <v/>
      </c>
      <c r="E612" s="39" t="str">
        <f>IF(ISNUMBER(deployment_raw[[#This Row],[Column5]]), deployment_raw[[#This Row],[Column5]],"")</f>
        <v/>
      </c>
      <c r="F612" s="174" t="str">
        <f>IF(ISNUMBER(deployment_raw[[#This Row],[Column6]]), (deployment_raw[[#This Row],[Column6]] * deployment_raw[[#This Row],[Column5]]),"")</f>
        <v/>
      </c>
      <c r="G612" s="175" t="str">
        <f>IF(ISNUMBER(deployment_raw[[#This Row],[Column7]]), (deployment_raw[[#This Row],[Column7]] * deployment_raw[[#This Row],[Column5]])/1048576,"")</f>
        <v/>
      </c>
      <c r="H612" s="175" t="str">
        <f>IF(ISNUMBER(deployment_raw[[#This Row],[Column8]]), (deployment_raw[[#This Row],[Column8]]  * deployment_raw[[#This Row],[Column5]]),"")</f>
        <v/>
      </c>
      <c r="I612" s="176" t="str">
        <f>IF(ISNUMBER(deployment_raw[[#This Row],[Column9]]), (deployment_raw[[#This Row],[Column9]] * deployment_raw[[#This Row],[Column5]])/1048576,"")</f>
        <v/>
      </c>
      <c r="J612" s="57" t="str">
        <f>IF(ISNUMBER(deployment_raw[[#This Row],[Column10]]), (deployment_raw[[#This Row],[Column10]] * deployment_raw[[#This Row],[Column5]]),"")</f>
        <v/>
      </c>
      <c r="K612" s="58" t="str">
        <f>IF(ISNUMBER(deployment_raw[[#This Row],[Column11]]), (deployment_raw[[#This Row],[Column11]] * deployment_raw[[#This Row],[Column5]])/1048576,"")</f>
        <v/>
      </c>
      <c r="L612" s="180" t="str">
        <f>IF(ISNUMBER(deployment_raw[[#This Row],[Column8]]),IF(deployment_raw[[#This Row],[Column5]] &lt;&gt; 0, MAX((deployment_raw[[#This Row],[Column12]] * deployment_raw[[#This Row],[Column5]]), ((deployment_raw[[#This Row],[Column8]] * deployment_raw[[#This Row],[Column5]]) * $L$2), ($H$2 * deployment_raw[[#This Row],[Column5]])), 0),"")</f>
        <v/>
      </c>
      <c r="M61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12" s="188" t="str">
        <f>IF(ISNUMBER(deployment_raw[[#This Row],[Column14]]), deployment_raw[[#This Row],[Column14]],"")</f>
        <v/>
      </c>
      <c r="O612" s="189" t="str">
        <f>IF(ISNUMBER(deployment_raw[[#This Row],[Column15]]), deployment_raw[[#This Row],[Column15]]/1048576,"")</f>
        <v/>
      </c>
      <c r="P612" s="190" t="str">
        <f>IF(ISNUMBER(deployment_raw[[#This Row],[Column12]]), (deployment_raw[[#This Row],[Column12]] * deployment_raw[[#This Row],[Column5]]),"")</f>
        <v/>
      </c>
      <c r="Q612" s="189" t="str">
        <f>IF(ISNUMBER(deployment_raw[[#This Row],[Column13]]), (deployment_raw[[#This Row],[Column13]] * deployment_raw[[#This Row],[Column5]])/1048576,"")</f>
        <v/>
      </c>
    </row>
    <row r="613" spans="1:17" ht="15.75" customHeight="1" x14ac:dyDescent="0.25">
      <c r="A613" s="37" t="str">
        <f>IF(ISNONTEXT(deployment_raw[[#This Row],[Column1]]), "", deployment_raw[[#This Row],[Column1]])</f>
        <v/>
      </c>
      <c r="B613" s="38" t="str">
        <f>IF(ISNONTEXT(deployment_raw[[#This Row],[Column2]]), "", deployment_raw[[#This Row],[Column2]])</f>
        <v/>
      </c>
      <c r="C613" s="38" t="str">
        <f>IF(ISNONTEXT(deployment_raw[[#This Row],[Column3]]), "", deployment_raw[[#This Row],[Column3]])</f>
        <v/>
      </c>
      <c r="D613" s="38" t="str">
        <f>IF(ISNONTEXT(deployment_raw[[#This Row],[Column4]]), "", deployment_raw[[#This Row],[Column4]])</f>
        <v/>
      </c>
      <c r="E613" s="39" t="str">
        <f>IF(ISNUMBER(deployment_raw[[#This Row],[Column5]]), deployment_raw[[#This Row],[Column5]],"")</f>
        <v/>
      </c>
      <c r="F613" s="174" t="str">
        <f>IF(ISNUMBER(deployment_raw[[#This Row],[Column6]]), (deployment_raw[[#This Row],[Column6]] * deployment_raw[[#This Row],[Column5]]),"")</f>
        <v/>
      </c>
      <c r="G613" s="175" t="str">
        <f>IF(ISNUMBER(deployment_raw[[#This Row],[Column7]]), (deployment_raw[[#This Row],[Column7]] * deployment_raw[[#This Row],[Column5]])/1048576,"")</f>
        <v/>
      </c>
      <c r="H613" s="175" t="str">
        <f>IF(ISNUMBER(deployment_raw[[#This Row],[Column8]]), (deployment_raw[[#This Row],[Column8]]  * deployment_raw[[#This Row],[Column5]]),"")</f>
        <v/>
      </c>
      <c r="I613" s="176" t="str">
        <f>IF(ISNUMBER(deployment_raw[[#This Row],[Column9]]), (deployment_raw[[#This Row],[Column9]] * deployment_raw[[#This Row],[Column5]])/1048576,"")</f>
        <v/>
      </c>
      <c r="J613" s="57" t="str">
        <f>IF(ISNUMBER(deployment_raw[[#This Row],[Column10]]), (deployment_raw[[#This Row],[Column10]] * deployment_raw[[#This Row],[Column5]]),"")</f>
        <v/>
      </c>
      <c r="K613" s="58" t="str">
        <f>IF(ISNUMBER(deployment_raw[[#This Row],[Column11]]), (deployment_raw[[#This Row],[Column11]] * deployment_raw[[#This Row],[Column5]])/1048576,"")</f>
        <v/>
      </c>
      <c r="L613" s="180" t="str">
        <f>IF(ISNUMBER(deployment_raw[[#This Row],[Column8]]),IF(deployment_raw[[#This Row],[Column5]] &lt;&gt; 0, MAX((deployment_raw[[#This Row],[Column12]] * deployment_raw[[#This Row],[Column5]]), ((deployment_raw[[#This Row],[Column8]] * deployment_raw[[#This Row],[Column5]]) * $L$2), ($H$2 * deployment_raw[[#This Row],[Column5]])), 0),"")</f>
        <v/>
      </c>
      <c r="M61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13" s="188" t="str">
        <f>IF(ISNUMBER(deployment_raw[[#This Row],[Column14]]), deployment_raw[[#This Row],[Column14]],"")</f>
        <v/>
      </c>
      <c r="O613" s="189" t="str">
        <f>IF(ISNUMBER(deployment_raw[[#This Row],[Column15]]), deployment_raw[[#This Row],[Column15]]/1048576,"")</f>
        <v/>
      </c>
      <c r="P613" s="190" t="str">
        <f>IF(ISNUMBER(deployment_raw[[#This Row],[Column12]]), (deployment_raw[[#This Row],[Column12]] * deployment_raw[[#This Row],[Column5]]),"")</f>
        <v/>
      </c>
      <c r="Q613" s="189" t="str">
        <f>IF(ISNUMBER(deployment_raw[[#This Row],[Column13]]), (deployment_raw[[#This Row],[Column13]] * deployment_raw[[#This Row],[Column5]])/1048576,"")</f>
        <v/>
      </c>
    </row>
    <row r="614" spans="1:17" ht="15.75" customHeight="1" x14ac:dyDescent="0.25">
      <c r="A614" s="37" t="str">
        <f>IF(ISNONTEXT(deployment_raw[[#This Row],[Column1]]), "", deployment_raw[[#This Row],[Column1]])</f>
        <v/>
      </c>
      <c r="B614" s="38" t="str">
        <f>IF(ISNONTEXT(deployment_raw[[#This Row],[Column2]]), "", deployment_raw[[#This Row],[Column2]])</f>
        <v/>
      </c>
      <c r="C614" s="38" t="str">
        <f>IF(ISNONTEXT(deployment_raw[[#This Row],[Column3]]), "", deployment_raw[[#This Row],[Column3]])</f>
        <v/>
      </c>
      <c r="D614" s="38" t="str">
        <f>IF(ISNONTEXT(deployment_raw[[#This Row],[Column4]]), "", deployment_raw[[#This Row],[Column4]])</f>
        <v/>
      </c>
      <c r="E614" s="39" t="str">
        <f>IF(ISNUMBER(deployment_raw[[#This Row],[Column5]]), deployment_raw[[#This Row],[Column5]],"")</f>
        <v/>
      </c>
      <c r="F614" s="174" t="str">
        <f>IF(ISNUMBER(deployment_raw[[#This Row],[Column6]]), (deployment_raw[[#This Row],[Column6]] * deployment_raw[[#This Row],[Column5]]),"")</f>
        <v/>
      </c>
      <c r="G614" s="175" t="str">
        <f>IF(ISNUMBER(deployment_raw[[#This Row],[Column7]]), (deployment_raw[[#This Row],[Column7]] * deployment_raw[[#This Row],[Column5]])/1048576,"")</f>
        <v/>
      </c>
      <c r="H614" s="175" t="str">
        <f>IF(ISNUMBER(deployment_raw[[#This Row],[Column8]]), (deployment_raw[[#This Row],[Column8]]  * deployment_raw[[#This Row],[Column5]]),"")</f>
        <v/>
      </c>
      <c r="I614" s="176" t="str">
        <f>IF(ISNUMBER(deployment_raw[[#This Row],[Column9]]), (deployment_raw[[#This Row],[Column9]] * deployment_raw[[#This Row],[Column5]])/1048576,"")</f>
        <v/>
      </c>
      <c r="J614" s="57" t="str">
        <f>IF(ISNUMBER(deployment_raw[[#This Row],[Column10]]), (deployment_raw[[#This Row],[Column10]] * deployment_raw[[#This Row],[Column5]]),"")</f>
        <v/>
      </c>
      <c r="K614" s="58" t="str">
        <f>IF(ISNUMBER(deployment_raw[[#This Row],[Column11]]), (deployment_raw[[#This Row],[Column11]] * deployment_raw[[#This Row],[Column5]])/1048576,"")</f>
        <v/>
      </c>
      <c r="L614" s="180" t="str">
        <f>IF(ISNUMBER(deployment_raw[[#This Row],[Column8]]),IF(deployment_raw[[#This Row],[Column5]] &lt;&gt; 0, MAX((deployment_raw[[#This Row],[Column12]] * deployment_raw[[#This Row],[Column5]]), ((deployment_raw[[#This Row],[Column8]] * deployment_raw[[#This Row],[Column5]]) * $L$2), ($H$2 * deployment_raw[[#This Row],[Column5]])), 0),"")</f>
        <v/>
      </c>
      <c r="M61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14" s="188" t="str">
        <f>IF(ISNUMBER(deployment_raw[[#This Row],[Column14]]), deployment_raw[[#This Row],[Column14]],"")</f>
        <v/>
      </c>
      <c r="O614" s="189" t="str">
        <f>IF(ISNUMBER(deployment_raw[[#This Row],[Column15]]), deployment_raw[[#This Row],[Column15]]/1048576,"")</f>
        <v/>
      </c>
      <c r="P614" s="190" t="str">
        <f>IF(ISNUMBER(deployment_raw[[#This Row],[Column12]]), (deployment_raw[[#This Row],[Column12]] * deployment_raw[[#This Row],[Column5]]),"")</f>
        <v/>
      </c>
      <c r="Q614" s="189" t="str">
        <f>IF(ISNUMBER(deployment_raw[[#This Row],[Column13]]), (deployment_raw[[#This Row],[Column13]] * deployment_raw[[#This Row],[Column5]])/1048576,"")</f>
        <v/>
      </c>
    </row>
    <row r="615" spans="1:17" ht="15.75" customHeight="1" x14ac:dyDescent="0.25">
      <c r="A615" s="37" t="str">
        <f>IF(ISNONTEXT(deployment_raw[[#This Row],[Column1]]), "", deployment_raw[[#This Row],[Column1]])</f>
        <v/>
      </c>
      <c r="B615" s="38" t="str">
        <f>IF(ISNONTEXT(deployment_raw[[#This Row],[Column2]]), "", deployment_raw[[#This Row],[Column2]])</f>
        <v/>
      </c>
      <c r="C615" s="38" t="str">
        <f>IF(ISNONTEXT(deployment_raw[[#This Row],[Column3]]), "", deployment_raw[[#This Row],[Column3]])</f>
        <v/>
      </c>
      <c r="D615" s="38" t="str">
        <f>IF(ISNONTEXT(deployment_raw[[#This Row],[Column4]]), "", deployment_raw[[#This Row],[Column4]])</f>
        <v/>
      </c>
      <c r="E615" s="39" t="str">
        <f>IF(ISNUMBER(deployment_raw[[#This Row],[Column5]]), deployment_raw[[#This Row],[Column5]],"")</f>
        <v/>
      </c>
      <c r="F615" s="174" t="str">
        <f>IF(ISNUMBER(deployment_raw[[#This Row],[Column6]]), (deployment_raw[[#This Row],[Column6]] * deployment_raw[[#This Row],[Column5]]),"")</f>
        <v/>
      </c>
      <c r="G615" s="175" t="str">
        <f>IF(ISNUMBER(deployment_raw[[#This Row],[Column7]]), (deployment_raw[[#This Row],[Column7]] * deployment_raw[[#This Row],[Column5]])/1048576,"")</f>
        <v/>
      </c>
      <c r="H615" s="175" t="str">
        <f>IF(ISNUMBER(deployment_raw[[#This Row],[Column8]]), (deployment_raw[[#This Row],[Column8]]  * deployment_raw[[#This Row],[Column5]]),"")</f>
        <v/>
      </c>
      <c r="I615" s="176" t="str">
        <f>IF(ISNUMBER(deployment_raw[[#This Row],[Column9]]), (deployment_raw[[#This Row],[Column9]] * deployment_raw[[#This Row],[Column5]])/1048576,"")</f>
        <v/>
      </c>
      <c r="J615" s="57" t="str">
        <f>IF(ISNUMBER(deployment_raw[[#This Row],[Column10]]), (deployment_raw[[#This Row],[Column10]] * deployment_raw[[#This Row],[Column5]]),"")</f>
        <v/>
      </c>
      <c r="K615" s="58" t="str">
        <f>IF(ISNUMBER(deployment_raw[[#This Row],[Column11]]), (deployment_raw[[#This Row],[Column11]] * deployment_raw[[#This Row],[Column5]])/1048576,"")</f>
        <v/>
      </c>
      <c r="L615" s="180" t="str">
        <f>IF(ISNUMBER(deployment_raw[[#This Row],[Column8]]),IF(deployment_raw[[#This Row],[Column5]] &lt;&gt; 0, MAX((deployment_raw[[#This Row],[Column12]] * deployment_raw[[#This Row],[Column5]]), ((deployment_raw[[#This Row],[Column8]] * deployment_raw[[#This Row],[Column5]]) * $L$2), ($H$2 * deployment_raw[[#This Row],[Column5]])), 0),"")</f>
        <v/>
      </c>
      <c r="M61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15" s="188" t="str">
        <f>IF(ISNUMBER(deployment_raw[[#This Row],[Column14]]), deployment_raw[[#This Row],[Column14]],"")</f>
        <v/>
      </c>
      <c r="O615" s="189" t="str">
        <f>IF(ISNUMBER(deployment_raw[[#This Row],[Column15]]), deployment_raw[[#This Row],[Column15]]/1048576,"")</f>
        <v/>
      </c>
      <c r="P615" s="190" t="str">
        <f>IF(ISNUMBER(deployment_raw[[#This Row],[Column12]]), (deployment_raw[[#This Row],[Column12]] * deployment_raw[[#This Row],[Column5]]),"")</f>
        <v/>
      </c>
      <c r="Q615" s="189" t="str">
        <f>IF(ISNUMBER(deployment_raw[[#This Row],[Column13]]), (deployment_raw[[#This Row],[Column13]] * deployment_raw[[#This Row],[Column5]])/1048576,"")</f>
        <v/>
      </c>
    </row>
    <row r="616" spans="1:17" ht="15.75" customHeight="1" x14ac:dyDescent="0.25">
      <c r="A616" s="37" t="str">
        <f>IF(ISNONTEXT(deployment_raw[[#This Row],[Column1]]), "", deployment_raw[[#This Row],[Column1]])</f>
        <v/>
      </c>
      <c r="B616" s="38" t="str">
        <f>IF(ISNONTEXT(deployment_raw[[#This Row],[Column2]]), "", deployment_raw[[#This Row],[Column2]])</f>
        <v/>
      </c>
      <c r="C616" s="38" t="str">
        <f>IF(ISNONTEXT(deployment_raw[[#This Row],[Column3]]), "", deployment_raw[[#This Row],[Column3]])</f>
        <v/>
      </c>
      <c r="D616" s="38" t="str">
        <f>IF(ISNONTEXT(deployment_raw[[#This Row],[Column4]]), "", deployment_raw[[#This Row],[Column4]])</f>
        <v/>
      </c>
      <c r="E616" s="39" t="str">
        <f>IF(ISNUMBER(deployment_raw[[#This Row],[Column5]]), deployment_raw[[#This Row],[Column5]],"")</f>
        <v/>
      </c>
      <c r="F616" s="174" t="str">
        <f>IF(ISNUMBER(deployment_raw[[#This Row],[Column6]]), (deployment_raw[[#This Row],[Column6]] * deployment_raw[[#This Row],[Column5]]),"")</f>
        <v/>
      </c>
      <c r="G616" s="175" t="str">
        <f>IF(ISNUMBER(deployment_raw[[#This Row],[Column7]]), (deployment_raw[[#This Row],[Column7]] * deployment_raw[[#This Row],[Column5]])/1048576,"")</f>
        <v/>
      </c>
      <c r="H616" s="175" t="str">
        <f>IF(ISNUMBER(deployment_raw[[#This Row],[Column8]]), (deployment_raw[[#This Row],[Column8]]  * deployment_raw[[#This Row],[Column5]]),"")</f>
        <v/>
      </c>
      <c r="I616" s="176" t="str">
        <f>IF(ISNUMBER(deployment_raw[[#This Row],[Column9]]), (deployment_raw[[#This Row],[Column9]] * deployment_raw[[#This Row],[Column5]])/1048576,"")</f>
        <v/>
      </c>
      <c r="J616" s="57" t="str">
        <f>IF(ISNUMBER(deployment_raw[[#This Row],[Column10]]), (deployment_raw[[#This Row],[Column10]] * deployment_raw[[#This Row],[Column5]]),"")</f>
        <v/>
      </c>
      <c r="K616" s="58" t="str">
        <f>IF(ISNUMBER(deployment_raw[[#This Row],[Column11]]), (deployment_raw[[#This Row],[Column11]] * deployment_raw[[#This Row],[Column5]])/1048576,"")</f>
        <v/>
      </c>
      <c r="L616" s="180" t="str">
        <f>IF(ISNUMBER(deployment_raw[[#This Row],[Column8]]),IF(deployment_raw[[#This Row],[Column5]] &lt;&gt; 0, MAX((deployment_raw[[#This Row],[Column12]] * deployment_raw[[#This Row],[Column5]]), ((deployment_raw[[#This Row],[Column8]] * deployment_raw[[#This Row],[Column5]]) * $L$2), ($H$2 * deployment_raw[[#This Row],[Column5]])), 0),"")</f>
        <v/>
      </c>
      <c r="M61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16" s="188" t="str">
        <f>IF(ISNUMBER(deployment_raw[[#This Row],[Column14]]), deployment_raw[[#This Row],[Column14]],"")</f>
        <v/>
      </c>
      <c r="O616" s="189" t="str">
        <f>IF(ISNUMBER(deployment_raw[[#This Row],[Column15]]), deployment_raw[[#This Row],[Column15]]/1048576,"")</f>
        <v/>
      </c>
      <c r="P616" s="190" t="str">
        <f>IF(ISNUMBER(deployment_raw[[#This Row],[Column12]]), (deployment_raw[[#This Row],[Column12]] * deployment_raw[[#This Row],[Column5]]),"")</f>
        <v/>
      </c>
      <c r="Q616" s="189" t="str">
        <f>IF(ISNUMBER(deployment_raw[[#This Row],[Column13]]), (deployment_raw[[#This Row],[Column13]] * deployment_raw[[#This Row],[Column5]])/1048576,"")</f>
        <v/>
      </c>
    </row>
    <row r="617" spans="1:17" ht="15.75" customHeight="1" x14ac:dyDescent="0.25">
      <c r="A617" s="37" t="str">
        <f>IF(ISNONTEXT(deployment_raw[[#This Row],[Column1]]), "", deployment_raw[[#This Row],[Column1]])</f>
        <v/>
      </c>
      <c r="B617" s="38" t="str">
        <f>IF(ISNONTEXT(deployment_raw[[#This Row],[Column2]]), "", deployment_raw[[#This Row],[Column2]])</f>
        <v/>
      </c>
      <c r="C617" s="38" t="str">
        <f>IF(ISNONTEXT(deployment_raw[[#This Row],[Column3]]), "", deployment_raw[[#This Row],[Column3]])</f>
        <v/>
      </c>
      <c r="D617" s="38" t="str">
        <f>IF(ISNONTEXT(deployment_raw[[#This Row],[Column4]]), "", deployment_raw[[#This Row],[Column4]])</f>
        <v/>
      </c>
      <c r="E617" s="39" t="str">
        <f>IF(ISNUMBER(deployment_raw[[#This Row],[Column5]]), deployment_raw[[#This Row],[Column5]],"")</f>
        <v/>
      </c>
      <c r="F617" s="174" t="str">
        <f>IF(ISNUMBER(deployment_raw[[#This Row],[Column6]]), (deployment_raw[[#This Row],[Column6]] * deployment_raw[[#This Row],[Column5]]),"")</f>
        <v/>
      </c>
      <c r="G617" s="175" t="str">
        <f>IF(ISNUMBER(deployment_raw[[#This Row],[Column7]]), (deployment_raw[[#This Row],[Column7]] * deployment_raw[[#This Row],[Column5]])/1048576,"")</f>
        <v/>
      </c>
      <c r="H617" s="175" t="str">
        <f>IF(ISNUMBER(deployment_raw[[#This Row],[Column8]]), (deployment_raw[[#This Row],[Column8]]  * deployment_raw[[#This Row],[Column5]]),"")</f>
        <v/>
      </c>
      <c r="I617" s="176" t="str">
        <f>IF(ISNUMBER(deployment_raw[[#This Row],[Column9]]), (deployment_raw[[#This Row],[Column9]] * deployment_raw[[#This Row],[Column5]])/1048576,"")</f>
        <v/>
      </c>
      <c r="J617" s="57" t="str">
        <f>IF(ISNUMBER(deployment_raw[[#This Row],[Column10]]), (deployment_raw[[#This Row],[Column10]] * deployment_raw[[#This Row],[Column5]]),"")</f>
        <v/>
      </c>
      <c r="K617" s="58" t="str">
        <f>IF(ISNUMBER(deployment_raw[[#This Row],[Column11]]), (deployment_raw[[#This Row],[Column11]] * deployment_raw[[#This Row],[Column5]])/1048576,"")</f>
        <v/>
      </c>
      <c r="L617" s="180" t="str">
        <f>IF(ISNUMBER(deployment_raw[[#This Row],[Column8]]),IF(deployment_raw[[#This Row],[Column5]] &lt;&gt; 0, MAX((deployment_raw[[#This Row],[Column12]] * deployment_raw[[#This Row],[Column5]]), ((deployment_raw[[#This Row],[Column8]] * deployment_raw[[#This Row],[Column5]]) * $L$2), ($H$2 * deployment_raw[[#This Row],[Column5]])), 0),"")</f>
        <v/>
      </c>
      <c r="M61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17" s="188" t="str">
        <f>IF(ISNUMBER(deployment_raw[[#This Row],[Column14]]), deployment_raw[[#This Row],[Column14]],"")</f>
        <v/>
      </c>
      <c r="O617" s="189" t="str">
        <f>IF(ISNUMBER(deployment_raw[[#This Row],[Column15]]), deployment_raw[[#This Row],[Column15]]/1048576,"")</f>
        <v/>
      </c>
      <c r="P617" s="190" t="str">
        <f>IF(ISNUMBER(deployment_raw[[#This Row],[Column12]]), (deployment_raw[[#This Row],[Column12]] * deployment_raw[[#This Row],[Column5]]),"")</f>
        <v/>
      </c>
      <c r="Q617" s="189" t="str">
        <f>IF(ISNUMBER(deployment_raw[[#This Row],[Column13]]), (deployment_raw[[#This Row],[Column13]] * deployment_raw[[#This Row],[Column5]])/1048576,"")</f>
        <v/>
      </c>
    </row>
    <row r="618" spans="1:17" ht="15.75" customHeight="1" x14ac:dyDescent="0.25">
      <c r="A618" s="37" t="str">
        <f>IF(ISNONTEXT(deployment_raw[[#This Row],[Column1]]), "", deployment_raw[[#This Row],[Column1]])</f>
        <v/>
      </c>
      <c r="B618" s="38" t="str">
        <f>IF(ISNONTEXT(deployment_raw[[#This Row],[Column2]]), "", deployment_raw[[#This Row],[Column2]])</f>
        <v/>
      </c>
      <c r="C618" s="38" t="str">
        <f>IF(ISNONTEXT(deployment_raw[[#This Row],[Column3]]), "", deployment_raw[[#This Row],[Column3]])</f>
        <v/>
      </c>
      <c r="D618" s="38" t="str">
        <f>IF(ISNONTEXT(deployment_raw[[#This Row],[Column4]]), "", deployment_raw[[#This Row],[Column4]])</f>
        <v/>
      </c>
      <c r="E618" s="39" t="str">
        <f>IF(ISNUMBER(deployment_raw[[#This Row],[Column5]]), deployment_raw[[#This Row],[Column5]],"")</f>
        <v/>
      </c>
      <c r="F618" s="174" t="str">
        <f>IF(ISNUMBER(deployment_raw[[#This Row],[Column6]]), (deployment_raw[[#This Row],[Column6]] * deployment_raw[[#This Row],[Column5]]),"")</f>
        <v/>
      </c>
      <c r="G618" s="175" t="str">
        <f>IF(ISNUMBER(deployment_raw[[#This Row],[Column7]]), (deployment_raw[[#This Row],[Column7]] * deployment_raw[[#This Row],[Column5]])/1048576,"")</f>
        <v/>
      </c>
      <c r="H618" s="175" t="str">
        <f>IF(ISNUMBER(deployment_raw[[#This Row],[Column8]]), (deployment_raw[[#This Row],[Column8]]  * deployment_raw[[#This Row],[Column5]]),"")</f>
        <v/>
      </c>
      <c r="I618" s="176" t="str">
        <f>IF(ISNUMBER(deployment_raw[[#This Row],[Column9]]), (deployment_raw[[#This Row],[Column9]] * deployment_raw[[#This Row],[Column5]])/1048576,"")</f>
        <v/>
      </c>
      <c r="J618" s="57" t="str">
        <f>IF(ISNUMBER(deployment_raw[[#This Row],[Column10]]), (deployment_raw[[#This Row],[Column10]] * deployment_raw[[#This Row],[Column5]]),"")</f>
        <v/>
      </c>
      <c r="K618" s="58" t="str">
        <f>IF(ISNUMBER(deployment_raw[[#This Row],[Column11]]), (deployment_raw[[#This Row],[Column11]] * deployment_raw[[#This Row],[Column5]])/1048576,"")</f>
        <v/>
      </c>
      <c r="L618" s="180" t="str">
        <f>IF(ISNUMBER(deployment_raw[[#This Row],[Column8]]),IF(deployment_raw[[#This Row],[Column5]] &lt;&gt; 0, MAX((deployment_raw[[#This Row],[Column12]] * deployment_raw[[#This Row],[Column5]]), ((deployment_raw[[#This Row],[Column8]] * deployment_raw[[#This Row],[Column5]]) * $L$2), ($H$2 * deployment_raw[[#This Row],[Column5]])), 0),"")</f>
        <v/>
      </c>
      <c r="M61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18" s="188" t="str">
        <f>IF(ISNUMBER(deployment_raw[[#This Row],[Column14]]), deployment_raw[[#This Row],[Column14]],"")</f>
        <v/>
      </c>
      <c r="O618" s="189" t="str">
        <f>IF(ISNUMBER(deployment_raw[[#This Row],[Column15]]), deployment_raw[[#This Row],[Column15]]/1048576,"")</f>
        <v/>
      </c>
      <c r="P618" s="190" t="str">
        <f>IF(ISNUMBER(deployment_raw[[#This Row],[Column12]]), (deployment_raw[[#This Row],[Column12]] * deployment_raw[[#This Row],[Column5]]),"")</f>
        <v/>
      </c>
      <c r="Q618" s="189" t="str">
        <f>IF(ISNUMBER(deployment_raw[[#This Row],[Column13]]), (deployment_raw[[#This Row],[Column13]] * deployment_raw[[#This Row],[Column5]])/1048576,"")</f>
        <v/>
      </c>
    </row>
    <row r="619" spans="1:17" ht="15.75" customHeight="1" x14ac:dyDescent="0.25">
      <c r="A619" s="37" t="str">
        <f>IF(ISNONTEXT(deployment_raw[[#This Row],[Column1]]), "", deployment_raw[[#This Row],[Column1]])</f>
        <v/>
      </c>
      <c r="B619" s="38" t="str">
        <f>IF(ISNONTEXT(deployment_raw[[#This Row],[Column2]]), "", deployment_raw[[#This Row],[Column2]])</f>
        <v/>
      </c>
      <c r="C619" s="38" t="str">
        <f>IF(ISNONTEXT(deployment_raw[[#This Row],[Column3]]), "", deployment_raw[[#This Row],[Column3]])</f>
        <v/>
      </c>
      <c r="D619" s="38" t="str">
        <f>IF(ISNONTEXT(deployment_raw[[#This Row],[Column4]]), "", deployment_raw[[#This Row],[Column4]])</f>
        <v/>
      </c>
      <c r="E619" s="39" t="str">
        <f>IF(ISNUMBER(deployment_raw[[#This Row],[Column5]]), deployment_raw[[#This Row],[Column5]],"")</f>
        <v/>
      </c>
      <c r="F619" s="174" t="str">
        <f>IF(ISNUMBER(deployment_raw[[#This Row],[Column6]]), (deployment_raw[[#This Row],[Column6]] * deployment_raw[[#This Row],[Column5]]),"")</f>
        <v/>
      </c>
      <c r="G619" s="175" t="str">
        <f>IF(ISNUMBER(deployment_raw[[#This Row],[Column7]]), (deployment_raw[[#This Row],[Column7]] * deployment_raw[[#This Row],[Column5]])/1048576,"")</f>
        <v/>
      </c>
      <c r="H619" s="175" t="str">
        <f>IF(ISNUMBER(deployment_raw[[#This Row],[Column8]]), (deployment_raw[[#This Row],[Column8]]  * deployment_raw[[#This Row],[Column5]]),"")</f>
        <v/>
      </c>
      <c r="I619" s="176" t="str">
        <f>IF(ISNUMBER(deployment_raw[[#This Row],[Column9]]), (deployment_raw[[#This Row],[Column9]] * deployment_raw[[#This Row],[Column5]])/1048576,"")</f>
        <v/>
      </c>
      <c r="J619" s="57" t="str">
        <f>IF(ISNUMBER(deployment_raw[[#This Row],[Column10]]), (deployment_raw[[#This Row],[Column10]] * deployment_raw[[#This Row],[Column5]]),"")</f>
        <v/>
      </c>
      <c r="K619" s="58" t="str">
        <f>IF(ISNUMBER(deployment_raw[[#This Row],[Column11]]), (deployment_raw[[#This Row],[Column11]] * deployment_raw[[#This Row],[Column5]])/1048576,"")</f>
        <v/>
      </c>
      <c r="L619" s="180" t="str">
        <f>IF(ISNUMBER(deployment_raw[[#This Row],[Column8]]),IF(deployment_raw[[#This Row],[Column5]] &lt;&gt; 0, MAX((deployment_raw[[#This Row],[Column12]] * deployment_raw[[#This Row],[Column5]]), ((deployment_raw[[#This Row],[Column8]] * deployment_raw[[#This Row],[Column5]]) * $L$2), ($H$2 * deployment_raw[[#This Row],[Column5]])), 0),"")</f>
        <v/>
      </c>
      <c r="M61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19" s="188" t="str">
        <f>IF(ISNUMBER(deployment_raw[[#This Row],[Column14]]), deployment_raw[[#This Row],[Column14]],"")</f>
        <v/>
      </c>
      <c r="O619" s="189" t="str">
        <f>IF(ISNUMBER(deployment_raw[[#This Row],[Column15]]), deployment_raw[[#This Row],[Column15]]/1048576,"")</f>
        <v/>
      </c>
      <c r="P619" s="190" t="str">
        <f>IF(ISNUMBER(deployment_raw[[#This Row],[Column12]]), (deployment_raw[[#This Row],[Column12]] * deployment_raw[[#This Row],[Column5]]),"")</f>
        <v/>
      </c>
      <c r="Q619" s="189" t="str">
        <f>IF(ISNUMBER(deployment_raw[[#This Row],[Column13]]), (deployment_raw[[#This Row],[Column13]] * deployment_raw[[#This Row],[Column5]])/1048576,"")</f>
        <v/>
      </c>
    </row>
    <row r="620" spans="1:17" ht="15.75" customHeight="1" x14ac:dyDescent="0.25">
      <c r="A620" s="37" t="str">
        <f>IF(ISNONTEXT(deployment_raw[[#This Row],[Column1]]), "", deployment_raw[[#This Row],[Column1]])</f>
        <v/>
      </c>
      <c r="B620" s="38" t="str">
        <f>IF(ISNONTEXT(deployment_raw[[#This Row],[Column2]]), "", deployment_raw[[#This Row],[Column2]])</f>
        <v/>
      </c>
      <c r="C620" s="38" t="str">
        <f>IF(ISNONTEXT(deployment_raw[[#This Row],[Column3]]), "", deployment_raw[[#This Row],[Column3]])</f>
        <v/>
      </c>
      <c r="D620" s="38" t="str">
        <f>IF(ISNONTEXT(deployment_raw[[#This Row],[Column4]]), "", deployment_raw[[#This Row],[Column4]])</f>
        <v/>
      </c>
      <c r="E620" s="39" t="str">
        <f>IF(ISNUMBER(deployment_raw[[#This Row],[Column5]]), deployment_raw[[#This Row],[Column5]],"")</f>
        <v/>
      </c>
      <c r="F620" s="174" t="str">
        <f>IF(ISNUMBER(deployment_raw[[#This Row],[Column6]]), (deployment_raw[[#This Row],[Column6]] * deployment_raw[[#This Row],[Column5]]),"")</f>
        <v/>
      </c>
      <c r="G620" s="175" t="str">
        <f>IF(ISNUMBER(deployment_raw[[#This Row],[Column7]]), (deployment_raw[[#This Row],[Column7]] * deployment_raw[[#This Row],[Column5]])/1048576,"")</f>
        <v/>
      </c>
      <c r="H620" s="175" t="str">
        <f>IF(ISNUMBER(deployment_raw[[#This Row],[Column8]]), (deployment_raw[[#This Row],[Column8]]  * deployment_raw[[#This Row],[Column5]]),"")</f>
        <v/>
      </c>
      <c r="I620" s="176" t="str">
        <f>IF(ISNUMBER(deployment_raw[[#This Row],[Column9]]), (deployment_raw[[#This Row],[Column9]] * deployment_raw[[#This Row],[Column5]])/1048576,"")</f>
        <v/>
      </c>
      <c r="J620" s="57" t="str">
        <f>IF(ISNUMBER(deployment_raw[[#This Row],[Column10]]), (deployment_raw[[#This Row],[Column10]] * deployment_raw[[#This Row],[Column5]]),"")</f>
        <v/>
      </c>
      <c r="K620" s="58" t="str">
        <f>IF(ISNUMBER(deployment_raw[[#This Row],[Column11]]), (deployment_raw[[#This Row],[Column11]] * deployment_raw[[#This Row],[Column5]])/1048576,"")</f>
        <v/>
      </c>
      <c r="L620" s="180" t="str">
        <f>IF(ISNUMBER(deployment_raw[[#This Row],[Column8]]),IF(deployment_raw[[#This Row],[Column5]] &lt;&gt; 0, MAX((deployment_raw[[#This Row],[Column12]] * deployment_raw[[#This Row],[Column5]]), ((deployment_raw[[#This Row],[Column8]] * deployment_raw[[#This Row],[Column5]]) * $L$2), ($H$2 * deployment_raw[[#This Row],[Column5]])), 0),"")</f>
        <v/>
      </c>
      <c r="M62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20" s="188" t="str">
        <f>IF(ISNUMBER(deployment_raw[[#This Row],[Column14]]), deployment_raw[[#This Row],[Column14]],"")</f>
        <v/>
      </c>
      <c r="O620" s="189" t="str">
        <f>IF(ISNUMBER(deployment_raw[[#This Row],[Column15]]), deployment_raw[[#This Row],[Column15]]/1048576,"")</f>
        <v/>
      </c>
      <c r="P620" s="190" t="str">
        <f>IF(ISNUMBER(deployment_raw[[#This Row],[Column12]]), (deployment_raw[[#This Row],[Column12]] * deployment_raw[[#This Row],[Column5]]),"")</f>
        <v/>
      </c>
      <c r="Q620" s="189" t="str">
        <f>IF(ISNUMBER(deployment_raw[[#This Row],[Column13]]), (deployment_raw[[#This Row],[Column13]] * deployment_raw[[#This Row],[Column5]])/1048576,"")</f>
        <v/>
      </c>
    </row>
    <row r="621" spans="1:17" ht="15.75" customHeight="1" x14ac:dyDescent="0.25">
      <c r="A621" s="37" t="str">
        <f>IF(ISNONTEXT(deployment_raw[[#This Row],[Column1]]), "", deployment_raw[[#This Row],[Column1]])</f>
        <v/>
      </c>
      <c r="B621" s="38" t="str">
        <f>IF(ISNONTEXT(deployment_raw[[#This Row],[Column2]]), "", deployment_raw[[#This Row],[Column2]])</f>
        <v/>
      </c>
      <c r="C621" s="38" t="str">
        <f>IF(ISNONTEXT(deployment_raw[[#This Row],[Column3]]), "", deployment_raw[[#This Row],[Column3]])</f>
        <v/>
      </c>
      <c r="D621" s="38" t="str">
        <f>IF(ISNONTEXT(deployment_raw[[#This Row],[Column4]]), "", deployment_raw[[#This Row],[Column4]])</f>
        <v/>
      </c>
      <c r="E621" s="39" t="str">
        <f>IF(ISNUMBER(deployment_raw[[#This Row],[Column5]]), deployment_raw[[#This Row],[Column5]],"")</f>
        <v/>
      </c>
      <c r="F621" s="174" t="str">
        <f>IF(ISNUMBER(deployment_raw[[#This Row],[Column6]]), (deployment_raw[[#This Row],[Column6]] * deployment_raw[[#This Row],[Column5]]),"")</f>
        <v/>
      </c>
      <c r="G621" s="175" t="str">
        <f>IF(ISNUMBER(deployment_raw[[#This Row],[Column7]]), (deployment_raw[[#This Row],[Column7]] * deployment_raw[[#This Row],[Column5]])/1048576,"")</f>
        <v/>
      </c>
      <c r="H621" s="175" t="str">
        <f>IF(ISNUMBER(deployment_raw[[#This Row],[Column8]]), (deployment_raw[[#This Row],[Column8]]  * deployment_raw[[#This Row],[Column5]]),"")</f>
        <v/>
      </c>
      <c r="I621" s="176" t="str">
        <f>IF(ISNUMBER(deployment_raw[[#This Row],[Column9]]), (deployment_raw[[#This Row],[Column9]] * deployment_raw[[#This Row],[Column5]])/1048576,"")</f>
        <v/>
      </c>
      <c r="J621" s="57" t="str">
        <f>IF(ISNUMBER(deployment_raw[[#This Row],[Column10]]), (deployment_raw[[#This Row],[Column10]] * deployment_raw[[#This Row],[Column5]]),"")</f>
        <v/>
      </c>
      <c r="K621" s="58" t="str">
        <f>IF(ISNUMBER(deployment_raw[[#This Row],[Column11]]), (deployment_raw[[#This Row],[Column11]] * deployment_raw[[#This Row],[Column5]])/1048576,"")</f>
        <v/>
      </c>
      <c r="L621" s="180" t="str">
        <f>IF(ISNUMBER(deployment_raw[[#This Row],[Column8]]),IF(deployment_raw[[#This Row],[Column5]] &lt;&gt; 0, MAX((deployment_raw[[#This Row],[Column12]] * deployment_raw[[#This Row],[Column5]]), ((deployment_raw[[#This Row],[Column8]] * deployment_raw[[#This Row],[Column5]]) * $L$2), ($H$2 * deployment_raw[[#This Row],[Column5]])), 0),"")</f>
        <v/>
      </c>
      <c r="M62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21" s="188" t="str">
        <f>IF(ISNUMBER(deployment_raw[[#This Row],[Column14]]), deployment_raw[[#This Row],[Column14]],"")</f>
        <v/>
      </c>
      <c r="O621" s="189" t="str">
        <f>IF(ISNUMBER(deployment_raw[[#This Row],[Column15]]), deployment_raw[[#This Row],[Column15]]/1048576,"")</f>
        <v/>
      </c>
      <c r="P621" s="190" t="str">
        <f>IF(ISNUMBER(deployment_raw[[#This Row],[Column12]]), (deployment_raw[[#This Row],[Column12]] * deployment_raw[[#This Row],[Column5]]),"")</f>
        <v/>
      </c>
      <c r="Q621" s="189" t="str">
        <f>IF(ISNUMBER(deployment_raw[[#This Row],[Column13]]), (deployment_raw[[#This Row],[Column13]] * deployment_raw[[#This Row],[Column5]])/1048576,"")</f>
        <v/>
      </c>
    </row>
    <row r="622" spans="1:17" ht="15.75" customHeight="1" x14ac:dyDescent="0.25">
      <c r="A622" s="37" t="str">
        <f>IF(ISNONTEXT(deployment_raw[[#This Row],[Column1]]), "", deployment_raw[[#This Row],[Column1]])</f>
        <v/>
      </c>
      <c r="B622" s="38" t="str">
        <f>IF(ISNONTEXT(deployment_raw[[#This Row],[Column2]]), "", deployment_raw[[#This Row],[Column2]])</f>
        <v/>
      </c>
      <c r="C622" s="38" t="str">
        <f>IF(ISNONTEXT(deployment_raw[[#This Row],[Column3]]), "", deployment_raw[[#This Row],[Column3]])</f>
        <v/>
      </c>
      <c r="D622" s="38" t="str">
        <f>IF(ISNONTEXT(deployment_raw[[#This Row],[Column4]]), "", deployment_raw[[#This Row],[Column4]])</f>
        <v/>
      </c>
      <c r="E622" s="39" t="str">
        <f>IF(ISNUMBER(deployment_raw[[#This Row],[Column5]]), deployment_raw[[#This Row],[Column5]],"")</f>
        <v/>
      </c>
      <c r="F622" s="174" t="str">
        <f>IF(ISNUMBER(deployment_raw[[#This Row],[Column6]]), (deployment_raw[[#This Row],[Column6]] * deployment_raw[[#This Row],[Column5]]),"")</f>
        <v/>
      </c>
      <c r="G622" s="175" t="str">
        <f>IF(ISNUMBER(deployment_raw[[#This Row],[Column7]]), (deployment_raw[[#This Row],[Column7]] * deployment_raw[[#This Row],[Column5]])/1048576,"")</f>
        <v/>
      </c>
      <c r="H622" s="175" t="str">
        <f>IF(ISNUMBER(deployment_raw[[#This Row],[Column8]]), (deployment_raw[[#This Row],[Column8]]  * deployment_raw[[#This Row],[Column5]]),"")</f>
        <v/>
      </c>
      <c r="I622" s="176" t="str">
        <f>IF(ISNUMBER(deployment_raw[[#This Row],[Column9]]), (deployment_raw[[#This Row],[Column9]] * deployment_raw[[#This Row],[Column5]])/1048576,"")</f>
        <v/>
      </c>
      <c r="J622" s="57" t="str">
        <f>IF(ISNUMBER(deployment_raw[[#This Row],[Column10]]), (deployment_raw[[#This Row],[Column10]] * deployment_raw[[#This Row],[Column5]]),"")</f>
        <v/>
      </c>
      <c r="K622" s="58" t="str">
        <f>IF(ISNUMBER(deployment_raw[[#This Row],[Column11]]), (deployment_raw[[#This Row],[Column11]] * deployment_raw[[#This Row],[Column5]])/1048576,"")</f>
        <v/>
      </c>
      <c r="L622" s="180" t="str">
        <f>IF(ISNUMBER(deployment_raw[[#This Row],[Column8]]),IF(deployment_raw[[#This Row],[Column5]] &lt;&gt; 0, MAX((deployment_raw[[#This Row],[Column12]] * deployment_raw[[#This Row],[Column5]]), ((deployment_raw[[#This Row],[Column8]] * deployment_raw[[#This Row],[Column5]]) * $L$2), ($H$2 * deployment_raw[[#This Row],[Column5]])), 0),"")</f>
        <v/>
      </c>
      <c r="M62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22" s="188" t="str">
        <f>IF(ISNUMBER(deployment_raw[[#This Row],[Column14]]), deployment_raw[[#This Row],[Column14]],"")</f>
        <v/>
      </c>
      <c r="O622" s="189" t="str">
        <f>IF(ISNUMBER(deployment_raw[[#This Row],[Column15]]), deployment_raw[[#This Row],[Column15]]/1048576,"")</f>
        <v/>
      </c>
      <c r="P622" s="190" t="str">
        <f>IF(ISNUMBER(deployment_raw[[#This Row],[Column12]]), (deployment_raw[[#This Row],[Column12]] * deployment_raw[[#This Row],[Column5]]),"")</f>
        <v/>
      </c>
      <c r="Q622" s="189" t="str">
        <f>IF(ISNUMBER(deployment_raw[[#This Row],[Column13]]), (deployment_raw[[#This Row],[Column13]] * deployment_raw[[#This Row],[Column5]])/1048576,"")</f>
        <v/>
      </c>
    </row>
    <row r="623" spans="1:17" ht="15.75" customHeight="1" x14ac:dyDescent="0.25">
      <c r="A623" s="37" t="str">
        <f>IF(ISNONTEXT(deployment_raw[[#This Row],[Column1]]), "", deployment_raw[[#This Row],[Column1]])</f>
        <v/>
      </c>
      <c r="B623" s="38" t="str">
        <f>IF(ISNONTEXT(deployment_raw[[#This Row],[Column2]]), "", deployment_raw[[#This Row],[Column2]])</f>
        <v/>
      </c>
      <c r="C623" s="38" t="str">
        <f>IF(ISNONTEXT(deployment_raw[[#This Row],[Column3]]), "", deployment_raw[[#This Row],[Column3]])</f>
        <v/>
      </c>
      <c r="D623" s="38" t="str">
        <f>IF(ISNONTEXT(deployment_raw[[#This Row],[Column4]]), "", deployment_raw[[#This Row],[Column4]])</f>
        <v/>
      </c>
      <c r="E623" s="39" t="str">
        <f>IF(ISNUMBER(deployment_raw[[#This Row],[Column5]]), deployment_raw[[#This Row],[Column5]],"")</f>
        <v/>
      </c>
      <c r="F623" s="174" t="str">
        <f>IF(ISNUMBER(deployment_raw[[#This Row],[Column6]]), (deployment_raw[[#This Row],[Column6]] * deployment_raw[[#This Row],[Column5]]),"")</f>
        <v/>
      </c>
      <c r="G623" s="175" t="str">
        <f>IF(ISNUMBER(deployment_raw[[#This Row],[Column7]]), (deployment_raw[[#This Row],[Column7]] * deployment_raw[[#This Row],[Column5]])/1048576,"")</f>
        <v/>
      </c>
      <c r="H623" s="175" t="str">
        <f>IF(ISNUMBER(deployment_raw[[#This Row],[Column8]]), (deployment_raw[[#This Row],[Column8]]  * deployment_raw[[#This Row],[Column5]]),"")</f>
        <v/>
      </c>
      <c r="I623" s="176" t="str">
        <f>IF(ISNUMBER(deployment_raw[[#This Row],[Column9]]), (deployment_raw[[#This Row],[Column9]] * deployment_raw[[#This Row],[Column5]])/1048576,"")</f>
        <v/>
      </c>
      <c r="J623" s="57" t="str">
        <f>IF(ISNUMBER(deployment_raw[[#This Row],[Column10]]), (deployment_raw[[#This Row],[Column10]] * deployment_raw[[#This Row],[Column5]]),"")</f>
        <v/>
      </c>
      <c r="K623" s="58" t="str">
        <f>IF(ISNUMBER(deployment_raw[[#This Row],[Column11]]), (deployment_raw[[#This Row],[Column11]] * deployment_raw[[#This Row],[Column5]])/1048576,"")</f>
        <v/>
      </c>
      <c r="L623" s="180" t="str">
        <f>IF(ISNUMBER(deployment_raw[[#This Row],[Column8]]),IF(deployment_raw[[#This Row],[Column5]] &lt;&gt; 0, MAX((deployment_raw[[#This Row],[Column12]] * deployment_raw[[#This Row],[Column5]]), ((deployment_raw[[#This Row],[Column8]] * deployment_raw[[#This Row],[Column5]]) * $L$2), ($H$2 * deployment_raw[[#This Row],[Column5]])), 0),"")</f>
        <v/>
      </c>
      <c r="M62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23" s="188" t="str">
        <f>IF(ISNUMBER(deployment_raw[[#This Row],[Column14]]), deployment_raw[[#This Row],[Column14]],"")</f>
        <v/>
      </c>
      <c r="O623" s="189" t="str">
        <f>IF(ISNUMBER(deployment_raw[[#This Row],[Column15]]), deployment_raw[[#This Row],[Column15]]/1048576,"")</f>
        <v/>
      </c>
      <c r="P623" s="190" t="str">
        <f>IF(ISNUMBER(deployment_raw[[#This Row],[Column12]]), (deployment_raw[[#This Row],[Column12]] * deployment_raw[[#This Row],[Column5]]),"")</f>
        <v/>
      </c>
      <c r="Q623" s="189" t="str">
        <f>IF(ISNUMBER(deployment_raw[[#This Row],[Column13]]), (deployment_raw[[#This Row],[Column13]] * deployment_raw[[#This Row],[Column5]])/1048576,"")</f>
        <v/>
      </c>
    </row>
    <row r="624" spans="1:17" ht="15.75" customHeight="1" x14ac:dyDescent="0.25">
      <c r="A624" s="37" t="str">
        <f>IF(ISNONTEXT(deployment_raw[[#This Row],[Column1]]), "", deployment_raw[[#This Row],[Column1]])</f>
        <v/>
      </c>
      <c r="B624" s="38" t="str">
        <f>IF(ISNONTEXT(deployment_raw[[#This Row],[Column2]]), "", deployment_raw[[#This Row],[Column2]])</f>
        <v/>
      </c>
      <c r="C624" s="38" t="str">
        <f>IF(ISNONTEXT(deployment_raw[[#This Row],[Column3]]), "", deployment_raw[[#This Row],[Column3]])</f>
        <v/>
      </c>
      <c r="D624" s="38" t="str">
        <f>IF(ISNONTEXT(deployment_raw[[#This Row],[Column4]]), "", deployment_raw[[#This Row],[Column4]])</f>
        <v/>
      </c>
      <c r="E624" s="39" t="str">
        <f>IF(ISNUMBER(deployment_raw[[#This Row],[Column5]]), deployment_raw[[#This Row],[Column5]],"")</f>
        <v/>
      </c>
      <c r="F624" s="174" t="str">
        <f>IF(ISNUMBER(deployment_raw[[#This Row],[Column6]]), (deployment_raw[[#This Row],[Column6]] * deployment_raw[[#This Row],[Column5]]),"")</f>
        <v/>
      </c>
      <c r="G624" s="175" t="str">
        <f>IF(ISNUMBER(deployment_raw[[#This Row],[Column7]]), (deployment_raw[[#This Row],[Column7]] * deployment_raw[[#This Row],[Column5]])/1048576,"")</f>
        <v/>
      </c>
      <c r="H624" s="175" t="str">
        <f>IF(ISNUMBER(deployment_raw[[#This Row],[Column8]]), (deployment_raw[[#This Row],[Column8]]  * deployment_raw[[#This Row],[Column5]]),"")</f>
        <v/>
      </c>
      <c r="I624" s="176" t="str">
        <f>IF(ISNUMBER(deployment_raw[[#This Row],[Column9]]), (deployment_raw[[#This Row],[Column9]] * deployment_raw[[#This Row],[Column5]])/1048576,"")</f>
        <v/>
      </c>
      <c r="J624" s="57" t="str">
        <f>IF(ISNUMBER(deployment_raw[[#This Row],[Column10]]), (deployment_raw[[#This Row],[Column10]] * deployment_raw[[#This Row],[Column5]]),"")</f>
        <v/>
      </c>
      <c r="K624" s="58" t="str">
        <f>IF(ISNUMBER(deployment_raw[[#This Row],[Column11]]), (deployment_raw[[#This Row],[Column11]] * deployment_raw[[#This Row],[Column5]])/1048576,"")</f>
        <v/>
      </c>
      <c r="L624" s="180" t="str">
        <f>IF(ISNUMBER(deployment_raw[[#This Row],[Column8]]),IF(deployment_raw[[#This Row],[Column5]] &lt;&gt; 0, MAX((deployment_raw[[#This Row],[Column12]] * deployment_raw[[#This Row],[Column5]]), ((deployment_raw[[#This Row],[Column8]] * deployment_raw[[#This Row],[Column5]]) * $L$2), ($H$2 * deployment_raw[[#This Row],[Column5]])), 0),"")</f>
        <v/>
      </c>
      <c r="M62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24" s="188" t="str">
        <f>IF(ISNUMBER(deployment_raw[[#This Row],[Column14]]), deployment_raw[[#This Row],[Column14]],"")</f>
        <v/>
      </c>
      <c r="O624" s="189" t="str">
        <f>IF(ISNUMBER(deployment_raw[[#This Row],[Column15]]), deployment_raw[[#This Row],[Column15]]/1048576,"")</f>
        <v/>
      </c>
      <c r="P624" s="190" t="str">
        <f>IF(ISNUMBER(deployment_raw[[#This Row],[Column12]]), (deployment_raw[[#This Row],[Column12]] * deployment_raw[[#This Row],[Column5]]),"")</f>
        <v/>
      </c>
      <c r="Q624" s="189" t="str">
        <f>IF(ISNUMBER(deployment_raw[[#This Row],[Column13]]), (deployment_raw[[#This Row],[Column13]] * deployment_raw[[#This Row],[Column5]])/1048576,"")</f>
        <v/>
      </c>
    </row>
    <row r="625" spans="1:17" ht="15.75" customHeight="1" x14ac:dyDescent="0.25">
      <c r="A625" s="37" t="str">
        <f>IF(ISNONTEXT(deployment_raw[[#This Row],[Column1]]), "", deployment_raw[[#This Row],[Column1]])</f>
        <v/>
      </c>
      <c r="B625" s="38" t="str">
        <f>IF(ISNONTEXT(deployment_raw[[#This Row],[Column2]]), "", deployment_raw[[#This Row],[Column2]])</f>
        <v/>
      </c>
      <c r="C625" s="38" t="str">
        <f>IF(ISNONTEXT(deployment_raw[[#This Row],[Column3]]), "", deployment_raw[[#This Row],[Column3]])</f>
        <v/>
      </c>
      <c r="D625" s="38" t="str">
        <f>IF(ISNONTEXT(deployment_raw[[#This Row],[Column4]]), "", deployment_raw[[#This Row],[Column4]])</f>
        <v/>
      </c>
      <c r="E625" s="39" t="str">
        <f>IF(ISNUMBER(deployment_raw[[#This Row],[Column5]]), deployment_raw[[#This Row],[Column5]],"")</f>
        <v/>
      </c>
      <c r="F625" s="174" t="str">
        <f>IF(ISNUMBER(deployment_raw[[#This Row],[Column6]]), (deployment_raw[[#This Row],[Column6]] * deployment_raw[[#This Row],[Column5]]),"")</f>
        <v/>
      </c>
      <c r="G625" s="175" t="str">
        <f>IF(ISNUMBER(deployment_raw[[#This Row],[Column7]]), (deployment_raw[[#This Row],[Column7]] * deployment_raw[[#This Row],[Column5]])/1048576,"")</f>
        <v/>
      </c>
      <c r="H625" s="175" t="str">
        <f>IF(ISNUMBER(deployment_raw[[#This Row],[Column8]]), (deployment_raw[[#This Row],[Column8]]  * deployment_raw[[#This Row],[Column5]]),"")</f>
        <v/>
      </c>
      <c r="I625" s="176" t="str">
        <f>IF(ISNUMBER(deployment_raw[[#This Row],[Column9]]), (deployment_raw[[#This Row],[Column9]] * deployment_raw[[#This Row],[Column5]])/1048576,"")</f>
        <v/>
      </c>
      <c r="J625" s="57" t="str">
        <f>IF(ISNUMBER(deployment_raw[[#This Row],[Column10]]), (deployment_raw[[#This Row],[Column10]] * deployment_raw[[#This Row],[Column5]]),"")</f>
        <v/>
      </c>
      <c r="K625" s="58" t="str">
        <f>IF(ISNUMBER(deployment_raw[[#This Row],[Column11]]), (deployment_raw[[#This Row],[Column11]] * deployment_raw[[#This Row],[Column5]])/1048576,"")</f>
        <v/>
      </c>
      <c r="L625" s="180" t="str">
        <f>IF(ISNUMBER(deployment_raw[[#This Row],[Column8]]),IF(deployment_raw[[#This Row],[Column5]] &lt;&gt; 0, MAX((deployment_raw[[#This Row],[Column12]] * deployment_raw[[#This Row],[Column5]]), ((deployment_raw[[#This Row],[Column8]] * deployment_raw[[#This Row],[Column5]]) * $L$2), ($H$2 * deployment_raw[[#This Row],[Column5]])), 0),"")</f>
        <v/>
      </c>
      <c r="M62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25" s="188" t="str">
        <f>IF(ISNUMBER(deployment_raw[[#This Row],[Column14]]), deployment_raw[[#This Row],[Column14]],"")</f>
        <v/>
      </c>
      <c r="O625" s="189" t="str">
        <f>IF(ISNUMBER(deployment_raw[[#This Row],[Column15]]), deployment_raw[[#This Row],[Column15]]/1048576,"")</f>
        <v/>
      </c>
      <c r="P625" s="190" t="str">
        <f>IF(ISNUMBER(deployment_raw[[#This Row],[Column12]]), (deployment_raw[[#This Row],[Column12]] * deployment_raw[[#This Row],[Column5]]),"")</f>
        <v/>
      </c>
      <c r="Q625" s="189" t="str">
        <f>IF(ISNUMBER(deployment_raw[[#This Row],[Column13]]), (deployment_raw[[#This Row],[Column13]] * deployment_raw[[#This Row],[Column5]])/1048576,"")</f>
        <v/>
      </c>
    </row>
    <row r="626" spans="1:17" ht="15.75" customHeight="1" x14ac:dyDescent="0.25">
      <c r="A626" s="37" t="str">
        <f>IF(ISNONTEXT(deployment_raw[[#This Row],[Column1]]), "", deployment_raw[[#This Row],[Column1]])</f>
        <v/>
      </c>
      <c r="B626" s="38" t="str">
        <f>IF(ISNONTEXT(deployment_raw[[#This Row],[Column2]]), "", deployment_raw[[#This Row],[Column2]])</f>
        <v/>
      </c>
      <c r="C626" s="38" t="str">
        <f>IF(ISNONTEXT(deployment_raw[[#This Row],[Column3]]), "", deployment_raw[[#This Row],[Column3]])</f>
        <v/>
      </c>
      <c r="D626" s="38" t="str">
        <f>IF(ISNONTEXT(deployment_raw[[#This Row],[Column4]]), "", deployment_raw[[#This Row],[Column4]])</f>
        <v/>
      </c>
      <c r="E626" s="39" t="str">
        <f>IF(ISNUMBER(deployment_raw[[#This Row],[Column5]]), deployment_raw[[#This Row],[Column5]],"")</f>
        <v/>
      </c>
      <c r="F626" s="174" t="str">
        <f>IF(ISNUMBER(deployment_raw[[#This Row],[Column6]]), (deployment_raw[[#This Row],[Column6]] * deployment_raw[[#This Row],[Column5]]),"")</f>
        <v/>
      </c>
      <c r="G626" s="175" t="str">
        <f>IF(ISNUMBER(deployment_raw[[#This Row],[Column7]]), (deployment_raw[[#This Row],[Column7]] * deployment_raw[[#This Row],[Column5]])/1048576,"")</f>
        <v/>
      </c>
      <c r="H626" s="175" t="str">
        <f>IF(ISNUMBER(deployment_raw[[#This Row],[Column8]]), (deployment_raw[[#This Row],[Column8]]  * deployment_raw[[#This Row],[Column5]]),"")</f>
        <v/>
      </c>
      <c r="I626" s="176" t="str">
        <f>IF(ISNUMBER(deployment_raw[[#This Row],[Column9]]), (deployment_raw[[#This Row],[Column9]] * deployment_raw[[#This Row],[Column5]])/1048576,"")</f>
        <v/>
      </c>
      <c r="J626" s="57" t="str">
        <f>IF(ISNUMBER(deployment_raw[[#This Row],[Column10]]), (deployment_raw[[#This Row],[Column10]] * deployment_raw[[#This Row],[Column5]]),"")</f>
        <v/>
      </c>
      <c r="K626" s="58" t="str">
        <f>IF(ISNUMBER(deployment_raw[[#This Row],[Column11]]), (deployment_raw[[#This Row],[Column11]] * deployment_raw[[#This Row],[Column5]])/1048576,"")</f>
        <v/>
      </c>
      <c r="L626" s="180" t="str">
        <f>IF(ISNUMBER(deployment_raw[[#This Row],[Column8]]),IF(deployment_raw[[#This Row],[Column5]] &lt;&gt; 0, MAX((deployment_raw[[#This Row],[Column12]] * deployment_raw[[#This Row],[Column5]]), ((deployment_raw[[#This Row],[Column8]] * deployment_raw[[#This Row],[Column5]]) * $L$2), ($H$2 * deployment_raw[[#This Row],[Column5]])), 0),"")</f>
        <v/>
      </c>
      <c r="M62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26" s="188" t="str">
        <f>IF(ISNUMBER(deployment_raw[[#This Row],[Column14]]), deployment_raw[[#This Row],[Column14]],"")</f>
        <v/>
      </c>
      <c r="O626" s="189" t="str">
        <f>IF(ISNUMBER(deployment_raw[[#This Row],[Column15]]), deployment_raw[[#This Row],[Column15]]/1048576,"")</f>
        <v/>
      </c>
      <c r="P626" s="190" t="str">
        <f>IF(ISNUMBER(deployment_raw[[#This Row],[Column12]]), (deployment_raw[[#This Row],[Column12]] * deployment_raw[[#This Row],[Column5]]),"")</f>
        <v/>
      </c>
      <c r="Q626" s="189" t="str">
        <f>IF(ISNUMBER(deployment_raw[[#This Row],[Column13]]), (deployment_raw[[#This Row],[Column13]] * deployment_raw[[#This Row],[Column5]])/1048576,"")</f>
        <v/>
      </c>
    </row>
    <row r="627" spans="1:17" ht="15.75" customHeight="1" x14ac:dyDescent="0.25">
      <c r="A627" s="37" t="str">
        <f>IF(ISNONTEXT(deployment_raw[[#This Row],[Column1]]), "", deployment_raw[[#This Row],[Column1]])</f>
        <v/>
      </c>
      <c r="B627" s="38" t="str">
        <f>IF(ISNONTEXT(deployment_raw[[#This Row],[Column2]]), "", deployment_raw[[#This Row],[Column2]])</f>
        <v/>
      </c>
      <c r="C627" s="38" t="str">
        <f>IF(ISNONTEXT(deployment_raw[[#This Row],[Column3]]), "", deployment_raw[[#This Row],[Column3]])</f>
        <v/>
      </c>
      <c r="D627" s="38" t="str">
        <f>IF(ISNONTEXT(deployment_raw[[#This Row],[Column4]]), "", deployment_raw[[#This Row],[Column4]])</f>
        <v/>
      </c>
      <c r="E627" s="39" t="str">
        <f>IF(ISNUMBER(deployment_raw[[#This Row],[Column5]]), deployment_raw[[#This Row],[Column5]],"")</f>
        <v/>
      </c>
      <c r="F627" s="174" t="str">
        <f>IF(ISNUMBER(deployment_raw[[#This Row],[Column6]]), (deployment_raw[[#This Row],[Column6]] * deployment_raw[[#This Row],[Column5]]),"")</f>
        <v/>
      </c>
      <c r="G627" s="175" t="str">
        <f>IF(ISNUMBER(deployment_raw[[#This Row],[Column7]]), (deployment_raw[[#This Row],[Column7]] * deployment_raw[[#This Row],[Column5]])/1048576,"")</f>
        <v/>
      </c>
      <c r="H627" s="175" t="str">
        <f>IF(ISNUMBER(deployment_raw[[#This Row],[Column8]]), (deployment_raw[[#This Row],[Column8]]  * deployment_raw[[#This Row],[Column5]]),"")</f>
        <v/>
      </c>
      <c r="I627" s="176" t="str">
        <f>IF(ISNUMBER(deployment_raw[[#This Row],[Column9]]), (deployment_raw[[#This Row],[Column9]] * deployment_raw[[#This Row],[Column5]])/1048576,"")</f>
        <v/>
      </c>
      <c r="J627" s="57" t="str">
        <f>IF(ISNUMBER(deployment_raw[[#This Row],[Column10]]), (deployment_raw[[#This Row],[Column10]] * deployment_raw[[#This Row],[Column5]]),"")</f>
        <v/>
      </c>
      <c r="K627" s="58" t="str">
        <f>IF(ISNUMBER(deployment_raw[[#This Row],[Column11]]), (deployment_raw[[#This Row],[Column11]] * deployment_raw[[#This Row],[Column5]])/1048576,"")</f>
        <v/>
      </c>
      <c r="L627" s="180" t="str">
        <f>IF(ISNUMBER(deployment_raw[[#This Row],[Column8]]),IF(deployment_raw[[#This Row],[Column5]] &lt;&gt; 0, MAX((deployment_raw[[#This Row],[Column12]] * deployment_raw[[#This Row],[Column5]]), ((deployment_raw[[#This Row],[Column8]] * deployment_raw[[#This Row],[Column5]]) * $L$2), ($H$2 * deployment_raw[[#This Row],[Column5]])), 0),"")</f>
        <v/>
      </c>
      <c r="M62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27" s="188" t="str">
        <f>IF(ISNUMBER(deployment_raw[[#This Row],[Column14]]), deployment_raw[[#This Row],[Column14]],"")</f>
        <v/>
      </c>
      <c r="O627" s="189" t="str">
        <f>IF(ISNUMBER(deployment_raw[[#This Row],[Column15]]), deployment_raw[[#This Row],[Column15]]/1048576,"")</f>
        <v/>
      </c>
      <c r="P627" s="190" t="str">
        <f>IF(ISNUMBER(deployment_raw[[#This Row],[Column12]]), (deployment_raw[[#This Row],[Column12]] * deployment_raw[[#This Row],[Column5]]),"")</f>
        <v/>
      </c>
      <c r="Q627" s="189" t="str">
        <f>IF(ISNUMBER(deployment_raw[[#This Row],[Column13]]), (deployment_raw[[#This Row],[Column13]] * deployment_raw[[#This Row],[Column5]])/1048576,"")</f>
        <v/>
      </c>
    </row>
    <row r="628" spans="1:17" ht="15.75" customHeight="1" x14ac:dyDescent="0.25">
      <c r="A628" s="37" t="str">
        <f>IF(ISNONTEXT(deployment_raw[[#This Row],[Column1]]), "", deployment_raw[[#This Row],[Column1]])</f>
        <v/>
      </c>
      <c r="B628" s="38" t="str">
        <f>IF(ISNONTEXT(deployment_raw[[#This Row],[Column2]]), "", deployment_raw[[#This Row],[Column2]])</f>
        <v/>
      </c>
      <c r="C628" s="38" t="str">
        <f>IF(ISNONTEXT(deployment_raw[[#This Row],[Column3]]), "", deployment_raw[[#This Row],[Column3]])</f>
        <v/>
      </c>
      <c r="D628" s="38" t="str">
        <f>IF(ISNONTEXT(deployment_raw[[#This Row],[Column4]]), "", deployment_raw[[#This Row],[Column4]])</f>
        <v/>
      </c>
      <c r="E628" s="39" t="str">
        <f>IF(ISNUMBER(deployment_raw[[#This Row],[Column5]]), deployment_raw[[#This Row],[Column5]],"")</f>
        <v/>
      </c>
      <c r="F628" s="174" t="str">
        <f>IF(ISNUMBER(deployment_raw[[#This Row],[Column6]]), (deployment_raw[[#This Row],[Column6]] * deployment_raw[[#This Row],[Column5]]),"")</f>
        <v/>
      </c>
      <c r="G628" s="175" t="str">
        <f>IF(ISNUMBER(deployment_raw[[#This Row],[Column7]]), (deployment_raw[[#This Row],[Column7]] * deployment_raw[[#This Row],[Column5]])/1048576,"")</f>
        <v/>
      </c>
      <c r="H628" s="175" t="str">
        <f>IF(ISNUMBER(deployment_raw[[#This Row],[Column8]]), (deployment_raw[[#This Row],[Column8]]  * deployment_raw[[#This Row],[Column5]]),"")</f>
        <v/>
      </c>
      <c r="I628" s="176" t="str">
        <f>IF(ISNUMBER(deployment_raw[[#This Row],[Column9]]), (deployment_raw[[#This Row],[Column9]] * deployment_raw[[#This Row],[Column5]])/1048576,"")</f>
        <v/>
      </c>
      <c r="J628" s="57" t="str">
        <f>IF(ISNUMBER(deployment_raw[[#This Row],[Column10]]), (deployment_raw[[#This Row],[Column10]] * deployment_raw[[#This Row],[Column5]]),"")</f>
        <v/>
      </c>
      <c r="K628" s="58" t="str">
        <f>IF(ISNUMBER(deployment_raw[[#This Row],[Column11]]), (deployment_raw[[#This Row],[Column11]] * deployment_raw[[#This Row],[Column5]])/1048576,"")</f>
        <v/>
      </c>
      <c r="L628" s="180" t="str">
        <f>IF(ISNUMBER(deployment_raw[[#This Row],[Column8]]),IF(deployment_raw[[#This Row],[Column5]] &lt;&gt; 0, MAX((deployment_raw[[#This Row],[Column12]] * deployment_raw[[#This Row],[Column5]]), ((deployment_raw[[#This Row],[Column8]] * deployment_raw[[#This Row],[Column5]]) * $L$2), ($H$2 * deployment_raw[[#This Row],[Column5]])), 0),"")</f>
        <v/>
      </c>
      <c r="M62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28" s="188" t="str">
        <f>IF(ISNUMBER(deployment_raw[[#This Row],[Column14]]), deployment_raw[[#This Row],[Column14]],"")</f>
        <v/>
      </c>
      <c r="O628" s="189" t="str">
        <f>IF(ISNUMBER(deployment_raw[[#This Row],[Column15]]), deployment_raw[[#This Row],[Column15]]/1048576,"")</f>
        <v/>
      </c>
      <c r="P628" s="190" t="str">
        <f>IF(ISNUMBER(deployment_raw[[#This Row],[Column12]]), (deployment_raw[[#This Row],[Column12]] * deployment_raw[[#This Row],[Column5]]),"")</f>
        <v/>
      </c>
      <c r="Q628" s="189" t="str">
        <f>IF(ISNUMBER(deployment_raw[[#This Row],[Column13]]), (deployment_raw[[#This Row],[Column13]] * deployment_raw[[#This Row],[Column5]])/1048576,"")</f>
        <v/>
      </c>
    </row>
    <row r="629" spans="1:17" ht="15.75" customHeight="1" x14ac:dyDescent="0.25">
      <c r="A629" s="37" t="str">
        <f>IF(ISNONTEXT(deployment_raw[[#This Row],[Column1]]), "", deployment_raw[[#This Row],[Column1]])</f>
        <v/>
      </c>
      <c r="B629" s="38" t="str">
        <f>IF(ISNONTEXT(deployment_raw[[#This Row],[Column2]]), "", deployment_raw[[#This Row],[Column2]])</f>
        <v/>
      </c>
      <c r="C629" s="38" t="str">
        <f>IF(ISNONTEXT(deployment_raw[[#This Row],[Column3]]), "", deployment_raw[[#This Row],[Column3]])</f>
        <v/>
      </c>
      <c r="D629" s="38" t="str">
        <f>IF(ISNONTEXT(deployment_raw[[#This Row],[Column4]]), "", deployment_raw[[#This Row],[Column4]])</f>
        <v/>
      </c>
      <c r="E629" s="39" t="str">
        <f>IF(ISNUMBER(deployment_raw[[#This Row],[Column5]]), deployment_raw[[#This Row],[Column5]],"")</f>
        <v/>
      </c>
      <c r="F629" s="174" t="str">
        <f>IF(ISNUMBER(deployment_raw[[#This Row],[Column6]]), (deployment_raw[[#This Row],[Column6]] * deployment_raw[[#This Row],[Column5]]),"")</f>
        <v/>
      </c>
      <c r="G629" s="175" t="str">
        <f>IF(ISNUMBER(deployment_raw[[#This Row],[Column7]]), (deployment_raw[[#This Row],[Column7]] * deployment_raw[[#This Row],[Column5]])/1048576,"")</f>
        <v/>
      </c>
      <c r="H629" s="175" t="str">
        <f>IF(ISNUMBER(deployment_raw[[#This Row],[Column8]]), (deployment_raw[[#This Row],[Column8]]  * deployment_raw[[#This Row],[Column5]]),"")</f>
        <v/>
      </c>
      <c r="I629" s="176" t="str">
        <f>IF(ISNUMBER(deployment_raw[[#This Row],[Column9]]), (deployment_raw[[#This Row],[Column9]] * deployment_raw[[#This Row],[Column5]])/1048576,"")</f>
        <v/>
      </c>
      <c r="J629" s="57" t="str">
        <f>IF(ISNUMBER(deployment_raw[[#This Row],[Column10]]), (deployment_raw[[#This Row],[Column10]] * deployment_raw[[#This Row],[Column5]]),"")</f>
        <v/>
      </c>
      <c r="K629" s="58" t="str">
        <f>IF(ISNUMBER(deployment_raw[[#This Row],[Column11]]), (deployment_raw[[#This Row],[Column11]] * deployment_raw[[#This Row],[Column5]])/1048576,"")</f>
        <v/>
      </c>
      <c r="L629" s="180" t="str">
        <f>IF(ISNUMBER(deployment_raw[[#This Row],[Column8]]),IF(deployment_raw[[#This Row],[Column5]] &lt;&gt; 0, MAX((deployment_raw[[#This Row],[Column12]] * deployment_raw[[#This Row],[Column5]]), ((deployment_raw[[#This Row],[Column8]] * deployment_raw[[#This Row],[Column5]]) * $L$2), ($H$2 * deployment_raw[[#This Row],[Column5]])), 0),"")</f>
        <v/>
      </c>
      <c r="M62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29" s="188" t="str">
        <f>IF(ISNUMBER(deployment_raw[[#This Row],[Column14]]), deployment_raw[[#This Row],[Column14]],"")</f>
        <v/>
      </c>
      <c r="O629" s="189" t="str">
        <f>IF(ISNUMBER(deployment_raw[[#This Row],[Column15]]), deployment_raw[[#This Row],[Column15]]/1048576,"")</f>
        <v/>
      </c>
      <c r="P629" s="190" t="str">
        <f>IF(ISNUMBER(deployment_raw[[#This Row],[Column12]]), (deployment_raw[[#This Row],[Column12]] * deployment_raw[[#This Row],[Column5]]),"")</f>
        <v/>
      </c>
      <c r="Q629" s="189" t="str">
        <f>IF(ISNUMBER(deployment_raw[[#This Row],[Column13]]), (deployment_raw[[#This Row],[Column13]] * deployment_raw[[#This Row],[Column5]])/1048576,"")</f>
        <v/>
      </c>
    </row>
    <row r="630" spans="1:17" ht="15.75" customHeight="1" x14ac:dyDescent="0.25">
      <c r="A630" s="37" t="str">
        <f>IF(ISNONTEXT(deployment_raw[[#This Row],[Column1]]), "", deployment_raw[[#This Row],[Column1]])</f>
        <v/>
      </c>
      <c r="B630" s="38" t="str">
        <f>IF(ISNONTEXT(deployment_raw[[#This Row],[Column2]]), "", deployment_raw[[#This Row],[Column2]])</f>
        <v/>
      </c>
      <c r="C630" s="38" t="str">
        <f>IF(ISNONTEXT(deployment_raw[[#This Row],[Column3]]), "", deployment_raw[[#This Row],[Column3]])</f>
        <v/>
      </c>
      <c r="D630" s="38" t="str">
        <f>IF(ISNONTEXT(deployment_raw[[#This Row],[Column4]]), "", deployment_raw[[#This Row],[Column4]])</f>
        <v/>
      </c>
      <c r="E630" s="39" t="str">
        <f>IF(ISNUMBER(deployment_raw[[#This Row],[Column5]]), deployment_raw[[#This Row],[Column5]],"")</f>
        <v/>
      </c>
      <c r="F630" s="174" t="str">
        <f>IF(ISNUMBER(deployment_raw[[#This Row],[Column6]]), (deployment_raw[[#This Row],[Column6]] * deployment_raw[[#This Row],[Column5]]),"")</f>
        <v/>
      </c>
      <c r="G630" s="175" t="str">
        <f>IF(ISNUMBER(deployment_raw[[#This Row],[Column7]]), (deployment_raw[[#This Row],[Column7]] * deployment_raw[[#This Row],[Column5]])/1048576,"")</f>
        <v/>
      </c>
      <c r="H630" s="175" t="str">
        <f>IF(ISNUMBER(deployment_raw[[#This Row],[Column8]]), (deployment_raw[[#This Row],[Column8]]  * deployment_raw[[#This Row],[Column5]]),"")</f>
        <v/>
      </c>
      <c r="I630" s="176" t="str">
        <f>IF(ISNUMBER(deployment_raw[[#This Row],[Column9]]), (deployment_raw[[#This Row],[Column9]] * deployment_raw[[#This Row],[Column5]])/1048576,"")</f>
        <v/>
      </c>
      <c r="J630" s="57" t="str">
        <f>IF(ISNUMBER(deployment_raw[[#This Row],[Column10]]), (deployment_raw[[#This Row],[Column10]] * deployment_raw[[#This Row],[Column5]]),"")</f>
        <v/>
      </c>
      <c r="K630" s="58" t="str">
        <f>IF(ISNUMBER(deployment_raw[[#This Row],[Column11]]), (deployment_raw[[#This Row],[Column11]] * deployment_raw[[#This Row],[Column5]])/1048576,"")</f>
        <v/>
      </c>
      <c r="L630" s="180" t="str">
        <f>IF(ISNUMBER(deployment_raw[[#This Row],[Column8]]),IF(deployment_raw[[#This Row],[Column5]] &lt;&gt; 0, MAX((deployment_raw[[#This Row],[Column12]] * deployment_raw[[#This Row],[Column5]]), ((deployment_raw[[#This Row],[Column8]] * deployment_raw[[#This Row],[Column5]]) * $L$2), ($H$2 * deployment_raw[[#This Row],[Column5]])), 0),"")</f>
        <v/>
      </c>
      <c r="M63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30" s="188" t="str">
        <f>IF(ISNUMBER(deployment_raw[[#This Row],[Column14]]), deployment_raw[[#This Row],[Column14]],"")</f>
        <v/>
      </c>
      <c r="O630" s="189" t="str">
        <f>IF(ISNUMBER(deployment_raw[[#This Row],[Column15]]), deployment_raw[[#This Row],[Column15]]/1048576,"")</f>
        <v/>
      </c>
      <c r="P630" s="190" t="str">
        <f>IF(ISNUMBER(deployment_raw[[#This Row],[Column12]]), (deployment_raw[[#This Row],[Column12]] * deployment_raw[[#This Row],[Column5]]),"")</f>
        <v/>
      </c>
      <c r="Q630" s="189" t="str">
        <f>IF(ISNUMBER(deployment_raw[[#This Row],[Column13]]), (deployment_raw[[#This Row],[Column13]] * deployment_raw[[#This Row],[Column5]])/1048576,"")</f>
        <v/>
      </c>
    </row>
    <row r="631" spans="1:17" ht="15.75" customHeight="1" x14ac:dyDescent="0.25">
      <c r="A631" s="37" t="str">
        <f>IF(ISNONTEXT(deployment_raw[[#This Row],[Column1]]), "", deployment_raw[[#This Row],[Column1]])</f>
        <v/>
      </c>
      <c r="B631" s="38" t="str">
        <f>IF(ISNONTEXT(deployment_raw[[#This Row],[Column2]]), "", deployment_raw[[#This Row],[Column2]])</f>
        <v/>
      </c>
      <c r="C631" s="38" t="str">
        <f>IF(ISNONTEXT(deployment_raw[[#This Row],[Column3]]), "", deployment_raw[[#This Row],[Column3]])</f>
        <v/>
      </c>
      <c r="D631" s="38" t="str">
        <f>IF(ISNONTEXT(deployment_raw[[#This Row],[Column4]]), "", deployment_raw[[#This Row],[Column4]])</f>
        <v/>
      </c>
      <c r="E631" s="39" t="str">
        <f>IF(ISNUMBER(deployment_raw[[#This Row],[Column5]]), deployment_raw[[#This Row],[Column5]],"")</f>
        <v/>
      </c>
      <c r="F631" s="174" t="str">
        <f>IF(ISNUMBER(deployment_raw[[#This Row],[Column6]]), (deployment_raw[[#This Row],[Column6]] * deployment_raw[[#This Row],[Column5]]),"")</f>
        <v/>
      </c>
      <c r="G631" s="175" t="str">
        <f>IF(ISNUMBER(deployment_raw[[#This Row],[Column7]]), (deployment_raw[[#This Row],[Column7]] * deployment_raw[[#This Row],[Column5]])/1048576,"")</f>
        <v/>
      </c>
      <c r="H631" s="175" t="str">
        <f>IF(ISNUMBER(deployment_raw[[#This Row],[Column8]]), (deployment_raw[[#This Row],[Column8]]  * deployment_raw[[#This Row],[Column5]]),"")</f>
        <v/>
      </c>
      <c r="I631" s="176" t="str">
        <f>IF(ISNUMBER(deployment_raw[[#This Row],[Column9]]), (deployment_raw[[#This Row],[Column9]] * deployment_raw[[#This Row],[Column5]])/1048576,"")</f>
        <v/>
      </c>
      <c r="J631" s="57" t="str">
        <f>IF(ISNUMBER(deployment_raw[[#This Row],[Column10]]), (deployment_raw[[#This Row],[Column10]] * deployment_raw[[#This Row],[Column5]]),"")</f>
        <v/>
      </c>
      <c r="K631" s="58" t="str">
        <f>IF(ISNUMBER(deployment_raw[[#This Row],[Column11]]), (deployment_raw[[#This Row],[Column11]] * deployment_raw[[#This Row],[Column5]])/1048576,"")</f>
        <v/>
      </c>
      <c r="L631" s="180" t="str">
        <f>IF(ISNUMBER(deployment_raw[[#This Row],[Column8]]),IF(deployment_raw[[#This Row],[Column5]] &lt;&gt; 0, MAX((deployment_raw[[#This Row],[Column12]] * deployment_raw[[#This Row],[Column5]]), ((deployment_raw[[#This Row],[Column8]] * deployment_raw[[#This Row],[Column5]]) * $L$2), ($H$2 * deployment_raw[[#This Row],[Column5]])), 0),"")</f>
        <v/>
      </c>
      <c r="M63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31" s="188" t="str">
        <f>IF(ISNUMBER(deployment_raw[[#This Row],[Column14]]), deployment_raw[[#This Row],[Column14]],"")</f>
        <v/>
      </c>
      <c r="O631" s="189" t="str">
        <f>IF(ISNUMBER(deployment_raw[[#This Row],[Column15]]), deployment_raw[[#This Row],[Column15]]/1048576,"")</f>
        <v/>
      </c>
      <c r="P631" s="190" t="str">
        <f>IF(ISNUMBER(deployment_raw[[#This Row],[Column12]]), (deployment_raw[[#This Row],[Column12]] * deployment_raw[[#This Row],[Column5]]),"")</f>
        <v/>
      </c>
      <c r="Q631" s="189" t="str">
        <f>IF(ISNUMBER(deployment_raw[[#This Row],[Column13]]), (deployment_raw[[#This Row],[Column13]] * deployment_raw[[#This Row],[Column5]])/1048576,"")</f>
        <v/>
      </c>
    </row>
    <row r="632" spans="1:17" ht="15.75" customHeight="1" x14ac:dyDescent="0.25">
      <c r="A632" s="37" t="str">
        <f>IF(ISNONTEXT(deployment_raw[[#This Row],[Column1]]), "", deployment_raw[[#This Row],[Column1]])</f>
        <v/>
      </c>
      <c r="B632" s="38" t="str">
        <f>IF(ISNONTEXT(deployment_raw[[#This Row],[Column2]]), "", deployment_raw[[#This Row],[Column2]])</f>
        <v/>
      </c>
      <c r="C632" s="38" t="str">
        <f>IF(ISNONTEXT(deployment_raw[[#This Row],[Column3]]), "", deployment_raw[[#This Row],[Column3]])</f>
        <v/>
      </c>
      <c r="D632" s="38" t="str">
        <f>IF(ISNONTEXT(deployment_raw[[#This Row],[Column4]]), "", deployment_raw[[#This Row],[Column4]])</f>
        <v/>
      </c>
      <c r="E632" s="39" t="str">
        <f>IF(ISNUMBER(deployment_raw[[#This Row],[Column5]]), deployment_raw[[#This Row],[Column5]],"")</f>
        <v/>
      </c>
      <c r="F632" s="174" t="str">
        <f>IF(ISNUMBER(deployment_raw[[#This Row],[Column6]]), (deployment_raw[[#This Row],[Column6]] * deployment_raw[[#This Row],[Column5]]),"")</f>
        <v/>
      </c>
      <c r="G632" s="175" t="str">
        <f>IF(ISNUMBER(deployment_raw[[#This Row],[Column7]]), (deployment_raw[[#This Row],[Column7]] * deployment_raw[[#This Row],[Column5]])/1048576,"")</f>
        <v/>
      </c>
      <c r="H632" s="175" t="str">
        <f>IF(ISNUMBER(deployment_raw[[#This Row],[Column8]]), (deployment_raw[[#This Row],[Column8]]  * deployment_raw[[#This Row],[Column5]]),"")</f>
        <v/>
      </c>
      <c r="I632" s="176" t="str">
        <f>IF(ISNUMBER(deployment_raw[[#This Row],[Column9]]), (deployment_raw[[#This Row],[Column9]] * deployment_raw[[#This Row],[Column5]])/1048576,"")</f>
        <v/>
      </c>
      <c r="J632" s="57" t="str">
        <f>IF(ISNUMBER(deployment_raw[[#This Row],[Column10]]), (deployment_raw[[#This Row],[Column10]] * deployment_raw[[#This Row],[Column5]]),"")</f>
        <v/>
      </c>
      <c r="K632" s="58" t="str">
        <f>IF(ISNUMBER(deployment_raw[[#This Row],[Column11]]), (deployment_raw[[#This Row],[Column11]] * deployment_raw[[#This Row],[Column5]])/1048576,"")</f>
        <v/>
      </c>
      <c r="L632" s="180" t="str">
        <f>IF(ISNUMBER(deployment_raw[[#This Row],[Column8]]),IF(deployment_raw[[#This Row],[Column5]] &lt;&gt; 0, MAX((deployment_raw[[#This Row],[Column12]] * deployment_raw[[#This Row],[Column5]]), ((deployment_raw[[#This Row],[Column8]] * deployment_raw[[#This Row],[Column5]]) * $L$2), ($H$2 * deployment_raw[[#This Row],[Column5]])), 0),"")</f>
        <v/>
      </c>
      <c r="M63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32" s="188" t="str">
        <f>IF(ISNUMBER(deployment_raw[[#This Row],[Column14]]), deployment_raw[[#This Row],[Column14]],"")</f>
        <v/>
      </c>
      <c r="O632" s="189" t="str">
        <f>IF(ISNUMBER(deployment_raw[[#This Row],[Column15]]), deployment_raw[[#This Row],[Column15]]/1048576,"")</f>
        <v/>
      </c>
      <c r="P632" s="190" t="str">
        <f>IF(ISNUMBER(deployment_raw[[#This Row],[Column12]]), (deployment_raw[[#This Row],[Column12]] * deployment_raw[[#This Row],[Column5]]),"")</f>
        <v/>
      </c>
      <c r="Q632" s="189" t="str">
        <f>IF(ISNUMBER(deployment_raw[[#This Row],[Column13]]), (deployment_raw[[#This Row],[Column13]] * deployment_raw[[#This Row],[Column5]])/1048576,"")</f>
        <v/>
      </c>
    </row>
    <row r="633" spans="1:17" ht="15.75" customHeight="1" x14ac:dyDescent="0.25">
      <c r="A633" s="37" t="str">
        <f>IF(ISNONTEXT(deployment_raw[[#This Row],[Column1]]), "", deployment_raw[[#This Row],[Column1]])</f>
        <v/>
      </c>
      <c r="B633" s="38" t="str">
        <f>IF(ISNONTEXT(deployment_raw[[#This Row],[Column2]]), "", deployment_raw[[#This Row],[Column2]])</f>
        <v/>
      </c>
      <c r="C633" s="38" t="str">
        <f>IF(ISNONTEXT(deployment_raw[[#This Row],[Column3]]), "", deployment_raw[[#This Row],[Column3]])</f>
        <v/>
      </c>
      <c r="D633" s="38" t="str">
        <f>IF(ISNONTEXT(deployment_raw[[#This Row],[Column4]]), "", deployment_raw[[#This Row],[Column4]])</f>
        <v/>
      </c>
      <c r="E633" s="39" t="str">
        <f>IF(ISNUMBER(deployment_raw[[#This Row],[Column5]]), deployment_raw[[#This Row],[Column5]],"")</f>
        <v/>
      </c>
      <c r="F633" s="174" t="str">
        <f>IF(ISNUMBER(deployment_raw[[#This Row],[Column6]]), (deployment_raw[[#This Row],[Column6]] * deployment_raw[[#This Row],[Column5]]),"")</f>
        <v/>
      </c>
      <c r="G633" s="175" t="str">
        <f>IF(ISNUMBER(deployment_raw[[#This Row],[Column7]]), (deployment_raw[[#This Row],[Column7]] * deployment_raw[[#This Row],[Column5]])/1048576,"")</f>
        <v/>
      </c>
      <c r="H633" s="175" t="str">
        <f>IF(ISNUMBER(deployment_raw[[#This Row],[Column8]]), (deployment_raw[[#This Row],[Column8]]  * deployment_raw[[#This Row],[Column5]]),"")</f>
        <v/>
      </c>
      <c r="I633" s="176" t="str">
        <f>IF(ISNUMBER(deployment_raw[[#This Row],[Column9]]), (deployment_raw[[#This Row],[Column9]] * deployment_raw[[#This Row],[Column5]])/1048576,"")</f>
        <v/>
      </c>
      <c r="J633" s="57" t="str">
        <f>IF(ISNUMBER(deployment_raw[[#This Row],[Column10]]), (deployment_raw[[#This Row],[Column10]] * deployment_raw[[#This Row],[Column5]]),"")</f>
        <v/>
      </c>
      <c r="K633" s="58" t="str">
        <f>IF(ISNUMBER(deployment_raw[[#This Row],[Column11]]), (deployment_raw[[#This Row],[Column11]] * deployment_raw[[#This Row],[Column5]])/1048576,"")</f>
        <v/>
      </c>
      <c r="L633" s="180" t="str">
        <f>IF(ISNUMBER(deployment_raw[[#This Row],[Column8]]),IF(deployment_raw[[#This Row],[Column5]] &lt;&gt; 0, MAX((deployment_raw[[#This Row],[Column12]] * deployment_raw[[#This Row],[Column5]]), ((deployment_raw[[#This Row],[Column8]] * deployment_raw[[#This Row],[Column5]]) * $L$2), ($H$2 * deployment_raw[[#This Row],[Column5]])), 0),"")</f>
        <v/>
      </c>
      <c r="M63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33" s="188" t="str">
        <f>IF(ISNUMBER(deployment_raw[[#This Row],[Column14]]), deployment_raw[[#This Row],[Column14]],"")</f>
        <v/>
      </c>
      <c r="O633" s="189" t="str">
        <f>IF(ISNUMBER(deployment_raw[[#This Row],[Column15]]), deployment_raw[[#This Row],[Column15]]/1048576,"")</f>
        <v/>
      </c>
      <c r="P633" s="190" t="str">
        <f>IF(ISNUMBER(deployment_raw[[#This Row],[Column12]]), (deployment_raw[[#This Row],[Column12]] * deployment_raw[[#This Row],[Column5]]),"")</f>
        <v/>
      </c>
      <c r="Q633" s="189" t="str">
        <f>IF(ISNUMBER(deployment_raw[[#This Row],[Column13]]), (deployment_raw[[#This Row],[Column13]] * deployment_raw[[#This Row],[Column5]])/1048576,"")</f>
        <v/>
      </c>
    </row>
    <row r="634" spans="1:17" ht="15.75" customHeight="1" x14ac:dyDescent="0.25">
      <c r="A634" s="37" t="str">
        <f>IF(ISNONTEXT(deployment_raw[[#This Row],[Column1]]), "", deployment_raw[[#This Row],[Column1]])</f>
        <v/>
      </c>
      <c r="B634" s="38" t="str">
        <f>IF(ISNONTEXT(deployment_raw[[#This Row],[Column2]]), "", deployment_raw[[#This Row],[Column2]])</f>
        <v/>
      </c>
      <c r="C634" s="38" t="str">
        <f>IF(ISNONTEXT(deployment_raw[[#This Row],[Column3]]), "", deployment_raw[[#This Row],[Column3]])</f>
        <v/>
      </c>
      <c r="D634" s="38" t="str">
        <f>IF(ISNONTEXT(deployment_raw[[#This Row],[Column4]]), "", deployment_raw[[#This Row],[Column4]])</f>
        <v/>
      </c>
      <c r="E634" s="39" t="str">
        <f>IF(ISNUMBER(deployment_raw[[#This Row],[Column5]]), deployment_raw[[#This Row],[Column5]],"")</f>
        <v/>
      </c>
      <c r="F634" s="174" t="str">
        <f>IF(ISNUMBER(deployment_raw[[#This Row],[Column6]]), (deployment_raw[[#This Row],[Column6]] * deployment_raw[[#This Row],[Column5]]),"")</f>
        <v/>
      </c>
      <c r="G634" s="175" t="str">
        <f>IF(ISNUMBER(deployment_raw[[#This Row],[Column7]]), (deployment_raw[[#This Row],[Column7]] * deployment_raw[[#This Row],[Column5]])/1048576,"")</f>
        <v/>
      </c>
      <c r="H634" s="175" t="str">
        <f>IF(ISNUMBER(deployment_raw[[#This Row],[Column8]]), (deployment_raw[[#This Row],[Column8]]  * deployment_raw[[#This Row],[Column5]]),"")</f>
        <v/>
      </c>
      <c r="I634" s="176" t="str">
        <f>IF(ISNUMBER(deployment_raw[[#This Row],[Column9]]), (deployment_raw[[#This Row],[Column9]] * deployment_raw[[#This Row],[Column5]])/1048576,"")</f>
        <v/>
      </c>
      <c r="J634" s="57" t="str">
        <f>IF(ISNUMBER(deployment_raw[[#This Row],[Column10]]), (deployment_raw[[#This Row],[Column10]] * deployment_raw[[#This Row],[Column5]]),"")</f>
        <v/>
      </c>
      <c r="K634" s="58" t="str">
        <f>IF(ISNUMBER(deployment_raw[[#This Row],[Column11]]), (deployment_raw[[#This Row],[Column11]] * deployment_raw[[#This Row],[Column5]])/1048576,"")</f>
        <v/>
      </c>
      <c r="L634" s="180" t="str">
        <f>IF(ISNUMBER(deployment_raw[[#This Row],[Column8]]),IF(deployment_raw[[#This Row],[Column5]] &lt;&gt; 0, MAX((deployment_raw[[#This Row],[Column12]] * deployment_raw[[#This Row],[Column5]]), ((deployment_raw[[#This Row],[Column8]] * deployment_raw[[#This Row],[Column5]]) * $L$2), ($H$2 * deployment_raw[[#This Row],[Column5]])), 0),"")</f>
        <v/>
      </c>
      <c r="M63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34" s="188" t="str">
        <f>IF(ISNUMBER(deployment_raw[[#This Row],[Column14]]), deployment_raw[[#This Row],[Column14]],"")</f>
        <v/>
      </c>
      <c r="O634" s="189" t="str">
        <f>IF(ISNUMBER(deployment_raw[[#This Row],[Column15]]), deployment_raw[[#This Row],[Column15]]/1048576,"")</f>
        <v/>
      </c>
      <c r="P634" s="190" t="str">
        <f>IF(ISNUMBER(deployment_raw[[#This Row],[Column12]]), (deployment_raw[[#This Row],[Column12]] * deployment_raw[[#This Row],[Column5]]),"")</f>
        <v/>
      </c>
      <c r="Q634" s="189" t="str">
        <f>IF(ISNUMBER(deployment_raw[[#This Row],[Column13]]), (deployment_raw[[#This Row],[Column13]] * deployment_raw[[#This Row],[Column5]])/1048576,"")</f>
        <v/>
      </c>
    </row>
    <row r="635" spans="1:17" ht="15.75" customHeight="1" x14ac:dyDescent="0.25">
      <c r="A635" s="37" t="str">
        <f>IF(ISNONTEXT(deployment_raw[[#This Row],[Column1]]), "", deployment_raw[[#This Row],[Column1]])</f>
        <v/>
      </c>
      <c r="B635" s="38" t="str">
        <f>IF(ISNONTEXT(deployment_raw[[#This Row],[Column2]]), "", deployment_raw[[#This Row],[Column2]])</f>
        <v/>
      </c>
      <c r="C635" s="38" t="str">
        <f>IF(ISNONTEXT(deployment_raw[[#This Row],[Column3]]), "", deployment_raw[[#This Row],[Column3]])</f>
        <v/>
      </c>
      <c r="D635" s="38" t="str">
        <f>IF(ISNONTEXT(deployment_raw[[#This Row],[Column4]]), "", deployment_raw[[#This Row],[Column4]])</f>
        <v/>
      </c>
      <c r="E635" s="39" t="str">
        <f>IF(ISNUMBER(deployment_raw[[#This Row],[Column5]]), deployment_raw[[#This Row],[Column5]],"")</f>
        <v/>
      </c>
      <c r="F635" s="174" t="str">
        <f>IF(ISNUMBER(deployment_raw[[#This Row],[Column6]]), (deployment_raw[[#This Row],[Column6]] * deployment_raw[[#This Row],[Column5]]),"")</f>
        <v/>
      </c>
      <c r="G635" s="175" t="str">
        <f>IF(ISNUMBER(deployment_raw[[#This Row],[Column7]]), (deployment_raw[[#This Row],[Column7]] * deployment_raw[[#This Row],[Column5]])/1048576,"")</f>
        <v/>
      </c>
      <c r="H635" s="175" t="str">
        <f>IF(ISNUMBER(deployment_raw[[#This Row],[Column8]]), (deployment_raw[[#This Row],[Column8]]  * deployment_raw[[#This Row],[Column5]]),"")</f>
        <v/>
      </c>
      <c r="I635" s="176" t="str">
        <f>IF(ISNUMBER(deployment_raw[[#This Row],[Column9]]), (deployment_raw[[#This Row],[Column9]] * deployment_raw[[#This Row],[Column5]])/1048576,"")</f>
        <v/>
      </c>
      <c r="J635" s="57" t="str">
        <f>IF(ISNUMBER(deployment_raw[[#This Row],[Column10]]), (deployment_raw[[#This Row],[Column10]] * deployment_raw[[#This Row],[Column5]]),"")</f>
        <v/>
      </c>
      <c r="K635" s="58" t="str">
        <f>IF(ISNUMBER(deployment_raw[[#This Row],[Column11]]), (deployment_raw[[#This Row],[Column11]] * deployment_raw[[#This Row],[Column5]])/1048576,"")</f>
        <v/>
      </c>
      <c r="L635" s="180" t="str">
        <f>IF(ISNUMBER(deployment_raw[[#This Row],[Column8]]),IF(deployment_raw[[#This Row],[Column5]] &lt;&gt; 0, MAX((deployment_raw[[#This Row],[Column12]] * deployment_raw[[#This Row],[Column5]]), ((deployment_raw[[#This Row],[Column8]] * deployment_raw[[#This Row],[Column5]]) * $L$2), ($H$2 * deployment_raw[[#This Row],[Column5]])), 0),"")</f>
        <v/>
      </c>
      <c r="M63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35" s="188" t="str">
        <f>IF(ISNUMBER(deployment_raw[[#This Row],[Column14]]), deployment_raw[[#This Row],[Column14]],"")</f>
        <v/>
      </c>
      <c r="O635" s="189" t="str">
        <f>IF(ISNUMBER(deployment_raw[[#This Row],[Column15]]), deployment_raw[[#This Row],[Column15]]/1048576,"")</f>
        <v/>
      </c>
      <c r="P635" s="190" t="str">
        <f>IF(ISNUMBER(deployment_raw[[#This Row],[Column12]]), (deployment_raw[[#This Row],[Column12]] * deployment_raw[[#This Row],[Column5]]),"")</f>
        <v/>
      </c>
      <c r="Q635" s="189" t="str">
        <f>IF(ISNUMBER(deployment_raw[[#This Row],[Column13]]), (deployment_raw[[#This Row],[Column13]] * deployment_raw[[#This Row],[Column5]])/1048576,"")</f>
        <v/>
      </c>
    </row>
    <row r="636" spans="1:17" ht="15.75" customHeight="1" x14ac:dyDescent="0.25">
      <c r="A636" s="37" t="str">
        <f>IF(ISNONTEXT(deployment_raw[[#This Row],[Column1]]), "", deployment_raw[[#This Row],[Column1]])</f>
        <v/>
      </c>
      <c r="B636" s="38" t="str">
        <f>IF(ISNONTEXT(deployment_raw[[#This Row],[Column2]]), "", deployment_raw[[#This Row],[Column2]])</f>
        <v/>
      </c>
      <c r="C636" s="38" t="str">
        <f>IF(ISNONTEXT(deployment_raw[[#This Row],[Column3]]), "", deployment_raw[[#This Row],[Column3]])</f>
        <v/>
      </c>
      <c r="D636" s="38" t="str">
        <f>IF(ISNONTEXT(deployment_raw[[#This Row],[Column4]]), "", deployment_raw[[#This Row],[Column4]])</f>
        <v/>
      </c>
      <c r="E636" s="39" t="str">
        <f>IF(ISNUMBER(deployment_raw[[#This Row],[Column5]]), deployment_raw[[#This Row],[Column5]],"")</f>
        <v/>
      </c>
      <c r="F636" s="174" t="str">
        <f>IF(ISNUMBER(deployment_raw[[#This Row],[Column6]]), (deployment_raw[[#This Row],[Column6]] * deployment_raw[[#This Row],[Column5]]),"")</f>
        <v/>
      </c>
      <c r="G636" s="175" t="str">
        <f>IF(ISNUMBER(deployment_raw[[#This Row],[Column7]]), (deployment_raw[[#This Row],[Column7]] * deployment_raw[[#This Row],[Column5]])/1048576,"")</f>
        <v/>
      </c>
      <c r="H636" s="175" t="str">
        <f>IF(ISNUMBER(deployment_raw[[#This Row],[Column8]]), (deployment_raw[[#This Row],[Column8]]  * deployment_raw[[#This Row],[Column5]]),"")</f>
        <v/>
      </c>
      <c r="I636" s="176" t="str">
        <f>IF(ISNUMBER(deployment_raw[[#This Row],[Column9]]), (deployment_raw[[#This Row],[Column9]] * deployment_raw[[#This Row],[Column5]])/1048576,"")</f>
        <v/>
      </c>
      <c r="J636" s="57" t="str">
        <f>IF(ISNUMBER(deployment_raw[[#This Row],[Column10]]), (deployment_raw[[#This Row],[Column10]] * deployment_raw[[#This Row],[Column5]]),"")</f>
        <v/>
      </c>
      <c r="K636" s="58" t="str">
        <f>IF(ISNUMBER(deployment_raw[[#This Row],[Column11]]), (deployment_raw[[#This Row],[Column11]] * deployment_raw[[#This Row],[Column5]])/1048576,"")</f>
        <v/>
      </c>
      <c r="L636" s="180" t="str">
        <f>IF(ISNUMBER(deployment_raw[[#This Row],[Column8]]),IF(deployment_raw[[#This Row],[Column5]] &lt;&gt; 0, MAX((deployment_raw[[#This Row],[Column12]] * deployment_raw[[#This Row],[Column5]]), ((deployment_raw[[#This Row],[Column8]] * deployment_raw[[#This Row],[Column5]]) * $L$2), ($H$2 * deployment_raw[[#This Row],[Column5]])), 0),"")</f>
        <v/>
      </c>
      <c r="M63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36" s="188" t="str">
        <f>IF(ISNUMBER(deployment_raw[[#This Row],[Column14]]), deployment_raw[[#This Row],[Column14]],"")</f>
        <v/>
      </c>
      <c r="O636" s="189" t="str">
        <f>IF(ISNUMBER(deployment_raw[[#This Row],[Column15]]), deployment_raw[[#This Row],[Column15]]/1048576,"")</f>
        <v/>
      </c>
      <c r="P636" s="190" t="str">
        <f>IF(ISNUMBER(deployment_raw[[#This Row],[Column12]]), (deployment_raw[[#This Row],[Column12]] * deployment_raw[[#This Row],[Column5]]),"")</f>
        <v/>
      </c>
      <c r="Q636" s="189" t="str">
        <f>IF(ISNUMBER(deployment_raw[[#This Row],[Column13]]), (deployment_raw[[#This Row],[Column13]] * deployment_raw[[#This Row],[Column5]])/1048576,"")</f>
        <v/>
      </c>
    </row>
    <row r="637" spans="1:17" ht="15.75" customHeight="1" x14ac:dyDescent="0.25">
      <c r="A637" s="37" t="str">
        <f>IF(ISNONTEXT(deployment_raw[[#This Row],[Column1]]), "", deployment_raw[[#This Row],[Column1]])</f>
        <v/>
      </c>
      <c r="B637" s="38" t="str">
        <f>IF(ISNONTEXT(deployment_raw[[#This Row],[Column2]]), "", deployment_raw[[#This Row],[Column2]])</f>
        <v/>
      </c>
      <c r="C637" s="38" t="str">
        <f>IF(ISNONTEXT(deployment_raw[[#This Row],[Column3]]), "", deployment_raw[[#This Row],[Column3]])</f>
        <v/>
      </c>
      <c r="D637" s="38" t="str">
        <f>IF(ISNONTEXT(deployment_raw[[#This Row],[Column4]]), "", deployment_raw[[#This Row],[Column4]])</f>
        <v/>
      </c>
      <c r="E637" s="39" t="str">
        <f>IF(ISNUMBER(deployment_raw[[#This Row],[Column5]]), deployment_raw[[#This Row],[Column5]],"")</f>
        <v/>
      </c>
      <c r="F637" s="174" t="str">
        <f>IF(ISNUMBER(deployment_raw[[#This Row],[Column6]]), (deployment_raw[[#This Row],[Column6]] * deployment_raw[[#This Row],[Column5]]),"")</f>
        <v/>
      </c>
      <c r="G637" s="175" t="str">
        <f>IF(ISNUMBER(deployment_raw[[#This Row],[Column7]]), (deployment_raw[[#This Row],[Column7]] * deployment_raw[[#This Row],[Column5]])/1048576,"")</f>
        <v/>
      </c>
      <c r="H637" s="175" t="str">
        <f>IF(ISNUMBER(deployment_raw[[#This Row],[Column8]]), (deployment_raw[[#This Row],[Column8]]  * deployment_raw[[#This Row],[Column5]]),"")</f>
        <v/>
      </c>
      <c r="I637" s="176" t="str">
        <f>IF(ISNUMBER(deployment_raw[[#This Row],[Column9]]), (deployment_raw[[#This Row],[Column9]] * deployment_raw[[#This Row],[Column5]])/1048576,"")</f>
        <v/>
      </c>
      <c r="J637" s="57" t="str">
        <f>IF(ISNUMBER(deployment_raw[[#This Row],[Column10]]), (deployment_raw[[#This Row],[Column10]] * deployment_raw[[#This Row],[Column5]]),"")</f>
        <v/>
      </c>
      <c r="K637" s="58" t="str">
        <f>IF(ISNUMBER(deployment_raw[[#This Row],[Column11]]), (deployment_raw[[#This Row],[Column11]] * deployment_raw[[#This Row],[Column5]])/1048576,"")</f>
        <v/>
      </c>
      <c r="L637" s="180" t="str">
        <f>IF(ISNUMBER(deployment_raw[[#This Row],[Column8]]),IF(deployment_raw[[#This Row],[Column5]] &lt;&gt; 0, MAX((deployment_raw[[#This Row],[Column12]] * deployment_raw[[#This Row],[Column5]]), ((deployment_raw[[#This Row],[Column8]] * deployment_raw[[#This Row],[Column5]]) * $L$2), ($H$2 * deployment_raw[[#This Row],[Column5]])), 0),"")</f>
        <v/>
      </c>
      <c r="M63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37" s="188" t="str">
        <f>IF(ISNUMBER(deployment_raw[[#This Row],[Column14]]), deployment_raw[[#This Row],[Column14]],"")</f>
        <v/>
      </c>
      <c r="O637" s="189" t="str">
        <f>IF(ISNUMBER(deployment_raw[[#This Row],[Column15]]), deployment_raw[[#This Row],[Column15]]/1048576,"")</f>
        <v/>
      </c>
      <c r="P637" s="190" t="str">
        <f>IF(ISNUMBER(deployment_raw[[#This Row],[Column12]]), (deployment_raw[[#This Row],[Column12]] * deployment_raw[[#This Row],[Column5]]),"")</f>
        <v/>
      </c>
      <c r="Q637" s="189" t="str">
        <f>IF(ISNUMBER(deployment_raw[[#This Row],[Column13]]), (deployment_raw[[#This Row],[Column13]] * deployment_raw[[#This Row],[Column5]])/1048576,"")</f>
        <v/>
      </c>
    </row>
    <row r="638" spans="1:17" ht="15.75" customHeight="1" x14ac:dyDescent="0.25">
      <c r="A638" s="37" t="str">
        <f>IF(ISNONTEXT(deployment_raw[[#This Row],[Column1]]), "", deployment_raw[[#This Row],[Column1]])</f>
        <v/>
      </c>
      <c r="B638" s="38" t="str">
        <f>IF(ISNONTEXT(deployment_raw[[#This Row],[Column2]]), "", deployment_raw[[#This Row],[Column2]])</f>
        <v/>
      </c>
      <c r="C638" s="38" t="str">
        <f>IF(ISNONTEXT(deployment_raw[[#This Row],[Column3]]), "", deployment_raw[[#This Row],[Column3]])</f>
        <v/>
      </c>
      <c r="D638" s="38" t="str">
        <f>IF(ISNONTEXT(deployment_raw[[#This Row],[Column4]]), "", deployment_raw[[#This Row],[Column4]])</f>
        <v/>
      </c>
      <c r="E638" s="39" t="str">
        <f>IF(ISNUMBER(deployment_raw[[#This Row],[Column5]]), deployment_raw[[#This Row],[Column5]],"")</f>
        <v/>
      </c>
      <c r="F638" s="174" t="str">
        <f>IF(ISNUMBER(deployment_raw[[#This Row],[Column6]]), (deployment_raw[[#This Row],[Column6]] * deployment_raw[[#This Row],[Column5]]),"")</f>
        <v/>
      </c>
      <c r="G638" s="175" t="str">
        <f>IF(ISNUMBER(deployment_raw[[#This Row],[Column7]]), (deployment_raw[[#This Row],[Column7]] * deployment_raw[[#This Row],[Column5]])/1048576,"")</f>
        <v/>
      </c>
      <c r="H638" s="175" t="str">
        <f>IF(ISNUMBER(deployment_raw[[#This Row],[Column8]]), (deployment_raw[[#This Row],[Column8]]  * deployment_raw[[#This Row],[Column5]]),"")</f>
        <v/>
      </c>
      <c r="I638" s="176" t="str">
        <f>IF(ISNUMBER(deployment_raw[[#This Row],[Column9]]), (deployment_raw[[#This Row],[Column9]] * deployment_raw[[#This Row],[Column5]])/1048576,"")</f>
        <v/>
      </c>
      <c r="J638" s="57" t="str">
        <f>IF(ISNUMBER(deployment_raw[[#This Row],[Column10]]), (deployment_raw[[#This Row],[Column10]] * deployment_raw[[#This Row],[Column5]]),"")</f>
        <v/>
      </c>
      <c r="K638" s="58" t="str">
        <f>IF(ISNUMBER(deployment_raw[[#This Row],[Column11]]), (deployment_raw[[#This Row],[Column11]] * deployment_raw[[#This Row],[Column5]])/1048576,"")</f>
        <v/>
      </c>
      <c r="L638" s="180" t="str">
        <f>IF(ISNUMBER(deployment_raw[[#This Row],[Column8]]),IF(deployment_raw[[#This Row],[Column5]] &lt;&gt; 0, MAX((deployment_raw[[#This Row],[Column12]] * deployment_raw[[#This Row],[Column5]]), ((deployment_raw[[#This Row],[Column8]] * deployment_raw[[#This Row],[Column5]]) * $L$2), ($H$2 * deployment_raw[[#This Row],[Column5]])), 0),"")</f>
        <v/>
      </c>
      <c r="M63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38" s="188" t="str">
        <f>IF(ISNUMBER(deployment_raw[[#This Row],[Column14]]), deployment_raw[[#This Row],[Column14]],"")</f>
        <v/>
      </c>
      <c r="O638" s="189" t="str">
        <f>IF(ISNUMBER(deployment_raw[[#This Row],[Column15]]), deployment_raw[[#This Row],[Column15]]/1048576,"")</f>
        <v/>
      </c>
      <c r="P638" s="190" t="str">
        <f>IF(ISNUMBER(deployment_raw[[#This Row],[Column12]]), (deployment_raw[[#This Row],[Column12]] * deployment_raw[[#This Row],[Column5]]),"")</f>
        <v/>
      </c>
      <c r="Q638" s="189" t="str">
        <f>IF(ISNUMBER(deployment_raw[[#This Row],[Column13]]), (deployment_raw[[#This Row],[Column13]] * deployment_raw[[#This Row],[Column5]])/1048576,"")</f>
        <v/>
      </c>
    </row>
    <row r="639" spans="1:17" ht="15.75" customHeight="1" x14ac:dyDescent="0.25">
      <c r="A639" s="37" t="str">
        <f>IF(ISNONTEXT(deployment_raw[[#This Row],[Column1]]), "", deployment_raw[[#This Row],[Column1]])</f>
        <v/>
      </c>
      <c r="B639" s="38" t="str">
        <f>IF(ISNONTEXT(deployment_raw[[#This Row],[Column2]]), "", deployment_raw[[#This Row],[Column2]])</f>
        <v/>
      </c>
      <c r="C639" s="38" t="str">
        <f>IF(ISNONTEXT(deployment_raw[[#This Row],[Column3]]), "", deployment_raw[[#This Row],[Column3]])</f>
        <v/>
      </c>
      <c r="D639" s="38" t="str">
        <f>IF(ISNONTEXT(deployment_raw[[#This Row],[Column4]]), "", deployment_raw[[#This Row],[Column4]])</f>
        <v/>
      </c>
      <c r="E639" s="39" t="str">
        <f>IF(ISNUMBER(deployment_raw[[#This Row],[Column5]]), deployment_raw[[#This Row],[Column5]],"")</f>
        <v/>
      </c>
      <c r="F639" s="174" t="str">
        <f>IF(ISNUMBER(deployment_raw[[#This Row],[Column6]]), (deployment_raw[[#This Row],[Column6]] * deployment_raw[[#This Row],[Column5]]),"")</f>
        <v/>
      </c>
      <c r="G639" s="175" t="str">
        <f>IF(ISNUMBER(deployment_raw[[#This Row],[Column7]]), (deployment_raw[[#This Row],[Column7]] * deployment_raw[[#This Row],[Column5]])/1048576,"")</f>
        <v/>
      </c>
      <c r="H639" s="175" t="str">
        <f>IF(ISNUMBER(deployment_raw[[#This Row],[Column8]]), (deployment_raw[[#This Row],[Column8]]  * deployment_raw[[#This Row],[Column5]]),"")</f>
        <v/>
      </c>
      <c r="I639" s="176" t="str">
        <f>IF(ISNUMBER(deployment_raw[[#This Row],[Column9]]), (deployment_raw[[#This Row],[Column9]] * deployment_raw[[#This Row],[Column5]])/1048576,"")</f>
        <v/>
      </c>
      <c r="J639" s="57" t="str">
        <f>IF(ISNUMBER(deployment_raw[[#This Row],[Column10]]), (deployment_raw[[#This Row],[Column10]] * deployment_raw[[#This Row],[Column5]]),"")</f>
        <v/>
      </c>
      <c r="K639" s="58" t="str">
        <f>IF(ISNUMBER(deployment_raw[[#This Row],[Column11]]), (deployment_raw[[#This Row],[Column11]] * deployment_raw[[#This Row],[Column5]])/1048576,"")</f>
        <v/>
      </c>
      <c r="L639" s="180" t="str">
        <f>IF(ISNUMBER(deployment_raw[[#This Row],[Column8]]),IF(deployment_raw[[#This Row],[Column5]] &lt;&gt; 0, MAX((deployment_raw[[#This Row],[Column12]] * deployment_raw[[#This Row],[Column5]]), ((deployment_raw[[#This Row],[Column8]] * deployment_raw[[#This Row],[Column5]]) * $L$2), ($H$2 * deployment_raw[[#This Row],[Column5]])), 0),"")</f>
        <v/>
      </c>
      <c r="M63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39" s="188" t="str">
        <f>IF(ISNUMBER(deployment_raw[[#This Row],[Column14]]), deployment_raw[[#This Row],[Column14]],"")</f>
        <v/>
      </c>
      <c r="O639" s="189" t="str">
        <f>IF(ISNUMBER(deployment_raw[[#This Row],[Column15]]), deployment_raw[[#This Row],[Column15]]/1048576,"")</f>
        <v/>
      </c>
      <c r="P639" s="190" t="str">
        <f>IF(ISNUMBER(deployment_raw[[#This Row],[Column12]]), (deployment_raw[[#This Row],[Column12]] * deployment_raw[[#This Row],[Column5]]),"")</f>
        <v/>
      </c>
      <c r="Q639" s="189" t="str">
        <f>IF(ISNUMBER(deployment_raw[[#This Row],[Column13]]), (deployment_raw[[#This Row],[Column13]] * deployment_raw[[#This Row],[Column5]])/1048576,"")</f>
        <v/>
      </c>
    </row>
    <row r="640" spans="1:17" ht="15.75" customHeight="1" x14ac:dyDescent="0.25">
      <c r="A640" s="37" t="str">
        <f>IF(ISNONTEXT(deployment_raw[[#This Row],[Column1]]), "", deployment_raw[[#This Row],[Column1]])</f>
        <v/>
      </c>
      <c r="B640" s="38" t="str">
        <f>IF(ISNONTEXT(deployment_raw[[#This Row],[Column2]]), "", deployment_raw[[#This Row],[Column2]])</f>
        <v/>
      </c>
      <c r="C640" s="38" t="str">
        <f>IF(ISNONTEXT(deployment_raw[[#This Row],[Column3]]), "", deployment_raw[[#This Row],[Column3]])</f>
        <v/>
      </c>
      <c r="D640" s="38" t="str">
        <f>IF(ISNONTEXT(deployment_raw[[#This Row],[Column4]]), "", deployment_raw[[#This Row],[Column4]])</f>
        <v/>
      </c>
      <c r="E640" s="39" t="str">
        <f>IF(ISNUMBER(deployment_raw[[#This Row],[Column5]]), deployment_raw[[#This Row],[Column5]],"")</f>
        <v/>
      </c>
      <c r="F640" s="174" t="str">
        <f>IF(ISNUMBER(deployment_raw[[#This Row],[Column6]]), (deployment_raw[[#This Row],[Column6]] * deployment_raw[[#This Row],[Column5]]),"")</f>
        <v/>
      </c>
      <c r="G640" s="175" t="str">
        <f>IF(ISNUMBER(deployment_raw[[#This Row],[Column7]]), (deployment_raw[[#This Row],[Column7]] * deployment_raw[[#This Row],[Column5]])/1048576,"")</f>
        <v/>
      </c>
      <c r="H640" s="175" t="str">
        <f>IF(ISNUMBER(deployment_raw[[#This Row],[Column8]]), (deployment_raw[[#This Row],[Column8]]  * deployment_raw[[#This Row],[Column5]]),"")</f>
        <v/>
      </c>
      <c r="I640" s="176" t="str">
        <f>IF(ISNUMBER(deployment_raw[[#This Row],[Column9]]), (deployment_raw[[#This Row],[Column9]] * deployment_raw[[#This Row],[Column5]])/1048576,"")</f>
        <v/>
      </c>
      <c r="J640" s="57" t="str">
        <f>IF(ISNUMBER(deployment_raw[[#This Row],[Column10]]), (deployment_raw[[#This Row],[Column10]] * deployment_raw[[#This Row],[Column5]]),"")</f>
        <v/>
      </c>
      <c r="K640" s="58" t="str">
        <f>IF(ISNUMBER(deployment_raw[[#This Row],[Column11]]), (deployment_raw[[#This Row],[Column11]] * deployment_raw[[#This Row],[Column5]])/1048576,"")</f>
        <v/>
      </c>
      <c r="L640" s="180" t="str">
        <f>IF(ISNUMBER(deployment_raw[[#This Row],[Column8]]),IF(deployment_raw[[#This Row],[Column5]] &lt;&gt; 0, MAX((deployment_raw[[#This Row],[Column12]] * deployment_raw[[#This Row],[Column5]]), ((deployment_raw[[#This Row],[Column8]] * deployment_raw[[#This Row],[Column5]]) * $L$2), ($H$2 * deployment_raw[[#This Row],[Column5]])), 0),"")</f>
        <v/>
      </c>
      <c r="M64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40" s="188" t="str">
        <f>IF(ISNUMBER(deployment_raw[[#This Row],[Column14]]), deployment_raw[[#This Row],[Column14]],"")</f>
        <v/>
      </c>
      <c r="O640" s="189" t="str">
        <f>IF(ISNUMBER(deployment_raw[[#This Row],[Column15]]), deployment_raw[[#This Row],[Column15]]/1048576,"")</f>
        <v/>
      </c>
      <c r="P640" s="190" t="str">
        <f>IF(ISNUMBER(deployment_raw[[#This Row],[Column12]]), (deployment_raw[[#This Row],[Column12]] * deployment_raw[[#This Row],[Column5]]),"")</f>
        <v/>
      </c>
      <c r="Q640" s="189" t="str">
        <f>IF(ISNUMBER(deployment_raw[[#This Row],[Column13]]), (deployment_raw[[#This Row],[Column13]] * deployment_raw[[#This Row],[Column5]])/1048576,"")</f>
        <v/>
      </c>
    </row>
    <row r="641" spans="1:17" ht="15.75" customHeight="1" x14ac:dyDescent="0.25">
      <c r="A641" s="37" t="str">
        <f>IF(ISNONTEXT(deployment_raw[[#This Row],[Column1]]), "", deployment_raw[[#This Row],[Column1]])</f>
        <v/>
      </c>
      <c r="B641" s="38" t="str">
        <f>IF(ISNONTEXT(deployment_raw[[#This Row],[Column2]]), "", deployment_raw[[#This Row],[Column2]])</f>
        <v/>
      </c>
      <c r="C641" s="38" t="str">
        <f>IF(ISNONTEXT(deployment_raw[[#This Row],[Column3]]), "", deployment_raw[[#This Row],[Column3]])</f>
        <v/>
      </c>
      <c r="D641" s="38" t="str">
        <f>IF(ISNONTEXT(deployment_raw[[#This Row],[Column4]]), "", deployment_raw[[#This Row],[Column4]])</f>
        <v/>
      </c>
      <c r="E641" s="39" t="str">
        <f>IF(ISNUMBER(deployment_raw[[#This Row],[Column5]]), deployment_raw[[#This Row],[Column5]],"")</f>
        <v/>
      </c>
      <c r="F641" s="174" t="str">
        <f>IF(ISNUMBER(deployment_raw[[#This Row],[Column6]]), (deployment_raw[[#This Row],[Column6]] * deployment_raw[[#This Row],[Column5]]),"")</f>
        <v/>
      </c>
      <c r="G641" s="175" t="str">
        <f>IF(ISNUMBER(deployment_raw[[#This Row],[Column7]]), (deployment_raw[[#This Row],[Column7]] * deployment_raw[[#This Row],[Column5]])/1048576,"")</f>
        <v/>
      </c>
      <c r="H641" s="175" t="str">
        <f>IF(ISNUMBER(deployment_raw[[#This Row],[Column8]]), (deployment_raw[[#This Row],[Column8]]  * deployment_raw[[#This Row],[Column5]]),"")</f>
        <v/>
      </c>
      <c r="I641" s="176" t="str">
        <f>IF(ISNUMBER(deployment_raw[[#This Row],[Column9]]), (deployment_raw[[#This Row],[Column9]] * deployment_raw[[#This Row],[Column5]])/1048576,"")</f>
        <v/>
      </c>
      <c r="J641" s="57" t="str">
        <f>IF(ISNUMBER(deployment_raw[[#This Row],[Column10]]), (deployment_raw[[#This Row],[Column10]] * deployment_raw[[#This Row],[Column5]]),"")</f>
        <v/>
      </c>
      <c r="K641" s="58" t="str">
        <f>IF(ISNUMBER(deployment_raw[[#This Row],[Column11]]), (deployment_raw[[#This Row],[Column11]] * deployment_raw[[#This Row],[Column5]])/1048576,"")</f>
        <v/>
      </c>
      <c r="L641" s="180" t="str">
        <f>IF(ISNUMBER(deployment_raw[[#This Row],[Column8]]),IF(deployment_raw[[#This Row],[Column5]] &lt;&gt; 0, MAX((deployment_raw[[#This Row],[Column12]] * deployment_raw[[#This Row],[Column5]]), ((deployment_raw[[#This Row],[Column8]] * deployment_raw[[#This Row],[Column5]]) * $L$2), ($H$2 * deployment_raw[[#This Row],[Column5]])), 0),"")</f>
        <v/>
      </c>
      <c r="M64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41" s="188" t="str">
        <f>IF(ISNUMBER(deployment_raw[[#This Row],[Column14]]), deployment_raw[[#This Row],[Column14]],"")</f>
        <v/>
      </c>
      <c r="O641" s="189" t="str">
        <f>IF(ISNUMBER(deployment_raw[[#This Row],[Column15]]), deployment_raw[[#This Row],[Column15]]/1048576,"")</f>
        <v/>
      </c>
      <c r="P641" s="190" t="str">
        <f>IF(ISNUMBER(deployment_raw[[#This Row],[Column12]]), (deployment_raw[[#This Row],[Column12]] * deployment_raw[[#This Row],[Column5]]),"")</f>
        <v/>
      </c>
      <c r="Q641" s="189" t="str">
        <f>IF(ISNUMBER(deployment_raw[[#This Row],[Column13]]), (deployment_raw[[#This Row],[Column13]] * deployment_raw[[#This Row],[Column5]])/1048576,"")</f>
        <v/>
      </c>
    </row>
    <row r="642" spans="1:17" ht="15.75" customHeight="1" x14ac:dyDescent="0.25">
      <c r="A642" s="37" t="str">
        <f>IF(ISNONTEXT(deployment_raw[[#This Row],[Column1]]), "", deployment_raw[[#This Row],[Column1]])</f>
        <v/>
      </c>
      <c r="B642" s="38" t="str">
        <f>IF(ISNONTEXT(deployment_raw[[#This Row],[Column2]]), "", deployment_raw[[#This Row],[Column2]])</f>
        <v/>
      </c>
      <c r="C642" s="38" t="str">
        <f>IF(ISNONTEXT(deployment_raw[[#This Row],[Column3]]), "", deployment_raw[[#This Row],[Column3]])</f>
        <v/>
      </c>
      <c r="D642" s="38" t="str">
        <f>IF(ISNONTEXT(deployment_raw[[#This Row],[Column4]]), "", deployment_raw[[#This Row],[Column4]])</f>
        <v/>
      </c>
      <c r="E642" s="39" t="str">
        <f>IF(ISNUMBER(deployment_raw[[#This Row],[Column5]]), deployment_raw[[#This Row],[Column5]],"")</f>
        <v/>
      </c>
      <c r="F642" s="174" t="str">
        <f>IF(ISNUMBER(deployment_raw[[#This Row],[Column6]]), (deployment_raw[[#This Row],[Column6]] * deployment_raw[[#This Row],[Column5]]),"")</f>
        <v/>
      </c>
      <c r="G642" s="175" t="str">
        <f>IF(ISNUMBER(deployment_raw[[#This Row],[Column7]]), (deployment_raw[[#This Row],[Column7]] * deployment_raw[[#This Row],[Column5]])/1048576,"")</f>
        <v/>
      </c>
      <c r="H642" s="175" t="str">
        <f>IF(ISNUMBER(deployment_raw[[#This Row],[Column8]]), (deployment_raw[[#This Row],[Column8]]  * deployment_raw[[#This Row],[Column5]]),"")</f>
        <v/>
      </c>
      <c r="I642" s="176" t="str">
        <f>IF(ISNUMBER(deployment_raw[[#This Row],[Column9]]), (deployment_raw[[#This Row],[Column9]] * deployment_raw[[#This Row],[Column5]])/1048576,"")</f>
        <v/>
      </c>
      <c r="J642" s="57" t="str">
        <f>IF(ISNUMBER(deployment_raw[[#This Row],[Column10]]), (deployment_raw[[#This Row],[Column10]] * deployment_raw[[#This Row],[Column5]]),"")</f>
        <v/>
      </c>
      <c r="K642" s="58" t="str">
        <f>IF(ISNUMBER(deployment_raw[[#This Row],[Column11]]), (deployment_raw[[#This Row],[Column11]] * deployment_raw[[#This Row],[Column5]])/1048576,"")</f>
        <v/>
      </c>
      <c r="L642" s="180" t="str">
        <f>IF(ISNUMBER(deployment_raw[[#This Row],[Column8]]),IF(deployment_raw[[#This Row],[Column5]] &lt;&gt; 0, MAX((deployment_raw[[#This Row],[Column12]] * deployment_raw[[#This Row],[Column5]]), ((deployment_raw[[#This Row],[Column8]] * deployment_raw[[#This Row],[Column5]]) * $L$2), ($H$2 * deployment_raw[[#This Row],[Column5]])), 0),"")</f>
        <v/>
      </c>
      <c r="M64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42" s="188" t="str">
        <f>IF(ISNUMBER(deployment_raw[[#This Row],[Column14]]), deployment_raw[[#This Row],[Column14]],"")</f>
        <v/>
      </c>
      <c r="O642" s="189" t="str">
        <f>IF(ISNUMBER(deployment_raw[[#This Row],[Column15]]), deployment_raw[[#This Row],[Column15]]/1048576,"")</f>
        <v/>
      </c>
      <c r="P642" s="190" t="str">
        <f>IF(ISNUMBER(deployment_raw[[#This Row],[Column12]]), (deployment_raw[[#This Row],[Column12]] * deployment_raw[[#This Row],[Column5]]),"")</f>
        <v/>
      </c>
      <c r="Q642" s="189" t="str">
        <f>IF(ISNUMBER(deployment_raw[[#This Row],[Column13]]), (deployment_raw[[#This Row],[Column13]] * deployment_raw[[#This Row],[Column5]])/1048576,"")</f>
        <v/>
      </c>
    </row>
    <row r="643" spans="1:17" ht="15.75" customHeight="1" x14ac:dyDescent="0.25">
      <c r="A643" s="37" t="str">
        <f>IF(ISNONTEXT(deployment_raw[[#This Row],[Column1]]), "", deployment_raw[[#This Row],[Column1]])</f>
        <v/>
      </c>
      <c r="B643" s="38" t="str">
        <f>IF(ISNONTEXT(deployment_raw[[#This Row],[Column2]]), "", deployment_raw[[#This Row],[Column2]])</f>
        <v/>
      </c>
      <c r="C643" s="38" t="str">
        <f>IF(ISNONTEXT(deployment_raw[[#This Row],[Column3]]), "", deployment_raw[[#This Row],[Column3]])</f>
        <v/>
      </c>
      <c r="D643" s="38" t="str">
        <f>IF(ISNONTEXT(deployment_raw[[#This Row],[Column4]]), "", deployment_raw[[#This Row],[Column4]])</f>
        <v/>
      </c>
      <c r="E643" s="39" t="str">
        <f>IF(ISNUMBER(deployment_raw[[#This Row],[Column5]]), deployment_raw[[#This Row],[Column5]],"")</f>
        <v/>
      </c>
      <c r="F643" s="174" t="str">
        <f>IF(ISNUMBER(deployment_raw[[#This Row],[Column6]]), (deployment_raw[[#This Row],[Column6]] * deployment_raw[[#This Row],[Column5]]),"")</f>
        <v/>
      </c>
      <c r="G643" s="175" t="str">
        <f>IF(ISNUMBER(deployment_raw[[#This Row],[Column7]]), (deployment_raw[[#This Row],[Column7]] * deployment_raw[[#This Row],[Column5]])/1048576,"")</f>
        <v/>
      </c>
      <c r="H643" s="175" t="str">
        <f>IF(ISNUMBER(deployment_raw[[#This Row],[Column8]]), (deployment_raw[[#This Row],[Column8]]  * deployment_raw[[#This Row],[Column5]]),"")</f>
        <v/>
      </c>
      <c r="I643" s="176" t="str">
        <f>IF(ISNUMBER(deployment_raw[[#This Row],[Column9]]), (deployment_raw[[#This Row],[Column9]] * deployment_raw[[#This Row],[Column5]])/1048576,"")</f>
        <v/>
      </c>
      <c r="J643" s="57" t="str">
        <f>IF(ISNUMBER(deployment_raw[[#This Row],[Column10]]), (deployment_raw[[#This Row],[Column10]] * deployment_raw[[#This Row],[Column5]]),"")</f>
        <v/>
      </c>
      <c r="K643" s="58" t="str">
        <f>IF(ISNUMBER(deployment_raw[[#This Row],[Column11]]), (deployment_raw[[#This Row],[Column11]] * deployment_raw[[#This Row],[Column5]])/1048576,"")</f>
        <v/>
      </c>
      <c r="L643" s="180" t="str">
        <f>IF(ISNUMBER(deployment_raw[[#This Row],[Column8]]),IF(deployment_raw[[#This Row],[Column5]] &lt;&gt; 0, MAX((deployment_raw[[#This Row],[Column12]] * deployment_raw[[#This Row],[Column5]]), ((deployment_raw[[#This Row],[Column8]] * deployment_raw[[#This Row],[Column5]]) * $L$2), ($H$2 * deployment_raw[[#This Row],[Column5]])), 0),"")</f>
        <v/>
      </c>
      <c r="M64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43" s="188" t="str">
        <f>IF(ISNUMBER(deployment_raw[[#This Row],[Column14]]), deployment_raw[[#This Row],[Column14]],"")</f>
        <v/>
      </c>
      <c r="O643" s="189" t="str">
        <f>IF(ISNUMBER(deployment_raw[[#This Row],[Column15]]), deployment_raw[[#This Row],[Column15]]/1048576,"")</f>
        <v/>
      </c>
      <c r="P643" s="190" t="str">
        <f>IF(ISNUMBER(deployment_raw[[#This Row],[Column12]]), (deployment_raw[[#This Row],[Column12]] * deployment_raw[[#This Row],[Column5]]),"")</f>
        <v/>
      </c>
      <c r="Q643" s="189" t="str">
        <f>IF(ISNUMBER(deployment_raw[[#This Row],[Column13]]), (deployment_raw[[#This Row],[Column13]] * deployment_raw[[#This Row],[Column5]])/1048576,"")</f>
        <v/>
      </c>
    </row>
    <row r="644" spans="1:17" ht="15.75" customHeight="1" x14ac:dyDescent="0.25">
      <c r="A644" s="37" t="str">
        <f>IF(ISNONTEXT(deployment_raw[[#This Row],[Column1]]), "", deployment_raw[[#This Row],[Column1]])</f>
        <v/>
      </c>
      <c r="B644" s="38" t="str">
        <f>IF(ISNONTEXT(deployment_raw[[#This Row],[Column2]]), "", deployment_raw[[#This Row],[Column2]])</f>
        <v/>
      </c>
      <c r="C644" s="38" t="str">
        <f>IF(ISNONTEXT(deployment_raw[[#This Row],[Column3]]), "", deployment_raw[[#This Row],[Column3]])</f>
        <v/>
      </c>
      <c r="D644" s="38" t="str">
        <f>IF(ISNONTEXT(deployment_raw[[#This Row],[Column4]]), "", deployment_raw[[#This Row],[Column4]])</f>
        <v/>
      </c>
      <c r="E644" s="39" t="str">
        <f>IF(ISNUMBER(deployment_raw[[#This Row],[Column5]]), deployment_raw[[#This Row],[Column5]],"")</f>
        <v/>
      </c>
      <c r="F644" s="174" t="str">
        <f>IF(ISNUMBER(deployment_raw[[#This Row],[Column6]]), (deployment_raw[[#This Row],[Column6]] * deployment_raw[[#This Row],[Column5]]),"")</f>
        <v/>
      </c>
      <c r="G644" s="175" t="str">
        <f>IF(ISNUMBER(deployment_raw[[#This Row],[Column7]]), (deployment_raw[[#This Row],[Column7]] * deployment_raw[[#This Row],[Column5]])/1048576,"")</f>
        <v/>
      </c>
      <c r="H644" s="175" t="str">
        <f>IF(ISNUMBER(deployment_raw[[#This Row],[Column8]]), (deployment_raw[[#This Row],[Column8]]  * deployment_raw[[#This Row],[Column5]]),"")</f>
        <v/>
      </c>
      <c r="I644" s="176" t="str">
        <f>IF(ISNUMBER(deployment_raw[[#This Row],[Column9]]), (deployment_raw[[#This Row],[Column9]] * deployment_raw[[#This Row],[Column5]])/1048576,"")</f>
        <v/>
      </c>
      <c r="J644" s="57" t="str">
        <f>IF(ISNUMBER(deployment_raw[[#This Row],[Column10]]), (deployment_raw[[#This Row],[Column10]] * deployment_raw[[#This Row],[Column5]]),"")</f>
        <v/>
      </c>
      <c r="K644" s="58" t="str">
        <f>IF(ISNUMBER(deployment_raw[[#This Row],[Column11]]), (deployment_raw[[#This Row],[Column11]] * deployment_raw[[#This Row],[Column5]])/1048576,"")</f>
        <v/>
      </c>
      <c r="L644" s="180" t="str">
        <f>IF(ISNUMBER(deployment_raw[[#This Row],[Column8]]),IF(deployment_raw[[#This Row],[Column5]] &lt;&gt; 0, MAX((deployment_raw[[#This Row],[Column12]] * deployment_raw[[#This Row],[Column5]]), ((deployment_raw[[#This Row],[Column8]] * deployment_raw[[#This Row],[Column5]]) * $L$2), ($H$2 * deployment_raw[[#This Row],[Column5]])), 0),"")</f>
        <v/>
      </c>
      <c r="M64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44" s="188" t="str">
        <f>IF(ISNUMBER(deployment_raw[[#This Row],[Column14]]), deployment_raw[[#This Row],[Column14]],"")</f>
        <v/>
      </c>
      <c r="O644" s="189" t="str">
        <f>IF(ISNUMBER(deployment_raw[[#This Row],[Column15]]), deployment_raw[[#This Row],[Column15]]/1048576,"")</f>
        <v/>
      </c>
      <c r="P644" s="190" t="str">
        <f>IF(ISNUMBER(deployment_raw[[#This Row],[Column12]]), (deployment_raw[[#This Row],[Column12]] * deployment_raw[[#This Row],[Column5]]),"")</f>
        <v/>
      </c>
      <c r="Q644" s="189" t="str">
        <f>IF(ISNUMBER(deployment_raw[[#This Row],[Column13]]), (deployment_raw[[#This Row],[Column13]] * deployment_raw[[#This Row],[Column5]])/1048576,"")</f>
        <v/>
      </c>
    </row>
    <row r="645" spans="1:17" ht="15.75" customHeight="1" x14ac:dyDescent="0.25">
      <c r="A645" s="37" t="str">
        <f>IF(ISNONTEXT(deployment_raw[[#This Row],[Column1]]), "", deployment_raw[[#This Row],[Column1]])</f>
        <v/>
      </c>
      <c r="B645" s="38" t="str">
        <f>IF(ISNONTEXT(deployment_raw[[#This Row],[Column2]]), "", deployment_raw[[#This Row],[Column2]])</f>
        <v/>
      </c>
      <c r="C645" s="38" t="str">
        <f>IF(ISNONTEXT(deployment_raw[[#This Row],[Column3]]), "", deployment_raw[[#This Row],[Column3]])</f>
        <v/>
      </c>
      <c r="D645" s="38" t="str">
        <f>IF(ISNONTEXT(deployment_raw[[#This Row],[Column4]]), "", deployment_raw[[#This Row],[Column4]])</f>
        <v/>
      </c>
      <c r="E645" s="39" t="str">
        <f>IF(ISNUMBER(deployment_raw[[#This Row],[Column5]]), deployment_raw[[#This Row],[Column5]],"")</f>
        <v/>
      </c>
      <c r="F645" s="174" t="str">
        <f>IF(ISNUMBER(deployment_raw[[#This Row],[Column6]]), (deployment_raw[[#This Row],[Column6]] * deployment_raw[[#This Row],[Column5]]),"")</f>
        <v/>
      </c>
      <c r="G645" s="175" t="str">
        <f>IF(ISNUMBER(deployment_raw[[#This Row],[Column7]]), (deployment_raw[[#This Row],[Column7]] * deployment_raw[[#This Row],[Column5]])/1048576,"")</f>
        <v/>
      </c>
      <c r="H645" s="175" t="str">
        <f>IF(ISNUMBER(deployment_raw[[#This Row],[Column8]]), (deployment_raw[[#This Row],[Column8]]  * deployment_raw[[#This Row],[Column5]]),"")</f>
        <v/>
      </c>
      <c r="I645" s="176" t="str">
        <f>IF(ISNUMBER(deployment_raw[[#This Row],[Column9]]), (deployment_raw[[#This Row],[Column9]] * deployment_raw[[#This Row],[Column5]])/1048576,"")</f>
        <v/>
      </c>
      <c r="J645" s="57" t="str">
        <f>IF(ISNUMBER(deployment_raw[[#This Row],[Column10]]), (deployment_raw[[#This Row],[Column10]] * deployment_raw[[#This Row],[Column5]]),"")</f>
        <v/>
      </c>
      <c r="K645" s="58" t="str">
        <f>IF(ISNUMBER(deployment_raw[[#This Row],[Column11]]), (deployment_raw[[#This Row],[Column11]] * deployment_raw[[#This Row],[Column5]])/1048576,"")</f>
        <v/>
      </c>
      <c r="L645" s="180" t="str">
        <f>IF(ISNUMBER(deployment_raw[[#This Row],[Column8]]),IF(deployment_raw[[#This Row],[Column5]] &lt;&gt; 0, MAX((deployment_raw[[#This Row],[Column12]] * deployment_raw[[#This Row],[Column5]]), ((deployment_raw[[#This Row],[Column8]] * deployment_raw[[#This Row],[Column5]]) * $L$2), ($H$2 * deployment_raw[[#This Row],[Column5]])), 0),"")</f>
        <v/>
      </c>
      <c r="M64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45" s="188" t="str">
        <f>IF(ISNUMBER(deployment_raw[[#This Row],[Column14]]), deployment_raw[[#This Row],[Column14]],"")</f>
        <v/>
      </c>
      <c r="O645" s="189" t="str">
        <f>IF(ISNUMBER(deployment_raw[[#This Row],[Column15]]), deployment_raw[[#This Row],[Column15]]/1048576,"")</f>
        <v/>
      </c>
      <c r="P645" s="190" t="str">
        <f>IF(ISNUMBER(deployment_raw[[#This Row],[Column12]]), (deployment_raw[[#This Row],[Column12]] * deployment_raw[[#This Row],[Column5]]),"")</f>
        <v/>
      </c>
      <c r="Q645" s="189" t="str">
        <f>IF(ISNUMBER(deployment_raw[[#This Row],[Column13]]), (deployment_raw[[#This Row],[Column13]] * deployment_raw[[#This Row],[Column5]])/1048576,"")</f>
        <v/>
      </c>
    </row>
    <row r="646" spans="1:17" ht="15.75" customHeight="1" x14ac:dyDescent="0.25">
      <c r="A646" s="37" t="str">
        <f>IF(ISNONTEXT(deployment_raw[[#This Row],[Column1]]), "", deployment_raw[[#This Row],[Column1]])</f>
        <v/>
      </c>
      <c r="B646" s="38" t="str">
        <f>IF(ISNONTEXT(deployment_raw[[#This Row],[Column2]]), "", deployment_raw[[#This Row],[Column2]])</f>
        <v/>
      </c>
      <c r="C646" s="38" t="str">
        <f>IF(ISNONTEXT(deployment_raw[[#This Row],[Column3]]), "", deployment_raw[[#This Row],[Column3]])</f>
        <v/>
      </c>
      <c r="D646" s="38" t="str">
        <f>IF(ISNONTEXT(deployment_raw[[#This Row],[Column4]]), "", deployment_raw[[#This Row],[Column4]])</f>
        <v/>
      </c>
      <c r="E646" s="39" t="str">
        <f>IF(ISNUMBER(deployment_raw[[#This Row],[Column5]]), deployment_raw[[#This Row],[Column5]],"")</f>
        <v/>
      </c>
      <c r="F646" s="174" t="str">
        <f>IF(ISNUMBER(deployment_raw[[#This Row],[Column6]]), (deployment_raw[[#This Row],[Column6]] * deployment_raw[[#This Row],[Column5]]),"")</f>
        <v/>
      </c>
      <c r="G646" s="175" t="str">
        <f>IF(ISNUMBER(deployment_raw[[#This Row],[Column7]]), (deployment_raw[[#This Row],[Column7]] * deployment_raw[[#This Row],[Column5]])/1048576,"")</f>
        <v/>
      </c>
      <c r="H646" s="175" t="str">
        <f>IF(ISNUMBER(deployment_raw[[#This Row],[Column8]]), (deployment_raw[[#This Row],[Column8]]  * deployment_raw[[#This Row],[Column5]]),"")</f>
        <v/>
      </c>
      <c r="I646" s="176" t="str">
        <f>IF(ISNUMBER(deployment_raw[[#This Row],[Column9]]), (deployment_raw[[#This Row],[Column9]] * deployment_raw[[#This Row],[Column5]])/1048576,"")</f>
        <v/>
      </c>
      <c r="J646" s="57" t="str">
        <f>IF(ISNUMBER(deployment_raw[[#This Row],[Column10]]), (deployment_raw[[#This Row],[Column10]] * deployment_raw[[#This Row],[Column5]]),"")</f>
        <v/>
      </c>
      <c r="K646" s="58" t="str">
        <f>IF(ISNUMBER(deployment_raw[[#This Row],[Column11]]), (deployment_raw[[#This Row],[Column11]] * deployment_raw[[#This Row],[Column5]])/1048576,"")</f>
        <v/>
      </c>
      <c r="L646" s="180" t="str">
        <f>IF(ISNUMBER(deployment_raw[[#This Row],[Column8]]),IF(deployment_raw[[#This Row],[Column5]] &lt;&gt; 0, MAX((deployment_raw[[#This Row],[Column12]] * deployment_raw[[#This Row],[Column5]]), ((deployment_raw[[#This Row],[Column8]] * deployment_raw[[#This Row],[Column5]]) * $L$2), ($H$2 * deployment_raw[[#This Row],[Column5]])), 0),"")</f>
        <v/>
      </c>
      <c r="M64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46" s="188" t="str">
        <f>IF(ISNUMBER(deployment_raw[[#This Row],[Column14]]), deployment_raw[[#This Row],[Column14]],"")</f>
        <v/>
      </c>
      <c r="O646" s="189" t="str">
        <f>IF(ISNUMBER(deployment_raw[[#This Row],[Column15]]), deployment_raw[[#This Row],[Column15]]/1048576,"")</f>
        <v/>
      </c>
      <c r="P646" s="190" t="str">
        <f>IF(ISNUMBER(deployment_raw[[#This Row],[Column12]]), (deployment_raw[[#This Row],[Column12]] * deployment_raw[[#This Row],[Column5]]),"")</f>
        <v/>
      </c>
      <c r="Q646" s="189" t="str">
        <f>IF(ISNUMBER(deployment_raw[[#This Row],[Column13]]), (deployment_raw[[#This Row],[Column13]] * deployment_raw[[#This Row],[Column5]])/1048576,"")</f>
        <v/>
      </c>
    </row>
    <row r="647" spans="1:17" ht="15.75" customHeight="1" x14ac:dyDescent="0.25">
      <c r="A647" s="37" t="str">
        <f>IF(ISNONTEXT(deployment_raw[[#This Row],[Column1]]), "", deployment_raw[[#This Row],[Column1]])</f>
        <v/>
      </c>
      <c r="B647" s="38" t="str">
        <f>IF(ISNONTEXT(deployment_raw[[#This Row],[Column2]]), "", deployment_raw[[#This Row],[Column2]])</f>
        <v/>
      </c>
      <c r="C647" s="38" t="str">
        <f>IF(ISNONTEXT(deployment_raw[[#This Row],[Column3]]), "", deployment_raw[[#This Row],[Column3]])</f>
        <v/>
      </c>
      <c r="D647" s="38" t="str">
        <f>IF(ISNONTEXT(deployment_raw[[#This Row],[Column4]]), "", deployment_raw[[#This Row],[Column4]])</f>
        <v/>
      </c>
      <c r="E647" s="39" t="str">
        <f>IF(ISNUMBER(deployment_raw[[#This Row],[Column5]]), deployment_raw[[#This Row],[Column5]],"")</f>
        <v/>
      </c>
      <c r="F647" s="174" t="str">
        <f>IF(ISNUMBER(deployment_raw[[#This Row],[Column6]]), (deployment_raw[[#This Row],[Column6]] * deployment_raw[[#This Row],[Column5]]),"")</f>
        <v/>
      </c>
      <c r="G647" s="175" t="str">
        <f>IF(ISNUMBER(deployment_raw[[#This Row],[Column7]]), (deployment_raw[[#This Row],[Column7]] * deployment_raw[[#This Row],[Column5]])/1048576,"")</f>
        <v/>
      </c>
      <c r="H647" s="175" t="str">
        <f>IF(ISNUMBER(deployment_raw[[#This Row],[Column8]]), (deployment_raw[[#This Row],[Column8]]  * deployment_raw[[#This Row],[Column5]]),"")</f>
        <v/>
      </c>
      <c r="I647" s="176" t="str">
        <f>IF(ISNUMBER(deployment_raw[[#This Row],[Column9]]), (deployment_raw[[#This Row],[Column9]] * deployment_raw[[#This Row],[Column5]])/1048576,"")</f>
        <v/>
      </c>
      <c r="J647" s="57" t="str">
        <f>IF(ISNUMBER(deployment_raw[[#This Row],[Column10]]), (deployment_raw[[#This Row],[Column10]] * deployment_raw[[#This Row],[Column5]]),"")</f>
        <v/>
      </c>
      <c r="K647" s="58" t="str">
        <f>IF(ISNUMBER(deployment_raw[[#This Row],[Column11]]), (deployment_raw[[#This Row],[Column11]] * deployment_raw[[#This Row],[Column5]])/1048576,"")</f>
        <v/>
      </c>
      <c r="L647" s="180" t="str">
        <f>IF(ISNUMBER(deployment_raw[[#This Row],[Column8]]),IF(deployment_raw[[#This Row],[Column5]] &lt;&gt; 0, MAX((deployment_raw[[#This Row],[Column12]] * deployment_raw[[#This Row],[Column5]]), ((deployment_raw[[#This Row],[Column8]] * deployment_raw[[#This Row],[Column5]]) * $L$2), ($H$2 * deployment_raw[[#This Row],[Column5]])), 0),"")</f>
        <v/>
      </c>
      <c r="M64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47" s="188" t="str">
        <f>IF(ISNUMBER(deployment_raw[[#This Row],[Column14]]), deployment_raw[[#This Row],[Column14]],"")</f>
        <v/>
      </c>
      <c r="O647" s="189" t="str">
        <f>IF(ISNUMBER(deployment_raw[[#This Row],[Column15]]), deployment_raw[[#This Row],[Column15]]/1048576,"")</f>
        <v/>
      </c>
      <c r="P647" s="190" t="str">
        <f>IF(ISNUMBER(deployment_raw[[#This Row],[Column12]]), (deployment_raw[[#This Row],[Column12]] * deployment_raw[[#This Row],[Column5]]),"")</f>
        <v/>
      </c>
      <c r="Q647" s="189" t="str">
        <f>IF(ISNUMBER(deployment_raw[[#This Row],[Column13]]), (deployment_raw[[#This Row],[Column13]] * deployment_raw[[#This Row],[Column5]])/1048576,"")</f>
        <v/>
      </c>
    </row>
    <row r="648" spans="1:17" ht="15.75" customHeight="1" x14ac:dyDescent="0.25">
      <c r="A648" s="37" t="str">
        <f>IF(ISNONTEXT(deployment_raw[[#This Row],[Column1]]), "", deployment_raw[[#This Row],[Column1]])</f>
        <v/>
      </c>
      <c r="B648" s="38" t="str">
        <f>IF(ISNONTEXT(deployment_raw[[#This Row],[Column2]]), "", deployment_raw[[#This Row],[Column2]])</f>
        <v/>
      </c>
      <c r="C648" s="38" t="str">
        <f>IF(ISNONTEXT(deployment_raw[[#This Row],[Column3]]), "", deployment_raw[[#This Row],[Column3]])</f>
        <v/>
      </c>
      <c r="D648" s="38" t="str">
        <f>IF(ISNONTEXT(deployment_raw[[#This Row],[Column4]]), "", deployment_raw[[#This Row],[Column4]])</f>
        <v/>
      </c>
      <c r="E648" s="39" t="str">
        <f>IF(ISNUMBER(deployment_raw[[#This Row],[Column5]]), deployment_raw[[#This Row],[Column5]],"")</f>
        <v/>
      </c>
      <c r="F648" s="174" t="str">
        <f>IF(ISNUMBER(deployment_raw[[#This Row],[Column6]]), (deployment_raw[[#This Row],[Column6]] * deployment_raw[[#This Row],[Column5]]),"")</f>
        <v/>
      </c>
      <c r="G648" s="175" t="str">
        <f>IF(ISNUMBER(deployment_raw[[#This Row],[Column7]]), (deployment_raw[[#This Row],[Column7]] * deployment_raw[[#This Row],[Column5]])/1048576,"")</f>
        <v/>
      </c>
      <c r="H648" s="175" t="str">
        <f>IF(ISNUMBER(deployment_raw[[#This Row],[Column8]]), (deployment_raw[[#This Row],[Column8]]  * deployment_raw[[#This Row],[Column5]]),"")</f>
        <v/>
      </c>
      <c r="I648" s="176" t="str">
        <f>IF(ISNUMBER(deployment_raw[[#This Row],[Column9]]), (deployment_raw[[#This Row],[Column9]] * deployment_raw[[#This Row],[Column5]])/1048576,"")</f>
        <v/>
      </c>
      <c r="J648" s="57" t="str">
        <f>IF(ISNUMBER(deployment_raw[[#This Row],[Column10]]), (deployment_raw[[#This Row],[Column10]] * deployment_raw[[#This Row],[Column5]]),"")</f>
        <v/>
      </c>
      <c r="K648" s="58" t="str">
        <f>IF(ISNUMBER(deployment_raw[[#This Row],[Column11]]), (deployment_raw[[#This Row],[Column11]] * deployment_raw[[#This Row],[Column5]])/1048576,"")</f>
        <v/>
      </c>
      <c r="L648" s="180" t="str">
        <f>IF(ISNUMBER(deployment_raw[[#This Row],[Column8]]),IF(deployment_raw[[#This Row],[Column5]] &lt;&gt; 0, MAX((deployment_raw[[#This Row],[Column12]] * deployment_raw[[#This Row],[Column5]]), ((deployment_raw[[#This Row],[Column8]] * deployment_raw[[#This Row],[Column5]]) * $L$2), ($H$2 * deployment_raw[[#This Row],[Column5]])), 0),"")</f>
        <v/>
      </c>
      <c r="M64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48" s="188" t="str">
        <f>IF(ISNUMBER(deployment_raw[[#This Row],[Column14]]), deployment_raw[[#This Row],[Column14]],"")</f>
        <v/>
      </c>
      <c r="O648" s="189" t="str">
        <f>IF(ISNUMBER(deployment_raw[[#This Row],[Column15]]), deployment_raw[[#This Row],[Column15]]/1048576,"")</f>
        <v/>
      </c>
      <c r="P648" s="190" t="str">
        <f>IF(ISNUMBER(deployment_raw[[#This Row],[Column12]]), (deployment_raw[[#This Row],[Column12]] * deployment_raw[[#This Row],[Column5]]),"")</f>
        <v/>
      </c>
      <c r="Q648" s="189" t="str">
        <f>IF(ISNUMBER(deployment_raw[[#This Row],[Column13]]), (deployment_raw[[#This Row],[Column13]] * deployment_raw[[#This Row],[Column5]])/1048576,"")</f>
        <v/>
      </c>
    </row>
    <row r="649" spans="1:17" ht="15.75" customHeight="1" x14ac:dyDescent="0.25">
      <c r="A649" s="37" t="str">
        <f>IF(ISNONTEXT(deployment_raw[[#This Row],[Column1]]), "", deployment_raw[[#This Row],[Column1]])</f>
        <v/>
      </c>
      <c r="B649" s="38" t="str">
        <f>IF(ISNONTEXT(deployment_raw[[#This Row],[Column2]]), "", deployment_raw[[#This Row],[Column2]])</f>
        <v/>
      </c>
      <c r="C649" s="38" t="str">
        <f>IF(ISNONTEXT(deployment_raw[[#This Row],[Column3]]), "", deployment_raw[[#This Row],[Column3]])</f>
        <v/>
      </c>
      <c r="D649" s="38" t="str">
        <f>IF(ISNONTEXT(deployment_raw[[#This Row],[Column4]]), "", deployment_raw[[#This Row],[Column4]])</f>
        <v/>
      </c>
      <c r="E649" s="39" t="str">
        <f>IF(ISNUMBER(deployment_raw[[#This Row],[Column5]]), deployment_raw[[#This Row],[Column5]],"")</f>
        <v/>
      </c>
      <c r="F649" s="174" t="str">
        <f>IF(ISNUMBER(deployment_raw[[#This Row],[Column6]]), (deployment_raw[[#This Row],[Column6]] * deployment_raw[[#This Row],[Column5]]),"")</f>
        <v/>
      </c>
      <c r="G649" s="175" t="str">
        <f>IF(ISNUMBER(deployment_raw[[#This Row],[Column7]]), (deployment_raw[[#This Row],[Column7]] * deployment_raw[[#This Row],[Column5]])/1048576,"")</f>
        <v/>
      </c>
      <c r="H649" s="175" t="str">
        <f>IF(ISNUMBER(deployment_raw[[#This Row],[Column8]]), (deployment_raw[[#This Row],[Column8]]  * deployment_raw[[#This Row],[Column5]]),"")</f>
        <v/>
      </c>
      <c r="I649" s="176" t="str">
        <f>IF(ISNUMBER(deployment_raw[[#This Row],[Column9]]), (deployment_raw[[#This Row],[Column9]] * deployment_raw[[#This Row],[Column5]])/1048576,"")</f>
        <v/>
      </c>
      <c r="J649" s="57" t="str">
        <f>IF(ISNUMBER(deployment_raw[[#This Row],[Column10]]), (deployment_raw[[#This Row],[Column10]] * deployment_raw[[#This Row],[Column5]]),"")</f>
        <v/>
      </c>
      <c r="K649" s="58" t="str">
        <f>IF(ISNUMBER(deployment_raw[[#This Row],[Column11]]), (deployment_raw[[#This Row],[Column11]] * deployment_raw[[#This Row],[Column5]])/1048576,"")</f>
        <v/>
      </c>
      <c r="L649" s="180" t="str">
        <f>IF(ISNUMBER(deployment_raw[[#This Row],[Column8]]),IF(deployment_raw[[#This Row],[Column5]] &lt;&gt; 0, MAX((deployment_raw[[#This Row],[Column12]] * deployment_raw[[#This Row],[Column5]]), ((deployment_raw[[#This Row],[Column8]] * deployment_raw[[#This Row],[Column5]]) * $L$2), ($H$2 * deployment_raw[[#This Row],[Column5]])), 0),"")</f>
        <v/>
      </c>
      <c r="M64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49" s="188" t="str">
        <f>IF(ISNUMBER(deployment_raw[[#This Row],[Column14]]), deployment_raw[[#This Row],[Column14]],"")</f>
        <v/>
      </c>
      <c r="O649" s="189" t="str">
        <f>IF(ISNUMBER(deployment_raw[[#This Row],[Column15]]), deployment_raw[[#This Row],[Column15]]/1048576,"")</f>
        <v/>
      </c>
      <c r="P649" s="190" t="str">
        <f>IF(ISNUMBER(deployment_raw[[#This Row],[Column12]]), (deployment_raw[[#This Row],[Column12]] * deployment_raw[[#This Row],[Column5]]),"")</f>
        <v/>
      </c>
      <c r="Q649" s="189" t="str">
        <f>IF(ISNUMBER(deployment_raw[[#This Row],[Column13]]), (deployment_raw[[#This Row],[Column13]] * deployment_raw[[#This Row],[Column5]])/1048576,"")</f>
        <v/>
      </c>
    </row>
    <row r="650" spans="1:17" ht="15.75" customHeight="1" x14ac:dyDescent="0.25">
      <c r="A650" s="37" t="str">
        <f>IF(ISNONTEXT(deployment_raw[[#This Row],[Column1]]), "", deployment_raw[[#This Row],[Column1]])</f>
        <v/>
      </c>
      <c r="B650" s="38" t="str">
        <f>IF(ISNONTEXT(deployment_raw[[#This Row],[Column2]]), "", deployment_raw[[#This Row],[Column2]])</f>
        <v/>
      </c>
      <c r="C650" s="38" t="str">
        <f>IF(ISNONTEXT(deployment_raw[[#This Row],[Column3]]), "", deployment_raw[[#This Row],[Column3]])</f>
        <v/>
      </c>
      <c r="D650" s="38" t="str">
        <f>IF(ISNONTEXT(deployment_raw[[#This Row],[Column4]]), "", deployment_raw[[#This Row],[Column4]])</f>
        <v/>
      </c>
      <c r="E650" s="39" t="str">
        <f>IF(ISNUMBER(deployment_raw[[#This Row],[Column5]]), deployment_raw[[#This Row],[Column5]],"")</f>
        <v/>
      </c>
      <c r="F650" s="174" t="str">
        <f>IF(ISNUMBER(deployment_raw[[#This Row],[Column6]]), (deployment_raw[[#This Row],[Column6]] * deployment_raw[[#This Row],[Column5]]),"")</f>
        <v/>
      </c>
      <c r="G650" s="175" t="str">
        <f>IF(ISNUMBER(deployment_raw[[#This Row],[Column7]]), (deployment_raw[[#This Row],[Column7]] * deployment_raw[[#This Row],[Column5]])/1048576,"")</f>
        <v/>
      </c>
      <c r="H650" s="175" t="str">
        <f>IF(ISNUMBER(deployment_raw[[#This Row],[Column8]]), (deployment_raw[[#This Row],[Column8]]  * deployment_raw[[#This Row],[Column5]]),"")</f>
        <v/>
      </c>
      <c r="I650" s="176" t="str">
        <f>IF(ISNUMBER(deployment_raw[[#This Row],[Column9]]), (deployment_raw[[#This Row],[Column9]] * deployment_raw[[#This Row],[Column5]])/1048576,"")</f>
        <v/>
      </c>
      <c r="J650" s="57" t="str">
        <f>IF(ISNUMBER(deployment_raw[[#This Row],[Column10]]), (deployment_raw[[#This Row],[Column10]] * deployment_raw[[#This Row],[Column5]]),"")</f>
        <v/>
      </c>
      <c r="K650" s="58" t="str">
        <f>IF(ISNUMBER(deployment_raw[[#This Row],[Column11]]), (deployment_raw[[#This Row],[Column11]] * deployment_raw[[#This Row],[Column5]])/1048576,"")</f>
        <v/>
      </c>
      <c r="L650" s="180" t="str">
        <f>IF(ISNUMBER(deployment_raw[[#This Row],[Column8]]),IF(deployment_raw[[#This Row],[Column5]] &lt;&gt; 0, MAX((deployment_raw[[#This Row],[Column12]] * deployment_raw[[#This Row],[Column5]]), ((deployment_raw[[#This Row],[Column8]] * deployment_raw[[#This Row],[Column5]]) * $L$2), ($H$2 * deployment_raw[[#This Row],[Column5]])), 0),"")</f>
        <v/>
      </c>
      <c r="M65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50" s="188" t="str">
        <f>IF(ISNUMBER(deployment_raw[[#This Row],[Column14]]), deployment_raw[[#This Row],[Column14]],"")</f>
        <v/>
      </c>
      <c r="O650" s="189" t="str">
        <f>IF(ISNUMBER(deployment_raw[[#This Row],[Column15]]), deployment_raw[[#This Row],[Column15]]/1048576,"")</f>
        <v/>
      </c>
      <c r="P650" s="190" t="str">
        <f>IF(ISNUMBER(deployment_raw[[#This Row],[Column12]]), (deployment_raw[[#This Row],[Column12]] * deployment_raw[[#This Row],[Column5]]),"")</f>
        <v/>
      </c>
      <c r="Q650" s="189" t="str">
        <f>IF(ISNUMBER(deployment_raw[[#This Row],[Column13]]), (deployment_raw[[#This Row],[Column13]] * deployment_raw[[#This Row],[Column5]])/1048576,"")</f>
        <v/>
      </c>
    </row>
    <row r="651" spans="1:17" ht="15.75" customHeight="1" x14ac:dyDescent="0.25">
      <c r="A651" s="37" t="str">
        <f>IF(ISNONTEXT(deployment_raw[[#This Row],[Column1]]), "", deployment_raw[[#This Row],[Column1]])</f>
        <v/>
      </c>
      <c r="B651" s="38" t="str">
        <f>IF(ISNONTEXT(deployment_raw[[#This Row],[Column2]]), "", deployment_raw[[#This Row],[Column2]])</f>
        <v/>
      </c>
      <c r="C651" s="38" t="str">
        <f>IF(ISNONTEXT(deployment_raw[[#This Row],[Column3]]), "", deployment_raw[[#This Row],[Column3]])</f>
        <v/>
      </c>
      <c r="D651" s="38" t="str">
        <f>IF(ISNONTEXT(deployment_raw[[#This Row],[Column4]]), "", deployment_raw[[#This Row],[Column4]])</f>
        <v/>
      </c>
      <c r="E651" s="39" t="str">
        <f>IF(ISNUMBER(deployment_raw[[#This Row],[Column5]]), deployment_raw[[#This Row],[Column5]],"")</f>
        <v/>
      </c>
      <c r="F651" s="174" t="str">
        <f>IF(ISNUMBER(deployment_raw[[#This Row],[Column6]]), (deployment_raw[[#This Row],[Column6]] * deployment_raw[[#This Row],[Column5]]),"")</f>
        <v/>
      </c>
      <c r="G651" s="175" t="str">
        <f>IF(ISNUMBER(deployment_raw[[#This Row],[Column7]]), (deployment_raw[[#This Row],[Column7]] * deployment_raw[[#This Row],[Column5]])/1048576,"")</f>
        <v/>
      </c>
      <c r="H651" s="175" t="str">
        <f>IF(ISNUMBER(deployment_raw[[#This Row],[Column8]]), (deployment_raw[[#This Row],[Column8]]  * deployment_raw[[#This Row],[Column5]]),"")</f>
        <v/>
      </c>
      <c r="I651" s="176" t="str">
        <f>IF(ISNUMBER(deployment_raw[[#This Row],[Column9]]), (deployment_raw[[#This Row],[Column9]] * deployment_raw[[#This Row],[Column5]])/1048576,"")</f>
        <v/>
      </c>
      <c r="J651" s="57" t="str">
        <f>IF(ISNUMBER(deployment_raw[[#This Row],[Column10]]), (deployment_raw[[#This Row],[Column10]] * deployment_raw[[#This Row],[Column5]]),"")</f>
        <v/>
      </c>
      <c r="K651" s="58" t="str">
        <f>IF(ISNUMBER(deployment_raw[[#This Row],[Column11]]), (deployment_raw[[#This Row],[Column11]] * deployment_raw[[#This Row],[Column5]])/1048576,"")</f>
        <v/>
      </c>
      <c r="L651" s="180" t="str">
        <f>IF(ISNUMBER(deployment_raw[[#This Row],[Column8]]),IF(deployment_raw[[#This Row],[Column5]] &lt;&gt; 0, MAX((deployment_raw[[#This Row],[Column12]] * deployment_raw[[#This Row],[Column5]]), ((deployment_raw[[#This Row],[Column8]] * deployment_raw[[#This Row],[Column5]]) * $L$2), ($H$2 * deployment_raw[[#This Row],[Column5]])), 0),"")</f>
        <v/>
      </c>
      <c r="M65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51" s="188" t="str">
        <f>IF(ISNUMBER(deployment_raw[[#This Row],[Column14]]), deployment_raw[[#This Row],[Column14]],"")</f>
        <v/>
      </c>
      <c r="O651" s="189" t="str">
        <f>IF(ISNUMBER(deployment_raw[[#This Row],[Column15]]), deployment_raw[[#This Row],[Column15]]/1048576,"")</f>
        <v/>
      </c>
      <c r="P651" s="190" t="str">
        <f>IF(ISNUMBER(deployment_raw[[#This Row],[Column12]]), (deployment_raw[[#This Row],[Column12]] * deployment_raw[[#This Row],[Column5]]),"")</f>
        <v/>
      </c>
      <c r="Q651" s="189" t="str">
        <f>IF(ISNUMBER(deployment_raw[[#This Row],[Column13]]), (deployment_raw[[#This Row],[Column13]] * deployment_raw[[#This Row],[Column5]])/1048576,"")</f>
        <v/>
      </c>
    </row>
    <row r="652" spans="1:17" ht="15.75" customHeight="1" x14ac:dyDescent="0.25">
      <c r="A652" s="37" t="str">
        <f>IF(ISNONTEXT(deployment_raw[[#This Row],[Column1]]), "", deployment_raw[[#This Row],[Column1]])</f>
        <v/>
      </c>
      <c r="B652" s="38" t="str">
        <f>IF(ISNONTEXT(deployment_raw[[#This Row],[Column2]]), "", deployment_raw[[#This Row],[Column2]])</f>
        <v/>
      </c>
      <c r="C652" s="38" t="str">
        <f>IF(ISNONTEXT(deployment_raw[[#This Row],[Column3]]), "", deployment_raw[[#This Row],[Column3]])</f>
        <v/>
      </c>
      <c r="D652" s="38" t="str">
        <f>IF(ISNONTEXT(deployment_raw[[#This Row],[Column4]]), "", deployment_raw[[#This Row],[Column4]])</f>
        <v/>
      </c>
      <c r="E652" s="39" t="str">
        <f>IF(ISNUMBER(deployment_raw[[#This Row],[Column5]]), deployment_raw[[#This Row],[Column5]],"")</f>
        <v/>
      </c>
      <c r="F652" s="174" t="str">
        <f>IF(ISNUMBER(deployment_raw[[#This Row],[Column6]]), (deployment_raw[[#This Row],[Column6]] * deployment_raw[[#This Row],[Column5]]),"")</f>
        <v/>
      </c>
      <c r="G652" s="175" t="str">
        <f>IF(ISNUMBER(deployment_raw[[#This Row],[Column7]]), (deployment_raw[[#This Row],[Column7]] * deployment_raw[[#This Row],[Column5]])/1048576,"")</f>
        <v/>
      </c>
      <c r="H652" s="175" t="str">
        <f>IF(ISNUMBER(deployment_raw[[#This Row],[Column8]]), (deployment_raw[[#This Row],[Column8]]  * deployment_raw[[#This Row],[Column5]]),"")</f>
        <v/>
      </c>
      <c r="I652" s="176" t="str">
        <f>IF(ISNUMBER(deployment_raw[[#This Row],[Column9]]), (deployment_raw[[#This Row],[Column9]] * deployment_raw[[#This Row],[Column5]])/1048576,"")</f>
        <v/>
      </c>
      <c r="J652" s="57" t="str">
        <f>IF(ISNUMBER(deployment_raw[[#This Row],[Column10]]), (deployment_raw[[#This Row],[Column10]] * deployment_raw[[#This Row],[Column5]]),"")</f>
        <v/>
      </c>
      <c r="K652" s="58" t="str">
        <f>IF(ISNUMBER(deployment_raw[[#This Row],[Column11]]), (deployment_raw[[#This Row],[Column11]] * deployment_raw[[#This Row],[Column5]])/1048576,"")</f>
        <v/>
      </c>
      <c r="L652" s="180" t="str">
        <f>IF(ISNUMBER(deployment_raw[[#This Row],[Column8]]),IF(deployment_raw[[#This Row],[Column5]] &lt;&gt; 0, MAX((deployment_raw[[#This Row],[Column12]] * deployment_raw[[#This Row],[Column5]]), ((deployment_raw[[#This Row],[Column8]] * deployment_raw[[#This Row],[Column5]]) * $L$2), ($H$2 * deployment_raw[[#This Row],[Column5]])), 0),"")</f>
        <v/>
      </c>
      <c r="M65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52" s="188" t="str">
        <f>IF(ISNUMBER(deployment_raw[[#This Row],[Column14]]), deployment_raw[[#This Row],[Column14]],"")</f>
        <v/>
      </c>
      <c r="O652" s="189" t="str">
        <f>IF(ISNUMBER(deployment_raw[[#This Row],[Column15]]), deployment_raw[[#This Row],[Column15]]/1048576,"")</f>
        <v/>
      </c>
      <c r="P652" s="190" t="str">
        <f>IF(ISNUMBER(deployment_raw[[#This Row],[Column12]]), (deployment_raw[[#This Row],[Column12]] * deployment_raw[[#This Row],[Column5]]),"")</f>
        <v/>
      </c>
      <c r="Q652" s="189" t="str">
        <f>IF(ISNUMBER(deployment_raw[[#This Row],[Column13]]), (deployment_raw[[#This Row],[Column13]] * deployment_raw[[#This Row],[Column5]])/1048576,"")</f>
        <v/>
      </c>
    </row>
    <row r="653" spans="1:17" ht="15.75" customHeight="1" x14ac:dyDescent="0.25">
      <c r="A653" s="37" t="str">
        <f>IF(ISNONTEXT(deployment_raw[[#This Row],[Column1]]), "", deployment_raw[[#This Row],[Column1]])</f>
        <v/>
      </c>
      <c r="B653" s="38" t="str">
        <f>IF(ISNONTEXT(deployment_raw[[#This Row],[Column2]]), "", deployment_raw[[#This Row],[Column2]])</f>
        <v/>
      </c>
      <c r="C653" s="38" t="str">
        <f>IF(ISNONTEXT(deployment_raw[[#This Row],[Column3]]), "", deployment_raw[[#This Row],[Column3]])</f>
        <v/>
      </c>
      <c r="D653" s="38" t="str">
        <f>IF(ISNONTEXT(deployment_raw[[#This Row],[Column4]]), "", deployment_raw[[#This Row],[Column4]])</f>
        <v/>
      </c>
      <c r="E653" s="39" t="str">
        <f>IF(ISNUMBER(deployment_raw[[#This Row],[Column5]]), deployment_raw[[#This Row],[Column5]],"")</f>
        <v/>
      </c>
      <c r="F653" s="174" t="str">
        <f>IF(ISNUMBER(deployment_raw[[#This Row],[Column6]]), (deployment_raw[[#This Row],[Column6]] * deployment_raw[[#This Row],[Column5]]),"")</f>
        <v/>
      </c>
      <c r="G653" s="175" t="str">
        <f>IF(ISNUMBER(deployment_raw[[#This Row],[Column7]]), (deployment_raw[[#This Row],[Column7]] * deployment_raw[[#This Row],[Column5]])/1048576,"")</f>
        <v/>
      </c>
      <c r="H653" s="175" t="str">
        <f>IF(ISNUMBER(deployment_raw[[#This Row],[Column8]]), (deployment_raw[[#This Row],[Column8]]  * deployment_raw[[#This Row],[Column5]]),"")</f>
        <v/>
      </c>
      <c r="I653" s="176" t="str">
        <f>IF(ISNUMBER(deployment_raw[[#This Row],[Column9]]), (deployment_raw[[#This Row],[Column9]] * deployment_raw[[#This Row],[Column5]])/1048576,"")</f>
        <v/>
      </c>
      <c r="J653" s="57" t="str">
        <f>IF(ISNUMBER(deployment_raw[[#This Row],[Column10]]), (deployment_raw[[#This Row],[Column10]] * deployment_raw[[#This Row],[Column5]]),"")</f>
        <v/>
      </c>
      <c r="K653" s="58" t="str">
        <f>IF(ISNUMBER(deployment_raw[[#This Row],[Column11]]), (deployment_raw[[#This Row],[Column11]] * deployment_raw[[#This Row],[Column5]])/1048576,"")</f>
        <v/>
      </c>
      <c r="L653" s="180" t="str">
        <f>IF(ISNUMBER(deployment_raw[[#This Row],[Column8]]),IF(deployment_raw[[#This Row],[Column5]] &lt;&gt; 0, MAX((deployment_raw[[#This Row],[Column12]] * deployment_raw[[#This Row],[Column5]]), ((deployment_raw[[#This Row],[Column8]] * deployment_raw[[#This Row],[Column5]]) * $L$2), ($H$2 * deployment_raw[[#This Row],[Column5]])), 0),"")</f>
        <v/>
      </c>
      <c r="M65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53" s="188" t="str">
        <f>IF(ISNUMBER(deployment_raw[[#This Row],[Column14]]), deployment_raw[[#This Row],[Column14]],"")</f>
        <v/>
      </c>
      <c r="O653" s="189" t="str">
        <f>IF(ISNUMBER(deployment_raw[[#This Row],[Column15]]), deployment_raw[[#This Row],[Column15]]/1048576,"")</f>
        <v/>
      </c>
      <c r="P653" s="190" t="str">
        <f>IF(ISNUMBER(deployment_raw[[#This Row],[Column12]]), (deployment_raw[[#This Row],[Column12]] * deployment_raw[[#This Row],[Column5]]),"")</f>
        <v/>
      </c>
      <c r="Q653" s="189" t="str">
        <f>IF(ISNUMBER(deployment_raw[[#This Row],[Column13]]), (deployment_raw[[#This Row],[Column13]] * deployment_raw[[#This Row],[Column5]])/1048576,"")</f>
        <v/>
      </c>
    </row>
    <row r="654" spans="1:17" ht="15.75" customHeight="1" x14ac:dyDescent="0.25">
      <c r="A654" s="37" t="str">
        <f>IF(ISNONTEXT(deployment_raw[[#This Row],[Column1]]), "", deployment_raw[[#This Row],[Column1]])</f>
        <v/>
      </c>
      <c r="B654" s="38" t="str">
        <f>IF(ISNONTEXT(deployment_raw[[#This Row],[Column2]]), "", deployment_raw[[#This Row],[Column2]])</f>
        <v/>
      </c>
      <c r="C654" s="38" t="str">
        <f>IF(ISNONTEXT(deployment_raw[[#This Row],[Column3]]), "", deployment_raw[[#This Row],[Column3]])</f>
        <v/>
      </c>
      <c r="D654" s="38" t="str">
        <f>IF(ISNONTEXT(deployment_raw[[#This Row],[Column4]]), "", deployment_raw[[#This Row],[Column4]])</f>
        <v/>
      </c>
      <c r="E654" s="39" t="str">
        <f>IF(ISNUMBER(deployment_raw[[#This Row],[Column5]]), deployment_raw[[#This Row],[Column5]],"")</f>
        <v/>
      </c>
      <c r="F654" s="174" t="str">
        <f>IF(ISNUMBER(deployment_raw[[#This Row],[Column6]]), (deployment_raw[[#This Row],[Column6]] * deployment_raw[[#This Row],[Column5]]),"")</f>
        <v/>
      </c>
      <c r="G654" s="175" t="str">
        <f>IF(ISNUMBER(deployment_raw[[#This Row],[Column7]]), (deployment_raw[[#This Row],[Column7]] * deployment_raw[[#This Row],[Column5]])/1048576,"")</f>
        <v/>
      </c>
      <c r="H654" s="175" t="str">
        <f>IF(ISNUMBER(deployment_raw[[#This Row],[Column8]]), (deployment_raw[[#This Row],[Column8]]  * deployment_raw[[#This Row],[Column5]]),"")</f>
        <v/>
      </c>
      <c r="I654" s="176" t="str">
        <f>IF(ISNUMBER(deployment_raw[[#This Row],[Column9]]), (deployment_raw[[#This Row],[Column9]] * deployment_raw[[#This Row],[Column5]])/1048576,"")</f>
        <v/>
      </c>
      <c r="J654" s="57" t="str">
        <f>IF(ISNUMBER(deployment_raw[[#This Row],[Column10]]), (deployment_raw[[#This Row],[Column10]] * deployment_raw[[#This Row],[Column5]]),"")</f>
        <v/>
      </c>
      <c r="K654" s="58" t="str">
        <f>IF(ISNUMBER(deployment_raw[[#This Row],[Column11]]), (deployment_raw[[#This Row],[Column11]] * deployment_raw[[#This Row],[Column5]])/1048576,"")</f>
        <v/>
      </c>
      <c r="L654" s="180" t="str">
        <f>IF(ISNUMBER(deployment_raw[[#This Row],[Column8]]),IF(deployment_raw[[#This Row],[Column5]] &lt;&gt; 0, MAX((deployment_raw[[#This Row],[Column12]] * deployment_raw[[#This Row],[Column5]]), ((deployment_raw[[#This Row],[Column8]] * deployment_raw[[#This Row],[Column5]]) * $L$2), ($H$2 * deployment_raw[[#This Row],[Column5]])), 0),"")</f>
        <v/>
      </c>
      <c r="M65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54" s="188" t="str">
        <f>IF(ISNUMBER(deployment_raw[[#This Row],[Column14]]), deployment_raw[[#This Row],[Column14]],"")</f>
        <v/>
      </c>
      <c r="O654" s="189" t="str">
        <f>IF(ISNUMBER(deployment_raw[[#This Row],[Column15]]), deployment_raw[[#This Row],[Column15]]/1048576,"")</f>
        <v/>
      </c>
      <c r="P654" s="190" t="str">
        <f>IF(ISNUMBER(deployment_raw[[#This Row],[Column12]]), (deployment_raw[[#This Row],[Column12]] * deployment_raw[[#This Row],[Column5]]),"")</f>
        <v/>
      </c>
      <c r="Q654" s="189" t="str">
        <f>IF(ISNUMBER(deployment_raw[[#This Row],[Column13]]), (deployment_raw[[#This Row],[Column13]] * deployment_raw[[#This Row],[Column5]])/1048576,"")</f>
        <v/>
      </c>
    </row>
    <row r="655" spans="1:17" ht="15.75" customHeight="1" x14ac:dyDescent="0.25">
      <c r="A655" s="37" t="str">
        <f>IF(ISNONTEXT(deployment_raw[[#This Row],[Column1]]), "", deployment_raw[[#This Row],[Column1]])</f>
        <v/>
      </c>
      <c r="B655" s="38" t="str">
        <f>IF(ISNONTEXT(deployment_raw[[#This Row],[Column2]]), "", deployment_raw[[#This Row],[Column2]])</f>
        <v/>
      </c>
      <c r="C655" s="38" t="str">
        <f>IF(ISNONTEXT(deployment_raw[[#This Row],[Column3]]), "", deployment_raw[[#This Row],[Column3]])</f>
        <v/>
      </c>
      <c r="D655" s="38" t="str">
        <f>IF(ISNONTEXT(deployment_raw[[#This Row],[Column4]]), "", deployment_raw[[#This Row],[Column4]])</f>
        <v/>
      </c>
      <c r="E655" s="39" t="str">
        <f>IF(ISNUMBER(deployment_raw[[#This Row],[Column5]]), deployment_raw[[#This Row],[Column5]],"")</f>
        <v/>
      </c>
      <c r="F655" s="174" t="str">
        <f>IF(ISNUMBER(deployment_raw[[#This Row],[Column6]]), (deployment_raw[[#This Row],[Column6]] * deployment_raw[[#This Row],[Column5]]),"")</f>
        <v/>
      </c>
      <c r="G655" s="175" t="str">
        <f>IF(ISNUMBER(deployment_raw[[#This Row],[Column7]]), (deployment_raw[[#This Row],[Column7]] * deployment_raw[[#This Row],[Column5]])/1048576,"")</f>
        <v/>
      </c>
      <c r="H655" s="175" t="str">
        <f>IF(ISNUMBER(deployment_raw[[#This Row],[Column8]]), (deployment_raw[[#This Row],[Column8]]  * deployment_raw[[#This Row],[Column5]]),"")</f>
        <v/>
      </c>
      <c r="I655" s="176" t="str">
        <f>IF(ISNUMBER(deployment_raw[[#This Row],[Column9]]), (deployment_raw[[#This Row],[Column9]] * deployment_raw[[#This Row],[Column5]])/1048576,"")</f>
        <v/>
      </c>
      <c r="J655" s="57" t="str">
        <f>IF(ISNUMBER(deployment_raw[[#This Row],[Column10]]), (deployment_raw[[#This Row],[Column10]] * deployment_raw[[#This Row],[Column5]]),"")</f>
        <v/>
      </c>
      <c r="K655" s="58" t="str">
        <f>IF(ISNUMBER(deployment_raw[[#This Row],[Column11]]), (deployment_raw[[#This Row],[Column11]] * deployment_raw[[#This Row],[Column5]])/1048576,"")</f>
        <v/>
      </c>
      <c r="L655" s="180" t="str">
        <f>IF(ISNUMBER(deployment_raw[[#This Row],[Column8]]),IF(deployment_raw[[#This Row],[Column5]] &lt;&gt; 0, MAX((deployment_raw[[#This Row],[Column12]] * deployment_raw[[#This Row],[Column5]]), ((deployment_raw[[#This Row],[Column8]] * deployment_raw[[#This Row],[Column5]]) * $L$2), ($H$2 * deployment_raw[[#This Row],[Column5]])), 0),"")</f>
        <v/>
      </c>
      <c r="M65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55" s="188" t="str">
        <f>IF(ISNUMBER(deployment_raw[[#This Row],[Column14]]), deployment_raw[[#This Row],[Column14]],"")</f>
        <v/>
      </c>
      <c r="O655" s="189" t="str">
        <f>IF(ISNUMBER(deployment_raw[[#This Row],[Column15]]), deployment_raw[[#This Row],[Column15]]/1048576,"")</f>
        <v/>
      </c>
      <c r="P655" s="190" t="str">
        <f>IF(ISNUMBER(deployment_raw[[#This Row],[Column12]]), (deployment_raw[[#This Row],[Column12]] * deployment_raw[[#This Row],[Column5]]),"")</f>
        <v/>
      </c>
      <c r="Q655" s="189" t="str">
        <f>IF(ISNUMBER(deployment_raw[[#This Row],[Column13]]), (deployment_raw[[#This Row],[Column13]] * deployment_raw[[#This Row],[Column5]])/1048576,"")</f>
        <v/>
      </c>
    </row>
    <row r="656" spans="1:17" ht="15.75" customHeight="1" x14ac:dyDescent="0.25">
      <c r="A656" s="37" t="str">
        <f>IF(ISNONTEXT(deployment_raw[[#This Row],[Column1]]), "", deployment_raw[[#This Row],[Column1]])</f>
        <v/>
      </c>
      <c r="B656" s="38" t="str">
        <f>IF(ISNONTEXT(deployment_raw[[#This Row],[Column2]]), "", deployment_raw[[#This Row],[Column2]])</f>
        <v/>
      </c>
      <c r="C656" s="38" t="str">
        <f>IF(ISNONTEXT(deployment_raw[[#This Row],[Column3]]), "", deployment_raw[[#This Row],[Column3]])</f>
        <v/>
      </c>
      <c r="D656" s="38" t="str">
        <f>IF(ISNONTEXT(deployment_raw[[#This Row],[Column4]]), "", deployment_raw[[#This Row],[Column4]])</f>
        <v/>
      </c>
      <c r="E656" s="39" t="str">
        <f>IF(ISNUMBER(deployment_raw[[#This Row],[Column5]]), deployment_raw[[#This Row],[Column5]],"")</f>
        <v/>
      </c>
      <c r="F656" s="174" t="str">
        <f>IF(ISNUMBER(deployment_raw[[#This Row],[Column6]]), (deployment_raw[[#This Row],[Column6]] * deployment_raw[[#This Row],[Column5]]),"")</f>
        <v/>
      </c>
      <c r="G656" s="175" t="str">
        <f>IF(ISNUMBER(deployment_raw[[#This Row],[Column7]]), (deployment_raw[[#This Row],[Column7]] * deployment_raw[[#This Row],[Column5]])/1048576,"")</f>
        <v/>
      </c>
      <c r="H656" s="175" t="str">
        <f>IF(ISNUMBER(deployment_raw[[#This Row],[Column8]]), (deployment_raw[[#This Row],[Column8]]  * deployment_raw[[#This Row],[Column5]]),"")</f>
        <v/>
      </c>
      <c r="I656" s="176" t="str">
        <f>IF(ISNUMBER(deployment_raw[[#This Row],[Column9]]), (deployment_raw[[#This Row],[Column9]] * deployment_raw[[#This Row],[Column5]])/1048576,"")</f>
        <v/>
      </c>
      <c r="J656" s="57" t="str">
        <f>IF(ISNUMBER(deployment_raw[[#This Row],[Column10]]), (deployment_raw[[#This Row],[Column10]] * deployment_raw[[#This Row],[Column5]]),"")</f>
        <v/>
      </c>
      <c r="K656" s="58" t="str">
        <f>IF(ISNUMBER(deployment_raw[[#This Row],[Column11]]), (deployment_raw[[#This Row],[Column11]] * deployment_raw[[#This Row],[Column5]])/1048576,"")</f>
        <v/>
      </c>
      <c r="L656" s="180" t="str">
        <f>IF(ISNUMBER(deployment_raw[[#This Row],[Column8]]),IF(deployment_raw[[#This Row],[Column5]] &lt;&gt; 0, MAX((deployment_raw[[#This Row],[Column12]] * deployment_raw[[#This Row],[Column5]]), ((deployment_raw[[#This Row],[Column8]] * deployment_raw[[#This Row],[Column5]]) * $L$2), ($H$2 * deployment_raw[[#This Row],[Column5]])), 0),"")</f>
        <v/>
      </c>
      <c r="M65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56" s="188" t="str">
        <f>IF(ISNUMBER(deployment_raw[[#This Row],[Column14]]), deployment_raw[[#This Row],[Column14]],"")</f>
        <v/>
      </c>
      <c r="O656" s="189" t="str">
        <f>IF(ISNUMBER(deployment_raw[[#This Row],[Column15]]), deployment_raw[[#This Row],[Column15]]/1048576,"")</f>
        <v/>
      </c>
      <c r="P656" s="190" t="str">
        <f>IF(ISNUMBER(deployment_raw[[#This Row],[Column12]]), (deployment_raw[[#This Row],[Column12]] * deployment_raw[[#This Row],[Column5]]),"")</f>
        <v/>
      </c>
      <c r="Q656" s="189" t="str">
        <f>IF(ISNUMBER(deployment_raw[[#This Row],[Column13]]), (deployment_raw[[#This Row],[Column13]] * deployment_raw[[#This Row],[Column5]])/1048576,"")</f>
        <v/>
      </c>
    </row>
    <row r="657" spans="1:17" ht="15.75" customHeight="1" x14ac:dyDescent="0.25">
      <c r="A657" s="37" t="str">
        <f>IF(ISNONTEXT(deployment_raw[[#This Row],[Column1]]), "", deployment_raw[[#This Row],[Column1]])</f>
        <v/>
      </c>
      <c r="B657" s="38" t="str">
        <f>IF(ISNONTEXT(deployment_raw[[#This Row],[Column2]]), "", deployment_raw[[#This Row],[Column2]])</f>
        <v/>
      </c>
      <c r="C657" s="38" t="str">
        <f>IF(ISNONTEXT(deployment_raw[[#This Row],[Column3]]), "", deployment_raw[[#This Row],[Column3]])</f>
        <v/>
      </c>
      <c r="D657" s="38" t="str">
        <f>IF(ISNONTEXT(deployment_raw[[#This Row],[Column4]]), "", deployment_raw[[#This Row],[Column4]])</f>
        <v/>
      </c>
      <c r="E657" s="39" t="str">
        <f>IF(ISNUMBER(deployment_raw[[#This Row],[Column5]]), deployment_raw[[#This Row],[Column5]],"")</f>
        <v/>
      </c>
      <c r="F657" s="174" t="str">
        <f>IF(ISNUMBER(deployment_raw[[#This Row],[Column6]]), (deployment_raw[[#This Row],[Column6]] * deployment_raw[[#This Row],[Column5]]),"")</f>
        <v/>
      </c>
      <c r="G657" s="175" t="str">
        <f>IF(ISNUMBER(deployment_raw[[#This Row],[Column7]]), (deployment_raw[[#This Row],[Column7]] * deployment_raw[[#This Row],[Column5]])/1048576,"")</f>
        <v/>
      </c>
      <c r="H657" s="175" t="str">
        <f>IF(ISNUMBER(deployment_raw[[#This Row],[Column8]]), (deployment_raw[[#This Row],[Column8]]  * deployment_raw[[#This Row],[Column5]]),"")</f>
        <v/>
      </c>
      <c r="I657" s="176" t="str">
        <f>IF(ISNUMBER(deployment_raw[[#This Row],[Column9]]), (deployment_raw[[#This Row],[Column9]] * deployment_raw[[#This Row],[Column5]])/1048576,"")</f>
        <v/>
      </c>
      <c r="J657" s="57" t="str">
        <f>IF(ISNUMBER(deployment_raw[[#This Row],[Column10]]), (deployment_raw[[#This Row],[Column10]] * deployment_raw[[#This Row],[Column5]]),"")</f>
        <v/>
      </c>
      <c r="K657" s="58" t="str">
        <f>IF(ISNUMBER(deployment_raw[[#This Row],[Column11]]), (deployment_raw[[#This Row],[Column11]] * deployment_raw[[#This Row],[Column5]])/1048576,"")</f>
        <v/>
      </c>
      <c r="L657" s="180" t="str">
        <f>IF(ISNUMBER(deployment_raw[[#This Row],[Column8]]),IF(deployment_raw[[#This Row],[Column5]] &lt;&gt; 0, MAX((deployment_raw[[#This Row],[Column12]] * deployment_raw[[#This Row],[Column5]]), ((deployment_raw[[#This Row],[Column8]] * deployment_raw[[#This Row],[Column5]]) * $L$2), ($H$2 * deployment_raw[[#This Row],[Column5]])), 0),"")</f>
        <v/>
      </c>
      <c r="M65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57" s="188" t="str">
        <f>IF(ISNUMBER(deployment_raw[[#This Row],[Column14]]), deployment_raw[[#This Row],[Column14]],"")</f>
        <v/>
      </c>
      <c r="O657" s="189" t="str">
        <f>IF(ISNUMBER(deployment_raw[[#This Row],[Column15]]), deployment_raw[[#This Row],[Column15]]/1048576,"")</f>
        <v/>
      </c>
      <c r="P657" s="190" t="str">
        <f>IF(ISNUMBER(deployment_raw[[#This Row],[Column12]]), (deployment_raw[[#This Row],[Column12]] * deployment_raw[[#This Row],[Column5]]),"")</f>
        <v/>
      </c>
      <c r="Q657" s="189" t="str">
        <f>IF(ISNUMBER(deployment_raw[[#This Row],[Column13]]), (deployment_raw[[#This Row],[Column13]] * deployment_raw[[#This Row],[Column5]])/1048576,"")</f>
        <v/>
      </c>
    </row>
    <row r="658" spans="1:17" ht="15.75" customHeight="1" x14ac:dyDescent="0.25">
      <c r="A658" s="37" t="str">
        <f>IF(ISNONTEXT(deployment_raw[[#This Row],[Column1]]), "", deployment_raw[[#This Row],[Column1]])</f>
        <v/>
      </c>
      <c r="B658" s="38" t="str">
        <f>IF(ISNONTEXT(deployment_raw[[#This Row],[Column2]]), "", deployment_raw[[#This Row],[Column2]])</f>
        <v/>
      </c>
      <c r="C658" s="38" t="str">
        <f>IF(ISNONTEXT(deployment_raw[[#This Row],[Column3]]), "", deployment_raw[[#This Row],[Column3]])</f>
        <v/>
      </c>
      <c r="D658" s="38" t="str">
        <f>IF(ISNONTEXT(deployment_raw[[#This Row],[Column4]]), "", deployment_raw[[#This Row],[Column4]])</f>
        <v/>
      </c>
      <c r="E658" s="39" t="str">
        <f>IF(ISNUMBER(deployment_raw[[#This Row],[Column5]]), deployment_raw[[#This Row],[Column5]],"")</f>
        <v/>
      </c>
      <c r="F658" s="174" t="str">
        <f>IF(ISNUMBER(deployment_raw[[#This Row],[Column6]]), (deployment_raw[[#This Row],[Column6]] * deployment_raw[[#This Row],[Column5]]),"")</f>
        <v/>
      </c>
      <c r="G658" s="175" t="str">
        <f>IF(ISNUMBER(deployment_raw[[#This Row],[Column7]]), (deployment_raw[[#This Row],[Column7]] * deployment_raw[[#This Row],[Column5]])/1048576,"")</f>
        <v/>
      </c>
      <c r="H658" s="175" t="str">
        <f>IF(ISNUMBER(deployment_raw[[#This Row],[Column8]]), (deployment_raw[[#This Row],[Column8]]  * deployment_raw[[#This Row],[Column5]]),"")</f>
        <v/>
      </c>
      <c r="I658" s="176" t="str">
        <f>IF(ISNUMBER(deployment_raw[[#This Row],[Column9]]), (deployment_raw[[#This Row],[Column9]] * deployment_raw[[#This Row],[Column5]])/1048576,"")</f>
        <v/>
      </c>
      <c r="J658" s="57" t="str">
        <f>IF(ISNUMBER(deployment_raw[[#This Row],[Column10]]), (deployment_raw[[#This Row],[Column10]] * deployment_raw[[#This Row],[Column5]]),"")</f>
        <v/>
      </c>
      <c r="K658" s="58" t="str">
        <f>IF(ISNUMBER(deployment_raw[[#This Row],[Column11]]), (deployment_raw[[#This Row],[Column11]] * deployment_raw[[#This Row],[Column5]])/1048576,"")</f>
        <v/>
      </c>
      <c r="L658" s="180" t="str">
        <f>IF(ISNUMBER(deployment_raw[[#This Row],[Column8]]),IF(deployment_raw[[#This Row],[Column5]] &lt;&gt; 0, MAX((deployment_raw[[#This Row],[Column12]] * deployment_raw[[#This Row],[Column5]]), ((deployment_raw[[#This Row],[Column8]] * deployment_raw[[#This Row],[Column5]]) * $L$2), ($H$2 * deployment_raw[[#This Row],[Column5]])), 0),"")</f>
        <v/>
      </c>
      <c r="M65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58" s="188" t="str">
        <f>IF(ISNUMBER(deployment_raw[[#This Row],[Column14]]), deployment_raw[[#This Row],[Column14]],"")</f>
        <v/>
      </c>
      <c r="O658" s="189" t="str">
        <f>IF(ISNUMBER(deployment_raw[[#This Row],[Column15]]), deployment_raw[[#This Row],[Column15]]/1048576,"")</f>
        <v/>
      </c>
      <c r="P658" s="190" t="str">
        <f>IF(ISNUMBER(deployment_raw[[#This Row],[Column12]]), (deployment_raw[[#This Row],[Column12]] * deployment_raw[[#This Row],[Column5]]),"")</f>
        <v/>
      </c>
      <c r="Q658" s="189" t="str">
        <f>IF(ISNUMBER(deployment_raw[[#This Row],[Column13]]), (deployment_raw[[#This Row],[Column13]] * deployment_raw[[#This Row],[Column5]])/1048576,"")</f>
        <v/>
      </c>
    </row>
    <row r="659" spans="1:17" ht="15.75" customHeight="1" x14ac:dyDescent="0.25">
      <c r="A659" s="37" t="str">
        <f>IF(ISNONTEXT(deployment_raw[[#This Row],[Column1]]), "", deployment_raw[[#This Row],[Column1]])</f>
        <v/>
      </c>
      <c r="B659" s="38" t="str">
        <f>IF(ISNONTEXT(deployment_raw[[#This Row],[Column2]]), "", deployment_raw[[#This Row],[Column2]])</f>
        <v/>
      </c>
      <c r="C659" s="38" t="str">
        <f>IF(ISNONTEXT(deployment_raw[[#This Row],[Column3]]), "", deployment_raw[[#This Row],[Column3]])</f>
        <v/>
      </c>
      <c r="D659" s="38" t="str">
        <f>IF(ISNONTEXT(deployment_raw[[#This Row],[Column4]]), "", deployment_raw[[#This Row],[Column4]])</f>
        <v/>
      </c>
      <c r="E659" s="39" t="str">
        <f>IF(ISNUMBER(deployment_raw[[#This Row],[Column5]]), deployment_raw[[#This Row],[Column5]],"")</f>
        <v/>
      </c>
      <c r="F659" s="174" t="str">
        <f>IF(ISNUMBER(deployment_raw[[#This Row],[Column6]]), (deployment_raw[[#This Row],[Column6]] * deployment_raw[[#This Row],[Column5]]),"")</f>
        <v/>
      </c>
      <c r="G659" s="175" t="str">
        <f>IF(ISNUMBER(deployment_raw[[#This Row],[Column7]]), (deployment_raw[[#This Row],[Column7]] * deployment_raw[[#This Row],[Column5]])/1048576,"")</f>
        <v/>
      </c>
      <c r="H659" s="175" t="str">
        <f>IF(ISNUMBER(deployment_raw[[#This Row],[Column8]]), (deployment_raw[[#This Row],[Column8]]  * deployment_raw[[#This Row],[Column5]]),"")</f>
        <v/>
      </c>
      <c r="I659" s="176" t="str">
        <f>IF(ISNUMBER(deployment_raw[[#This Row],[Column9]]), (deployment_raw[[#This Row],[Column9]] * deployment_raw[[#This Row],[Column5]])/1048576,"")</f>
        <v/>
      </c>
      <c r="J659" s="57" t="str">
        <f>IF(ISNUMBER(deployment_raw[[#This Row],[Column10]]), (deployment_raw[[#This Row],[Column10]] * deployment_raw[[#This Row],[Column5]]),"")</f>
        <v/>
      </c>
      <c r="K659" s="58" t="str">
        <f>IF(ISNUMBER(deployment_raw[[#This Row],[Column11]]), (deployment_raw[[#This Row],[Column11]] * deployment_raw[[#This Row],[Column5]])/1048576,"")</f>
        <v/>
      </c>
      <c r="L659" s="180" t="str">
        <f>IF(ISNUMBER(deployment_raw[[#This Row],[Column8]]),IF(deployment_raw[[#This Row],[Column5]] &lt;&gt; 0, MAX((deployment_raw[[#This Row],[Column12]] * deployment_raw[[#This Row],[Column5]]), ((deployment_raw[[#This Row],[Column8]] * deployment_raw[[#This Row],[Column5]]) * $L$2), ($H$2 * deployment_raw[[#This Row],[Column5]])), 0),"")</f>
        <v/>
      </c>
      <c r="M65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59" s="188" t="str">
        <f>IF(ISNUMBER(deployment_raw[[#This Row],[Column14]]), deployment_raw[[#This Row],[Column14]],"")</f>
        <v/>
      </c>
      <c r="O659" s="189" t="str">
        <f>IF(ISNUMBER(deployment_raw[[#This Row],[Column15]]), deployment_raw[[#This Row],[Column15]]/1048576,"")</f>
        <v/>
      </c>
      <c r="P659" s="190" t="str">
        <f>IF(ISNUMBER(deployment_raw[[#This Row],[Column12]]), (deployment_raw[[#This Row],[Column12]] * deployment_raw[[#This Row],[Column5]]),"")</f>
        <v/>
      </c>
      <c r="Q659" s="189" t="str">
        <f>IF(ISNUMBER(deployment_raw[[#This Row],[Column13]]), (deployment_raw[[#This Row],[Column13]] * deployment_raw[[#This Row],[Column5]])/1048576,"")</f>
        <v/>
      </c>
    </row>
    <row r="660" spans="1:17" ht="15.75" customHeight="1" x14ac:dyDescent="0.25">
      <c r="A660" s="37" t="str">
        <f>IF(ISNONTEXT(deployment_raw[[#This Row],[Column1]]), "", deployment_raw[[#This Row],[Column1]])</f>
        <v/>
      </c>
      <c r="B660" s="38" t="str">
        <f>IF(ISNONTEXT(deployment_raw[[#This Row],[Column2]]), "", deployment_raw[[#This Row],[Column2]])</f>
        <v/>
      </c>
      <c r="C660" s="38" t="str">
        <f>IF(ISNONTEXT(deployment_raw[[#This Row],[Column3]]), "", deployment_raw[[#This Row],[Column3]])</f>
        <v/>
      </c>
      <c r="D660" s="38" t="str">
        <f>IF(ISNONTEXT(deployment_raw[[#This Row],[Column4]]), "", deployment_raw[[#This Row],[Column4]])</f>
        <v/>
      </c>
      <c r="E660" s="39" t="str">
        <f>IF(ISNUMBER(deployment_raw[[#This Row],[Column5]]), deployment_raw[[#This Row],[Column5]],"")</f>
        <v/>
      </c>
      <c r="F660" s="174" t="str">
        <f>IF(ISNUMBER(deployment_raw[[#This Row],[Column6]]), (deployment_raw[[#This Row],[Column6]] * deployment_raw[[#This Row],[Column5]]),"")</f>
        <v/>
      </c>
      <c r="G660" s="175" t="str">
        <f>IF(ISNUMBER(deployment_raw[[#This Row],[Column7]]), (deployment_raw[[#This Row],[Column7]] * deployment_raw[[#This Row],[Column5]])/1048576,"")</f>
        <v/>
      </c>
      <c r="H660" s="175" t="str">
        <f>IF(ISNUMBER(deployment_raw[[#This Row],[Column8]]), (deployment_raw[[#This Row],[Column8]]  * deployment_raw[[#This Row],[Column5]]),"")</f>
        <v/>
      </c>
      <c r="I660" s="176" t="str">
        <f>IF(ISNUMBER(deployment_raw[[#This Row],[Column9]]), (deployment_raw[[#This Row],[Column9]] * deployment_raw[[#This Row],[Column5]])/1048576,"")</f>
        <v/>
      </c>
      <c r="J660" s="57" t="str">
        <f>IF(ISNUMBER(deployment_raw[[#This Row],[Column10]]), (deployment_raw[[#This Row],[Column10]] * deployment_raw[[#This Row],[Column5]]),"")</f>
        <v/>
      </c>
      <c r="K660" s="58" t="str">
        <f>IF(ISNUMBER(deployment_raw[[#This Row],[Column11]]), (deployment_raw[[#This Row],[Column11]] * deployment_raw[[#This Row],[Column5]])/1048576,"")</f>
        <v/>
      </c>
      <c r="L660" s="180" t="str">
        <f>IF(ISNUMBER(deployment_raw[[#This Row],[Column8]]),IF(deployment_raw[[#This Row],[Column5]] &lt;&gt; 0, MAX((deployment_raw[[#This Row],[Column12]] * deployment_raw[[#This Row],[Column5]]), ((deployment_raw[[#This Row],[Column8]] * deployment_raw[[#This Row],[Column5]]) * $L$2), ($H$2 * deployment_raw[[#This Row],[Column5]])), 0),"")</f>
        <v/>
      </c>
      <c r="M66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60" s="188" t="str">
        <f>IF(ISNUMBER(deployment_raw[[#This Row],[Column14]]), deployment_raw[[#This Row],[Column14]],"")</f>
        <v/>
      </c>
      <c r="O660" s="189" t="str">
        <f>IF(ISNUMBER(deployment_raw[[#This Row],[Column15]]), deployment_raw[[#This Row],[Column15]]/1048576,"")</f>
        <v/>
      </c>
      <c r="P660" s="190" t="str">
        <f>IF(ISNUMBER(deployment_raw[[#This Row],[Column12]]), (deployment_raw[[#This Row],[Column12]] * deployment_raw[[#This Row],[Column5]]),"")</f>
        <v/>
      </c>
      <c r="Q660" s="189" t="str">
        <f>IF(ISNUMBER(deployment_raw[[#This Row],[Column13]]), (deployment_raw[[#This Row],[Column13]] * deployment_raw[[#This Row],[Column5]])/1048576,"")</f>
        <v/>
      </c>
    </row>
    <row r="661" spans="1:17" ht="15.75" customHeight="1" x14ac:dyDescent="0.25">
      <c r="A661" s="37" t="str">
        <f>IF(ISNONTEXT(deployment_raw[[#This Row],[Column1]]), "", deployment_raw[[#This Row],[Column1]])</f>
        <v/>
      </c>
      <c r="B661" s="38" t="str">
        <f>IF(ISNONTEXT(deployment_raw[[#This Row],[Column2]]), "", deployment_raw[[#This Row],[Column2]])</f>
        <v/>
      </c>
      <c r="C661" s="38" t="str">
        <f>IF(ISNONTEXT(deployment_raw[[#This Row],[Column3]]), "", deployment_raw[[#This Row],[Column3]])</f>
        <v/>
      </c>
      <c r="D661" s="38" t="str">
        <f>IF(ISNONTEXT(deployment_raw[[#This Row],[Column4]]), "", deployment_raw[[#This Row],[Column4]])</f>
        <v/>
      </c>
      <c r="E661" s="39" t="str">
        <f>IF(ISNUMBER(deployment_raw[[#This Row],[Column5]]), deployment_raw[[#This Row],[Column5]],"")</f>
        <v/>
      </c>
      <c r="F661" s="174" t="str">
        <f>IF(ISNUMBER(deployment_raw[[#This Row],[Column6]]), (deployment_raw[[#This Row],[Column6]] * deployment_raw[[#This Row],[Column5]]),"")</f>
        <v/>
      </c>
      <c r="G661" s="175" t="str">
        <f>IF(ISNUMBER(deployment_raw[[#This Row],[Column7]]), (deployment_raw[[#This Row],[Column7]] * deployment_raw[[#This Row],[Column5]])/1048576,"")</f>
        <v/>
      </c>
      <c r="H661" s="175" t="str">
        <f>IF(ISNUMBER(deployment_raw[[#This Row],[Column8]]), (deployment_raw[[#This Row],[Column8]]  * deployment_raw[[#This Row],[Column5]]),"")</f>
        <v/>
      </c>
      <c r="I661" s="176" t="str">
        <f>IF(ISNUMBER(deployment_raw[[#This Row],[Column9]]), (deployment_raw[[#This Row],[Column9]] * deployment_raw[[#This Row],[Column5]])/1048576,"")</f>
        <v/>
      </c>
      <c r="J661" s="57" t="str">
        <f>IF(ISNUMBER(deployment_raw[[#This Row],[Column10]]), (deployment_raw[[#This Row],[Column10]] * deployment_raw[[#This Row],[Column5]]),"")</f>
        <v/>
      </c>
      <c r="K661" s="58" t="str">
        <f>IF(ISNUMBER(deployment_raw[[#This Row],[Column11]]), (deployment_raw[[#This Row],[Column11]] * deployment_raw[[#This Row],[Column5]])/1048576,"")</f>
        <v/>
      </c>
      <c r="L661" s="180" t="str">
        <f>IF(ISNUMBER(deployment_raw[[#This Row],[Column8]]),IF(deployment_raw[[#This Row],[Column5]] &lt;&gt; 0, MAX((deployment_raw[[#This Row],[Column12]] * deployment_raw[[#This Row],[Column5]]), ((deployment_raw[[#This Row],[Column8]] * deployment_raw[[#This Row],[Column5]]) * $L$2), ($H$2 * deployment_raw[[#This Row],[Column5]])), 0),"")</f>
        <v/>
      </c>
      <c r="M66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61" s="188" t="str">
        <f>IF(ISNUMBER(deployment_raw[[#This Row],[Column14]]), deployment_raw[[#This Row],[Column14]],"")</f>
        <v/>
      </c>
      <c r="O661" s="189" t="str">
        <f>IF(ISNUMBER(deployment_raw[[#This Row],[Column15]]), deployment_raw[[#This Row],[Column15]]/1048576,"")</f>
        <v/>
      </c>
      <c r="P661" s="190" t="str">
        <f>IF(ISNUMBER(deployment_raw[[#This Row],[Column12]]), (deployment_raw[[#This Row],[Column12]] * deployment_raw[[#This Row],[Column5]]),"")</f>
        <v/>
      </c>
      <c r="Q661" s="189" t="str">
        <f>IF(ISNUMBER(deployment_raw[[#This Row],[Column13]]), (deployment_raw[[#This Row],[Column13]] * deployment_raw[[#This Row],[Column5]])/1048576,"")</f>
        <v/>
      </c>
    </row>
    <row r="662" spans="1:17" ht="15.75" customHeight="1" x14ac:dyDescent="0.25">
      <c r="A662" s="37" t="str">
        <f>IF(ISNONTEXT(deployment_raw[[#This Row],[Column1]]), "", deployment_raw[[#This Row],[Column1]])</f>
        <v/>
      </c>
      <c r="B662" s="38" t="str">
        <f>IF(ISNONTEXT(deployment_raw[[#This Row],[Column2]]), "", deployment_raw[[#This Row],[Column2]])</f>
        <v/>
      </c>
      <c r="C662" s="38" t="str">
        <f>IF(ISNONTEXT(deployment_raw[[#This Row],[Column3]]), "", deployment_raw[[#This Row],[Column3]])</f>
        <v/>
      </c>
      <c r="D662" s="38" t="str">
        <f>IF(ISNONTEXT(deployment_raw[[#This Row],[Column4]]), "", deployment_raw[[#This Row],[Column4]])</f>
        <v/>
      </c>
      <c r="E662" s="39" t="str">
        <f>IF(ISNUMBER(deployment_raw[[#This Row],[Column5]]), deployment_raw[[#This Row],[Column5]],"")</f>
        <v/>
      </c>
      <c r="F662" s="174" t="str">
        <f>IF(ISNUMBER(deployment_raw[[#This Row],[Column6]]), (deployment_raw[[#This Row],[Column6]] * deployment_raw[[#This Row],[Column5]]),"")</f>
        <v/>
      </c>
      <c r="G662" s="175" t="str">
        <f>IF(ISNUMBER(deployment_raw[[#This Row],[Column7]]), (deployment_raw[[#This Row],[Column7]] * deployment_raw[[#This Row],[Column5]])/1048576,"")</f>
        <v/>
      </c>
      <c r="H662" s="175" t="str">
        <f>IF(ISNUMBER(deployment_raw[[#This Row],[Column8]]), (deployment_raw[[#This Row],[Column8]]  * deployment_raw[[#This Row],[Column5]]),"")</f>
        <v/>
      </c>
      <c r="I662" s="176" t="str">
        <f>IF(ISNUMBER(deployment_raw[[#This Row],[Column9]]), (deployment_raw[[#This Row],[Column9]] * deployment_raw[[#This Row],[Column5]])/1048576,"")</f>
        <v/>
      </c>
      <c r="J662" s="57" t="str">
        <f>IF(ISNUMBER(deployment_raw[[#This Row],[Column10]]), (deployment_raw[[#This Row],[Column10]] * deployment_raw[[#This Row],[Column5]]),"")</f>
        <v/>
      </c>
      <c r="K662" s="58" t="str">
        <f>IF(ISNUMBER(deployment_raw[[#This Row],[Column11]]), (deployment_raw[[#This Row],[Column11]] * deployment_raw[[#This Row],[Column5]])/1048576,"")</f>
        <v/>
      </c>
      <c r="L662" s="180" t="str">
        <f>IF(ISNUMBER(deployment_raw[[#This Row],[Column8]]),IF(deployment_raw[[#This Row],[Column5]] &lt;&gt; 0, MAX((deployment_raw[[#This Row],[Column12]] * deployment_raw[[#This Row],[Column5]]), ((deployment_raw[[#This Row],[Column8]] * deployment_raw[[#This Row],[Column5]]) * $L$2), ($H$2 * deployment_raw[[#This Row],[Column5]])), 0),"")</f>
        <v/>
      </c>
      <c r="M66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62" s="188" t="str">
        <f>IF(ISNUMBER(deployment_raw[[#This Row],[Column14]]), deployment_raw[[#This Row],[Column14]],"")</f>
        <v/>
      </c>
      <c r="O662" s="189" t="str">
        <f>IF(ISNUMBER(deployment_raw[[#This Row],[Column15]]), deployment_raw[[#This Row],[Column15]]/1048576,"")</f>
        <v/>
      </c>
      <c r="P662" s="190" t="str">
        <f>IF(ISNUMBER(deployment_raw[[#This Row],[Column12]]), (deployment_raw[[#This Row],[Column12]] * deployment_raw[[#This Row],[Column5]]),"")</f>
        <v/>
      </c>
      <c r="Q662" s="189" t="str">
        <f>IF(ISNUMBER(deployment_raw[[#This Row],[Column13]]), (deployment_raw[[#This Row],[Column13]] * deployment_raw[[#This Row],[Column5]])/1048576,"")</f>
        <v/>
      </c>
    </row>
    <row r="663" spans="1:17" ht="15.75" customHeight="1" x14ac:dyDescent="0.25">
      <c r="A663" s="37" t="str">
        <f>IF(ISNONTEXT(deployment_raw[[#This Row],[Column1]]), "", deployment_raw[[#This Row],[Column1]])</f>
        <v/>
      </c>
      <c r="B663" s="38" t="str">
        <f>IF(ISNONTEXT(deployment_raw[[#This Row],[Column2]]), "", deployment_raw[[#This Row],[Column2]])</f>
        <v/>
      </c>
      <c r="C663" s="38" t="str">
        <f>IF(ISNONTEXT(deployment_raw[[#This Row],[Column3]]), "", deployment_raw[[#This Row],[Column3]])</f>
        <v/>
      </c>
      <c r="D663" s="38" t="str">
        <f>IF(ISNONTEXT(deployment_raw[[#This Row],[Column4]]), "", deployment_raw[[#This Row],[Column4]])</f>
        <v/>
      </c>
      <c r="E663" s="39" t="str">
        <f>IF(ISNUMBER(deployment_raw[[#This Row],[Column5]]), deployment_raw[[#This Row],[Column5]],"")</f>
        <v/>
      </c>
      <c r="F663" s="174" t="str">
        <f>IF(ISNUMBER(deployment_raw[[#This Row],[Column6]]), (deployment_raw[[#This Row],[Column6]] * deployment_raw[[#This Row],[Column5]]),"")</f>
        <v/>
      </c>
      <c r="G663" s="175" t="str">
        <f>IF(ISNUMBER(deployment_raw[[#This Row],[Column7]]), (deployment_raw[[#This Row],[Column7]] * deployment_raw[[#This Row],[Column5]])/1048576,"")</f>
        <v/>
      </c>
      <c r="H663" s="175" t="str">
        <f>IF(ISNUMBER(deployment_raw[[#This Row],[Column8]]), (deployment_raw[[#This Row],[Column8]]  * deployment_raw[[#This Row],[Column5]]),"")</f>
        <v/>
      </c>
      <c r="I663" s="176" t="str">
        <f>IF(ISNUMBER(deployment_raw[[#This Row],[Column9]]), (deployment_raw[[#This Row],[Column9]] * deployment_raw[[#This Row],[Column5]])/1048576,"")</f>
        <v/>
      </c>
      <c r="J663" s="57" t="str">
        <f>IF(ISNUMBER(deployment_raw[[#This Row],[Column10]]), (deployment_raw[[#This Row],[Column10]] * deployment_raw[[#This Row],[Column5]]),"")</f>
        <v/>
      </c>
      <c r="K663" s="58" t="str">
        <f>IF(ISNUMBER(deployment_raw[[#This Row],[Column11]]), (deployment_raw[[#This Row],[Column11]] * deployment_raw[[#This Row],[Column5]])/1048576,"")</f>
        <v/>
      </c>
      <c r="L663" s="180" t="str">
        <f>IF(ISNUMBER(deployment_raw[[#This Row],[Column8]]),IF(deployment_raw[[#This Row],[Column5]] &lt;&gt; 0, MAX((deployment_raw[[#This Row],[Column12]] * deployment_raw[[#This Row],[Column5]]), ((deployment_raw[[#This Row],[Column8]] * deployment_raw[[#This Row],[Column5]]) * $L$2), ($H$2 * deployment_raw[[#This Row],[Column5]])), 0),"")</f>
        <v/>
      </c>
      <c r="M66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63" s="188" t="str">
        <f>IF(ISNUMBER(deployment_raw[[#This Row],[Column14]]), deployment_raw[[#This Row],[Column14]],"")</f>
        <v/>
      </c>
      <c r="O663" s="189" t="str">
        <f>IF(ISNUMBER(deployment_raw[[#This Row],[Column15]]), deployment_raw[[#This Row],[Column15]]/1048576,"")</f>
        <v/>
      </c>
      <c r="P663" s="190" t="str">
        <f>IF(ISNUMBER(deployment_raw[[#This Row],[Column12]]), (deployment_raw[[#This Row],[Column12]] * deployment_raw[[#This Row],[Column5]]),"")</f>
        <v/>
      </c>
      <c r="Q663" s="189" t="str">
        <f>IF(ISNUMBER(deployment_raw[[#This Row],[Column13]]), (deployment_raw[[#This Row],[Column13]] * deployment_raw[[#This Row],[Column5]])/1048576,"")</f>
        <v/>
      </c>
    </row>
    <row r="664" spans="1:17" ht="15.75" customHeight="1" x14ac:dyDescent="0.25">
      <c r="A664" s="37" t="str">
        <f>IF(ISNONTEXT(deployment_raw[[#This Row],[Column1]]), "", deployment_raw[[#This Row],[Column1]])</f>
        <v/>
      </c>
      <c r="B664" s="38" t="str">
        <f>IF(ISNONTEXT(deployment_raw[[#This Row],[Column2]]), "", deployment_raw[[#This Row],[Column2]])</f>
        <v/>
      </c>
      <c r="C664" s="38" t="str">
        <f>IF(ISNONTEXT(deployment_raw[[#This Row],[Column3]]), "", deployment_raw[[#This Row],[Column3]])</f>
        <v/>
      </c>
      <c r="D664" s="38" t="str">
        <f>IF(ISNONTEXT(deployment_raw[[#This Row],[Column4]]), "", deployment_raw[[#This Row],[Column4]])</f>
        <v/>
      </c>
      <c r="E664" s="39" t="str">
        <f>IF(ISNUMBER(deployment_raw[[#This Row],[Column5]]), deployment_raw[[#This Row],[Column5]],"")</f>
        <v/>
      </c>
      <c r="F664" s="174" t="str">
        <f>IF(ISNUMBER(deployment_raw[[#This Row],[Column6]]), (deployment_raw[[#This Row],[Column6]] * deployment_raw[[#This Row],[Column5]]),"")</f>
        <v/>
      </c>
      <c r="G664" s="175" t="str">
        <f>IF(ISNUMBER(deployment_raw[[#This Row],[Column7]]), (deployment_raw[[#This Row],[Column7]] * deployment_raw[[#This Row],[Column5]])/1048576,"")</f>
        <v/>
      </c>
      <c r="H664" s="175" t="str">
        <f>IF(ISNUMBER(deployment_raw[[#This Row],[Column8]]), (deployment_raw[[#This Row],[Column8]]  * deployment_raw[[#This Row],[Column5]]),"")</f>
        <v/>
      </c>
      <c r="I664" s="176" t="str">
        <f>IF(ISNUMBER(deployment_raw[[#This Row],[Column9]]), (deployment_raw[[#This Row],[Column9]] * deployment_raw[[#This Row],[Column5]])/1048576,"")</f>
        <v/>
      </c>
      <c r="J664" s="57" t="str">
        <f>IF(ISNUMBER(deployment_raw[[#This Row],[Column10]]), (deployment_raw[[#This Row],[Column10]] * deployment_raw[[#This Row],[Column5]]),"")</f>
        <v/>
      </c>
      <c r="K664" s="58" t="str">
        <f>IF(ISNUMBER(deployment_raw[[#This Row],[Column11]]), (deployment_raw[[#This Row],[Column11]] * deployment_raw[[#This Row],[Column5]])/1048576,"")</f>
        <v/>
      </c>
      <c r="L664" s="180" t="str">
        <f>IF(ISNUMBER(deployment_raw[[#This Row],[Column8]]),IF(deployment_raw[[#This Row],[Column5]] &lt;&gt; 0, MAX((deployment_raw[[#This Row],[Column12]] * deployment_raw[[#This Row],[Column5]]), ((deployment_raw[[#This Row],[Column8]] * deployment_raw[[#This Row],[Column5]]) * $L$2), ($H$2 * deployment_raw[[#This Row],[Column5]])), 0),"")</f>
        <v/>
      </c>
      <c r="M66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64" s="188" t="str">
        <f>IF(ISNUMBER(deployment_raw[[#This Row],[Column14]]), deployment_raw[[#This Row],[Column14]],"")</f>
        <v/>
      </c>
      <c r="O664" s="189" t="str">
        <f>IF(ISNUMBER(deployment_raw[[#This Row],[Column15]]), deployment_raw[[#This Row],[Column15]]/1048576,"")</f>
        <v/>
      </c>
      <c r="P664" s="190" t="str">
        <f>IF(ISNUMBER(deployment_raw[[#This Row],[Column12]]), (deployment_raw[[#This Row],[Column12]] * deployment_raw[[#This Row],[Column5]]),"")</f>
        <v/>
      </c>
      <c r="Q664" s="189" t="str">
        <f>IF(ISNUMBER(deployment_raw[[#This Row],[Column13]]), (deployment_raw[[#This Row],[Column13]] * deployment_raw[[#This Row],[Column5]])/1048576,"")</f>
        <v/>
      </c>
    </row>
    <row r="665" spans="1:17" ht="15.75" customHeight="1" x14ac:dyDescent="0.25">
      <c r="A665" s="37" t="str">
        <f>IF(ISNONTEXT(deployment_raw[[#This Row],[Column1]]), "", deployment_raw[[#This Row],[Column1]])</f>
        <v/>
      </c>
      <c r="B665" s="38" t="str">
        <f>IF(ISNONTEXT(deployment_raw[[#This Row],[Column2]]), "", deployment_raw[[#This Row],[Column2]])</f>
        <v/>
      </c>
      <c r="C665" s="38" t="str">
        <f>IF(ISNONTEXT(deployment_raw[[#This Row],[Column3]]), "", deployment_raw[[#This Row],[Column3]])</f>
        <v/>
      </c>
      <c r="D665" s="38" t="str">
        <f>IF(ISNONTEXT(deployment_raw[[#This Row],[Column4]]), "", deployment_raw[[#This Row],[Column4]])</f>
        <v/>
      </c>
      <c r="E665" s="39" t="str">
        <f>IF(ISNUMBER(deployment_raw[[#This Row],[Column5]]), deployment_raw[[#This Row],[Column5]],"")</f>
        <v/>
      </c>
      <c r="F665" s="174" t="str">
        <f>IF(ISNUMBER(deployment_raw[[#This Row],[Column6]]), (deployment_raw[[#This Row],[Column6]] * deployment_raw[[#This Row],[Column5]]),"")</f>
        <v/>
      </c>
      <c r="G665" s="175" t="str">
        <f>IF(ISNUMBER(deployment_raw[[#This Row],[Column7]]), (deployment_raw[[#This Row],[Column7]] * deployment_raw[[#This Row],[Column5]])/1048576,"")</f>
        <v/>
      </c>
      <c r="H665" s="175" t="str">
        <f>IF(ISNUMBER(deployment_raw[[#This Row],[Column8]]), (deployment_raw[[#This Row],[Column8]]  * deployment_raw[[#This Row],[Column5]]),"")</f>
        <v/>
      </c>
      <c r="I665" s="176" t="str">
        <f>IF(ISNUMBER(deployment_raw[[#This Row],[Column9]]), (deployment_raw[[#This Row],[Column9]] * deployment_raw[[#This Row],[Column5]])/1048576,"")</f>
        <v/>
      </c>
      <c r="J665" s="57" t="str">
        <f>IF(ISNUMBER(deployment_raw[[#This Row],[Column10]]), (deployment_raw[[#This Row],[Column10]] * deployment_raw[[#This Row],[Column5]]),"")</f>
        <v/>
      </c>
      <c r="K665" s="58" t="str">
        <f>IF(ISNUMBER(deployment_raw[[#This Row],[Column11]]), (deployment_raw[[#This Row],[Column11]] * deployment_raw[[#This Row],[Column5]])/1048576,"")</f>
        <v/>
      </c>
      <c r="L665" s="180" t="str">
        <f>IF(ISNUMBER(deployment_raw[[#This Row],[Column8]]),IF(deployment_raw[[#This Row],[Column5]] &lt;&gt; 0, MAX((deployment_raw[[#This Row],[Column12]] * deployment_raw[[#This Row],[Column5]]), ((deployment_raw[[#This Row],[Column8]] * deployment_raw[[#This Row],[Column5]]) * $L$2), ($H$2 * deployment_raw[[#This Row],[Column5]])), 0),"")</f>
        <v/>
      </c>
      <c r="M66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65" s="188" t="str">
        <f>IF(ISNUMBER(deployment_raw[[#This Row],[Column14]]), deployment_raw[[#This Row],[Column14]],"")</f>
        <v/>
      </c>
      <c r="O665" s="189" t="str">
        <f>IF(ISNUMBER(deployment_raw[[#This Row],[Column15]]), deployment_raw[[#This Row],[Column15]]/1048576,"")</f>
        <v/>
      </c>
      <c r="P665" s="190" t="str">
        <f>IF(ISNUMBER(deployment_raw[[#This Row],[Column12]]), (deployment_raw[[#This Row],[Column12]] * deployment_raw[[#This Row],[Column5]]),"")</f>
        <v/>
      </c>
      <c r="Q665" s="189" t="str">
        <f>IF(ISNUMBER(deployment_raw[[#This Row],[Column13]]), (deployment_raw[[#This Row],[Column13]] * deployment_raw[[#This Row],[Column5]])/1048576,"")</f>
        <v/>
      </c>
    </row>
    <row r="666" spans="1:17" ht="15.75" customHeight="1" x14ac:dyDescent="0.25">
      <c r="A666" s="37" t="str">
        <f>IF(ISNONTEXT(deployment_raw[[#This Row],[Column1]]), "", deployment_raw[[#This Row],[Column1]])</f>
        <v/>
      </c>
      <c r="B666" s="38" t="str">
        <f>IF(ISNONTEXT(deployment_raw[[#This Row],[Column2]]), "", deployment_raw[[#This Row],[Column2]])</f>
        <v/>
      </c>
      <c r="C666" s="38" t="str">
        <f>IF(ISNONTEXT(deployment_raw[[#This Row],[Column3]]), "", deployment_raw[[#This Row],[Column3]])</f>
        <v/>
      </c>
      <c r="D666" s="38" t="str">
        <f>IF(ISNONTEXT(deployment_raw[[#This Row],[Column4]]), "", deployment_raw[[#This Row],[Column4]])</f>
        <v/>
      </c>
      <c r="E666" s="39" t="str">
        <f>IF(ISNUMBER(deployment_raw[[#This Row],[Column5]]), deployment_raw[[#This Row],[Column5]],"")</f>
        <v/>
      </c>
      <c r="F666" s="174" t="str">
        <f>IF(ISNUMBER(deployment_raw[[#This Row],[Column6]]), (deployment_raw[[#This Row],[Column6]] * deployment_raw[[#This Row],[Column5]]),"")</f>
        <v/>
      </c>
      <c r="G666" s="175" t="str">
        <f>IF(ISNUMBER(deployment_raw[[#This Row],[Column7]]), (deployment_raw[[#This Row],[Column7]] * deployment_raw[[#This Row],[Column5]])/1048576,"")</f>
        <v/>
      </c>
      <c r="H666" s="175" t="str">
        <f>IF(ISNUMBER(deployment_raw[[#This Row],[Column8]]), (deployment_raw[[#This Row],[Column8]]  * deployment_raw[[#This Row],[Column5]]),"")</f>
        <v/>
      </c>
      <c r="I666" s="176" t="str">
        <f>IF(ISNUMBER(deployment_raw[[#This Row],[Column9]]), (deployment_raw[[#This Row],[Column9]] * deployment_raw[[#This Row],[Column5]])/1048576,"")</f>
        <v/>
      </c>
      <c r="J666" s="57" t="str">
        <f>IF(ISNUMBER(deployment_raw[[#This Row],[Column10]]), (deployment_raw[[#This Row],[Column10]] * deployment_raw[[#This Row],[Column5]]),"")</f>
        <v/>
      </c>
      <c r="K666" s="58" t="str">
        <f>IF(ISNUMBER(deployment_raw[[#This Row],[Column11]]), (deployment_raw[[#This Row],[Column11]] * deployment_raw[[#This Row],[Column5]])/1048576,"")</f>
        <v/>
      </c>
      <c r="L666" s="180" t="str">
        <f>IF(ISNUMBER(deployment_raw[[#This Row],[Column8]]),IF(deployment_raw[[#This Row],[Column5]] &lt;&gt; 0, MAX((deployment_raw[[#This Row],[Column12]] * deployment_raw[[#This Row],[Column5]]), ((deployment_raw[[#This Row],[Column8]] * deployment_raw[[#This Row],[Column5]]) * $L$2), ($H$2 * deployment_raw[[#This Row],[Column5]])), 0),"")</f>
        <v/>
      </c>
      <c r="M66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66" s="188" t="str">
        <f>IF(ISNUMBER(deployment_raw[[#This Row],[Column14]]), deployment_raw[[#This Row],[Column14]],"")</f>
        <v/>
      </c>
      <c r="O666" s="189" t="str">
        <f>IF(ISNUMBER(deployment_raw[[#This Row],[Column15]]), deployment_raw[[#This Row],[Column15]]/1048576,"")</f>
        <v/>
      </c>
      <c r="P666" s="190" t="str">
        <f>IF(ISNUMBER(deployment_raw[[#This Row],[Column12]]), (deployment_raw[[#This Row],[Column12]] * deployment_raw[[#This Row],[Column5]]),"")</f>
        <v/>
      </c>
      <c r="Q666" s="189" t="str">
        <f>IF(ISNUMBER(deployment_raw[[#This Row],[Column13]]), (deployment_raw[[#This Row],[Column13]] * deployment_raw[[#This Row],[Column5]])/1048576,"")</f>
        <v/>
      </c>
    </row>
    <row r="667" spans="1:17" ht="15.75" customHeight="1" x14ac:dyDescent="0.25">
      <c r="A667" s="37" t="str">
        <f>IF(ISNONTEXT(deployment_raw[[#This Row],[Column1]]), "", deployment_raw[[#This Row],[Column1]])</f>
        <v/>
      </c>
      <c r="B667" s="38" t="str">
        <f>IF(ISNONTEXT(deployment_raw[[#This Row],[Column2]]), "", deployment_raw[[#This Row],[Column2]])</f>
        <v/>
      </c>
      <c r="C667" s="38" t="str">
        <f>IF(ISNONTEXT(deployment_raw[[#This Row],[Column3]]), "", deployment_raw[[#This Row],[Column3]])</f>
        <v/>
      </c>
      <c r="D667" s="38" t="str">
        <f>IF(ISNONTEXT(deployment_raw[[#This Row],[Column4]]), "", deployment_raw[[#This Row],[Column4]])</f>
        <v/>
      </c>
      <c r="E667" s="39" t="str">
        <f>IF(ISNUMBER(deployment_raw[[#This Row],[Column5]]), deployment_raw[[#This Row],[Column5]],"")</f>
        <v/>
      </c>
      <c r="F667" s="174" t="str">
        <f>IF(ISNUMBER(deployment_raw[[#This Row],[Column6]]), (deployment_raw[[#This Row],[Column6]] * deployment_raw[[#This Row],[Column5]]),"")</f>
        <v/>
      </c>
      <c r="G667" s="175" t="str">
        <f>IF(ISNUMBER(deployment_raw[[#This Row],[Column7]]), (deployment_raw[[#This Row],[Column7]] * deployment_raw[[#This Row],[Column5]])/1048576,"")</f>
        <v/>
      </c>
      <c r="H667" s="175" t="str">
        <f>IF(ISNUMBER(deployment_raw[[#This Row],[Column8]]), (deployment_raw[[#This Row],[Column8]]  * deployment_raw[[#This Row],[Column5]]),"")</f>
        <v/>
      </c>
      <c r="I667" s="176" t="str">
        <f>IF(ISNUMBER(deployment_raw[[#This Row],[Column9]]), (deployment_raw[[#This Row],[Column9]] * deployment_raw[[#This Row],[Column5]])/1048576,"")</f>
        <v/>
      </c>
      <c r="J667" s="57" t="str">
        <f>IF(ISNUMBER(deployment_raw[[#This Row],[Column10]]), (deployment_raw[[#This Row],[Column10]] * deployment_raw[[#This Row],[Column5]]),"")</f>
        <v/>
      </c>
      <c r="K667" s="58" t="str">
        <f>IF(ISNUMBER(deployment_raw[[#This Row],[Column11]]), (deployment_raw[[#This Row],[Column11]] * deployment_raw[[#This Row],[Column5]])/1048576,"")</f>
        <v/>
      </c>
      <c r="L667" s="180" t="str">
        <f>IF(ISNUMBER(deployment_raw[[#This Row],[Column8]]),IF(deployment_raw[[#This Row],[Column5]] &lt;&gt; 0, MAX((deployment_raw[[#This Row],[Column12]] * deployment_raw[[#This Row],[Column5]]), ((deployment_raw[[#This Row],[Column8]] * deployment_raw[[#This Row],[Column5]]) * $L$2), ($H$2 * deployment_raw[[#This Row],[Column5]])), 0),"")</f>
        <v/>
      </c>
      <c r="M66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67" s="188" t="str">
        <f>IF(ISNUMBER(deployment_raw[[#This Row],[Column14]]), deployment_raw[[#This Row],[Column14]],"")</f>
        <v/>
      </c>
      <c r="O667" s="189" t="str">
        <f>IF(ISNUMBER(deployment_raw[[#This Row],[Column15]]), deployment_raw[[#This Row],[Column15]]/1048576,"")</f>
        <v/>
      </c>
      <c r="P667" s="190" t="str">
        <f>IF(ISNUMBER(deployment_raw[[#This Row],[Column12]]), (deployment_raw[[#This Row],[Column12]] * deployment_raw[[#This Row],[Column5]]),"")</f>
        <v/>
      </c>
      <c r="Q667" s="189" t="str">
        <f>IF(ISNUMBER(deployment_raw[[#This Row],[Column13]]), (deployment_raw[[#This Row],[Column13]] * deployment_raw[[#This Row],[Column5]])/1048576,"")</f>
        <v/>
      </c>
    </row>
    <row r="668" spans="1:17" ht="15.75" customHeight="1" x14ac:dyDescent="0.25">
      <c r="A668" s="37" t="str">
        <f>IF(ISNONTEXT(deployment_raw[[#This Row],[Column1]]), "", deployment_raw[[#This Row],[Column1]])</f>
        <v/>
      </c>
      <c r="B668" s="38" t="str">
        <f>IF(ISNONTEXT(deployment_raw[[#This Row],[Column2]]), "", deployment_raw[[#This Row],[Column2]])</f>
        <v/>
      </c>
      <c r="C668" s="38" t="str">
        <f>IF(ISNONTEXT(deployment_raw[[#This Row],[Column3]]), "", deployment_raw[[#This Row],[Column3]])</f>
        <v/>
      </c>
      <c r="D668" s="38" t="str">
        <f>IF(ISNONTEXT(deployment_raw[[#This Row],[Column4]]), "", deployment_raw[[#This Row],[Column4]])</f>
        <v/>
      </c>
      <c r="E668" s="39" t="str">
        <f>IF(ISNUMBER(deployment_raw[[#This Row],[Column5]]), deployment_raw[[#This Row],[Column5]],"")</f>
        <v/>
      </c>
      <c r="F668" s="174" t="str">
        <f>IF(ISNUMBER(deployment_raw[[#This Row],[Column6]]), (deployment_raw[[#This Row],[Column6]] * deployment_raw[[#This Row],[Column5]]),"")</f>
        <v/>
      </c>
      <c r="G668" s="175" t="str">
        <f>IF(ISNUMBER(deployment_raw[[#This Row],[Column7]]), (deployment_raw[[#This Row],[Column7]] * deployment_raw[[#This Row],[Column5]])/1048576,"")</f>
        <v/>
      </c>
      <c r="H668" s="175" t="str">
        <f>IF(ISNUMBER(deployment_raw[[#This Row],[Column8]]), (deployment_raw[[#This Row],[Column8]]  * deployment_raw[[#This Row],[Column5]]),"")</f>
        <v/>
      </c>
      <c r="I668" s="176" t="str">
        <f>IF(ISNUMBER(deployment_raw[[#This Row],[Column9]]), (deployment_raw[[#This Row],[Column9]] * deployment_raw[[#This Row],[Column5]])/1048576,"")</f>
        <v/>
      </c>
      <c r="J668" s="57" t="str">
        <f>IF(ISNUMBER(deployment_raw[[#This Row],[Column10]]), (deployment_raw[[#This Row],[Column10]] * deployment_raw[[#This Row],[Column5]]),"")</f>
        <v/>
      </c>
      <c r="K668" s="58" t="str">
        <f>IF(ISNUMBER(deployment_raw[[#This Row],[Column11]]), (deployment_raw[[#This Row],[Column11]] * deployment_raw[[#This Row],[Column5]])/1048576,"")</f>
        <v/>
      </c>
      <c r="L668" s="180" t="str">
        <f>IF(ISNUMBER(deployment_raw[[#This Row],[Column8]]),IF(deployment_raw[[#This Row],[Column5]] &lt;&gt; 0, MAX((deployment_raw[[#This Row],[Column12]] * deployment_raw[[#This Row],[Column5]]), ((deployment_raw[[#This Row],[Column8]] * deployment_raw[[#This Row],[Column5]]) * $L$2), ($H$2 * deployment_raw[[#This Row],[Column5]])), 0),"")</f>
        <v/>
      </c>
      <c r="M66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68" s="188" t="str">
        <f>IF(ISNUMBER(deployment_raw[[#This Row],[Column14]]), deployment_raw[[#This Row],[Column14]],"")</f>
        <v/>
      </c>
      <c r="O668" s="189" t="str">
        <f>IF(ISNUMBER(deployment_raw[[#This Row],[Column15]]), deployment_raw[[#This Row],[Column15]]/1048576,"")</f>
        <v/>
      </c>
      <c r="P668" s="190" t="str">
        <f>IF(ISNUMBER(deployment_raw[[#This Row],[Column12]]), (deployment_raw[[#This Row],[Column12]] * deployment_raw[[#This Row],[Column5]]),"")</f>
        <v/>
      </c>
      <c r="Q668" s="189" t="str">
        <f>IF(ISNUMBER(deployment_raw[[#This Row],[Column13]]), (deployment_raw[[#This Row],[Column13]] * deployment_raw[[#This Row],[Column5]])/1048576,"")</f>
        <v/>
      </c>
    </row>
    <row r="669" spans="1:17" ht="15.75" customHeight="1" x14ac:dyDescent="0.25">
      <c r="A669" s="37" t="str">
        <f>IF(ISNONTEXT(deployment_raw[[#This Row],[Column1]]), "", deployment_raw[[#This Row],[Column1]])</f>
        <v/>
      </c>
      <c r="B669" s="38" t="str">
        <f>IF(ISNONTEXT(deployment_raw[[#This Row],[Column2]]), "", deployment_raw[[#This Row],[Column2]])</f>
        <v/>
      </c>
      <c r="C669" s="38" t="str">
        <f>IF(ISNONTEXT(deployment_raw[[#This Row],[Column3]]), "", deployment_raw[[#This Row],[Column3]])</f>
        <v/>
      </c>
      <c r="D669" s="38" t="str">
        <f>IF(ISNONTEXT(deployment_raw[[#This Row],[Column4]]), "", deployment_raw[[#This Row],[Column4]])</f>
        <v/>
      </c>
      <c r="E669" s="39" t="str">
        <f>IF(ISNUMBER(deployment_raw[[#This Row],[Column5]]), deployment_raw[[#This Row],[Column5]],"")</f>
        <v/>
      </c>
      <c r="F669" s="174" t="str">
        <f>IF(ISNUMBER(deployment_raw[[#This Row],[Column6]]), (deployment_raw[[#This Row],[Column6]] * deployment_raw[[#This Row],[Column5]]),"")</f>
        <v/>
      </c>
      <c r="G669" s="175" t="str">
        <f>IF(ISNUMBER(deployment_raw[[#This Row],[Column7]]), (deployment_raw[[#This Row],[Column7]] * deployment_raw[[#This Row],[Column5]])/1048576,"")</f>
        <v/>
      </c>
      <c r="H669" s="175" t="str">
        <f>IF(ISNUMBER(deployment_raw[[#This Row],[Column8]]), (deployment_raw[[#This Row],[Column8]]  * deployment_raw[[#This Row],[Column5]]),"")</f>
        <v/>
      </c>
      <c r="I669" s="176" t="str">
        <f>IF(ISNUMBER(deployment_raw[[#This Row],[Column9]]), (deployment_raw[[#This Row],[Column9]] * deployment_raw[[#This Row],[Column5]])/1048576,"")</f>
        <v/>
      </c>
      <c r="J669" s="57" t="str">
        <f>IF(ISNUMBER(deployment_raw[[#This Row],[Column10]]), (deployment_raw[[#This Row],[Column10]] * deployment_raw[[#This Row],[Column5]]),"")</f>
        <v/>
      </c>
      <c r="K669" s="58" t="str">
        <f>IF(ISNUMBER(deployment_raw[[#This Row],[Column11]]), (deployment_raw[[#This Row],[Column11]] * deployment_raw[[#This Row],[Column5]])/1048576,"")</f>
        <v/>
      </c>
      <c r="L669" s="180" t="str">
        <f>IF(ISNUMBER(deployment_raw[[#This Row],[Column8]]),IF(deployment_raw[[#This Row],[Column5]] &lt;&gt; 0, MAX((deployment_raw[[#This Row],[Column12]] * deployment_raw[[#This Row],[Column5]]), ((deployment_raw[[#This Row],[Column8]] * deployment_raw[[#This Row],[Column5]]) * $L$2), ($H$2 * deployment_raw[[#This Row],[Column5]])), 0),"")</f>
        <v/>
      </c>
      <c r="M66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69" s="188" t="str">
        <f>IF(ISNUMBER(deployment_raw[[#This Row],[Column14]]), deployment_raw[[#This Row],[Column14]],"")</f>
        <v/>
      </c>
      <c r="O669" s="189" t="str">
        <f>IF(ISNUMBER(deployment_raw[[#This Row],[Column15]]), deployment_raw[[#This Row],[Column15]]/1048576,"")</f>
        <v/>
      </c>
      <c r="P669" s="190" t="str">
        <f>IF(ISNUMBER(deployment_raw[[#This Row],[Column12]]), (deployment_raw[[#This Row],[Column12]] * deployment_raw[[#This Row],[Column5]]),"")</f>
        <v/>
      </c>
      <c r="Q669" s="189" t="str">
        <f>IF(ISNUMBER(deployment_raw[[#This Row],[Column13]]), (deployment_raw[[#This Row],[Column13]] * deployment_raw[[#This Row],[Column5]])/1048576,"")</f>
        <v/>
      </c>
    </row>
    <row r="670" spans="1:17" ht="15.75" customHeight="1" x14ac:dyDescent="0.25">
      <c r="A670" s="37" t="str">
        <f>IF(ISNONTEXT(deployment_raw[[#This Row],[Column1]]), "", deployment_raw[[#This Row],[Column1]])</f>
        <v/>
      </c>
      <c r="B670" s="38" t="str">
        <f>IF(ISNONTEXT(deployment_raw[[#This Row],[Column2]]), "", deployment_raw[[#This Row],[Column2]])</f>
        <v/>
      </c>
      <c r="C670" s="38" t="str">
        <f>IF(ISNONTEXT(deployment_raw[[#This Row],[Column3]]), "", deployment_raw[[#This Row],[Column3]])</f>
        <v/>
      </c>
      <c r="D670" s="38" t="str">
        <f>IF(ISNONTEXT(deployment_raw[[#This Row],[Column4]]), "", deployment_raw[[#This Row],[Column4]])</f>
        <v/>
      </c>
      <c r="E670" s="39" t="str">
        <f>IF(ISNUMBER(deployment_raw[[#This Row],[Column5]]), deployment_raw[[#This Row],[Column5]],"")</f>
        <v/>
      </c>
      <c r="F670" s="174" t="str">
        <f>IF(ISNUMBER(deployment_raw[[#This Row],[Column6]]), (deployment_raw[[#This Row],[Column6]] * deployment_raw[[#This Row],[Column5]]),"")</f>
        <v/>
      </c>
      <c r="G670" s="175" t="str">
        <f>IF(ISNUMBER(deployment_raw[[#This Row],[Column7]]), (deployment_raw[[#This Row],[Column7]] * deployment_raw[[#This Row],[Column5]])/1048576,"")</f>
        <v/>
      </c>
      <c r="H670" s="175" t="str">
        <f>IF(ISNUMBER(deployment_raw[[#This Row],[Column8]]), (deployment_raw[[#This Row],[Column8]]  * deployment_raw[[#This Row],[Column5]]),"")</f>
        <v/>
      </c>
      <c r="I670" s="176" t="str">
        <f>IF(ISNUMBER(deployment_raw[[#This Row],[Column9]]), (deployment_raw[[#This Row],[Column9]] * deployment_raw[[#This Row],[Column5]])/1048576,"")</f>
        <v/>
      </c>
      <c r="J670" s="57" t="str">
        <f>IF(ISNUMBER(deployment_raw[[#This Row],[Column10]]), (deployment_raw[[#This Row],[Column10]] * deployment_raw[[#This Row],[Column5]]),"")</f>
        <v/>
      </c>
      <c r="K670" s="58" t="str">
        <f>IF(ISNUMBER(deployment_raw[[#This Row],[Column11]]), (deployment_raw[[#This Row],[Column11]] * deployment_raw[[#This Row],[Column5]])/1048576,"")</f>
        <v/>
      </c>
      <c r="L670" s="180" t="str">
        <f>IF(ISNUMBER(deployment_raw[[#This Row],[Column8]]),IF(deployment_raw[[#This Row],[Column5]] &lt;&gt; 0, MAX((deployment_raw[[#This Row],[Column12]] * deployment_raw[[#This Row],[Column5]]), ((deployment_raw[[#This Row],[Column8]] * deployment_raw[[#This Row],[Column5]]) * $L$2), ($H$2 * deployment_raw[[#This Row],[Column5]])), 0),"")</f>
        <v/>
      </c>
      <c r="M67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70" s="188" t="str">
        <f>IF(ISNUMBER(deployment_raw[[#This Row],[Column14]]), deployment_raw[[#This Row],[Column14]],"")</f>
        <v/>
      </c>
      <c r="O670" s="189" t="str">
        <f>IF(ISNUMBER(deployment_raw[[#This Row],[Column15]]), deployment_raw[[#This Row],[Column15]]/1048576,"")</f>
        <v/>
      </c>
      <c r="P670" s="190" t="str">
        <f>IF(ISNUMBER(deployment_raw[[#This Row],[Column12]]), (deployment_raw[[#This Row],[Column12]] * deployment_raw[[#This Row],[Column5]]),"")</f>
        <v/>
      </c>
      <c r="Q670" s="189" t="str">
        <f>IF(ISNUMBER(deployment_raw[[#This Row],[Column13]]), (deployment_raw[[#This Row],[Column13]] * deployment_raw[[#This Row],[Column5]])/1048576,"")</f>
        <v/>
      </c>
    </row>
    <row r="671" spans="1:17" ht="15.75" customHeight="1" x14ac:dyDescent="0.25">
      <c r="A671" s="37" t="str">
        <f>IF(ISNONTEXT(deployment_raw[[#This Row],[Column1]]), "", deployment_raw[[#This Row],[Column1]])</f>
        <v/>
      </c>
      <c r="B671" s="38" t="str">
        <f>IF(ISNONTEXT(deployment_raw[[#This Row],[Column2]]), "", deployment_raw[[#This Row],[Column2]])</f>
        <v/>
      </c>
      <c r="C671" s="38" t="str">
        <f>IF(ISNONTEXT(deployment_raw[[#This Row],[Column3]]), "", deployment_raw[[#This Row],[Column3]])</f>
        <v/>
      </c>
      <c r="D671" s="38" t="str">
        <f>IF(ISNONTEXT(deployment_raw[[#This Row],[Column4]]), "", deployment_raw[[#This Row],[Column4]])</f>
        <v/>
      </c>
      <c r="E671" s="39" t="str">
        <f>IF(ISNUMBER(deployment_raw[[#This Row],[Column5]]), deployment_raw[[#This Row],[Column5]],"")</f>
        <v/>
      </c>
      <c r="F671" s="174" t="str">
        <f>IF(ISNUMBER(deployment_raw[[#This Row],[Column6]]), (deployment_raw[[#This Row],[Column6]] * deployment_raw[[#This Row],[Column5]]),"")</f>
        <v/>
      </c>
      <c r="G671" s="175" t="str">
        <f>IF(ISNUMBER(deployment_raw[[#This Row],[Column7]]), (deployment_raw[[#This Row],[Column7]] * deployment_raw[[#This Row],[Column5]])/1048576,"")</f>
        <v/>
      </c>
      <c r="H671" s="175" t="str">
        <f>IF(ISNUMBER(deployment_raw[[#This Row],[Column8]]), (deployment_raw[[#This Row],[Column8]]  * deployment_raw[[#This Row],[Column5]]),"")</f>
        <v/>
      </c>
      <c r="I671" s="176" t="str">
        <f>IF(ISNUMBER(deployment_raw[[#This Row],[Column9]]), (deployment_raw[[#This Row],[Column9]] * deployment_raw[[#This Row],[Column5]])/1048576,"")</f>
        <v/>
      </c>
      <c r="J671" s="57" t="str">
        <f>IF(ISNUMBER(deployment_raw[[#This Row],[Column10]]), (deployment_raw[[#This Row],[Column10]] * deployment_raw[[#This Row],[Column5]]),"")</f>
        <v/>
      </c>
      <c r="K671" s="58" t="str">
        <f>IF(ISNUMBER(deployment_raw[[#This Row],[Column11]]), (deployment_raw[[#This Row],[Column11]] * deployment_raw[[#This Row],[Column5]])/1048576,"")</f>
        <v/>
      </c>
      <c r="L671" s="180" t="str">
        <f>IF(ISNUMBER(deployment_raw[[#This Row],[Column8]]),IF(deployment_raw[[#This Row],[Column5]] &lt;&gt; 0, MAX((deployment_raw[[#This Row],[Column12]] * deployment_raw[[#This Row],[Column5]]), ((deployment_raw[[#This Row],[Column8]] * deployment_raw[[#This Row],[Column5]]) * $L$2), ($H$2 * deployment_raw[[#This Row],[Column5]])), 0),"")</f>
        <v/>
      </c>
      <c r="M67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71" s="188" t="str">
        <f>IF(ISNUMBER(deployment_raw[[#This Row],[Column14]]), deployment_raw[[#This Row],[Column14]],"")</f>
        <v/>
      </c>
      <c r="O671" s="189" t="str">
        <f>IF(ISNUMBER(deployment_raw[[#This Row],[Column15]]), deployment_raw[[#This Row],[Column15]]/1048576,"")</f>
        <v/>
      </c>
      <c r="P671" s="190" t="str">
        <f>IF(ISNUMBER(deployment_raw[[#This Row],[Column12]]), (deployment_raw[[#This Row],[Column12]] * deployment_raw[[#This Row],[Column5]]),"")</f>
        <v/>
      </c>
      <c r="Q671" s="189" t="str">
        <f>IF(ISNUMBER(deployment_raw[[#This Row],[Column13]]), (deployment_raw[[#This Row],[Column13]] * deployment_raw[[#This Row],[Column5]])/1048576,"")</f>
        <v/>
      </c>
    </row>
    <row r="672" spans="1:17" ht="15.75" customHeight="1" x14ac:dyDescent="0.25">
      <c r="A672" s="37" t="str">
        <f>IF(ISNONTEXT(deployment_raw[[#This Row],[Column1]]), "", deployment_raw[[#This Row],[Column1]])</f>
        <v/>
      </c>
      <c r="B672" s="38" t="str">
        <f>IF(ISNONTEXT(deployment_raw[[#This Row],[Column2]]), "", deployment_raw[[#This Row],[Column2]])</f>
        <v/>
      </c>
      <c r="C672" s="38" t="str">
        <f>IF(ISNONTEXT(deployment_raw[[#This Row],[Column3]]), "", deployment_raw[[#This Row],[Column3]])</f>
        <v/>
      </c>
      <c r="D672" s="38" t="str">
        <f>IF(ISNONTEXT(deployment_raw[[#This Row],[Column4]]), "", deployment_raw[[#This Row],[Column4]])</f>
        <v/>
      </c>
      <c r="E672" s="39" t="str">
        <f>IF(ISNUMBER(deployment_raw[[#This Row],[Column5]]), deployment_raw[[#This Row],[Column5]],"")</f>
        <v/>
      </c>
      <c r="F672" s="174" t="str">
        <f>IF(ISNUMBER(deployment_raw[[#This Row],[Column6]]), (deployment_raw[[#This Row],[Column6]] * deployment_raw[[#This Row],[Column5]]),"")</f>
        <v/>
      </c>
      <c r="G672" s="175" t="str">
        <f>IF(ISNUMBER(deployment_raw[[#This Row],[Column7]]), (deployment_raw[[#This Row],[Column7]] * deployment_raw[[#This Row],[Column5]])/1048576,"")</f>
        <v/>
      </c>
      <c r="H672" s="175" t="str">
        <f>IF(ISNUMBER(deployment_raw[[#This Row],[Column8]]), (deployment_raw[[#This Row],[Column8]]  * deployment_raw[[#This Row],[Column5]]),"")</f>
        <v/>
      </c>
      <c r="I672" s="176" t="str">
        <f>IF(ISNUMBER(deployment_raw[[#This Row],[Column9]]), (deployment_raw[[#This Row],[Column9]] * deployment_raw[[#This Row],[Column5]])/1048576,"")</f>
        <v/>
      </c>
      <c r="J672" s="57" t="str">
        <f>IF(ISNUMBER(deployment_raw[[#This Row],[Column10]]), (deployment_raw[[#This Row],[Column10]] * deployment_raw[[#This Row],[Column5]]),"")</f>
        <v/>
      </c>
      <c r="K672" s="58" t="str">
        <f>IF(ISNUMBER(deployment_raw[[#This Row],[Column11]]), (deployment_raw[[#This Row],[Column11]] * deployment_raw[[#This Row],[Column5]])/1048576,"")</f>
        <v/>
      </c>
      <c r="L672" s="180" t="str">
        <f>IF(ISNUMBER(deployment_raw[[#This Row],[Column8]]),IF(deployment_raw[[#This Row],[Column5]] &lt;&gt; 0, MAX((deployment_raw[[#This Row],[Column12]] * deployment_raw[[#This Row],[Column5]]), ((deployment_raw[[#This Row],[Column8]] * deployment_raw[[#This Row],[Column5]]) * $L$2), ($H$2 * deployment_raw[[#This Row],[Column5]])), 0),"")</f>
        <v/>
      </c>
      <c r="M67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72" s="188" t="str">
        <f>IF(ISNUMBER(deployment_raw[[#This Row],[Column14]]), deployment_raw[[#This Row],[Column14]],"")</f>
        <v/>
      </c>
      <c r="O672" s="189" t="str">
        <f>IF(ISNUMBER(deployment_raw[[#This Row],[Column15]]), deployment_raw[[#This Row],[Column15]]/1048576,"")</f>
        <v/>
      </c>
      <c r="P672" s="190" t="str">
        <f>IF(ISNUMBER(deployment_raw[[#This Row],[Column12]]), (deployment_raw[[#This Row],[Column12]] * deployment_raw[[#This Row],[Column5]]),"")</f>
        <v/>
      </c>
      <c r="Q672" s="189" t="str">
        <f>IF(ISNUMBER(deployment_raw[[#This Row],[Column13]]), (deployment_raw[[#This Row],[Column13]] * deployment_raw[[#This Row],[Column5]])/1048576,"")</f>
        <v/>
      </c>
    </row>
    <row r="673" spans="1:17" ht="15.75" customHeight="1" x14ac:dyDescent="0.25">
      <c r="A673" s="37" t="str">
        <f>IF(ISNONTEXT(deployment_raw[[#This Row],[Column1]]), "", deployment_raw[[#This Row],[Column1]])</f>
        <v/>
      </c>
      <c r="B673" s="38" t="str">
        <f>IF(ISNONTEXT(deployment_raw[[#This Row],[Column2]]), "", deployment_raw[[#This Row],[Column2]])</f>
        <v/>
      </c>
      <c r="C673" s="38" t="str">
        <f>IF(ISNONTEXT(deployment_raw[[#This Row],[Column3]]), "", deployment_raw[[#This Row],[Column3]])</f>
        <v/>
      </c>
      <c r="D673" s="38" t="str">
        <f>IF(ISNONTEXT(deployment_raw[[#This Row],[Column4]]), "", deployment_raw[[#This Row],[Column4]])</f>
        <v/>
      </c>
      <c r="E673" s="39" t="str">
        <f>IF(ISNUMBER(deployment_raw[[#This Row],[Column5]]), deployment_raw[[#This Row],[Column5]],"")</f>
        <v/>
      </c>
      <c r="F673" s="174" t="str">
        <f>IF(ISNUMBER(deployment_raw[[#This Row],[Column6]]), (deployment_raw[[#This Row],[Column6]] * deployment_raw[[#This Row],[Column5]]),"")</f>
        <v/>
      </c>
      <c r="G673" s="175" t="str">
        <f>IF(ISNUMBER(deployment_raw[[#This Row],[Column7]]), (deployment_raw[[#This Row],[Column7]] * deployment_raw[[#This Row],[Column5]])/1048576,"")</f>
        <v/>
      </c>
      <c r="H673" s="175" t="str">
        <f>IF(ISNUMBER(deployment_raw[[#This Row],[Column8]]), (deployment_raw[[#This Row],[Column8]]  * deployment_raw[[#This Row],[Column5]]),"")</f>
        <v/>
      </c>
      <c r="I673" s="176" t="str">
        <f>IF(ISNUMBER(deployment_raw[[#This Row],[Column9]]), (deployment_raw[[#This Row],[Column9]] * deployment_raw[[#This Row],[Column5]])/1048576,"")</f>
        <v/>
      </c>
      <c r="J673" s="57" t="str">
        <f>IF(ISNUMBER(deployment_raw[[#This Row],[Column10]]), (deployment_raw[[#This Row],[Column10]] * deployment_raw[[#This Row],[Column5]]),"")</f>
        <v/>
      </c>
      <c r="K673" s="58" t="str">
        <f>IF(ISNUMBER(deployment_raw[[#This Row],[Column11]]), (deployment_raw[[#This Row],[Column11]] * deployment_raw[[#This Row],[Column5]])/1048576,"")</f>
        <v/>
      </c>
      <c r="L673" s="180" t="str">
        <f>IF(ISNUMBER(deployment_raw[[#This Row],[Column8]]),IF(deployment_raw[[#This Row],[Column5]] &lt;&gt; 0, MAX((deployment_raw[[#This Row],[Column12]] * deployment_raw[[#This Row],[Column5]]), ((deployment_raw[[#This Row],[Column8]] * deployment_raw[[#This Row],[Column5]]) * $L$2), ($H$2 * deployment_raw[[#This Row],[Column5]])), 0),"")</f>
        <v/>
      </c>
      <c r="M67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73" s="188" t="str">
        <f>IF(ISNUMBER(deployment_raw[[#This Row],[Column14]]), deployment_raw[[#This Row],[Column14]],"")</f>
        <v/>
      </c>
      <c r="O673" s="189" t="str">
        <f>IF(ISNUMBER(deployment_raw[[#This Row],[Column15]]), deployment_raw[[#This Row],[Column15]]/1048576,"")</f>
        <v/>
      </c>
      <c r="P673" s="190" t="str">
        <f>IF(ISNUMBER(deployment_raw[[#This Row],[Column12]]), (deployment_raw[[#This Row],[Column12]] * deployment_raw[[#This Row],[Column5]]),"")</f>
        <v/>
      </c>
      <c r="Q673" s="189" t="str">
        <f>IF(ISNUMBER(deployment_raw[[#This Row],[Column13]]), (deployment_raw[[#This Row],[Column13]] * deployment_raw[[#This Row],[Column5]])/1048576,"")</f>
        <v/>
      </c>
    </row>
    <row r="674" spans="1:17" ht="15.75" customHeight="1" x14ac:dyDescent="0.25">
      <c r="A674" s="37" t="str">
        <f>IF(ISNONTEXT(deployment_raw[[#This Row],[Column1]]), "", deployment_raw[[#This Row],[Column1]])</f>
        <v/>
      </c>
      <c r="B674" s="38" t="str">
        <f>IF(ISNONTEXT(deployment_raw[[#This Row],[Column2]]), "", deployment_raw[[#This Row],[Column2]])</f>
        <v/>
      </c>
      <c r="C674" s="38" t="str">
        <f>IF(ISNONTEXT(deployment_raw[[#This Row],[Column3]]), "", deployment_raw[[#This Row],[Column3]])</f>
        <v/>
      </c>
      <c r="D674" s="38" t="str">
        <f>IF(ISNONTEXT(deployment_raw[[#This Row],[Column4]]), "", deployment_raw[[#This Row],[Column4]])</f>
        <v/>
      </c>
      <c r="E674" s="39" t="str">
        <f>IF(ISNUMBER(deployment_raw[[#This Row],[Column5]]), deployment_raw[[#This Row],[Column5]],"")</f>
        <v/>
      </c>
      <c r="F674" s="174" t="str">
        <f>IF(ISNUMBER(deployment_raw[[#This Row],[Column6]]), (deployment_raw[[#This Row],[Column6]] * deployment_raw[[#This Row],[Column5]]),"")</f>
        <v/>
      </c>
      <c r="G674" s="175" t="str">
        <f>IF(ISNUMBER(deployment_raw[[#This Row],[Column7]]), (deployment_raw[[#This Row],[Column7]] * deployment_raw[[#This Row],[Column5]])/1048576,"")</f>
        <v/>
      </c>
      <c r="H674" s="175" t="str">
        <f>IF(ISNUMBER(deployment_raw[[#This Row],[Column8]]), (deployment_raw[[#This Row],[Column8]]  * deployment_raw[[#This Row],[Column5]]),"")</f>
        <v/>
      </c>
      <c r="I674" s="176" t="str">
        <f>IF(ISNUMBER(deployment_raw[[#This Row],[Column9]]), (deployment_raw[[#This Row],[Column9]] * deployment_raw[[#This Row],[Column5]])/1048576,"")</f>
        <v/>
      </c>
      <c r="J674" s="57" t="str">
        <f>IF(ISNUMBER(deployment_raw[[#This Row],[Column10]]), (deployment_raw[[#This Row],[Column10]] * deployment_raw[[#This Row],[Column5]]),"")</f>
        <v/>
      </c>
      <c r="K674" s="58" t="str">
        <f>IF(ISNUMBER(deployment_raw[[#This Row],[Column11]]), (deployment_raw[[#This Row],[Column11]] * deployment_raw[[#This Row],[Column5]])/1048576,"")</f>
        <v/>
      </c>
      <c r="L674" s="180" t="str">
        <f>IF(ISNUMBER(deployment_raw[[#This Row],[Column8]]),IF(deployment_raw[[#This Row],[Column5]] &lt;&gt; 0, MAX((deployment_raw[[#This Row],[Column12]] * deployment_raw[[#This Row],[Column5]]), ((deployment_raw[[#This Row],[Column8]] * deployment_raw[[#This Row],[Column5]]) * $L$2), ($H$2 * deployment_raw[[#This Row],[Column5]])), 0),"")</f>
        <v/>
      </c>
      <c r="M67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74" s="188" t="str">
        <f>IF(ISNUMBER(deployment_raw[[#This Row],[Column14]]), deployment_raw[[#This Row],[Column14]],"")</f>
        <v/>
      </c>
      <c r="O674" s="189" t="str">
        <f>IF(ISNUMBER(deployment_raw[[#This Row],[Column15]]), deployment_raw[[#This Row],[Column15]]/1048576,"")</f>
        <v/>
      </c>
      <c r="P674" s="190" t="str">
        <f>IF(ISNUMBER(deployment_raw[[#This Row],[Column12]]), (deployment_raw[[#This Row],[Column12]] * deployment_raw[[#This Row],[Column5]]),"")</f>
        <v/>
      </c>
      <c r="Q674" s="189" t="str">
        <f>IF(ISNUMBER(deployment_raw[[#This Row],[Column13]]), (deployment_raw[[#This Row],[Column13]] * deployment_raw[[#This Row],[Column5]])/1048576,"")</f>
        <v/>
      </c>
    </row>
    <row r="675" spans="1:17" ht="15.75" customHeight="1" x14ac:dyDescent="0.25">
      <c r="A675" s="37" t="str">
        <f>IF(ISNONTEXT(deployment_raw[[#This Row],[Column1]]), "", deployment_raw[[#This Row],[Column1]])</f>
        <v/>
      </c>
      <c r="B675" s="38" t="str">
        <f>IF(ISNONTEXT(deployment_raw[[#This Row],[Column2]]), "", deployment_raw[[#This Row],[Column2]])</f>
        <v/>
      </c>
      <c r="C675" s="38" t="str">
        <f>IF(ISNONTEXT(deployment_raw[[#This Row],[Column3]]), "", deployment_raw[[#This Row],[Column3]])</f>
        <v/>
      </c>
      <c r="D675" s="38" t="str">
        <f>IF(ISNONTEXT(deployment_raw[[#This Row],[Column4]]), "", deployment_raw[[#This Row],[Column4]])</f>
        <v/>
      </c>
      <c r="E675" s="39" t="str">
        <f>IF(ISNUMBER(deployment_raw[[#This Row],[Column5]]), deployment_raw[[#This Row],[Column5]],"")</f>
        <v/>
      </c>
      <c r="F675" s="174" t="str">
        <f>IF(ISNUMBER(deployment_raw[[#This Row],[Column6]]), (deployment_raw[[#This Row],[Column6]] * deployment_raw[[#This Row],[Column5]]),"")</f>
        <v/>
      </c>
      <c r="G675" s="175" t="str">
        <f>IF(ISNUMBER(deployment_raw[[#This Row],[Column7]]), (deployment_raw[[#This Row],[Column7]] * deployment_raw[[#This Row],[Column5]])/1048576,"")</f>
        <v/>
      </c>
      <c r="H675" s="175" t="str">
        <f>IF(ISNUMBER(deployment_raw[[#This Row],[Column8]]), (deployment_raw[[#This Row],[Column8]]  * deployment_raw[[#This Row],[Column5]]),"")</f>
        <v/>
      </c>
      <c r="I675" s="176" t="str">
        <f>IF(ISNUMBER(deployment_raw[[#This Row],[Column9]]), (deployment_raw[[#This Row],[Column9]] * deployment_raw[[#This Row],[Column5]])/1048576,"")</f>
        <v/>
      </c>
      <c r="J675" s="57" t="str">
        <f>IF(ISNUMBER(deployment_raw[[#This Row],[Column10]]), (deployment_raw[[#This Row],[Column10]] * deployment_raw[[#This Row],[Column5]]),"")</f>
        <v/>
      </c>
      <c r="K675" s="58" t="str">
        <f>IF(ISNUMBER(deployment_raw[[#This Row],[Column11]]), (deployment_raw[[#This Row],[Column11]] * deployment_raw[[#This Row],[Column5]])/1048576,"")</f>
        <v/>
      </c>
      <c r="L675" s="180" t="str">
        <f>IF(ISNUMBER(deployment_raw[[#This Row],[Column8]]),IF(deployment_raw[[#This Row],[Column5]] &lt;&gt; 0, MAX((deployment_raw[[#This Row],[Column12]] * deployment_raw[[#This Row],[Column5]]), ((deployment_raw[[#This Row],[Column8]] * deployment_raw[[#This Row],[Column5]]) * $L$2), ($H$2 * deployment_raw[[#This Row],[Column5]])), 0),"")</f>
        <v/>
      </c>
      <c r="M67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75" s="188" t="str">
        <f>IF(ISNUMBER(deployment_raw[[#This Row],[Column14]]), deployment_raw[[#This Row],[Column14]],"")</f>
        <v/>
      </c>
      <c r="O675" s="189" t="str">
        <f>IF(ISNUMBER(deployment_raw[[#This Row],[Column15]]), deployment_raw[[#This Row],[Column15]]/1048576,"")</f>
        <v/>
      </c>
      <c r="P675" s="190" t="str">
        <f>IF(ISNUMBER(deployment_raw[[#This Row],[Column12]]), (deployment_raw[[#This Row],[Column12]] * deployment_raw[[#This Row],[Column5]]),"")</f>
        <v/>
      </c>
      <c r="Q675" s="189" t="str">
        <f>IF(ISNUMBER(deployment_raw[[#This Row],[Column13]]), (deployment_raw[[#This Row],[Column13]] * deployment_raw[[#This Row],[Column5]])/1048576,"")</f>
        <v/>
      </c>
    </row>
    <row r="676" spans="1:17" ht="15.75" customHeight="1" x14ac:dyDescent="0.25">
      <c r="A676" s="37" t="str">
        <f>IF(ISNONTEXT(deployment_raw[[#This Row],[Column1]]), "", deployment_raw[[#This Row],[Column1]])</f>
        <v/>
      </c>
      <c r="B676" s="38" t="str">
        <f>IF(ISNONTEXT(deployment_raw[[#This Row],[Column2]]), "", deployment_raw[[#This Row],[Column2]])</f>
        <v/>
      </c>
      <c r="C676" s="38" t="str">
        <f>IF(ISNONTEXT(deployment_raw[[#This Row],[Column3]]), "", deployment_raw[[#This Row],[Column3]])</f>
        <v/>
      </c>
      <c r="D676" s="38" t="str">
        <f>IF(ISNONTEXT(deployment_raw[[#This Row],[Column4]]), "", deployment_raw[[#This Row],[Column4]])</f>
        <v/>
      </c>
      <c r="E676" s="39" t="str">
        <f>IF(ISNUMBER(deployment_raw[[#This Row],[Column5]]), deployment_raw[[#This Row],[Column5]],"")</f>
        <v/>
      </c>
      <c r="F676" s="174" t="str">
        <f>IF(ISNUMBER(deployment_raw[[#This Row],[Column6]]), (deployment_raw[[#This Row],[Column6]] * deployment_raw[[#This Row],[Column5]]),"")</f>
        <v/>
      </c>
      <c r="G676" s="175" t="str">
        <f>IF(ISNUMBER(deployment_raw[[#This Row],[Column7]]), (deployment_raw[[#This Row],[Column7]] * deployment_raw[[#This Row],[Column5]])/1048576,"")</f>
        <v/>
      </c>
      <c r="H676" s="175" t="str">
        <f>IF(ISNUMBER(deployment_raw[[#This Row],[Column8]]), (deployment_raw[[#This Row],[Column8]]  * deployment_raw[[#This Row],[Column5]]),"")</f>
        <v/>
      </c>
      <c r="I676" s="176" t="str">
        <f>IF(ISNUMBER(deployment_raw[[#This Row],[Column9]]), (deployment_raw[[#This Row],[Column9]] * deployment_raw[[#This Row],[Column5]])/1048576,"")</f>
        <v/>
      </c>
      <c r="J676" s="57" t="str">
        <f>IF(ISNUMBER(deployment_raw[[#This Row],[Column10]]), (deployment_raw[[#This Row],[Column10]] * deployment_raw[[#This Row],[Column5]]),"")</f>
        <v/>
      </c>
      <c r="K676" s="58" t="str">
        <f>IF(ISNUMBER(deployment_raw[[#This Row],[Column11]]), (deployment_raw[[#This Row],[Column11]] * deployment_raw[[#This Row],[Column5]])/1048576,"")</f>
        <v/>
      </c>
      <c r="L676" s="180" t="str">
        <f>IF(ISNUMBER(deployment_raw[[#This Row],[Column8]]),IF(deployment_raw[[#This Row],[Column5]] &lt;&gt; 0, MAX((deployment_raw[[#This Row],[Column12]] * deployment_raw[[#This Row],[Column5]]), ((deployment_raw[[#This Row],[Column8]] * deployment_raw[[#This Row],[Column5]]) * $L$2), ($H$2 * deployment_raw[[#This Row],[Column5]])), 0),"")</f>
        <v/>
      </c>
      <c r="M67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76" s="188" t="str">
        <f>IF(ISNUMBER(deployment_raw[[#This Row],[Column14]]), deployment_raw[[#This Row],[Column14]],"")</f>
        <v/>
      </c>
      <c r="O676" s="189" t="str">
        <f>IF(ISNUMBER(deployment_raw[[#This Row],[Column15]]), deployment_raw[[#This Row],[Column15]]/1048576,"")</f>
        <v/>
      </c>
      <c r="P676" s="190" t="str">
        <f>IF(ISNUMBER(deployment_raw[[#This Row],[Column12]]), (deployment_raw[[#This Row],[Column12]] * deployment_raw[[#This Row],[Column5]]),"")</f>
        <v/>
      </c>
      <c r="Q676" s="189" t="str">
        <f>IF(ISNUMBER(deployment_raw[[#This Row],[Column13]]), (deployment_raw[[#This Row],[Column13]] * deployment_raw[[#This Row],[Column5]])/1048576,"")</f>
        <v/>
      </c>
    </row>
    <row r="677" spans="1:17" ht="15.75" customHeight="1" x14ac:dyDescent="0.25">
      <c r="A677" s="37" t="str">
        <f>IF(ISNONTEXT(deployment_raw[[#This Row],[Column1]]), "", deployment_raw[[#This Row],[Column1]])</f>
        <v/>
      </c>
      <c r="B677" s="38" t="str">
        <f>IF(ISNONTEXT(deployment_raw[[#This Row],[Column2]]), "", deployment_raw[[#This Row],[Column2]])</f>
        <v/>
      </c>
      <c r="C677" s="38" t="str">
        <f>IF(ISNONTEXT(deployment_raw[[#This Row],[Column3]]), "", deployment_raw[[#This Row],[Column3]])</f>
        <v/>
      </c>
      <c r="D677" s="38" t="str">
        <f>IF(ISNONTEXT(deployment_raw[[#This Row],[Column4]]), "", deployment_raw[[#This Row],[Column4]])</f>
        <v/>
      </c>
      <c r="E677" s="39" t="str">
        <f>IF(ISNUMBER(deployment_raw[[#This Row],[Column5]]), deployment_raw[[#This Row],[Column5]],"")</f>
        <v/>
      </c>
      <c r="F677" s="174" t="str">
        <f>IF(ISNUMBER(deployment_raw[[#This Row],[Column6]]), (deployment_raw[[#This Row],[Column6]] * deployment_raw[[#This Row],[Column5]]),"")</f>
        <v/>
      </c>
      <c r="G677" s="175" t="str">
        <f>IF(ISNUMBER(deployment_raw[[#This Row],[Column7]]), (deployment_raw[[#This Row],[Column7]] * deployment_raw[[#This Row],[Column5]])/1048576,"")</f>
        <v/>
      </c>
      <c r="H677" s="175" t="str">
        <f>IF(ISNUMBER(deployment_raw[[#This Row],[Column8]]), (deployment_raw[[#This Row],[Column8]]  * deployment_raw[[#This Row],[Column5]]),"")</f>
        <v/>
      </c>
      <c r="I677" s="176" t="str">
        <f>IF(ISNUMBER(deployment_raw[[#This Row],[Column9]]), (deployment_raw[[#This Row],[Column9]] * deployment_raw[[#This Row],[Column5]])/1048576,"")</f>
        <v/>
      </c>
      <c r="J677" s="57" t="str">
        <f>IF(ISNUMBER(deployment_raw[[#This Row],[Column10]]), (deployment_raw[[#This Row],[Column10]] * deployment_raw[[#This Row],[Column5]]),"")</f>
        <v/>
      </c>
      <c r="K677" s="58" t="str">
        <f>IF(ISNUMBER(deployment_raw[[#This Row],[Column11]]), (deployment_raw[[#This Row],[Column11]] * deployment_raw[[#This Row],[Column5]])/1048576,"")</f>
        <v/>
      </c>
      <c r="L677" s="180" t="str">
        <f>IF(ISNUMBER(deployment_raw[[#This Row],[Column8]]),IF(deployment_raw[[#This Row],[Column5]] &lt;&gt; 0, MAX((deployment_raw[[#This Row],[Column12]] * deployment_raw[[#This Row],[Column5]]), ((deployment_raw[[#This Row],[Column8]] * deployment_raw[[#This Row],[Column5]]) * $L$2), ($H$2 * deployment_raw[[#This Row],[Column5]])), 0),"")</f>
        <v/>
      </c>
      <c r="M67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77" s="188" t="str">
        <f>IF(ISNUMBER(deployment_raw[[#This Row],[Column14]]), deployment_raw[[#This Row],[Column14]],"")</f>
        <v/>
      </c>
      <c r="O677" s="189" t="str">
        <f>IF(ISNUMBER(deployment_raw[[#This Row],[Column15]]), deployment_raw[[#This Row],[Column15]]/1048576,"")</f>
        <v/>
      </c>
      <c r="P677" s="190" t="str">
        <f>IF(ISNUMBER(deployment_raw[[#This Row],[Column12]]), (deployment_raw[[#This Row],[Column12]] * deployment_raw[[#This Row],[Column5]]),"")</f>
        <v/>
      </c>
      <c r="Q677" s="189" t="str">
        <f>IF(ISNUMBER(deployment_raw[[#This Row],[Column13]]), (deployment_raw[[#This Row],[Column13]] * deployment_raw[[#This Row],[Column5]])/1048576,"")</f>
        <v/>
      </c>
    </row>
    <row r="678" spans="1:17" ht="15.75" customHeight="1" x14ac:dyDescent="0.25">
      <c r="A678" s="37" t="str">
        <f>IF(ISNONTEXT(deployment_raw[[#This Row],[Column1]]), "", deployment_raw[[#This Row],[Column1]])</f>
        <v/>
      </c>
      <c r="B678" s="38" t="str">
        <f>IF(ISNONTEXT(deployment_raw[[#This Row],[Column2]]), "", deployment_raw[[#This Row],[Column2]])</f>
        <v/>
      </c>
      <c r="C678" s="38" t="str">
        <f>IF(ISNONTEXT(deployment_raw[[#This Row],[Column3]]), "", deployment_raw[[#This Row],[Column3]])</f>
        <v/>
      </c>
      <c r="D678" s="38" t="str">
        <f>IF(ISNONTEXT(deployment_raw[[#This Row],[Column4]]), "", deployment_raw[[#This Row],[Column4]])</f>
        <v/>
      </c>
      <c r="E678" s="39" t="str">
        <f>IF(ISNUMBER(deployment_raw[[#This Row],[Column5]]), deployment_raw[[#This Row],[Column5]],"")</f>
        <v/>
      </c>
      <c r="F678" s="174" t="str">
        <f>IF(ISNUMBER(deployment_raw[[#This Row],[Column6]]), (deployment_raw[[#This Row],[Column6]] * deployment_raw[[#This Row],[Column5]]),"")</f>
        <v/>
      </c>
      <c r="G678" s="175" t="str">
        <f>IF(ISNUMBER(deployment_raw[[#This Row],[Column7]]), (deployment_raw[[#This Row],[Column7]] * deployment_raw[[#This Row],[Column5]])/1048576,"")</f>
        <v/>
      </c>
      <c r="H678" s="175" t="str">
        <f>IF(ISNUMBER(deployment_raw[[#This Row],[Column8]]), (deployment_raw[[#This Row],[Column8]]  * deployment_raw[[#This Row],[Column5]]),"")</f>
        <v/>
      </c>
      <c r="I678" s="176" t="str">
        <f>IF(ISNUMBER(deployment_raw[[#This Row],[Column9]]), (deployment_raw[[#This Row],[Column9]] * deployment_raw[[#This Row],[Column5]])/1048576,"")</f>
        <v/>
      </c>
      <c r="J678" s="57" t="str">
        <f>IF(ISNUMBER(deployment_raw[[#This Row],[Column10]]), (deployment_raw[[#This Row],[Column10]] * deployment_raw[[#This Row],[Column5]]),"")</f>
        <v/>
      </c>
      <c r="K678" s="58" t="str">
        <f>IF(ISNUMBER(deployment_raw[[#This Row],[Column11]]), (deployment_raw[[#This Row],[Column11]] * deployment_raw[[#This Row],[Column5]])/1048576,"")</f>
        <v/>
      </c>
      <c r="L678" s="180" t="str">
        <f>IF(ISNUMBER(deployment_raw[[#This Row],[Column8]]),IF(deployment_raw[[#This Row],[Column5]] &lt;&gt; 0, MAX((deployment_raw[[#This Row],[Column12]] * deployment_raw[[#This Row],[Column5]]), ((deployment_raw[[#This Row],[Column8]] * deployment_raw[[#This Row],[Column5]]) * $L$2), ($H$2 * deployment_raw[[#This Row],[Column5]])), 0),"")</f>
        <v/>
      </c>
      <c r="M67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78" s="188" t="str">
        <f>IF(ISNUMBER(deployment_raw[[#This Row],[Column14]]), deployment_raw[[#This Row],[Column14]],"")</f>
        <v/>
      </c>
      <c r="O678" s="189" t="str">
        <f>IF(ISNUMBER(deployment_raw[[#This Row],[Column15]]), deployment_raw[[#This Row],[Column15]]/1048576,"")</f>
        <v/>
      </c>
      <c r="P678" s="190" t="str">
        <f>IF(ISNUMBER(deployment_raw[[#This Row],[Column12]]), (deployment_raw[[#This Row],[Column12]] * deployment_raw[[#This Row],[Column5]]),"")</f>
        <v/>
      </c>
      <c r="Q678" s="189" t="str">
        <f>IF(ISNUMBER(deployment_raw[[#This Row],[Column13]]), (deployment_raw[[#This Row],[Column13]] * deployment_raw[[#This Row],[Column5]])/1048576,"")</f>
        <v/>
      </c>
    </row>
    <row r="679" spans="1:17" ht="15.75" customHeight="1" x14ac:dyDescent="0.25">
      <c r="A679" s="37" t="str">
        <f>IF(ISNONTEXT(deployment_raw[[#This Row],[Column1]]), "", deployment_raw[[#This Row],[Column1]])</f>
        <v/>
      </c>
      <c r="B679" s="38" t="str">
        <f>IF(ISNONTEXT(deployment_raw[[#This Row],[Column2]]), "", deployment_raw[[#This Row],[Column2]])</f>
        <v/>
      </c>
      <c r="C679" s="38" t="str">
        <f>IF(ISNONTEXT(deployment_raw[[#This Row],[Column3]]), "", deployment_raw[[#This Row],[Column3]])</f>
        <v/>
      </c>
      <c r="D679" s="38" t="str">
        <f>IF(ISNONTEXT(deployment_raw[[#This Row],[Column4]]), "", deployment_raw[[#This Row],[Column4]])</f>
        <v/>
      </c>
      <c r="E679" s="39" t="str">
        <f>IF(ISNUMBER(deployment_raw[[#This Row],[Column5]]), deployment_raw[[#This Row],[Column5]],"")</f>
        <v/>
      </c>
      <c r="F679" s="174" t="str">
        <f>IF(ISNUMBER(deployment_raw[[#This Row],[Column6]]), (deployment_raw[[#This Row],[Column6]] * deployment_raw[[#This Row],[Column5]]),"")</f>
        <v/>
      </c>
      <c r="G679" s="175" t="str">
        <f>IF(ISNUMBER(deployment_raw[[#This Row],[Column7]]), (deployment_raw[[#This Row],[Column7]] * deployment_raw[[#This Row],[Column5]])/1048576,"")</f>
        <v/>
      </c>
      <c r="H679" s="175" t="str">
        <f>IF(ISNUMBER(deployment_raw[[#This Row],[Column8]]), (deployment_raw[[#This Row],[Column8]]  * deployment_raw[[#This Row],[Column5]]),"")</f>
        <v/>
      </c>
      <c r="I679" s="176" t="str">
        <f>IF(ISNUMBER(deployment_raw[[#This Row],[Column9]]), (deployment_raw[[#This Row],[Column9]] * deployment_raw[[#This Row],[Column5]])/1048576,"")</f>
        <v/>
      </c>
      <c r="J679" s="57" t="str">
        <f>IF(ISNUMBER(deployment_raw[[#This Row],[Column10]]), (deployment_raw[[#This Row],[Column10]] * deployment_raw[[#This Row],[Column5]]),"")</f>
        <v/>
      </c>
      <c r="K679" s="58" t="str">
        <f>IF(ISNUMBER(deployment_raw[[#This Row],[Column11]]), (deployment_raw[[#This Row],[Column11]] * deployment_raw[[#This Row],[Column5]])/1048576,"")</f>
        <v/>
      </c>
      <c r="L679" s="180" t="str">
        <f>IF(ISNUMBER(deployment_raw[[#This Row],[Column8]]),IF(deployment_raw[[#This Row],[Column5]] &lt;&gt; 0, MAX((deployment_raw[[#This Row],[Column12]] * deployment_raw[[#This Row],[Column5]]), ((deployment_raw[[#This Row],[Column8]] * deployment_raw[[#This Row],[Column5]]) * $L$2), ($H$2 * deployment_raw[[#This Row],[Column5]])), 0),"")</f>
        <v/>
      </c>
      <c r="M67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79" s="188" t="str">
        <f>IF(ISNUMBER(deployment_raw[[#This Row],[Column14]]), deployment_raw[[#This Row],[Column14]],"")</f>
        <v/>
      </c>
      <c r="O679" s="189" t="str">
        <f>IF(ISNUMBER(deployment_raw[[#This Row],[Column15]]), deployment_raw[[#This Row],[Column15]]/1048576,"")</f>
        <v/>
      </c>
      <c r="P679" s="190" t="str">
        <f>IF(ISNUMBER(deployment_raw[[#This Row],[Column12]]), (deployment_raw[[#This Row],[Column12]] * deployment_raw[[#This Row],[Column5]]),"")</f>
        <v/>
      </c>
      <c r="Q679" s="189" t="str">
        <f>IF(ISNUMBER(deployment_raw[[#This Row],[Column13]]), (deployment_raw[[#This Row],[Column13]] * deployment_raw[[#This Row],[Column5]])/1048576,"")</f>
        <v/>
      </c>
    </row>
    <row r="680" spans="1:17" ht="15.75" customHeight="1" x14ac:dyDescent="0.25">
      <c r="A680" s="37" t="str">
        <f>IF(ISNONTEXT(deployment_raw[[#This Row],[Column1]]), "", deployment_raw[[#This Row],[Column1]])</f>
        <v/>
      </c>
      <c r="B680" s="38" t="str">
        <f>IF(ISNONTEXT(deployment_raw[[#This Row],[Column2]]), "", deployment_raw[[#This Row],[Column2]])</f>
        <v/>
      </c>
      <c r="C680" s="38" t="str">
        <f>IF(ISNONTEXT(deployment_raw[[#This Row],[Column3]]), "", deployment_raw[[#This Row],[Column3]])</f>
        <v/>
      </c>
      <c r="D680" s="38" t="str">
        <f>IF(ISNONTEXT(deployment_raw[[#This Row],[Column4]]), "", deployment_raw[[#This Row],[Column4]])</f>
        <v/>
      </c>
      <c r="E680" s="39" t="str">
        <f>IF(ISNUMBER(deployment_raw[[#This Row],[Column5]]), deployment_raw[[#This Row],[Column5]],"")</f>
        <v/>
      </c>
      <c r="F680" s="174" t="str">
        <f>IF(ISNUMBER(deployment_raw[[#This Row],[Column6]]), (deployment_raw[[#This Row],[Column6]] * deployment_raw[[#This Row],[Column5]]),"")</f>
        <v/>
      </c>
      <c r="G680" s="175" t="str">
        <f>IF(ISNUMBER(deployment_raw[[#This Row],[Column7]]), (deployment_raw[[#This Row],[Column7]] * deployment_raw[[#This Row],[Column5]])/1048576,"")</f>
        <v/>
      </c>
      <c r="H680" s="175" t="str">
        <f>IF(ISNUMBER(deployment_raw[[#This Row],[Column8]]), (deployment_raw[[#This Row],[Column8]]  * deployment_raw[[#This Row],[Column5]]),"")</f>
        <v/>
      </c>
      <c r="I680" s="176" t="str">
        <f>IF(ISNUMBER(deployment_raw[[#This Row],[Column9]]), (deployment_raw[[#This Row],[Column9]] * deployment_raw[[#This Row],[Column5]])/1048576,"")</f>
        <v/>
      </c>
      <c r="J680" s="57" t="str">
        <f>IF(ISNUMBER(deployment_raw[[#This Row],[Column10]]), (deployment_raw[[#This Row],[Column10]] * deployment_raw[[#This Row],[Column5]]),"")</f>
        <v/>
      </c>
      <c r="K680" s="58" t="str">
        <f>IF(ISNUMBER(deployment_raw[[#This Row],[Column11]]), (deployment_raw[[#This Row],[Column11]] * deployment_raw[[#This Row],[Column5]])/1048576,"")</f>
        <v/>
      </c>
      <c r="L680" s="180" t="str">
        <f>IF(ISNUMBER(deployment_raw[[#This Row],[Column8]]),IF(deployment_raw[[#This Row],[Column5]] &lt;&gt; 0, MAX((deployment_raw[[#This Row],[Column12]] * deployment_raw[[#This Row],[Column5]]), ((deployment_raw[[#This Row],[Column8]] * deployment_raw[[#This Row],[Column5]]) * $L$2), ($H$2 * deployment_raw[[#This Row],[Column5]])), 0),"")</f>
        <v/>
      </c>
      <c r="M68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80" s="188" t="str">
        <f>IF(ISNUMBER(deployment_raw[[#This Row],[Column14]]), deployment_raw[[#This Row],[Column14]],"")</f>
        <v/>
      </c>
      <c r="O680" s="189" t="str">
        <f>IF(ISNUMBER(deployment_raw[[#This Row],[Column15]]), deployment_raw[[#This Row],[Column15]]/1048576,"")</f>
        <v/>
      </c>
      <c r="P680" s="190" t="str">
        <f>IF(ISNUMBER(deployment_raw[[#This Row],[Column12]]), (deployment_raw[[#This Row],[Column12]] * deployment_raw[[#This Row],[Column5]]),"")</f>
        <v/>
      </c>
      <c r="Q680" s="189" t="str">
        <f>IF(ISNUMBER(deployment_raw[[#This Row],[Column13]]), (deployment_raw[[#This Row],[Column13]] * deployment_raw[[#This Row],[Column5]])/1048576,"")</f>
        <v/>
      </c>
    </row>
    <row r="681" spans="1:17" ht="15.75" customHeight="1" x14ac:dyDescent="0.25">
      <c r="A681" s="37" t="str">
        <f>IF(ISNONTEXT(deployment_raw[[#This Row],[Column1]]), "", deployment_raw[[#This Row],[Column1]])</f>
        <v/>
      </c>
      <c r="B681" s="38" t="str">
        <f>IF(ISNONTEXT(deployment_raw[[#This Row],[Column2]]), "", deployment_raw[[#This Row],[Column2]])</f>
        <v/>
      </c>
      <c r="C681" s="38" t="str">
        <f>IF(ISNONTEXT(deployment_raw[[#This Row],[Column3]]), "", deployment_raw[[#This Row],[Column3]])</f>
        <v/>
      </c>
      <c r="D681" s="38" t="str">
        <f>IF(ISNONTEXT(deployment_raw[[#This Row],[Column4]]), "", deployment_raw[[#This Row],[Column4]])</f>
        <v/>
      </c>
      <c r="E681" s="39" t="str">
        <f>IF(ISNUMBER(deployment_raw[[#This Row],[Column5]]), deployment_raw[[#This Row],[Column5]],"")</f>
        <v/>
      </c>
      <c r="F681" s="174" t="str">
        <f>IF(ISNUMBER(deployment_raw[[#This Row],[Column6]]), (deployment_raw[[#This Row],[Column6]] * deployment_raw[[#This Row],[Column5]]),"")</f>
        <v/>
      </c>
      <c r="G681" s="175" t="str">
        <f>IF(ISNUMBER(deployment_raw[[#This Row],[Column7]]), (deployment_raw[[#This Row],[Column7]] * deployment_raw[[#This Row],[Column5]])/1048576,"")</f>
        <v/>
      </c>
      <c r="H681" s="175" t="str">
        <f>IF(ISNUMBER(deployment_raw[[#This Row],[Column8]]), (deployment_raw[[#This Row],[Column8]]  * deployment_raw[[#This Row],[Column5]]),"")</f>
        <v/>
      </c>
      <c r="I681" s="176" t="str">
        <f>IF(ISNUMBER(deployment_raw[[#This Row],[Column9]]), (deployment_raw[[#This Row],[Column9]] * deployment_raw[[#This Row],[Column5]])/1048576,"")</f>
        <v/>
      </c>
      <c r="J681" s="57" t="str">
        <f>IF(ISNUMBER(deployment_raw[[#This Row],[Column10]]), (deployment_raw[[#This Row],[Column10]] * deployment_raw[[#This Row],[Column5]]),"")</f>
        <v/>
      </c>
      <c r="K681" s="58" t="str">
        <f>IF(ISNUMBER(deployment_raw[[#This Row],[Column11]]), (deployment_raw[[#This Row],[Column11]] * deployment_raw[[#This Row],[Column5]])/1048576,"")</f>
        <v/>
      </c>
      <c r="L681" s="180" t="str">
        <f>IF(ISNUMBER(deployment_raw[[#This Row],[Column8]]),IF(deployment_raw[[#This Row],[Column5]] &lt;&gt; 0, MAX((deployment_raw[[#This Row],[Column12]] * deployment_raw[[#This Row],[Column5]]), ((deployment_raw[[#This Row],[Column8]] * deployment_raw[[#This Row],[Column5]]) * $L$2), ($H$2 * deployment_raw[[#This Row],[Column5]])), 0),"")</f>
        <v/>
      </c>
      <c r="M68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81" s="188" t="str">
        <f>IF(ISNUMBER(deployment_raw[[#This Row],[Column14]]), deployment_raw[[#This Row],[Column14]],"")</f>
        <v/>
      </c>
      <c r="O681" s="189" t="str">
        <f>IF(ISNUMBER(deployment_raw[[#This Row],[Column15]]), deployment_raw[[#This Row],[Column15]]/1048576,"")</f>
        <v/>
      </c>
      <c r="P681" s="190" t="str">
        <f>IF(ISNUMBER(deployment_raw[[#This Row],[Column12]]), (deployment_raw[[#This Row],[Column12]] * deployment_raw[[#This Row],[Column5]]),"")</f>
        <v/>
      </c>
      <c r="Q681" s="189" t="str">
        <f>IF(ISNUMBER(deployment_raw[[#This Row],[Column13]]), (deployment_raw[[#This Row],[Column13]] * deployment_raw[[#This Row],[Column5]])/1048576,"")</f>
        <v/>
      </c>
    </row>
    <row r="682" spans="1:17" ht="15.75" customHeight="1" x14ac:dyDescent="0.25">
      <c r="A682" s="37" t="str">
        <f>IF(ISNONTEXT(deployment_raw[[#This Row],[Column1]]), "", deployment_raw[[#This Row],[Column1]])</f>
        <v/>
      </c>
      <c r="B682" s="38" t="str">
        <f>IF(ISNONTEXT(deployment_raw[[#This Row],[Column2]]), "", deployment_raw[[#This Row],[Column2]])</f>
        <v/>
      </c>
      <c r="C682" s="38" t="str">
        <f>IF(ISNONTEXT(deployment_raw[[#This Row],[Column3]]), "", deployment_raw[[#This Row],[Column3]])</f>
        <v/>
      </c>
      <c r="D682" s="38" t="str">
        <f>IF(ISNONTEXT(deployment_raw[[#This Row],[Column4]]), "", deployment_raw[[#This Row],[Column4]])</f>
        <v/>
      </c>
      <c r="E682" s="39" t="str">
        <f>IF(ISNUMBER(deployment_raw[[#This Row],[Column5]]), deployment_raw[[#This Row],[Column5]],"")</f>
        <v/>
      </c>
      <c r="F682" s="174" t="str">
        <f>IF(ISNUMBER(deployment_raw[[#This Row],[Column6]]), (deployment_raw[[#This Row],[Column6]] * deployment_raw[[#This Row],[Column5]]),"")</f>
        <v/>
      </c>
      <c r="G682" s="175" t="str">
        <f>IF(ISNUMBER(deployment_raw[[#This Row],[Column7]]), (deployment_raw[[#This Row],[Column7]] * deployment_raw[[#This Row],[Column5]])/1048576,"")</f>
        <v/>
      </c>
      <c r="H682" s="175" t="str">
        <f>IF(ISNUMBER(deployment_raw[[#This Row],[Column8]]), (deployment_raw[[#This Row],[Column8]]  * deployment_raw[[#This Row],[Column5]]),"")</f>
        <v/>
      </c>
      <c r="I682" s="176" t="str">
        <f>IF(ISNUMBER(deployment_raw[[#This Row],[Column9]]), (deployment_raw[[#This Row],[Column9]] * deployment_raw[[#This Row],[Column5]])/1048576,"")</f>
        <v/>
      </c>
      <c r="J682" s="57" t="str">
        <f>IF(ISNUMBER(deployment_raw[[#This Row],[Column10]]), (deployment_raw[[#This Row],[Column10]] * deployment_raw[[#This Row],[Column5]]),"")</f>
        <v/>
      </c>
      <c r="K682" s="58" t="str">
        <f>IF(ISNUMBER(deployment_raw[[#This Row],[Column11]]), (deployment_raw[[#This Row],[Column11]] * deployment_raw[[#This Row],[Column5]])/1048576,"")</f>
        <v/>
      </c>
      <c r="L682" s="180" t="str">
        <f>IF(ISNUMBER(deployment_raw[[#This Row],[Column8]]),IF(deployment_raw[[#This Row],[Column5]] &lt;&gt; 0, MAX((deployment_raw[[#This Row],[Column12]] * deployment_raw[[#This Row],[Column5]]), ((deployment_raw[[#This Row],[Column8]] * deployment_raw[[#This Row],[Column5]]) * $L$2), ($H$2 * deployment_raw[[#This Row],[Column5]])), 0),"")</f>
        <v/>
      </c>
      <c r="M68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82" s="188" t="str">
        <f>IF(ISNUMBER(deployment_raw[[#This Row],[Column14]]), deployment_raw[[#This Row],[Column14]],"")</f>
        <v/>
      </c>
      <c r="O682" s="189" t="str">
        <f>IF(ISNUMBER(deployment_raw[[#This Row],[Column15]]), deployment_raw[[#This Row],[Column15]]/1048576,"")</f>
        <v/>
      </c>
      <c r="P682" s="190" t="str">
        <f>IF(ISNUMBER(deployment_raw[[#This Row],[Column12]]), (deployment_raw[[#This Row],[Column12]] * deployment_raw[[#This Row],[Column5]]),"")</f>
        <v/>
      </c>
      <c r="Q682" s="189" t="str">
        <f>IF(ISNUMBER(deployment_raw[[#This Row],[Column13]]), (deployment_raw[[#This Row],[Column13]] * deployment_raw[[#This Row],[Column5]])/1048576,"")</f>
        <v/>
      </c>
    </row>
    <row r="683" spans="1:17" ht="15.75" customHeight="1" x14ac:dyDescent="0.25">
      <c r="A683" s="37" t="str">
        <f>IF(ISNONTEXT(deployment_raw[[#This Row],[Column1]]), "", deployment_raw[[#This Row],[Column1]])</f>
        <v/>
      </c>
      <c r="B683" s="38" t="str">
        <f>IF(ISNONTEXT(deployment_raw[[#This Row],[Column2]]), "", deployment_raw[[#This Row],[Column2]])</f>
        <v/>
      </c>
      <c r="C683" s="38" t="str">
        <f>IF(ISNONTEXT(deployment_raw[[#This Row],[Column3]]), "", deployment_raw[[#This Row],[Column3]])</f>
        <v/>
      </c>
      <c r="D683" s="38" t="str">
        <f>IF(ISNONTEXT(deployment_raw[[#This Row],[Column4]]), "", deployment_raw[[#This Row],[Column4]])</f>
        <v/>
      </c>
      <c r="E683" s="39" t="str">
        <f>IF(ISNUMBER(deployment_raw[[#This Row],[Column5]]), deployment_raw[[#This Row],[Column5]],"")</f>
        <v/>
      </c>
      <c r="F683" s="174" t="str">
        <f>IF(ISNUMBER(deployment_raw[[#This Row],[Column6]]), (deployment_raw[[#This Row],[Column6]] * deployment_raw[[#This Row],[Column5]]),"")</f>
        <v/>
      </c>
      <c r="G683" s="175" t="str">
        <f>IF(ISNUMBER(deployment_raw[[#This Row],[Column7]]), (deployment_raw[[#This Row],[Column7]] * deployment_raw[[#This Row],[Column5]])/1048576,"")</f>
        <v/>
      </c>
      <c r="H683" s="175" t="str">
        <f>IF(ISNUMBER(deployment_raw[[#This Row],[Column8]]), (deployment_raw[[#This Row],[Column8]]  * deployment_raw[[#This Row],[Column5]]),"")</f>
        <v/>
      </c>
      <c r="I683" s="176" t="str">
        <f>IF(ISNUMBER(deployment_raw[[#This Row],[Column9]]), (deployment_raw[[#This Row],[Column9]] * deployment_raw[[#This Row],[Column5]])/1048576,"")</f>
        <v/>
      </c>
      <c r="J683" s="57" t="str">
        <f>IF(ISNUMBER(deployment_raw[[#This Row],[Column10]]), (deployment_raw[[#This Row],[Column10]] * deployment_raw[[#This Row],[Column5]]),"")</f>
        <v/>
      </c>
      <c r="K683" s="58" t="str">
        <f>IF(ISNUMBER(deployment_raw[[#This Row],[Column11]]), (deployment_raw[[#This Row],[Column11]] * deployment_raw[[#This Row],[Column5]])/1048576,"")</f>
        <v/>
      </c>
      <c r="L683" s="180" t="str">
        <f>IF(ISNUMBER(deployment_raw[[#This Row],[Column8]]),IF(deployment_raw[[#This Row],[Column5]] &lt;&gt; 0, MAX((deployment_raw[[#This Row],[Column12]] * deployment_raw[[#This Row],[Column5]]), ((deployment_raw[[#This Row],[Column8]] * deployment_raw[[#This Row],[Column5]]) * $L$2), ($H$2 * deployment_raw[[#This Row],[Column5]])), 0),"")</f>
        <v/>
      </c>
      <c r="M68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83" s="188" t="str">
        <f>IF(ISNUMBER(deployment_raw[[#This Row],[Column14]]), deployment_raw[[#This Row],[Column14]],"")</f>
        <v/>
      </c>
      <c r="O683" s="189" t="str">
        <f>IF(ISNUMBER(deployment_raw[[#This Row],[Column15]]), deployment_raw[[#This Row],[Column15]]/1048576,"")</f>
        <v/>
      </c>
      <c r="P683" s="190" t="str">
        <f>IF(ISNUMBER(deployment_raw[[#This Row],[Column12]]), (deployment_raw[[#This Row],[Column12]] * deployment_raw[[#This Row],[Column5]]),"")</f>
        <v/>
      </c>
      <c r="Q683" s="189" t="str">
        <f>IF(ISNUMBER(deployment_raw[[#This Row],[Column13]]), (deployment_raw[[#This Row],[Column13]] * deployment_raw[[#This Row],[Column5]])/1048576,"")</f>
        <v/>
      </c>
    </row>
    <row r="684" spans="1:17" ht="15.75" customHeight="1" x14ac:dyDescent="0.25">
      <c r="A684" s="37" t="str">
        <f>IF(ISNONTEXT(deployment_raw[[#This Row],[Column1]]), "", deployment_raw[[#This Row],[Column1]])</f>
        <v/>
      </c>
      <c r="B684" s="38" t="str">
        <f>IF(ISNONTEXT(deployment_raw[[#This Row],[Column2]]), "", deployment_raw[[#This Row],[Column2]])</f>
        <v/>
      </c>
      <c r="C684" s="38" t="str">
        <f>IF(ISNONTEXT(deployment_raw[[#This Row],[Column3]]), "", deployment_raw[[#This Row],[Column3]])</f>
        <v/>
      </c>
      <c r="D684" s="38" t="str">
        <f>IF(ISNONTEXT(deployment_raw[[#This Row],[Column4]]), "", deployment_raw[[#This Row],[Column4]])</f>
        <v/>
      </c>
      <c r="E684" s="39" t="str">
        <f>IF(ISNUMBER(deployment_raw[[#This Row],[Column5]]), deployment_raw[[#This Row],[Column5]],"")</f>
        <v/>
      </c>
      <c r="F684" s="174" t="str">
        <f>IF(ISNUMBER(deployment_raw[[#This Row],[Column6]]), (deployment_raw[[#This Row],[Column6]] * deployment_raw[[#This Row],[Column5]]),"")</f>
        <v/>
      </c>
      <c r="G684" s="175" t="str">
        <f>IF(ISNUMBER(deployment_raw[[#This Row],[Column7]]), (deployment_raw[[#This Row],[Column7]] * deployment_raw[[#This Row],[Column5]])/1048576,"")</f>
        <v/>
      </c>
      <c r="H684" s="175" t="str">
        <f>IF(ISNUMBER(deployment_raw[[#This Row],[Column8]]), (deployment_raw[[#This Row],[Column8]]  * deployment_raw[[#This Row],[Column5]]),"")</f>
        <v/>
      </c>
      <c r="I684" s="176" t="str">
        <f>IF(ISNUMBER(deployment_raw[[#This Row],[Column9]]), (deployment_raw[[#This Row],[Column9]] * deployment_raw[[#This Row],[Column5]])/1048576,"")</f>
        <v/>
      </c>
      <c r="J684" s="57" t="str">
        <f>IF(ISNUMBER(deployment_raw[[#This Row],[Column10]]), (deployment_raw[[#This Row],[Column10]] * deployment_raw[[#This Row],[Column5]]),"")</f>
        <v/>
      </c>
      <c r="K684" s="58" t="str">
        <f>IF(ISNUMBER(deployment_raw[[#This Row],[Column11]]), (deployment_raw[[#This Row],[Column11]] * deployment_raw[[#This Row],[Column5]])/1048576,"")</f>
        <v/>
      </c>
      <c r="L684" s="180" t="str">
        <f>IF(ISNUMBER(deployment_raw[[#This Row],[Column8]]),IF(deployment_raw[[#This Row],[Column5]] &lt;&gt; 0, MAX((deployment_raw[[#This Row],[Column12]] * deployment_raw[[#This Row],[Column5]]), ((deployment_raw[[#This Row],[Column8]] * deployment_raw[[#This Row],[Column5]]) * $L$2), ($H$2 * deployment_raw[[#This Row],[Column5]])), 0),"")</f>
        <v/>
      </c>
      <c r="M68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84" s="188" t="str">
        <f>IF(ISNUMBER(deployment_raw[[#This Row],[Column14]]), deployment_raw[[#This Row],[Column14]],"")</f>
        <v/>
      </c>
      <c r="O684" s="189" t="str">
        <f>IF(ISNUMBER(deployment_raw[[#This Row],[Column15]]), deployment_raw[[#This Row],[Column15]]/1048576,"")</f>
        <v/>
      </c>
      <c r="P684" s="190" t="str">
        <f>IF(ISNUMBER(deployment_raw[[#This Row],[Column12]]), (deployment_raw[[#This Row],[Column12]] * deployment_raw[[#This Row],[Column5]]),"")</f>
        <v/>
      </c>
      <c r="Q684" s="189" t="str">
        <f>IF(ISNUMBER(deployment_raw[[#This Row],[Column13]]), (deployment_raw[[#This Row],[Column13]] * deployment_raw[[#This Row],[Column5]])/1048576,"")</f>
        <v/>
      </c>
    </row>
    <row r="685" spans="1:17" ht="15.75" customHeight="1" x14ac:dyDescent="0.25">
      <c r="A685" s="37" t="str">
        <f>IF(ISNONTEXT(deployment_raw[[#This Row],[Column1]]), "", deployment_raw[[#This Row],[Column1]])</f>
        <v/>
      </c>
      <c r="B685" s="38" t="str">
        <f>IF(ISNONTEXT(deployment_raw[[#This Row],[Column2]]), "", deployment_raw[[#This Row],[Column2]])</f>
        <v/>
      </c>
      <c r="C685" s="38" t="str">
        <f>IF(ISNONTEXT(deployment_raw[[#This Row],[Column3]]), "", deployment_raw[[#This Row],[Column3]])</f>
        <v/>
      </c>
      <c r="D685" s="38" t="str">
        <f>IF(ISNONTEXT(deployment_raw[[#This Row],[Column4]]), "", deployment_raw[[#This Row],[Column4]])</f>
        <v/>
      </c>
      <c r="E685" s="39" t="str">
        <f>IF(ISNUMBER(deployment_raw[[#This Row],[Column5]]), deployment_raw[[#This Row],[Column5]],"")</f>
        <v/>
      </c>
      <c r="F685" s="174" t="str">
        <f>IF(ISNUMBER(deployment_raw[[#This Row],[Column6]]), (deployment_raw[[#This Row],[Column6]] * deployment_raw[[#This Row],[Column5]]),"")</f>
        <v/>
      </c>
      <c r="G685" s="175" t="str">
        <f>IF(ISNUMBER(deployment_raw[[#This Row],[Column7]]), (deployment_raw[[#This Row],[Column7]] * deployment_raw[[#This Row],[Column5]])/1048576,"")</f>
        <v/>
      </c>
      <c r="H685" s="175" t="str">
        <f>IF(ISNUMBER(deployment_raw[[#This Row],[Column8]]), (deployment_raw[[#This Row],[Column8]]  * deployment_raw[[#This Row],[Column5]]),"")</f>
        <v/>
      </c>
      <c r="I685" s="176" t="str">
        <f>IF(ISNUMBER(deployment_raw[[#This Row],[Column9]]), (deployment_raw[[#This Row],[Column9]] * deployment_raw[[#This Row],[Column5]])/1048576,"")</f>
        <v/>
      </c>
      <c r="J685" s="57" t="str">
        <f>IF(ISNUMBER(deployment_raw[[#This Row],[Column10]]), (deployment_raw[[#This Row],[Column10]] * deployment_raw[[#This Row],[Column5]]),"")</f>
        <v/>
      </c>
      <c r="K685" s="58" t="str">
        <f>IF(ISNUMBER(deployment_raw[[#This Row],[Column11]]), (deployment_raw[[#This Row],[Column11]] * deployment_raw[[#This Row],[Column5]])/1048576,"")</f>
        <v/>
      </c>
      <c r="L685" s="180" t="str">
        <f>IF(ISNUMBER(deployment_raw[[#This Row],[Column8]]),IF(deployment_raw[[#This Row],[Column5]] &lt;&gt; 0, MAX((deployment_raw[[#This Row],[Column12]] * deployment_raw[[#This Row],[Column5]]), ((deployment_raw[[#This Row],[Column8]] * deployment_raw[[#This Row],[Column5]]) * $L$2), ($H$2 * deployment_raw[[#This Row],[Column5]])), 0),"")</f>
        <v/>
      </c>
      <c r="M68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85" s="188" t="str">
        <f>IF(ISNUMBER(deployment_raw[[#This Row],[Column14]]), deployment_raw[[#This Row],[Column14]],"")</f>
        <v/>
      </c>
      <c r="O685" s="189" t="str">
        <f>IF(ISNUMBER(deployment_raw[[#This Row],[Column15]]), deployment_raw[[#This Row],[Column15]]/1048576,"")</f>
        <v/>
      </c>
      <c r="P685" s="190" t="str">
        <f>IF(ISNUMBER(deployment_raw[[#This Row],[Column12]]), (deployment_raw[[#This Row],[Column12]] * deployment_raw[[#This Row],[Column5]]),"")</f>
        <v/>
      </c>
      <c r="Q685" s="189" t="str">
        <f>IF(ISNUMBER(deployment_raw[[#This Row],[Column13]]), (deployment_raw[[#This Row],[Column13]] * deployment_raw[[#This Row],[Column5]])/1048576,"")</f>
        <v/>
      </c>
    </row>
    <row r="686" spans="1:17" ht="15.75" customHeight="1" x14ac:dyDescent="0.25">
      <c r="A686" s="37" t="str">
        <f>IF(ISNONTEXT(deployment_raw[[#This Row],[Column1]]), "", deployment_raw[[#This Row],[Column1]])</f>
        <v/>
      </c>
      <c r="B686" s="38" t="str">
        <f>IF(ISNONTEXT(deployment_raw[[#This Row],[Column2]]), "", deployment_raw[[#This Row],[Column2]])</f>
        <v/>
      </c>
      <c r="C686" s="38" t="str">
        <f>IF(ISNONTEXT(deployment_raw[[#This Row],[Column3]]), "", deployment_raw[[#This Row],[Column3]])</f>
        <v/>
      </c>
      <c r="D686" s="38" t="str">
        <f>IF(ISNONTEXT(deployment_raw[[#This Row],[Column4]]), "", deployment_raw[[#This Row],[Column4]])</f>
        <v/>
      </c>
      <c r="E686" s="39" t="str">
        <f>IF(ISNUMBER(deployment_raw[[#This Row],[Column5]]), deployment_raw[[#This Row],[Column5]],"")</f>
        <v/>
      </c>
      <c r="F686" s="174" t="str">
        <f>IF(ISNUMBER(deployment_raw[[#This Row],[Column6]]), (deployment_raw[[#This Row],[Column6]] * deployment_raw[[#This Row],[Column5]]),"")</f>
        <v/>
      </c>
      <c r="G686" s="175" t="str">
        <f>IF(ISNUMBER(deployment_raw[[#This Row],[Column7]]), (deployment_raw[[#This Row],[Column7]] * deployment_raw[[#This Row],[Column5]])/1048576,"")</f>
        <v/>
      </c>
      <c r="H686" s="175" t="str">
        <f>IF(ISNUMBER(deployment_raw[[#This Row],[Column8]]), (deployment_raw[[#This Row],[Column8]]  * deployment_raw[[#This Row],[Column5]]),"")</f>
        <v/>
      </c>
      <c r="I686" s="176" t="str">
        <f>IF(ISNUMBER(deployment_raw[[#This Row],[Column9]]), (deployment_raw[[#This Row],[Column9]] * deployment_raw[[#This Row],[Column5]])/1048576,"")</f>
        <v/>
      </c>
      <c r="J686" s="57" t="str">
        <f>IF(ISNUMBER(deployment_raw[[#This Row],[Column10]]), (deployment_raw[[#This Row],[Column10]] * deployment_raw[[#This Row],[Column5]]),"")</f>
        <v/>
      </c>
      <c r="K686" s="58" t="str">
        <f>IF(ISNUMBER(deployment_raw[[#This Row],[Column11]]), (deployment_raw[[#This Row],[Column11]] * deployment_raw[[#This Row],[Column5]])/1048576,"")</f>
        <v/>
      </c>
      <c r="L686" s="180" t="str">
        <f>IF(ISNUMBER(deployment_raw[[#This Row],[Column8]]),IF(deployment_raw[[#This Row],[Column5]] &lt;&gt; 0, MAX((deployment_raw[[#This Row],[Column12]] * deployment_raw[[#This Row],[Column5]]), ((deployment_raw[[#This Row],[Column8]] * deployment_raw[[#This Row],[Column5]]) * $L$2), ($H$2 * deployment_raw[[#This Row],[Column5]])), 0),"")</f>
        <v/>
      </c>
      <c r="M68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86" s="188" t="str">
        <f>IF(ISNUMBER(deployment_raw[[#This Row],[Column14]]), deployment_raw[[#This Row],[Column14]],"")</f>
        <v/>
      </c>
      <c r="O686" s="189" t="str">
        <f>IF(ISNUMBER(deployment_raw[[#This Row],[Column15]]), deployment_raw[[#This Row],[Column15]]/1048576,"")</f>
        <v/>
      </c>
      <c r="P686" s="190" t="str">
        <f>IF(ISNUMBER(deployment_raw[[#This Row],[Column12]]), (deployment_raw[[#This Row],[Column12]] * deployment_raw[[#This Row],[Column5]]),"")</f>
        <v/>
      </c>
      <c r="Q686" s="189" t="str">
        <f>IF(ISNUMBER(deployment_raw[[#This Row],[Column13]]), (deployment_raw[[#This Row],[Column13]] * deployment_raw[[#This Row],[Column5]])/1048576,"")</f>
        <v/>
      </c>
    </row>
    <row r="687" spans="1:17" ht="15.75" customHeight="1" x14ac:dyDescent="0.25">
      <c r="A687" s="37" t="str">
        <f>IF(ISNONTEXT(deployment_raw[[#This Row],[Column1]]), "", deployment_raw[[#This Row],[Column1]])</f>
        <v/>
      </c>
      <c r="B687" s="38" t="str">
        <f>IF(ISNONTEXT(deployment_raw[[#This Row],[Column2]]), "", deployment_raw[[#This Row],[Column2]])</f>
        <v/>
      </c>
      <c r="C687" s="38" t="str">
        <f>IF(ISNONTEXT(deployment_raw[[#This Row],[Column3]]), "", deployment_raw[[#This Row],[Column3]])</f>
        <v/>
      </c>
      <c r="D687" s="38" t="str">
        <f>IF(ISNONTEXT(deployment_raw[[#This Row],[Column4]]), "", deployment_raw[[#This Row],[Column4]])</f>
        <v/>
      </c>
      <c r="E687" s="39" t="str">
        <f>IF(ISNUMBER(deployment_raw[[#This Row],[Column5]]), deployment_raw[[#This Row],[Column5]],"")</f>
        <v/>
      </c>
      <c r="F687" s="174" t="str">
        <f>IF(ISNUMBER(deployment_raw[[#This Row],[Column6]]), (deployment_raw[[#This Row],[Column6]] * deployment_raw[[#This Row],[Column5]]),"")</f>
        <v/>
      </c>
      <c r="G687" s="175" t="str">
        <f>IF(ISNUMBER(deployment_raw[[#This Row],[Column7]]), (deployment_raw[[#This Row],[Column7]] * deployment_raw[[#This Row],[Column5]])/1048576,"")</f>
        <v/>
      </c>
      <c r="H687" s="175" t="str">
        <f>IF(ISNUMBER(deployment_raw[[#This Row],[Column8]]), (deployment_raw[[#This Row],[Column8]]  * deployment_raw[[#This Row],[Column5]]),"")</f>
        <v/>
      </c>
      <c r="I687" s="176" t="str">
        <f>IF(ISNUMBER(deployment_raw[[#This Row],[Column9]]), (deployment_raw[[#This Row],[Column9]] * deployment_raw[[#This Row],[Column5]])/1048576,"")</f>
        <v/>
      </c>
      <c r="J687" s="57" t="str">
        <f>IF(ISNUMBER(deployment_raw[[#This Row],[Column10]]), (deployment_raw[[#This Row],[Column10]] * deployment_raw[[#This Row],[Column5]]),"")</f>
        <v/>
      </c>
      <c r="K687" s="58" t="str">
        <f>IF(ISNUMBER(deployment_raw[[#This Row],[Column11]]), (deployment_raw[[#This Row],[Column11]] * deployment_raw[[#This Row],[Column5]])/1048576,"")</f>
        <v/>
      </c>
      <c r="L687" s="180" t="str">
        <f>IF(ISNUMBER(deployment_raw[[#This Row],[Column8]]),IF(deployment_raw[[#This Row],[Column5]] &lt;&gt; 0, MAX((deployment_raw[[#This Row],[Column12]] * deployment_raw[[#This Row],[Column5]]), ((deployment_raw[[#This Row],[Column8]] * deployment_raw[[#This Row],[Column5]]) * $L$2), ($H$2 * deployment_raw[[#This Row],[Column5]])), 0),"")</f>
        <v/>
      </c>
      <c r="M68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87" s="188" t="str">
        <f>IF(ISNUMBER(deployment_raw[[#This Row],[Column14]]), deployment_raw[[#This Row],[Column14]],"")</f>
        <v/>
      </c>
      <c r="O687" s="189" t="str">
        <f>IF(ISNUMBER(deployment_raw[[#This Row],[Column15]]), deployment_raw[[#This Row],[Column15]]/1048576,"")</f>
        <v/>
      </c>
      <c r="P687" s="190" t="str">
        <f>IF(ISNUMBER(deployment_raw[[#This Row],[Column12]]), (deployment_raw[[#This Row],[Column12]] * deployment_raw[[#This Row],[Column5]]),"")</f>
        <v/>
      </c>
      <c r="Q687" s="189" t="str">
        <f>IF(ISNUMBER(deployment_raw[[#This Row],[Column13]]), (deployment_raw[[#This Row],[Column13]] * deployment_raw[[#This Row],[Column5]])/1048576,"")</f>
        <v/>
      </c>
    </row>
    <row r="688" spans="1:17" ht="15.75" customHeight="1" x14ac:dyDescent="0.25">
      <c r="A688" s="37" t="str">
        <f>IF(ISNONTEXT(deployment_raw[[#This Row],[Column1]]), "", deployment_raw[[#This Row],[Column1]])</f>
        <v/>
      </c>
      <c r="B688" s="38" t="str">
        <f>IF(ISNONTEXT(deployment_raw[[#This Row],[Column2]]), "", deployment_raw[[#This Row],[Column2]])</f>
        <v/>
      </c>
      <c r="C688" s="38" t="str">
        <f>IF(ISNONTEXT(deployment_raw[[#This Row],[Column3]]), "", deployment_raw[[#This Row],[Column3]])</f>
        <v/>
      </c>
      <c r="D688" s="38" t="str">
        <f>IF(ISNONTEXT(deployment_raw[[#This Row],[Column4]]), "", deployment_raw[[#This Row],[Column4]])</f>
        <v/>
      </c>
      <c r="E688" s="39" t="str">
        <f>IF(ISNUMBER(deployment_raw[[#This Row],[Column5]]), deployment_raw[[#This Row],[Column5]],"")</f>
        <v/>
      </c>
      <c r="F688" s="174" t="str">
        <f>IF(ISNUMBER(deployment_raw[[#This Row],[Column6]]), (deployment_raw[[#This Row],[Column6]] * deployment_raw[[#This Row],[Column5]]),"")</f>
        <v/>
      </c>
      <c r="G688" s="175" t="str">
        <f>IF(ISNUMBER(deployment_raw[[#This Row],[Column7]]), (deployment_raw[[#This Row],[Column7]] * deployment_raw[[#This Row],[Column5]])/1048576,"")</f>
        <v/>
      </c>
      <c r="H688" s="175" t="str">
        <f>IF(ISNUMBER(deployment_raw[[#This Row],[Column8]]), (deployment_raw[[#This Row],[Column8]]  * deployment_raw[[#This Row],[Column5]]),"")</f>
        <v/>
      </c>
      <c r="I688" s="176" t="str">
        <f>IF(ISNUMBER(deployment_raw[[#This Row],[Column9]]), (deployment_raw[[#This Row],[Column9]] * deployment_raw[[#This Row],[Column5]])/1048576,"")</f>
        <v/>
      </c>
      <c r="J688" s="57" t="str">
        <f>IF(ISNUMBER(deployment_raw[[#This Row],[Column10]]), (deployment_raw[[#This Row],[Column10]] * deployment_raw[[#This Row],[Column5]]),"")</f>
        <v/>
      </c>
      <c r="K688" s="58" t="str">
        <f>IF(ISNUMBER(deployment_raw[[#This Row],[Column11]]), (deployment_raw[[#This Row],[Column11]] * deployment_raw[[#This Row],[Column5]])/1048576,"")</f>
        <v/>
      </c>
      <c r="L688" s="180" t="str">
        <f>IF(ISNUMBER(deployment_raw[[#This Row],[Column8]]),IF(deployment_raw[[#This Row],[Column5]] &lt;&gt; 0, MAX((deployment_raw[[#This Row],[Column12]] * deployment_raw[[#This Row],[Column5]]), ((deployment_raw[[#This Row],[Column8]] * deployment_raw[[#This Row],[Column5]]) * $L$2), ($H$2 * deployment_raw[[#This Row],[Column5]])), 0),"")</f>
        <v/>
      </c>
      <c r="M68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88" s="188" t="str">
        <f>IF(ISNUMBER(deployment_raw[[#This Row],[Column14]]), deployment_raw[[#This Row],[Column14]],"")</f>
        <v/>
      </c>
      <c r="O688" s="189" t="str">
        <f>IF(ISNUMBER(deployment_raw[[#This Row],[Column15]]), deployment_raw[[#This Row],[Column15]]/1048576,"")</f>
        <v/>
      </c>
      <c r="P688" s="190" t="str">
        <f>IF(ISNUMBER(deployment_raw[[#This Row],[Column12]]), (deployment_raw[[#This Row],[Column12]] * deployment_raw[[#This Row],[Column5]]),"")</f>
        <v/>
      </c>
      <c r="Q688" s="189" t="str">
        <f>IF(ISNUMBER(deployment_raw[[#This Row],[Column13]]), (deployment_raw[[#This Row],[Column13]] * deployment_raw[[#This Row],[Column5]])/1048576,"")</f>
        <v/>
      </c>
    </row>
    <row r="689" spans="1:17" ht="15.75" customHeight="1" x14ac:dyDescent="0.25">
      <c r="A689" s="37" t="str">
        <f>IF(ISNONTEXT(deployment_raw[[#This Row],[Column1]]), "", deployment_raw[[#This Row],[Column1]])</f>
        <v/>
      </c>
      <c r="B689" s="38" t="str">
        <f>IF(ISNONTEXT(deployment_raw[[#This Row],[Column2]]), "", deployment_raw[[#This Row],[Column2]])</f>
        <v/>
      </c>
      <c r="C689" s="38" t="str">
        <f>IF(ISNONTEXT(deployment_raw[[#This Row],[Column3]]), "", deployment_raw[[#This Row],[Column3]])</f>
        <v/>
      </c>
      <c r="D689" s="38" t="str">
        <f>IF(ISNONTEXT(deployment_raw[[#This Row],[Column4]]), "", deployment_raw[[#This Row],[Column4]])</f>
        <v/>
      </c>
      <c r="E689" s="39" t="str">
        <f>IF(ISNUMBER(deployment_raw[[#This Row],[Column5]]), deployment_raw[[#This Row],[Column5]],"")</f>
        <v/>
      </c>
      <c r="F689" s="174" t="str">
        <f>IF(ISNUMBER(deployment_raw[[#This Row],[Column6]]), (deployment_raw[[#This Row],[Column6]] * deployment_raw[[#This Row],[Column5]]),"")</f>
        <v/>
      </c>
      <c r="G689" s="175" t="str">
        <f>IF(ISNUMBER(deployment_raw[[#This Row],[Column7]]), (deployment_raw[[#This Row],[Column7]] * deployment_raw[[#This Row],[Column5]])/1048576,"")</f>
        <v/>
      </c>
      <c r="H689" s="175" t="str">
        <f>IF(ISNUMBER(deployment_raw[[#This Row],[Column8]]), (deployment_raw[[#This Row],[Column8]]  * deployment_raw[[#This Row],[Column5]]),"")</f>
        <v/>
      </c>
      <c r="I689" s="176" t="str">
        <f>IF(ISNUMBER(deployment_raw[[#This Row],[Column9]]), (deployment_raw[[#This Row],[Column9]] * deployment_raw[[#This Row],[Column5]])/1048576,"")</f>
        <v/>
      </c>
      <c r="J689" s="57" t="str">
        <f>IF(ISNUMBER(deployment_raw[[#This Row],[Column10]]), (deployment_raw[[#This Row],[Column10]] * deployment_raw[[#This Row],[Column5]]),"")</f>
        <v/>
      </c>
      <c r="K689" s="58" t="str">
        <f>IF(ISNUMBER(deployment_raw[[#This Row],[Column11]]), (deployment_raw[[#This Row],[Column11]] * deployment_raw[[#This Row],[Column5]])/1048576,"")</f>
        <v/>
      </c>
      <c r="L689" s="180" t="str">
        <f>IF(ISNUMBER(deployment_raw[[#This Row],[Column8]]),IF(deployment_raw[[#This Row],[Column5]] &lt;&gt; 0, MAX((deployment_raw[[#This Row],[Column12]] * deployment_raw[[#This Row],[Column5]]), ((deployment_raw[[#This Row],[Column8]] * deployment_raw[[#This Row],[Column5]]) * $L$2), ($H$2 * deployment_raw[[#This Row],[Column5]])), 0),"")</f>
        <v/>
      </c>
      <c r="M68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89" s="188" t="str">
        <f>IF(ISNUMBER(deployment_raw[[#This Row],[Column14]]), deployment_raw[[#This Row],[Column14]],"")</f>
        <v/>
      </c>
      <c r="O689" s="189" t="str">
        <f>IF(ISNUMBER(deployment_raw[[#This Row],[Column15]]), deployment_raw[[#This Row],[Column15]]/1048576,"")</f>
        <v/>
      </c>
      <c r="P689" s="190" t="str">
        <f>IF(ISNUMBER(deployment_raw[[#This Row],[Column12]]), (deployment_raw[[#This Row],[Column12]] * deployment_raw[[#This Row],[Column5]]),"")</f>
        <v/>
      </c>
      <c r="Q689" s="189" t="str">
        <f>IF(ISNUMBER(deployment_raw[[#This Row],[Column13]]), (deployment_raw[[#This Row],[Column13]] * deployment_raw[[#This Row],[Column5]])/1048576,"")</f>
        <v/>
      </c>
    </row>
    <row r="690" spans="1:17" ht="15.75" customHeight="1" x14ac:dyDescent="0.25">
      <c r="A690" s="37" t="str">
        <f>IF(ISNONTEXT(deployment_raw[[#This Row],[Column1]]), "", deployment_raw[[#This Row],[Column1]])</f>
        <v/>
      </c>
      <c r="B690" s="38" t="str">
        <f>IF(ISNONTEXT(deployment_raw[[#This Row],[Column2]]), "", deployment_raw[[#This Row],[Column2]])</f>
        <v/>
      </c>
      <c r="C690" s="38" t="str">
        <f>IF(ISNONTEXT(deployment_raw[[#This Row],[Column3]]), "", deployment_raw[[#This Row],[Column3]])</f>
        <v/>
      </c>
      <c r="D690" s="38" t="str">
        <f>IF(ISNONTEXT(deployment_raw[[#This Row],[Column4]]), "", deployment_raw[[#This Row],[Column4]])</f>
        <v/>
      </c>
      <c r="E690" s="39" t="str">
        <f>IF(ISNUMBER(deployment_raw[[#This Row],[Column5]]), deployment_raw[[#This Row],[Column5]],"")</f>
        <v/>
      </c>
      <c r="F690" s="174" t="str">
        <f>IF(ISNUMBER(deployment_raw[[#This Row],[Column6]]), (deployment_raw[[#This Row],[Column6]] * deployment_raw[[#This Row],[Column5]]),"")</f>
        <v/>
      </c>
      <c r="G690" s="175" t="str">
        <f>IF(ISNUMBER(deployment_raw[[#This Row],[Column7]]), (deployment_raw[[#This Row],[Column7]] * deployment_raw[[#This Row],[Column5]])/1048576,"")</f>
        <v/>
      </c>
      <c r="H690" s="175" t="str">
        <f>IF(ISNUMBER(deployment_raw[[#This Row],[Column8]]), (deployment_raw[[#This Row],[Column8]]  * deployment_raw[[#This Row],[Column5]]),"")</f>
        <v/>
      </c>
      <c r="I690" s="176" t="str">
        <f>IF(ISNUMBER(deployment_raw[[#This Row],[Column9]]), (deployment_raw[[#This Row],[Column9]] * deployment_raw[[#This Row],[Column5]])/1048576,"")</f>
        <v/>
      </c>
      <c r="J690" s="57" t="str">
        <f>IF(ISNUMBER(deployment_raw[[#This Row],[Column10]]), (deployment_raw[[#This Row],[Column10]] * deployment_raw[[#This Row],[Column5]]),"")</f>
        <v/>
      </c>
      <c r="K690" s="58" t="str">
        <f>IF(ISNUMBER(deployment_raw[[#This Row],[Column11]]), (deployment_raw[[#This Row],[Column11]] * deployment_raw[[#This Row],[Column5]])/1048576,"")</f>
        <v/>
      </c>
      <c r="L690" s="180" t="str">
        <f>IF(ISNUMBER(deployment_raw[[#This Row],[Column8]]),IF(deployment_raw[[#This Row],[Column5]] &lt;&gt; 0, MAX((deployment_raw[[#This Row],[Column12]] * deployment_raw[[#This Row],[Column5]]), ((deployment_raw[[#This Row],[Column8]] * deployment_raw[[#This Row],[Column5]]) * $L$2), ($H$2 * deployment_raw[[#This Row],[Column5]])), 0),"")</f>
        <v/>
      </c>
      <c r="M69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90" s="188" t="str">
        <f>IF(ISNUMBER(deployment_raw[[#This Row],[Column14]]), deployment_raw[[#This Row],[Column14]],"")</f>
        <v/>
      </c>
      <c r="O690" s="189" t="str">
        <f>IF(ISNUMBER(deployment_raw[[#This Row],[Column15]]), deployment_raw[[#This Row],[Column15]]/1048576,"")</f>
        <v/>
      </c>
      <c r="P690" s="190" t="str">
        <f>IF(ISNUMBER(deployment_raw[[#This Row],[Column12]]), (deployment_raw[[#This Row],[Column12]] * deployment_raw[[#This Row],[Column5]]),"")</f>
        <v/>
      </c>
      <c r="Q690" s="189" t="str">
        <f>IF(ISNUMBER(deployment_raw[[#This Row],[Column13]]), (deployment_raw[[#This Row],[Column13]] * deployment_raw[[#This Row],[Column5]])/1048576,"")</f>
        <v/>
      </c>
    </row>
    <row r="691" spans="1:17" ht="15.75" customHeight="1" x14ac:dyDescent="0.25">
      <c r="A691" s="37" t="str">
        <f>IF(ISNONTEXT(deployment_raw[[#This Row],[Column1]]), "", deployment_raw[[#This Row],[Column1]])</f>
        <v/>
      </c>
      <c r="B691" s="38" t="str">
        <f>IF(ISNONTEXT(deployment_raw[[#This Row],[Column2]]), "", deployment_raw[[#This Row],[Column2]])</f>
        <v/>
      </c>
      <c r="C691" s="38" t="str">
        <f>IF(ISNONTEXT(deployment_raw[[#This Row],[Column3]]), "", deployment_raw[[#This Row],[Column3]])</f>
        <v/>
      </c>
      <c r="D691" s="38" t="str">
        <f>IF(ISNONTEXT(deployment_raw[[#This Row],[Column4]]), "", deployment_raw[[#This Row],[Column4]])</f>
        <v/>
      </c>
      <c r="E691" s="39" t="str">
        <f>IF(ISNUMBER(deployment_raw[[#This Row],[Column5]]), deployment_raw[[#This Row],[Column5]],"")</f>
        <v/>
      </c>
      <c r="F691" s="174" t="str">
        <f>IF(ISNUMBER(deployment_raw[[#This Row],[Column6]]), (deployment_raw[[#This Row],[Column6]] * deployment_raw[[#This Row],[Column5]]),"")</f>
        <v/>
      </c>
      <c r="G691" s="175" t="str">
        <f>IF(ISNUMBER(deployment_raw[[#This Row],[Column7]]), (deployment_raw[[#This Row],[Column7]] * deployment_raw[[#This Row],[Column5]])/1048576,"")</f>
        <v/>
      </c>
      <c r="H691" s="175" t="str">
        <f>IF(ISNUMBER(deployment_raw[[#This Row],[Column8]]), (deployment_raw[[#This Row],[Column8]]  * deployment_raw[[#This Row],[Column5]]),"")</f>
        <v/>
      </c>
      <c r="I691" s="176" t="str">
        <f>IF(ISNUMBER(deployment_raw[[#This Row],[Column9]]), (deployment_raw[[#This Row],[Column9]] * deployment_raw[[#This Row],[Column5]])/1048576,"")</f>
        <v/>
      </c>
      <c r="J691" s="57" t="str">
        <f>IF(ISNUMBER(deployment_raw[[#This Row],[Column10]]), (deployment_raw[[#This Row],[Column10]] * deployment_raw[[#This Row],[Column5]]),"")</f>
        <v/>
      </c>
      <c r="K691" s="58" t="str">
        <f>IF(ISNUMBER(deployment_raw[[#This Row],[Column11]]), (deployment_raw[[#This Row],[Column11]] * deployment_raw[[#This Row],[Column5]])/1048576,"")</f>
        <v/>
      </c>
      <c r="L691" s="180" t="str">
        <f>IF(ISNUMBER(deployment_raw[[#This Row],[Column8]]),IF(deployment_raw[[#This Row],[Column5]] &lt;&gt; 0, MAX((deployment_raw[[#This Row],[Column12]] * deployment_raw[[#This Row],[Column5]]), ((deployment_raw[[#This Row],[Column8]] * deployment_raw[[#This Row],[Column5]]) * $L$2), ($H$2 * deployment_raw[[#This Row],[Column5]])), 0),"")</f>
        <v/>
      </c>
      <c r="M69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91" s="188" t="str">
        <f>IF(ISNUMBER(deployment_raw[[#This Row],[Column14]]), deployment_raw[[#This Row],[Column14]],"")</f>
        <v/>
      </c>
      <c r="O691" s="189" t="str">
        <f>IF(ISNUMBER(deployment_raw[[#This Row],[Column15]]), deployment_raw[[#This Row],[Column15]]/1048576,"")</f>
        <v/>
      </c>
      <c r="P691" s="190" t="str">
        <f>IF(ISNUMBER(deployment_raw[[#This Row],[Column12]]), (deployment_raw[[#This Row],[Column12]] * deployment_raw[[#This Row],[Column5]]),"")</f>
        <v/>
      </c>
      <c r="Q691" s="189" t="str">
        <f>IF(ISNUMBER(deployment_raw[[#This Row],[Column13]]), (deployment_raw[[#This Row],[Column13]] * deployment_raw[[#This Row],[Column5]])/1048576,"")</f>
        <v/>
      </c>
    </row>
    <row r="692" spans="1:17" ht="15.75" customHeight="1" x14ac:dyDescent="0.25">
      <c r="A692" s="37" t="str">
        <f>IF(ISNONTEXT(deployment_raw[[#This Row],[Column1]]), "", deployment_raw[[#This Row],[Column1]])</f>
        <v/>
      </c>
      <c r="B692" s="38" t="str">
        <f>IF(ISNONTEXT(deployment_raw[[#This Row],[Column2]]), "", deployment_raw[[#This Row],[Column2]])</f>
        <v/>
      </c>
      <c r="C692" s="38" t="str">
        <f>IF(ISNONTEXT(deployment_raw[[#This Row],[Column3]]), "", deployment_raw[[#This Row],[Column3]])</f>
        <v/>
      </c>
      <c r="D692" s="38" t="str">
        <f>IF(ISNONTEXT(deployment_raw[[#This Row],[Column4]]), "", deployment_raw[[#This Row],[Column4]])</f>
        <v/>
      </c>
      <c r="E692" s="39" t="str">
        <f>IF(ISNUMBER(deployment_raw[[#This Row],[Column5]]), deployment_raw[[#This Row],[Column5]],"")</f>
        <v/>
      </c>
      <c r="F692" s="174" t="str">
        <f>IF(ISNUMBER(deployment_raw[[#This Row],[Column6]]), (deployment_raw[[#This Row],[Column6]] * deployment_raw[[#This Row],[Column5]]),"")</f>
        <v/>
      </c>
      <c r="G692" s="175" t="str">
        <f>IF(ISNUMBER(deployment_raw[[#This Row],[Column7]]), (deployment_raw[[#This Row],[Column7]] * deployment_raw[[#This Row],[Column5]])/1048576,"")</f>
        <v/>
      </c>
      <c r="H692" s="175" t="str">
        <f>IF(ISNUMBER(deployment_raw[[#This Row],[Column8]]), (deployment_raw[[#This Row],[Column8]]  * deployment_raw[[#This Row],[Column5]]),"")</f>
        <v/>
      </c>
      <c r="I692" s="176" t="str">
        <f>IF(ISNUMBER(deployment_raw[[#This Row],[Column9]]), (deployment_raw[[#This Row],[Column9]] * deployment_raw[[#This Row],[Column5]])/1048576,"")</f>
        <v/>
      </c>
      <c r="J692" s="57" t="str">
        <f>IF(ISNUMBER(deployment_raw[[#This Row],[Column10]]), (deployment_raw[[#This Row],[Column10]] * deployment_raw[[#This Row],[Column5]]),"")</f>
        <v/>
      </c>
      <c r="K692" s="58" t="str">
        <f>IF(ISNUMBER(deployment_raw[[#This Row],[Column11]]), (deployment_raw[[#This Row],[Column11]] * deployment_raw[[#This Row],[Column5]])/1048576,"")</f>
        <v/>
      </c>
      <c r="L692" s="180" t="str">
        <f>IF(ISNUMBER(deployment_raw[[#This Row],[Column8]]),IF(deployment_raw[[#This Row],[Column5]] &lt;&gt; 0, MAX((deployment_raw[[#This Row],[Column12]] * deployment_raw[[#This Row],[Column5]]), ((deployment_raw[[#This Row],[Column8]] * deployment_raw[[#This Row],[Column5]]) * $L$2), ($H$2 * deployment_raw[[#This Row],[Column5]])), 0),"")</f>
        <v/>
      </c>
      <c r="M69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92" s="188" t="str">
        <f>IF(ISNUMBER(deployment_raw[[#This Row],[Column14]]), deployment_raw[[#This Row],[Column14]],"")</f>
        <v/>
      </c>
      <c r="O692" s="189" t="str">
        <f>IF(ISNUMBER(deployment_raw[[#This Row],[Column15]]), deployment_raw[[#This Row],[Column15]]/1048576,"")</f>
        <v/>
      </c>
      <c r="P692" s="190" t="str">
        <f>IF(ISNUMBER(deployment_raw[[#This Row],[Column12]]), (deployment_raw[[#This Row],[Column12]] * deployment_raw[[#This Row],[Column5]]),"")</f>
        <v/>
      </c>
      <c r="Q692" s="189" t="str">
        <f>IF(ISNUMBER(deployment_raw[[#This Row],[Column13]]), (deployment_raw[[#This Row],[Column13]] * deployment_raw[[#This Row],[Column5]])/1048576,"")</f>
        <v/>
      </c>
    </row>
    <row r="693" spans="1:17" ht="15.75" customHeight="1" x14ac:dyDescent="0.25">
      <c r="A693" s="37" t="str">
        <f>IF(ISNONTEXT(deployment_raw[[#This Row],[Column1]]), "", deployment_raw[[#This Row],[Column1]])</f>
        <v/>
      </c>
      <c r="B693" s="38" t="str">
        <f>IF(ISNONTEXT(deployment_raw[[#This Row],[Column2]]), "", deployment_raw[[#This Row],[Column2]])</f>
        <v/>
      </c>
      <c r="C693" s="38" t="str">
        <f>IF(ISNONTEXT(deployment_raw[[#This Row],[Column3]]), "", deployment_raw[[#This Row],[Column3]])</f>
        <v/>
      </c>
      <c r="D693" s="38" t="str">
        <f>IF(ISNONTEXT(deployment_raw[[#This Row],[Column4]]), "", deployment_raw[[#This Row],[Column4]])</f>
        <v/>
      </c>
      <c r="E693" s="39" t="str">
        <f>IF(ISNUMBER(deployment_raw[[#This Row],[Column5]]), deployment_raw[[#This Row],[Column5]],"")</f>
        <v/>
      </c>
      <c r="F693" s="174" t="str">
        <f>IF(ISNUMBER(deployment_raw[[#This Row],[Column6]]), (deployment_raw[[#This Row],[Column6]] * deployment_raw[[#This Row],[Column5]]),"")</f>
        <v/>
      </c>
      <c r="G693" s="175" t="str">
        <f>IF(ISNUMBER(deployment_raw[[#This Row],[Column7]]), (deployment_raw[[#This Row],[Column7]] * deployment_raw[[#This Row],[Column5]])/1048576,"")</f>
        <v/>
      </c>
      <c r="H693" s="175" t="str">
        <f>IF(ISNUMBER(deployment_raw[[#This Row],[Column8]]), (deployment_raw[[#This Row],[Column8]]  * deployment_raw[[#This Row],[Column5]]),"")</f>
        <v/>
      </c>
      <c r="I693" s="176" t="str">
        <f>IF(ISNUMBER(deployment_raw[[#This Row],[Column9]]), (deployment_raw[[#This Row],[Column9]] * deployment_raw[[#This Row],[Column5]])/1048576,"")</f>
        <v/>
      </c>
      <c r="J693" s="57" t="str">
        <f>IF(ISNUMBER(deployment_raw[[#This Row],[Column10]]), (deployment_raw[[#This Row],[Column10]] * deployment_raw[[#This Row],[Column5]]),"")</f>
        <v/>
      </c>
      <c r="K693" s="58" t="str">
        <f>IF(ISNUMBER(deployment_raw[[#This Row],[Column11]]), (deployment_raw[[#This Row],[Column11]] * deployment_raw[[#This Row],[Column5]])/1048576,"")</f>
        <v/>
      </c>
      <c r="L693" s="180" t="str">
        <f>IF(ISNUMBER(deployment_raw[[#This Row],[Column8]]),IF(deployment_raw[[#This Row],[Column5]] &lt;&gt; 0, MAX((deployment_raw[[#This Row],[Column12]] * deployment_raw[[#This Row],[Column5]]), ((deployment_raw[[#This Row],[Column8]] * deployment_raw[[#This Row],[Column5]]) * $L$2), ($H$2 * deployment_raw[[#This Row],[Column5]])), 0),"")</f>
        <v/>
      </c>
      <c r="M69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93" s="188" t="str">
        <f>IF(ISNUMBER(deployment_raw[[#This Row],[Column14]]), deployment_raw[[#This Row],[Column14]],"")</f>
        <v/>
      </c>
      <c r="O693" s="189" t="str">
        <f>IF(ISNUMBER(deployment_raw[[#This Row],[Column15]]), deployment_raw[[#This Row],[Column15]]/1048576,"")</f>
        <v/>
      </c>
      <c r="P693" s="190" t="str">
        <f>IF(ISNUMBER(deployment_raw[[#This Row],[Column12]]), (deployment_raw[[#This Row],[Column12]] * deployment_raw[[#This Row],[Column5]]),"")</f>
        <v/>
      </c>
      <c r="Q693" s="189" t="str">
        <f>IF(ISNUMBER(deployment_raw[[#This Row],[Column13]]), (deployment_raw[[#This Row],[Column13]] * deployment_raw[[#This Row],[Column5]])/1048576,"")</f>
        <v/>
      </c>
    </row>
    <row r="694" spans="1:17" ht="15.75" customHeight="1" x14ac:dyDescent="0.25">
      <c r="A694" s="37" t="str">
        <f>IF(ISNONTEXT(deployment_raw[[#This Row],[Column1]]), "", deployment_raw[[#This Row],[Column1]])</f>
        <v/>
      </c>
      <c r="B694" s="38" t="str">
        <f>IF(ISNONTEXT(deployment_raw[[#This Row],[Column2]]), "", deployment_raw[[#This Row],[Column2]])</f>
        <v/>
      </c>
      <c r="C694" s="38" t="str">
        <f>IF(ISNONTEXT(deployment_raw[[#This Row],[Column3]]), "", deployment_raw[[#This Row],[Column3]])</f>
        <v/>
      </c>
      <c r="D694" s="38" t="str">
        <f>IF(ISNONTEXT(deployment_raw[[#This Row],[Column4]]), "", deployment_raw[[#This Row],[Column4]])</f>
        <v/>
      </c>
      <c r="E694" s="39" t="str">
        <f>IF(ISNUMBER(deployment_raw[[#This Row],[Column5]]), deployment_raw[[#This Row],[Column5]],"")</f>
        <v/>
      </c>
      <c r="F694" s="174" t="str">
        <f>IF(ISNUMBER(deployment_raw[[#This Row],[Column6]]), (deployment_raw[[#This Row],[Column6]] * deployment_raw[[#This Row],[Column5]]),"")</f>
        <v/>
      </c>
      <c r="G694" s="175" t="str">
        <f>IF(ISNUMBER(deployment_raw[[#This Row],[Column7]]), (deployment_raw[[#This Row],[Column7]] * deployment_raw[[#This Row],[Column5]])/1048576,"")</f>
        <v/>
      </c>
      <c r="H694" s="175" t="str">
        <f>IF(ISNUMBER(deployment_raw[[#This Row],[Column8]]), (deployment_raw[[#This Row],[Column8]]  * deployment_raw[[#This Row],[Column5]]),"")</f>
        <v/>
      </c>
      <c r="I694" s="176" t="str">
        <f>IF(ISNUMBER(deployment_raw[[#This Row],[Column9]]), (deployment_raw[[#This Row],[Column9]] * deployment_raw[[#This Row],[Column5]])/1048576,"")</f>
        <v/>
      </c>
      <c r="J694" s="57" t="str">
        <f>IF(ISNUMBER(deployment_raw[[#This Row],[Column10]]), (deployment_raw[[#This Row],[Column10]] * deployment_raw[[#This Row],[Column5]]),"")</f>
        <v/>
      </c>
      <c r="K694" s="58" t="str">
        <f>IF(ISNUMBER(deployment_raw[[#This Row],[Column11]]), (deployment_raw[[#This Row],[Column11]] * deployment_raw[[#This Row],[Column5]])/1048576,"")</f>
        <v/>
      </c>
      <c r="L694" s="180" t="str">
        <f>IF(ISNUMBER(deployment_raw[[#This Row],[Column8]]),IF(deployment_raw[[#This Row],[Column5]] &lt;&gt; 0, MAX((deployment_raw[[#This Row],[Column12]] * deployment_raw[[#This Row],[Column5]]), ((deployment_raw[[#This Row],[Column8]] * deployment_raw[[#This Row],[Column5]]) * $L$2), ($H$2 * deployment_raw[[#This Row],[Column5]])), 0),"")</f>
        <v/>
      </c>
      <c r="M69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94" s="188" t="str">
        <f>IF(ISNUMBER(deployment_raw[[#This Row],[Column14]]), deployment_raw[[#This Row],[Column14]],"")</f>
        <v/>
      </c>
      <c r="O694" s="189" t="str">
        <f>IF(ISNUMBER(deployment_raw[[#This Row],[Column15]]), deployment_raw[[#This Row],[Column15]]/1048576,"")</f>
        <v/>
      </c>
      <c r="P694" s="190" t="str">
        <f>IF(ISNUMBER(deployment_raw[[#This Row],[Column12]]), (deployment_raw[[#This Row],[Column12]] * deployment_raw[[#This Row],[Column5]]),"")</f>
        <v/>
      </c>
      <c r="Q694" s="189" t="str">
        <f>IF(ISNUMBER(deployment_raw[[#This Row],[Column13]]), (deployment_raw[[#This Row],[Column13]] * deployment_raw[[#This Row],[Column5]])/1048576,"")</f>
        <v/>
      </c>
    </row>
    <row r="695" spans="1:17" ht="15.75" customHeight="1" x14ac:dyDescent="0.25">
      <c r="A695" s="37" t="str">
        <f>IF(ISNONTEXT(deployment_raw[[#This Row],[Column1]]), "", deployment_raw[[#This Row],[Column1]])</f>
        <v/>
      </c>
      <c r="B695" s="38" t="str">
        <f>IF(ISNONTEXT(deployment_raw[[#This Row],[Column2]]), "", deployment_raw[[#This Row],[Column2]])</f>
        <v/>
      </c>
      <c r="C695" s="38" t="str">
        <f>IF(ISNONTEXT(deployment_raw[[#This Row],[Column3]]), "", deployment_raw[[#This Row],[Column3]])</f>
        <v/>
      </c>
      <c r="D695" s="38" t="str">
        <f>IF(ISNONTEXT(deployment_raw[[#This Row],[Column4]]), "", deployment_raw[[#This Row],[Column4]])</f>
        <v/>
      </c>
      <c r="E695" s="39" t="str">
        <f>IF(ISNUMBER(deployment_raw[[#This Row],[Column5]]), deployment_raw[[#This Row],[Column5]],"")</f>
        <v/>
      </c>
      <c r="F695" s="174" t="str">
        <f>IF(ISNUMBER(deployment_raw[[#This Row],[Column6]]), (deployment_raw[[#This Row],[Column6]] * deployment_raw[[#This Row],[Column5]]),"")</f>
        <v/>
      </c>
      <c r="G695" s="175" t="str">
        <f>IF(ISNUMBER(deployment_raw[[#This Row],[Column7]]), (deployment_raw[[#This Row],[Column7]] * deployment_raw[[#This Row],[Column5]])/1048576,"")</f>
        <v/>
      </c>
      <c r="H695" s="175" t="str">
        <f>IF(ISNUMBER(deployment_raw[[#This Row],[Column8]]), (deployment_raw[[#This Row],[Column8]]  * deployment_raw[[#This Row],[Column5]]),"")</f>
        <v/>
      </c>
      <c r="I695" s="176" t="str">
        <f>IF(ISNUMBER(deployment_raw[[#This Row],[Column9]]), (deployment_raw[[#This Row],[Column9]] * deployment_raw[[#This Row],[Column5]])/1048576,"")</f>
        <v/>
      </c>
      <c r="J695" s="57" t="str">
        <f>IF(ISNUMBER(deployment_raw[[#This Row],[Column10]]), (deployment_raw[[#This Row],[Column10]] * deployment_raw[[#This Row],[Column5]]),"")</f>
        <v/>
      </c>
      <c r="K695" s="58" t="str">
        <f>IF(ISNUMBER(deployment_raw[[#This Row],[Column11]]), (deployment_raw[[#This Row],[Column11]] * deployment_raw[[#This Row],[Column5]])/1048576,"")</f>
        <v/>
      </c>
      <c r="L695" s="180" t="str">
        <f>IF(ISNUMBER(deployment_raw[[#This Row],[Column8]]),IF(deployment_raw[[#This Row],[Column5]] &lt;&gt; 0, MAX((deployment_raw[[#This Row],[Column12]] * deployment_raw[[#This Row],[Column5]]), ((deployment_raw[[#This Row],[Column8]] * deployment_raw[[#This Row],[Column5]]) * $L$2), ($H$2 * deployment_raw[[#This Row],[Column5]])), 0),"")</f>
        <v/>
      </c>
      <c r="M69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95" s="188" t="str">
        <f>IF(ISNUMBER(deployment_raw[[#This Row],[Column14]]), deployment_raw[[#This Row],[Column14]],"")</f>
        <v/>
      </c>
      <c r="O695" s="189" t="str">
        <f>IF(ISNUMBER(deployment_raw[[#This Row],[Column15]]), deployment_raw[[#This Row],[Column15]]/1048576,"")</f>
        <v/>
      </c>
      <c r="P695" s="190" t="str">
        <f>IF(ISNUMBER(deployment_raw[[#This Row],[Column12]]), (deployment_raw[[#This Row],[Column12]] * deployment_raw[[#This Row],[Column5]]),"")</f>
        <v/>
      </c>
      <c r="Q695" s="189" t="str">
        <f>IF(ISNUMBER(deployment_raw[[#This Row],[Column13]]), (deployment_raw[[#This Row],[Column13]] * deployment_raw[[#This Row],[Column5]])/1048576,"")</f>
        <v/>
      </c>
    </row>
    <row r="696" spans="1:17" ht="15.75" customHeight="1" x14ac:dyDescent="0.25">
      <c r="A696" s="37" t="str">
        <f>IF(ISNONTEXT(deployment_raw[[#This Row],[Column1]]), "", deployment_raw[[#This Row],[Column1]])</f>
        <v/>
      </c>
      <c r="B696" s="38" t="str">
        <f>IF(ISNONTEXT(deployment_raw[[#This Row],[Column2]]), "", deployment_raw[[#This Row],[Column2]])</f>
        <v/>
      </c>
      <c r="C696" s="38" t="str">
        <f>IF(ISNONTEXT(deployment_raw[[#This Row],[Column3]]), "", deployment_raw[[#This Row],[Column3]])</f>
        <v/>
      </c>
      <c r="D696" s="38" t="str">
        <f>IF(ISNONTEXT(deployment_raw[[#This Row],[Column4]]), "", deployment_raw[[#This Row],[Column4]])</f>
        <v/>
      </c>
      <c r="E696" s="39" t="str">
        <f>IF(ISNUMBER(deployment_raw[[#This Row],[Column5]]), deployment_raw[[#This Row],[Column5]],"")</f>
        <v/>
      </c>
      <c r="F696" s="174" t="str">
        <f>IF(ISNUMBER(deployment_raw[[#This Row],[Column6]]), (deployment_raw[[#This Row],[Column6]] * deployment_raw[[#This Row],[Column5]]),"")</f>
        <v/>
      </c>
      <c r="G696" s="175" t="str">
        <f>IF(ISNUMBER(deployment_raw[[#This Row],[Column7]]), (deployment_raw[[#This Row],[Column7]] * deployment_raw[[#This Row],[Column5]])/1048576,"")</f>
        <v/>
      </c>
      <c r="H696" s="175" t="str">
        <f>IF(ISNUMBER(deployment_raw[[#This Row],[Column8]]), (deployment_raw[[#This Row],[Column8]]  * deployment_raw[[#This Row],[Column5]]),"")</f>
        <v/>
      </c>
      <c r="I696" s="176" t="str">
        <f>IF(ISNUMBER(deployment_raw[[#This Row],[Column9]]), (deployment_raw[[#This Row],[Column9]] * deployment_raw[[#This Row],[Column5]])/1048576,"")</f>
        <v/>
      </c>
      <c r="J696" s="57" t="str">
        <f>IF(ISNUMBER(deployment_raw[[#This Row],[Column10]]), (deployment_raw[[#This Row],[Column10]] * deployment_raw[[#This Row],[Column5]]),"")</f>
        <v/>
      </c>
      <c r="K696" s="58" t="str">
        <f>IF(ISNUMBER(deployment_raw[[#This Row],[Column11]]), (deployment_raw[[#This Row],[Column11]] * deployment_raw[[#This Row],[Column5]])/1048576,"")</f>
        <v/>
      </c>
      <c r="L696" s="180" t="str">
        <f>IF(ISNUMBER(deployment_raw[[#This Row],[Column8]]),IF(deployment_raw[[#This Row],[Column5]] &lt;&gt; 0, MAX((deployment_raw[[#This Row],[Column12]] * deployment_raw[[#This Row],[Column5]]), ((deployment_raw[[#This Row],[Column8]] * deployment_raw[[#This Row],[Column5]]) * $L$2), ($H$2 * deployment_raw[[#This Row],[Column5]])), 0),"")</f>
        <v/>
      </c>
      <c r="M69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96" s="188" t="str">
        <f>IF(ISNUMBER(deployment_raw[[#This Row],[Column14]]), deployment_raw[[#This Row],[Column14]],"")</f>
        <v/>
      </c>
      <c r="O696" s="189" t="str">
        <f>IF(ISNUMBER(deployment_raw[[#This Row],[Column15]]), deployment_raw[[#This Row],[Column15]]/1048576,"")</f>
        <v/>
      </c>
      <c r="P696" s="190" t="str">
        <f>IF(ISNUMBER(deployment_raw[[#This Row],[Column12]]), (deployment_raw[[#This Row],[Column12]] * deployment_raw[[#This Row],[Column5]]),"")</f>
        <v/>
      </c>
      <c r="Q696" s="189" t="str">
        <f>IF(ISNUMBER(deployment_raw[[#This Row],[Column13]]), (deployment_raw[[#This Row],[Column13]] * deployment_raw[[#This Row],[Column5]])/1048576,"")</f>
        <v/>
      </c>
    </row>
    <row r="697" spans="1:17" ht="15.75" customHeight="1" x14ac:dyDescent="0.25">
      <c r="A697" s="37" t="str">
        <f>IF(ISNONTEXT(deployment_raw[[#This Row],[Column1]]), "", deployment_raw[[#This Row],[Column1]])</f>
        <v/>
      </c>
      <c r="B697" s="38" t="str">
        <f>IF(ISNONTEXT(deployment_raw[[#This Row],[Column2]]), "", deployment_raw[[#This Row],[Column2]])</f>
        <v/>
      </c>
      <c r="C697" s="38" t="str">
        <f>IF(ISNONTEXT(deployment_raw[[#This Row],[Column3]]), "", deployment_raw[[#This Row],[Column3]])</f>
        <v/>
      </c>
      <c r="D697" s="38" t="str">
        <f>IF(ISNONTEXT(deployment_raw[[#This Row],[Column4]]), "", deployment_raw[[#This Row],[Column4]])</f>
        <v/>
      </c>
      <c r="E697" s="39" t="str">
        <f>IF(ISNUMBER(deployment_raw[[#This Row],[Column5]]), deployment_raw[[#This Row],[Column5]],"")</f>
        <v/>
      </c>
      <c r="F697" s="174" t="str">
        <f>IF(ISNUMBER(deployment_raw[[#This Row],[Column6]]), (deployment_raw[[#This Row],[Column6]] * deployment_raw[[#This Row],[Column5]]),"")</f>
        <v/>
      </c>
      <c r="G697" s="175" t="str">
        <f>IF(ISNUMBER(deployment_raw[[#This Row],[Column7]]), (deployment_raw[[#This Row],[Column7]] * deployment_raw[[#This Row],[Column5]])/1048576,"")</f>
        <v/>
      </c>
      <c r="H697" s="175" t="str">
        <f>IF(ISNUMBER(deployment_raw[[#This Row],[Column8]]), (deployment_raw[[#This Row],[Column8]]  * deployment_raw[[#This Row],[Column5]]),"")</f>
        <v/>
      </c>
      <c r="I697" s="176" t="str">
        <f>IF(ISNUMBER(deployment_raw[[#This Row],[Column9]]), (deployment_raw[[#This Row],[Column9]] * deployment_raw[[#This Row],[Column5]])/1048576,"")</f>
        <v/>
      </c>
      <c r="J697" s="57" t="str">
        <f>IF(ISNUMBER(deployment_raw[[#This Row],[Column10]]), (deployment_raw[[#This Row],[Column10]] * deployment_raw[[#This Row],[Column5]]),"")</f>
        <v/>
      </c>
      <c r="K697" s="58" t="str">
        <f>IF(ISNUMBER(deployment_raw[[#This Row],[Column11]]), (deployment_raw[[#This Row],[Column11]] * deployment_raw[[#This Row],[Column5]])/1048576,"")</f>
        <v/>
      </c>
      <c r="L697" s="180" t="str">
        <f>IF(ISNUMBER(deployment_raw[[#This Row],[Column8]]),IF(deployment_raw[[#This Row],[Column5]] &lt;&gt; 0, MAX((deployment_raw[[#This Row],[Column12]] * deployment_raw[[#This Row],[Column5]]), ((deployment_raw[[#This Row],[Column8]] * deployment_raw[[#This Row],[Column5]]) * $L$2), ($H$2 * deployment_raw[[#This Row],[Column5]])), 0),"")</f>
        <v/>
      </c>
      <c r="M69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97" s="188" t="str">
        <f>IF(ISNUMBER(deployment_raw[[#This Row],[Column14]]), deployment_raw[[#This Row],[Column14]],"")</f>
        <v/>
      </c>
      <c r="O697" s="189" t="str">
        <f>IF(ISNUMBER(deployment_raw[[#This Row],[Column15]]), deployment_raw[[#This Row],[Column15]]/1048576,"")</f>
        <v/>
      </c>
      <c r="P697" s="190" t="str">
        <f>IF(ISNUMBER(deployment_raw[[#This Row],[Column12]]), (deployment_raw[[#This Row],[Column12]] * deployment_raw[[#This Row],[Column5]]),"")</f>
        <v/>
      </c>
      <c r="Q697" s="189" t="str">
        <f>IF(ISNUMBER(deployment_raw[[#This Row],[Column13]]), (deployment_raw[[#This Row],[Column13]] * deployment_raw[[#This Row],[Column5]])/1048576,"")</f>
        <v/>
      </c>
    </row>
    <row r="698" spans="1:17" ht="15.75" customHeight="1" x14ac:dyDescent="0.25">
      <c r="A698" s="37" t="str">
        <f>IF(ISNONTEXT(deployment_raw[[#This Row],[Column1]]), "", deployment_raw[[#This Row],[Column1]])</f>
        <v/>
      </c>
      <c r="B698" s="38" t="str">
        <f>IF(ISNONTEXT(deployment_raw[[#This Row],[Column2]]), "", deployment_raw[[#This Row],[Column2]])</f>
        <v/>
      </c>
      <c r="C698" s="38" t="str">
        <f>IF(ISNONTEXT(deployment_raw[[#This Row],[Column3]]), "", deployment_raw[[#This Row],[Column3]])</f>
        <v/>
      </c>
      <c r="D698" s="38" t="str">
        <f>IF(ISNONTEXT(deployment_raw[[#This Row],[Column4]]), "", deployment_raw[[#This Row],[Column4]])</f>
        <v/>
      </c>
      <c r="E698" s="39" t="str">
        <f>IF(ISNUMBER(deployment_raw[[#This Row],[Column5]]), deployment_raw[[#This Row],[Column5]],"")</f>
        <v/>
      </c>
      <c r="F698" s="174" t="str">
        <f>IF(ISNUMBER(deployment_raw[[#This Row],[Column6]]), (deployment_raw[[#This Row],[Column6]] * deployment_raw[[#This Row],[Column5]]),"")</f>
        <v/>
      </c>
      <c r="G698" s="175" t="str">
        <f>IF(ISNUMBER(deployment_raw[[#This Row],[Column7]]), (deployment_raw[[#This Row],[Column7]] * deployment_raw[[#This Row],[Column5]])/1048576,"")</f>
        <v/>
      </c>
      <c r="H698" s="175" t="str">
        <f>IF(ISNUMBER(deployment_raw[[#This Row],[Column8]]), (deployment_raw[[#This Row],[Column8]]  * deployment_raw[[#This Row],[Column5]]),"")</f>
        <v/>
      </c>
      <c r="I698" s="176" t="str">
        <f>IF(ISNUMBER(deployment_raw[[#This Row],[Column9]]), (deployment_raw[[#This Row],[Column9]] * deployment_raw[[#This Row],[Column5]])/1048576,"")</f>
        <v/>
      </c>
      <c r="J698" s="57" t="str">
        <f>IF(ISNUMBER(deployment_raw[[#This Row],[Column10]]), (deployment_raw[[#This Row],[Column10]] * deployment_raw[[#This Row],[Column5]]),"")</f>
        <v/>
      </c>
      <c r="K698" s="58" t="str">
        <f>IF(ISNUMBER(deployment_raw[[#This Row],[Column11]]), (deployment_raw[[#This Row],[Column11]] * deployment_raw[[#This Row],[Column5]])/1048576,"")</f>
        <v/>
      </c>
      <c r="L698" s="180" t="str">
        <f>IF(ISNUMBER(deployment_raw[[#This Row],[Column8]]),IF(deployment_raw[[#This Row],[Column5]] &lt;&gt; 0, MAX((deployment_raw[[#This Row],[Column12]] * deployment_raw[[#This Row],[Column5]]), ((deployment_raw[[#This Row],[Column8]] * deployment_raw[[#This Row],[Column5]]) * $L$2), ($H$2 * deployment_raw[[#This Row],[Column5]])), 0),"")</f>
        <v/>
      </c>
      <c r="M69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98" s="188" t="str">
        <f>IF(ISNUMBER(deployment_raw[[#This Row],[Column14]]), deployment_raw[[#This Row],[Column14]],"")</f>
        <v/>
      </c>
      <c r="O698" s="189" t="str">
        <f>IF(ISNUMBER(deployment_raw[[#This Row],[Column15]]), deployment_raw[[#This Row],[Column15]]/1048576,"")</f>
        <v/>
      </c>
      <c r="P698" s="190" t="str">
        <f>IF(ISNUMBER(deployment_raw[[#This Row],[Column12]]), (deployment_raw[[#This Row],[Column12]] * deployment_raw[[#This Row],[Column5]]),"")</f>
        <v/>
      </c>
      <c r="Q698" s="189" t="str">
        <f>IF(ISNUMBER(deployment_raw[[#This Row],[Column13]]), (deployment_raw[[#This Row],[Column13]] * deployment_raw[[#This Row],[Column5]])/1048576,"")</f>
        <v/>
      </c>
    </row>
    <row r="699" spans="1:17" ht="15.75" customHeight="1" x14ac:dyDescent="0.25">
      <c r="A699" s="37" t="str">
        <f>IF(ISNONTEXT(deployment_raw[[#This Row],[Column1]]), "", deployment_raw[[#This Row],[Column1]])</f>
        <v/>
      </c>
      <c r="B699" s="38" t="str">
        <f>IF(ISNONTEXT(deployment_raw[[#This Row],[Column2]]), "", deployment_raw[[#This Row],[Column2]])</f>
        <v/>
      </c>
      <c r="C699" s="38" t="str">
        <f>IF(ISNONTEXT(deployment_raw[[#This Row],[Column3]]), "", deployment_raw[[#This Row],[Column3]])</f>
        <v/>
      </c>
      <c r="D699" s="38" t="str">
        <f>IF(ISNONTEXT(deployment_raw[[#This Row],[Column4]]), "", deployment_raw[[#This Row],[Column4]])</f>
        <v/>
      </c>
      <c r="E699" s="39" t="str">
        <f>IF(ISNUMBER(deployment_raw[[#This Row],[Column5]]), deployment_raw[[#This Row],[Column5]],"")</f>
        <v/>
      </c>
      <c r="F699" s="174" t="str">
        <f>IF(ISNUMBER(deployment_raw[[#This Row],[Column6]]), (deployment_raw[[#This Row],[Column6]] * deployment_raw[[#This Row],[Column5]]),"")</f>
        <v/>
      </c>
      <c r="G699" s="175" t="str">
        <f>IF(ISNUMBER(deployment_raw[[#This Row],[Column7]]), (deployment_raw[[#This Row],[Column7]] * deployment_raw[[#This Row],[Column5]])/1048576,"")</f>
        <v/>
      </c>
      <c r="H699" s="175" t="str">
        <f>IF(ISNUMBER(deployment_raw[[#This Row],[Column8]]), (deployment_raw[[#This Row],[Column8]]  * deployment_raw[[#This Row],[Column5]]),"")</f>
        <v/>
      </c>
      <c r="I699" s="176" t="str">
        <f>IF(ISNUMBER(deployment_raw[[#This Row],[Column9]]), (deployment_raw[[#This Row],[Column9]] * deployment_raw[[#This Row],[Column5]])/1048576,"")</f>
        <v/>
      </c>
      <c r="J699" s="57" t="str">
        <f>IF(ISNUMBER(deployment_raw[[#This Row],[Column10]]), (deployment_raw[[#This Row],[Column10]] * deployment_raw[[#This Row],[Column5]]),"")</f>
        <v/>
      </c>
      <c r="K699" s="58" t="str">
        <f>IF(ISNUMBER(deployment_raw[[#This Row],[Column11]]), (deployment_raw[[#This Row],[Column11]] * deployment_raw[[#This Row],[Column5]])/1048576,"")</f>
        <v/>
      </c>
      <c r="L699" s="180" t="str">
        <f>IF(ISNUMBER(deployment_raw[[#This Row],[Column8]]),IF(deployment_raw[[#This Row],[Column5]] &lt;&gt; 0, MAX((deployment_raw[[#This Row],[Column12]] * deployment_raw[[#This Row],[Column5]]), ((deployment_raw[[#This Row],[Column8]] * deployment_raw[[#This Row],[Column5]]) * $L$2), ($H$2 * deployment_raw[[#This Row],[Column5]])), 0),"")</f>
        <v/>
      </c>
      <c r="M69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699" s="188" t="str">
        <f>IF(ISNUMBER(deployment_raw[[#This Row],[Column14]]), deployment_raw[[#This Row],[Column14]],"")</f>
        <v/>
      </c>
      <c r="O699" s="189" t="str">
        <f>IF(ISNUMBER(deployment_raw[[#This Row],[Column15]]), deployment_raw[[#This Row],[Column15]]/1048576,"")</f>
        <v/>
      </c>
      <c r="P699" s="190" t="str">
        <f>IF(ISNUMBER(deployment_raw[[#This Row],[Column12]]), (deployment_raw[[#This Row],[Column12]] * deployment_raw[[#This Row],[Column5]]),"")</f>
        <v/>
      </c>
      <c r="Q699" s="189" t="str">
        <f>IF(ISNUMBER(deployment_raw[[#This Row],[Column13]]), (deployment_raw[[#This Row],[Column13]] * deployment_raw[[#This Row],[Column5]])/1048576,"")</f>
        <v/>
      </c>
    </row>
    <row r="700" spans="1:17" ht="15.75" customHeight="1" x14ac:dyDescent="0.25">
      <c r="A700" s="37" t="str">
        <f>IF(ISNONTEXT(deployment_raw[[#This Row],[Column1]]), "", deployment_raw[[#This Row],[Column1]])</f>
        <v/>
      </c>
      <c r="B700" s="38" t="str">
        <f>IF(ISNONTEXT(deployment_raw[[#This Row],[Column2]]), "", deployment_raw[[#This Row],[Column2]])</f>
        <v/>
      </c>
      <c r="C700" s="38" t="str">
        <f>IF(ISNONTEXT(deployment_raw[[#This Row],[Column3]]), "", deployment_raw[[#This Row],[Column3]])</f>
        <v/>
      </c>
      <c r="D700" s="38" t="str">
        <f>IF(ISNONTEXT(deployment_raw[[#This Row],[Column4]]), "", deployment_raw[[#This Row],[Column4]])</f>
        <v/>
      </c>
      <c r="E700" s="39" t="str">
        <f>IF(ISNUMBER(deployment_raw[[#This Row],[Column5]]), deployment_raw[[#This Row],[Column5]],"")</f>
        <v/>
      </c>
      <c r="F700" s="174" t="str">
        <f>IF(ISNUMBER(deployment_raw[[#This Row],[Column6]]), (deployment_raw[[#This Row],[Column6]] * deployment_raw[[#This Row],[Column5]]),"")</f>
        <v/>
      </c>
      <c r="G700" s="175" t="str">
        <f>IF(ISNUMBER(deployment_raw[[#This Row],[Column7]]), (deployment_raw[[#This Row],[Column7]] * deployment_raw[[#This Row],[Column5]])/1048576,"")</f>
        <v/>
      </c>
      <c r="H700" s="175" t="str">
        <f>IF(ISNUMBER(deployment_raw[[#This Row],[Column8]]), (deployment_raw[[#This Row],[Column8]]  * deployment_raw[[#This Row],[Column5]]),"")</f>
        <v/>
      </c>
      <c r="I700" s="176" t="str">
        <f>IF(ISNUMBER(deployment_raw[[#This Row],[Column9]]), (deployment_raw[[#This Row],[Column9]] * deployment_raw[[#This Row],[Column5]])/1048576,"")</f>
        <v/>
      </c>
      <c r="J700" s="57" t="str">
        <f>IF(ISNUMBER(deployment_raw[[#This Row],[Column10]]), (deployment_raw[[#This Row],[Column10]] * deployment_raw[[#This Row],[Column5]]),"")</f>
        <v/>
      </c>
      <c r="K700" s="58" t="str">
        <f>IF(ISNUMBER(deployment_raw[[#This Row],[Column11]]), (deployment_raw[[#This Row],[Column11]] * deployment_raw[[#This Row],[Column5]])/1048576,"")</f>
        <v/>
      </c>
      <c r="L700" s="180" t="str">
        <f>IF(ISNUMBER(deployment_raw[[#This Row],[Column8]]),IF(deployment_raw[[#This Row],[Column5]] &lt;&gt; 0, MAX((deployment_raw[[#This Row],[Column12]] * deployment_raw[[#This Row],[Column5]]), ((deployment_raw[[#This Row],[Column8]] * deployment_raw[[#This Row],[Column5]]) * $L$2), ($H$2 * deployment_raw[[#This Row],[Column5]])), 0),"")</f>
        <v/>
      </c>
      <c r="M70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00" s="188" t="str">
        <f>IF(ISNUMBER(deployment_raw[[#This Row],[Column14]]), deployment_raw[[#This Row],[Column14]],"")</f>
        <v/>
      </c>
      <c r="O700" s="189" t="str">
        <f>IF(ISNUMBER(deployment_raw[[#This Row],[Column15]]), deployment_raw[[#This Row],[Column15]]/1048576,"")</f>
        <v/>
      </c>
      <c r="P700" s="190" t="str">
        <f>IF(ISNUMBER(deployment_raw[[#This Row],[Column12]]), (deployment_raw[[#This Row],[Column12]] * deployment_raw[[#This Row],[Column5]]),"")</f>
        <v/>
      </c>
      <c r="Q700" s="189" t="str">
        <f>IF(ISNUMBER(deployment_raw[[#This Row],[Column13]]), (deployment_raw[[#This Row],[Column13]] * deployment_raw[[#This Row],[Column5]])/1048576,"")</f>
        <v/>
      </c>
    </row>
    <row r="701" spans="1:17" ht="15.75" customHeight="1" x14ac:dyDescent="0.25">
      <c r="A701" s="37" t="str">
        <f>IF(ISNONTEXT(deployment_raw[[#This Row],[Column1]]), "", deployment_raw[[#This Row],[Column1]])</f>
        <v/>
      </c>
      <c r="B701" s="38" t="str">
        <f>IF(ISNONTEXT(deployment_raw[[#This Row],[Column2]]), "", deployment_raw[[#This Row],[Column2]])</f>
        <v/>
      </c>
      <c r="C701" s="38" t="str">
        <f>IF(ISNONTEXT(deployment_raw[[#This Row],[Column3]]), "", deployment_raw[[#This Row],[Column3]])</f>
        <v/>
      </c>
      <c r="D701" s="38" t="str">
        <f>IF(ISNONTEXT(deployment_raw[[#This Row],[Column4]]), "", deployment_raw[[#This Row],[Column4]])</f>
        <v/>
      </c>
      <c r="E701" s="39" t="str">
        <f>IF(ISNUMBER(deployment_raw[[#This Row],[Column5]]), deployment_raw[[#This Row],[Column5]],"")</f>
        <v/>
      </c>
      <c r="F701" s="174" t="str">
        <f>IF(ISNUMBER(deployment_raw[[#This Row],[Column6]]), (deployment_raw[[#This Row],[Column6]] * deployment_raw[[#This Row],[Column5]]),"")</f>
        <v/>
      </c>
      <c r="G701" s="175" t="str">
        <f>IF(ISNUMBER(deployment_raw[[#This Row],[Column7]]), (deployment_raw[[#This Row],[Column7]] * deployment_raw[[#This Row],[Column5]])/1048576,"")</f>
        <v/>
      </c>
      <c r="H701" s="175" t="str">
        <f>IF(ISNUMBER(deployment_raw[[#This Row],[Column8]]), (deployment_raw[[#This Row],[Column8]]  * deployment_raw[[#This Row],[Column5]]),"")</f>
        <v/>
      </c>
      <c r="I701" s="176" t="str">
        <f>IF(ISNUMBER(deployment_raw[[#This Row],[Column9]]), (deployment_raw[[#This Row],[Column9]] * deployment_raw[[#This Row],[Column5]])/1048576,"")</f>
        <v/>
      </c>
      <c r="J701" s="57" t="str">
        <f>IF(ISNUMBER(deployment_raw[[#This Row],[Column10]]), (deployment_raw[[#This Row],[Column10]] * deployment_raw[[#This Row],[Column5]]),"")</f>
        <v/>
      </c>
      <c r="K701" s="58" t="str">
        <f>IF(ISNUMBER(deployment_raw[[#This Row],[Column11]]), (deployment_raw[[#This Row],[Column11]] * deployment_raw[[#This Row],[Column5]])/1048576,"")</f>
        <v/>
      </c>
      <c r="L701" s="180" t="str">
        <f>IF(ISNUMBER(deployment_raw[[#This Row],[Column8]]),IF(deployment_raw[[#This Row],[Column5]] &lt;&gt; 0, MAX((deployment_raw[[#This Row],[Column12]] * deployment_raw[[#This Row],[Column5]]), ((deployment_raw[[#This Row],[Column8]] * deployment_raw[[#This Row],[Column5]]) * $L$2), ($H$2 * deployment_raw[[#This Row],[Column5]])), 0),"")</f>
        <v/>
      </c>
      <c r="M70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01" s="188" t="str">
        <f>IF(ISNUMBER(deployment_raw[[#This Row],[Column14]]), deployment_raw[[#This Row],[Column14]],"")</f>
        <v/>
      </c>
      <c r="O701" s="189" t="str">
        <f>IF(ISNUMBER(deployment_raw[[#This Row],[Column15]]), deployment_raw[[#This Row],[Column15]]/1048576,"")</f>
        <v/>
      </c>
      <c r="P701" s="190" t="str">
        <f>IF(ISNUMBER(deployment_raw[[#This Row],[Column12]]), (deployment_raw[[#This Row],[Column12]] * deployment_raw[[#This Row],[Column5]]),"")</f>
        <v/>
      </c>
      <c r="Q701" s="189" t="str">
        <f>IF(ISNUMBER(deployment_raw[[#This Row],[Column13]]), (deployment_raw[[#This Row],[Column13]] * deployment_raw[[#This Row],[Column5]])/1048576,"")</f>
        <v/>
      </c>
    </row>
    <row r="702" spans="1:17" ht="15.75" customHeight="1" x14ac:dyDescent="0.25">
      <c r="A702" s="37" t="str">
        <f>IF(ISNONTEXT(deployment_raw[[#This Row],[Column1]]), "", deployment_raw[[#This Row],[Column1]])</f>
        <v/>
      </c>
      <c r="B702" s="38" t="str">
        <f>IF(ISNONTEXT(deployment_raw[[#This Row],[Column2]]), "", deployment_raw[[#This Row],[Column2]])</f>
        <v/>
      </c>
      <c r="C702" s="38" t="str">
        <f>IF(ISNONTEXT(deployment_raw[[#This Row],[Column3]]), "", deployment_raw[[#This Row],[Column3]])</f>
        <v/>
      </c>
      <c r="D702" s="38" t="str">
        <f>IF(ISNONTEXT(deployment_raw[[#This Row],[Column4]]), "", deployment_raw[[#This Row],[Column4]])</f>
        <v/>
      </c>
      <c r="E702" s="39" t="str">
        <f>IF(ISNUMBER(deployment_raw[[#This Row],[Column5]]), deployment_raw[[#This Row],[Column5]],"")</f>
        <v/>
      </c>
      <c r="F702" s="174" t="str">
        <f>IF(ISNUMBER(deployment_raw[[#This Row],[Column6]]), (deployment_raw[[#This Row],[Column6]] * deployment_raw[[#This Row],[Column5]]),"")</f>
        <v/>
      </c>
      <c r="G702" s="175" t="str">
        <f>IF(ISNUMBER(deployment_raw[[#This Row],[Column7]]), (deployment_raw[[#This Row],[Column7]] * deployment_raw[[#This Row],[Column5]])/1048576,"")</f>
        <v/>
      </c>
      <c r="H702" s="175" t="str">
        <f>IF(ISNUMBER(deployment_raw[[#This Row],[Column8]]), (deployment_raw[[#This Row],[Column8]]  * deployment_raw[[#This Row],[Column5]]),"")</f>
        <v/>
      </c>
      <c r="I702" s="176" t="str">
        <f>IF(ISNUMBER(deployment_raw[[#This Row],[Column9]]), (deployment_raw[[#This Row],[Column9]] * deployment_raw[[#This Row],[Column5]])/1048576,"")</f>
        <v/>
      </c>
      <c r="J702" s="57" t="str">
        <f>IF(ISNUMBER(deployment_raw[[#This Row],[Column10]]), (deployment_raw[[#This Row],[Column10]] * deployment_raw[[#This Row],[Column5]]),"")</f>
        <v/>
      </c>
      <c r="K702" s="58" t="str">
        <f>IF(ISNUMBER(deployment_raw[[#This Row],[Column11]]), (deployment_raw[[#This Row],[Column11]] * deployment_raw[[#This Row],[Column5]])/1048576,"")</f>
        <v/>
      </c>
      <c r="L702" s="180" t="str">
        <f>IF(ISNUMBER(deployment_raw[[#This Row],[Column8]]),IF(deployment_raw[[#This Row],[Column5]] &lt;&gt; 0, MAX((deployment_raw[[#This Row],[Column12]] * deployment_raw[[#This Row],[Column5]]), ((deployment_raw[[#This Row],[Column8]] * deployment_raw[[#This Row],[Column5]]) * $L$2), ($H$2 * deployment_raw[[#This Row],[Column5]])), 0),"")</f>
        <v/>
      </c>
      <c r="M70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02" s="188" t="str">
        <f>IF(ISNUMBER(deployment_raw[[#This Row],[Column14]]), deployment_raw[[#This Row],[Column14]],"")</f>
        <v/>
      </c>
      <c r="O702" s="189" t="str">
        <f>IF(ISNUMBER(deployment_raw[[#This Row],[Column15]]), deployment_raw[[#This Row],[Column15]]/1048576,"")</f>
        <v/>
      </c>
      <c r="P702" s="190" t="str">
        <f>IF(ISNUMBER(deployment_raw[[#This Row],[Column12]]), (deployment_raw[[#This Row],[Column12]] * deployment_raw[[#This Row],[Column5]]),"")</f>
        <v/>
      </c>
      <c r="Q702" s="189" t="str">
        <f>IF(ISNUMBER(deployment_raw[[#This Row],[Column13]]), (deployment_raw[[#This Row],[Column13]] * deployment_raw[[#This Row],[Column5]])/1048576,"")</f>
        <v/>
      </c>
    </row>
    <row r="703" spans="1:17" ht="15.75" customHeight="1" x14ac:dyDescent="0.25">
      <c r="A703" s="37" t="str">
        <f>IF(ISNONTEXT(deployment_raw[[#This Row],[Column1]]), "", deployment_raw[[#This Row],[Column1]])</f>
        <v/>
      </c>
      <c r="B703" s="38" t="str">
        <f>IF(ISNONTEXT(deployment_raw[[#This Row],[Column2]]), "", deployment_raw[[#This Row],[Column2]])</f>
        <v/>
      </c>
      <c r="C703" s="38" t="str">
        <f>IF(ISNONTEXT(deployment_raw[[#This Row],[Column3]]), "", deployment_raw[[#This Row],[Column3]])</f>
        <v/>
      </c>
      <c r="D703" s="38" t="str">
        <f>IF(ISNONTEXT(deployment_raw[[#This Row],[Column4]]), "", deployment_raw[[#This Row],[Column4]])</f>
        <v/>
      </c>
      <c r="E703" s="39" t="str">
        <f>IF(ISNUMBER(deployment_raw[[#This Row],[Column5]]), deployment_raw[[#This Row],[Column5]],"")</f>
        <v/>
      </c>
      <c r="F703" s="174" t="str">
        <f>IF(ISNUMBER(deployment_raw[[#This Row],[Column6]]), (deployment_raw[[#This Row],[Column6]] * deployment_raw[[#This Row],[Column5]]),"")</f>
        <v/>
      </c>
      <c r="G703" s="175" t="str">
        <f>IF(ISNUMBER(deployment_raw[[#This Row],[Column7]]), (deployment_raw[[#This Row],[Column7]] * deployment_raw[[#This Row],[Column5]])/1048576,"")</f>
        <v/>
      </c>
      <c r="H703" s="175" t="str">
        <f>IF(ISNUMBER(deployment_raw[[#This Row],[Column8]]), (deployment_raw[[#This Row],[Column8]]  * deployment_raw[[#This Row],[Column5]]),"")</f>
        <v/>
      </c>
      <c r="I703" s="176" t="str">
        <f>IF(ISNUMBER(deployment_raw[[#This Row],[Column9]]), (deployment_raw[[#This Row],[Column9]] * deployment_raw[[#This Row],[Column5]])/1048576,"")</f>
        <v/>
      </c>
      <c r="J703" s="57" t="str">
        <f>IF(ISNUMBER(deployment_raw[[#This Row],[Column10]]), (deployment_raw[[#This Row],[Column10]] * deployment_raw[[#This Row],[Column5]]),"")</f>
        <v/>
      </c>
      <c r="K703" s="58" t="str">
        <f>IF(ISNUMBER(deployment_raw[[#This Row],[Column11]]), (deployment_raw[[#This Row],[Column11]] * deployment_raw[[#This Row],[Column5]])/1048576,"")</f>
        <v/>
      </c>
      <c r="L703" s="180" t="str">
        <f>IF(ISNUMBER(deployment_raw[[#This Row],[Column8]]),IF(deployment_raw[[#This Row],[Column5]] &lt;&gt; 0, MAX((deployment_raw[[#This Row],[Column12]] * deployment_raw[[#This Row],[Column5]]), ((deployment_raw[[#This Row],[Column8]] * deployment_raw[[#This Row],[Column5]]) * $L$2), ($H$2 * deployment_raw[[#This Row],[Column5]])), 0),"")</f>
        <v/>
      </c>
      <c r="M70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03" s="188" t="str">
        <f>IF(ISNUMBER(deployment_raw[[#This Row],[Column14]]), deployment_raw[[#This Row],[Column14]],"")</f>
        <v/>
      </c>
      <c r="O703" s="189" t="str">
        <f>IF(ISNUMBER(deployment_raw[[#This Row],[Column15]]), deployment_raw[[#This Row],[Column15]]/1048576,"")</f>
        <v/>
      </c>
      <c r="P703" s="190" t="str">
        <f>IF(ISNUMBER(deployment_raw[[#This Row],[Column12]]), (deployment_raw[[#This Row],[Column12]] * deployment_raw[[#This Row],[Column5]]),"")</f>
        <v/>
      </c>
      <c r="Q703" s="189" t="str">
        <f>IF(ISNUMBER(deployment_raw[[#This Row],[Column13]]), (deployment_raw[[#This Row],[Column13]] * deployment_raw[[#This Row],[Column5]])/1048576,"")</f>
        <v/>
      </c>
    </row>
    <row r="704" spans="1:17" ht="15.75" customHeight="1" x14ac:dyDescent="0.25">
      <c r="A704" s="37" t="str">
        <f>IF(ISNONTEXT(deployment_raw[[#This Row],[Column1]]), "", deployment_raw[[#This Row],[Column1]])</f>
        <v/>
      </c>
      <c r="B704" s="38" t="str">
        <f>IF(ISNONTEXT(deployment_raw[[#This Row],[Column2]]), "", deployment_raw[[#This Row],[Column2]])</f>
        <v/>
      </c>
      <c r="C704" s="38" t="str">
        <f>IF(ISNONTEXT(deployment_raw[[#This Row],[Column3]]), "", deployment_raw[[#This Row],[Column3]])</f>
        <v/>
      </c>
      <c r="D704" s="38" t="str">
        <f>IF(ISNONTEXT(deployment_raw[[#This Row],[Column4]]), "", deployment_raw[[#This Row],[Column4]])</f>
        <v/>
      </c>
      <c r="E704" s="39" t="str">
        <f>IF(ISNUMBER(deployment_raw[[#This Row],[Column5]]), deployment_raw[[#This Row],[Column5]],"")</f>
        <v/>
      </c>
      <c r="F704" s="174" t="str">
        <f>IF(ISNUMBER(deployment_raw[[#This Row],[Column6]]), (deployment_raw[[#This Row],[Column6]] * deployment_raw[[#This Row],[Column5]]),"")</f>
        <v/>
      </c>
      <c r="G704" s="175" t="str">
        <f>IF(ISNUMBER(deployment_raw[[#This Row],[Column7]]), (deployment_raw[[#This Row],[Column7]] * deployment_raw[[#This Row],[Column5]])/1048576,"")</f>
        <v/>
      </c>
      <c r="H704" s="175" t="str">
        <f>IF(ISNUMBER(deployment_raw[[#This Row],[Column8]]), (deployment_raw[[#This Row],[Column8]]  * deployment_raw[[#This Row],[Column5]]),"")</f>
        <v/>
      </c>
      <c r="I704" s="176" t="str">
        <f>IF(ISNUMBER(deployment_raw[[#This Row],[Column9]]), (deployment_raw[[#This Row],[Column9]] * deployment_raw[[#This Row],[Column5]])/1048576,"")</f>
        <v/>
      </c>
      <c r="J704" s="57" t="str">
        <f>IF(ISNUMBER(deployment_raw[[#This Row],[Column10]]), (deployment_raw[[#This Row],[Column10]] * deployment_raw[[#This Row],[Column5]]),"")</f>
        <v/>
      </c>
      <c r="K704" s="58" t="str">
        <f>IF(ISNUMBER(deployment_raw[[#This Row],[Column11]]), (deployment_raw[[#This Row],[Column11]] * deployment_raw[[#This Row],[Column5]])/1048576,"")</f>
        <v/>
      </c>
      <c r="L704" s="180" t="str">
        <f>IF(ISNUMBER(deployment_raw[[#This Row],[Column8]]),IF(deployment_raw[[#This Row],[Column5]] &lt;&gt; 0, MAX((deployment_raw[[#This Row],[Column12]] * deployment_raw[[#This Row],[Column5]]), ((deployment_raw[[#This Row],[Column8]] * deployment_raw[[#This Row],[Column5]]) * $L$2), ($H$2 * deployment_raw[[#This Row],[Column5]])), 0),"")</f>
        <v/>
      </c>
      <c r="M70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04" s="188" t="str">
        <f>IF(ISNUMBER(deployment_raw[[#This Row],[Column14]]), deployment_raw[[#This Row],[Column14]],"")</f>
        <v/>
      </c>
      <c r="O704" s="189" t="str">
        <f>IF(ISNUMBER(deployment_raw[[#This Row],[Column15]]), deployment_raw[[#This Row],[Column15]]/1048576,"")</f>
        <v/>
      </c>
      <c r="P704" s="190" t="str">
        <f>IF(ISNUMBER(deployment_raw[[#This Row],[Column12]]), (deployment_raw[[#This Row],[Column12]] * deployment_raw[[#This Row],[Column5]]),"")</f>
        <v/>
      </c>
      <c r="Q704" s="189" t="str">
        <f>IF(ISNUMBER(deployment_raw[[#This Row],[Column13]]), (deployment_raw[[#This Row],[Column13]] * deployment_raw[[#This Row],[Column5]])/1048576,"")</f>
        <v/>
      </c>
    </row>
    <row r="705" spans="1:17" ht="15.75" customHeight="1" x14ac:dyDescent="0.25">
      <c r="A705" s="37" t="str">
        <f>IF(ISNONTEXT(deployment_raw[[#This Row],[Column1]]), "", deployment_raw[[#This Row],[Column1]])</f>
        <v/>
      </c>
      <c r="B705" s="38" t="str">
        <f>IF(ISNONTEXT(deployment_raw[[#This Row],[Column2]]), "", deployment_raw[[#This Row],[Column2]])</f>
        <v/>
      </c>
      <c r="C705" s="38" t="str">
        <f>IF(ISNONTEXT(deployment_raw[[#This Row],[Column3]]), "", deployment_raw[[#This Row],[Column3]])</f>
        <v/>
      </c>
      <c r="D705" s="38" t="str">
        <f>IF(ISNONTEXT(deployment_raw[[#This Row],[Column4]]), "", deployment_raw[[#This Row],[Column4]])</f>
        <v/>
      </c>
      <c r="E705" s="39" t="str">
        <f>IF(ISNUMBER(deployment_raw[[#This Row],[Column5]]), deployment_raw[[#This Row],[Column5]],"")</f>
        <v/>
      </c>
      <c r="F705" s="174" t="str">
        <f>IF(ISNUMBER(deployment_raw[[#This Row],[Column6]]), (deployment_raw[[#This Row],[Column6]] * deployment_raw[[#This Row],[Column5]]),"")</f>
        <v/>
      </c>
      <c r="G705" s="175" t="str">
        <f>IF(ISNUMBER(deployment_raw[[#This Row],[Column7]]), (deployment_raw[[#This Row],[Column7]] * deployment_raw[[#This Row],[Column5]])/1048576,"")</f>
        <v/>
      </c>
      <c r="H705" s="175" t="str">
        <f>IF(ISNUMBER(deployment_raw[[#This Row],[Column8]]), (deployment_raw[[#This Row],[Column8]]  * deployment_raw[[#This Row],[Column5]]),"")</f>
        <v/>
      </c>
      <c r="I705" s="176" t="str">
        <f>IF(ISNUMBER(deployment_raw[[#This Row],[Column9]]), (deployment_raw[[#This Row],[Column9]] * deployment_raw[[#This Row],[Column5]])/1048576,"")</f>
        <v/>
      </c>
      <c r="J705" s="57" t="str">
        <f>IF(ISNUMBER(deployment_raw[[#This Row],[Column10]]), (deployment_raw[[#This Row],[Column10]] * deployment_raw[[#This Row],[Column5]]),"")</f>
        <v/>
      </c>
      <c r="K705" s="58" t="str">
        <f>IF(ISNUMBER(deployment_raw[[#This Row],[Column11]]), (deployment_raw[[#This Row],[Column11]] * deployment_raw[[#This Row],[Column5]])/1048576,"")</f>
        <v/>
      </c>
      <c r="L705" s="180" t="str">
        <f>IF(ISNUMBER(deployment_raw[[#This Row],[Column8]]),IF(deployment_raw[[#This Row],[Column5]] &lt;&gt; 0, MAX((deployment_raw[[#This Row],[Column12]] * deployment_raw[[#This Row],[Column5]]), ((deployment_raw[[#This Row],[Column8]] * deployment_raw[[#This Row],[Column5]]) * $L$2), ($H$2 * deployment_raw[[#This Row],[Column5]])), 0),"")</f>
        <v/>
      </c>
      <c r="M70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05" s="188" t="str">
        <f>IF(ISNUMBER(deployment_raw[[#This Row],[Column14]]), deployment_raw[[#This Row],[Column14]],"")</f>
        <v/>
      </c>
      <c r="O705" s="189" t="str">
        <f>IF(ISNUMBER(deployment_raw[[#This Row],[Column15]]), deployment_raw[[#This Row],[Column15]]/1048576,"")</f>
        <v/>
      </c>
      <c r="P705" s="190" t="str">
        <f>IF(ISNUMBER(deployment_raw[[#This Row],[Column12]]), (deployment_raw[[#This Row],[Column12]] * deployment_raw[[#This Row],[Column5]]),"")</f>
        <v/>
      </c>
      <c r="Q705" s="189" t="str">
        <f>IF(ISNUMBER(deployment_raw[[#This Row],[Column13]]), (deployment_raw[[#This Row],[Column13]] * deployment_raw[[#This Row],[Column5]])/1048576,"")</f>
        <v/>
      </c>
    </row>
    <row r="706" spans="1:17" ht="15.75" customHeight="1" x14ac:dyDescent="0.25">
      <c r="A706" s="37" t="str">
        <f>IF(ISNONTEXT(deployment_raw[[#This Row],[Column1]]), "", deployment_raw[[#This Row],[Column1]])</f>
        <v/>
      </c>
      <c r="B706" s="38" t="str">
        <f>IF(ISNONTEXT(deployment_raw[[#This Row],[Column2]]), "", deployment_raw[[#This Row],[Column2]])</f>
        <v/>
      </c>
      <c r="C706" s="38" t="str">
        <f>IF(ISNONTEXT(deployment_raw[[#This Row],[Column3]]), "", deployment_raw[[#This Row],[Column3]])</f>
        <v/>
      </c>
      <c r="D706" s="38" t="str">
        <f>IF(ISNONTEXT(deployment_raw[[#This Row],[Column4]]), "", deployment_raw[[#This Row],[Column4]])</f>
        <v/>
      </c>
      <c r="E706" s="39" t="str">
        <f>IF(ISNUMBER(deployment_raw[[#This Row],[Column5]]), deployment_raw[[#This Row],[Column5]],"")</f>
        <v/>
      </c>
      <c r="F706" s="174" t="str">
        <f>IF(ISNUMBER(deployment_raw[[#This Row],[Column6]]), (deployment_raw[[#This Row],[Column6]] * deployment_raw[[#This Row],[Column5]]),"")</f>
        <v/>
      </c>
      <c r="G706" s="175" t="str">
        <f>IF(ISNUMBER(deployment_raw[[#This Row],[Column7]]), (deployment_raw[[#This Row],[Column7]] * deployment_raw[[#This Row],[Column5]])/1048576,"")</f>
        <v/>
      </c>
      <c r="H706" s="175" t="str">
        <f>IF(ISNUMBER(deployment_raw[[#This Row],[Column8]]), (deployment_raw[[#This Row],[Column8]]  * deployment_raw[[#This Row],[Column5]]),"")</f>
        <v/>
      </c>
      <c r="I706" s="176" t="str">
        <f>IF(ISNUMBER(deployment_raw[[#This Row],[Column9]]), (deployment_raw[[#This Row],[Column9]] * deployment_raw[[#This Row],[Column5]])/1048576,"")</f>
        <v/>
      </c>
      <c r="J706" s="57" t="str">
        <f>IF(ISNUMBER(deployment_raw[[#This Row],[Column10]]), (deployment_raw[[#This Row],[Column10]] * deployment_raw[[#This Row],[Column5]]),"")</f>
        <v/>
      </c>
      <c r="K706" s="58" t="str">
        <f>IF(ISNUMBER(deployment_raw[[#This Row],[Column11]]), (deployment_raw[[#This Row],[Column11]] * deployment_raw[[#This Row],[Column5]])/1048576,"")</f>
        <v/>
      </c>
      <c r="L706" s="180" t="str">
        <f>IF(ISNUMBER(deployment_raw[[#This Row],[Column8]]),IF(deployment_raw[[#This Row],[Column5]] &lt;&gt; 0, MAX((deployment_raw[[#This Row],[Column12]] * deployment_raw[[#This Row],[Column5]]), ((deployment_raw[[#This Row],[Column8]] * deployment_raw[[#This Row],[Column5]]) * $L$2), ($H$2 * deployment_raw[[#This Row],[Column5]])), 0),"")</f>
        <v/>
      </c>
      <c r="M70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06" s="188" t="str">
        <f>IF(ISNUMBER(deployment_raw[[#This Row],[Column14]]), deployment_raw[[#This Row],[Column14]],"")</f>
        <v/>
      </c>
      <c r="O706" s="189" t="str">
        <f>IF(ISNUMBER(deployment_raw[[#This Row],[Column15]]), deployment_raw[[#This Row],[Column15]]/1048576,"")</f>
        <v/>
      </c>
      <c r="P706" s="190" t="str">
        <f>IF(ISNUMBER(deployment_raw[[#This Row],[Column12]]), (deployment_raw[[#This Row],[Column12]] * deployment_raw[[#This Row],[Column5]]),"")</f>
        <v/>
      </c>
      <c r="Q706" s="189" t="str">
        <f>IF(ISNUMBER(deployment_raw[[#This Row],[Column13]]), (deployment_raw[[#This Row],[Column13]] * deployment_raw[[#This Row],[Column5]])/1048576,"")</f>
        <v/>
      </c>
    </row>
    <row r="707" spans="1:17" ht="15.75" customHeight="1" x14ac:dyDescent="0.25">
      <c r="A707" s="37" t="str">
        <f>IF(ISNONTEXT(deployment_raw[[#This Row],[Column1]]), "", deployment_raw[[#This Row],[Column1]])</f>
        <v/>
      </c>
      <c r="B707" s="38" t="str">
        <f>IF(ISNONTEXT(deployment_raw[[#This Row],[Column2]]), "", deployment_raw[[#This Row],[Column2]])</f>
        <v/>
      </c>
      <c r="C707" s="38" t="str">
        <f>IF(ISNONTEXT(deployment_raw[[#This Row],[Column3]]), "", deployment_raw[[#This Row],[Column3]])</f>
        <v/>
      </c>
      <c r="D707" s="38" t="str">
        <f>IF(ISNONTEXT(deployment_raw[[#This Row],[Column4]]), "", deployment_raw[[#This Row],[Column4]])</f>
        <v/>
      </c>
      <c r="E707" s="39" t="str">
        <f>IF(ISNUMBER(deployment_raw[[#This Row],[Column5]]), deployment_raw[[#This Row],[Column5]],"")</f>
        <v/>
      </c>
      <c r="F707" s="174" t="str">
        <f>IF(ISNUMBER(deployment_raw[[#This Row],[Column6]]), (deployment_raw[[#This Row],[Column6]] * deployment_raw[[#This Row],[Column5]]),"")</f>
        <v/>
      </c>
      <c r="G707" s="175" t="str">
        <f>IF(ISNUMBER(deployment_raw[[#This Row],[Column7]]), (deployment_raw[[#This Row],[Column7]] * deployment_raw[[#This Row],[Column5]])/1048576,"")</f>
        <v/>
      </c>
      <c r="H707" s="175" t="str">
        <f>IF(ISNUMBER(deployment_raw[[#This Row],[Column8]]), (deployment_raw[[#This Row],[Column8]]  * deployment_raw[[#This Row],[Column5]]),"")</f>
        <v/>
      </c>
      <c r="I707" s="176" t="str">
        <f>IF(ISNUMBER(deployment_raw[[#This Row],[Column9]]), (deployment_raw[[#This Row],[Column9]] * deployment_raw[[#This Row],[Column5]])/1048576,"")</f>
        <v/>
      </c>
      <c r="J707" s="57" t="str">
        <f>IF(ISNUMBER(deployment_raw[[#This Row],[Column10]]), (deployment_raw[[#This Row],[Column10]] * deployment_raw[[#This Row],[Column5]]),"")</f>
        <v/>
      </c>
      <c r="K707" s="58" t="str">
        <f>IF(ISNUMBER(deployment_raw[[#This Row],[Column11]]), (deployment_raw[[#This Row],[Column11]] * deployment_raw[[#This Row],[Column5]])/1048576,"")</f>
        <v/>
      </c>
      <c r="L707" s="180" t="str">
        <f>IF(ISNUMBER(deployment_raw[[#This Row],[Column8]]),IF(deployment_raw[[#This Row],[Column5]] &lt;&gt; 0, MAX((deployment_raw[[#This Row],[Column12]] * deployment_raw[[#This Row],[Column5]]), ((deployment_raw[[#This Row],[Column8]] * deployment_raw[[#This Row],[Column5]]) * $L$2), ($H$2 * deployment_raw[[#This Row],[Column5]])), 0),"")</f>
        <v/>
      </c>
      <c r="M70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07" s="188" t="str">
        <f>IF(ISNUMBER(deployment_raw[[#This Row],[Column14]]), deployment_raw[[#This Row],[Column14]],"")</f>
        <v/>
      </c>
      <c r="O707" s="189" t="str">
        <f>IF(ISNUMBER(deployment_raw[[#This Row],[Column15]]), deployment_raw[[#This Row],[Column15]]/1048576,"")</f>
        <v/>
      </c>
      <c r="P707" s="190" t="str">
        <f>IF(ISNUMBER(deployment_raw[[#This Row],[Column12]]), (deployment_raw[[#This Row],[Column12]] * deployment_raw[[#This Row],[Column5]]),"")</f>
        <v/>
      </c>
      <c r="Q707" s="189" t="str">
        <f>IF(ISNUMBER(deployment_raw[[#This Row],[Column13]]), (deployment_raw[[#This Row],[Column13]] * deployment_raw[[#This Row],[Column5]])/1048576,"")</f>
        <v/>
      </c>
    </row>
    <row r="708" spans="1:17" ht="15.75" customHeight="1" x14ac:dyDescent="0.25">
      <c r="A708" s="37" t="str">
        <f>IF(ISNONTEXT(deployment_raw[[#This Row],[Column1]]), "", deployment_raw[[#This Row],[Column1]])</f>
        <v/>
      </c>
      <c r="B708" s="38" t="str">
        <f>IF(ISNONTEXT(deployment_raw[[#This Row],[Column2]]), "", deployment_raw[[#This Row],[Column2]])</f>
        <v/>
      </c>
      <c r="C708" s="38" t="str">
        <f>IF(ISNONTEXT(deployment_raw[[#This Row],[Column3]]), "", deployment_raw[[#This Row],[Column3]])</f>
        <v/>
      </c>
      <c r="D708" s="38" t="str">
        <f>IF(ISNONTEXT(deployment_raw[[#This Row],[Column4]]), "", deployment_raw[[#This Row],[Column4]])</f>
        <v/>
      </c>
      <c r="E708" s="39" t="str">
        <f>IF(ISNUMBER(deployment_raw[[#This Row],[Column5]]), deployment_raw[[#This Row],[Column5]],"")</f>
        <v/>
      </c>
      <c r="F708" s="174" t="str">
        <f>IF(ISNUMBER(deployment_raw[[#This Row],[Column6]]), (deployment_raw[[#This Row],[Column6]] * deployment_raw[[#This Row],[Column5]]),"")</f>
        <v/>
      </c>
      <c r="G708" s="175" t="str">
        <f>IF(ISNUMBER(deployment_raw[[#This Row],[Column7]]), (deployment_raw[[#This Row],[Column7]] * deployment_raw[[#This Row],[Column5]])/1048576,"")</f>
        <v/>
      </c>
      <c r="H708" s="175" t="str">
        <f>IF(ISNUMBER(deployment_raw[[#This Row],[Column8]]), (deployment_raw[[#This Row],[Column8]]  * deployment_raw[[#This Row],[Column5]]),"")</f>
        <v/>
      </c>
      <c r="I708" s="176" t="str">
        <f>IF(ISNUMBER(deployment_raw[[#This Row],[Column9]]), (deployment_raw[[#This Row],[Column9]] * deployment_raw[[#This Row],[Column5]])/1048576,"")</f>
        <v/>
      </c>
      <c r="J708" s="57" t="str">
        <f>IF(ISNUMBER(deployment_raw[[#This Row],[Column10]]), (deployment_raw[[#This Row],[Column10]] * deployment_raw[[#This Row],[Column5]]),"")</f>
        <v/>
      </c>
      <c r="K708" s="58" t="str">
        <f>IF(ISNUMBER(deployment_raw[[#This Row],[Column11]]), (deployment_raw[[#This Row],[Column11]] * deployment_raw[[#This Row],[Column5]])/1048576,"")</f>
        <v/>
      </c>
      <c r="L708" s="180" t="str">
        <f>IF(ISNUMBER(deployment_raw[[#This Row],[Column8]]),IF(deployment_raw[[#This Row],[Column5]] &lt;&gt; 0, MAX((deployment_raw[[#This Row],[Column12]] * deployment_raw[[#This Row],[Column5]]), ((deployment_raw[[#This Row],[Column8]] * deployment_raw[[#This Row],[Column5]]) * $L$2), ($H$2 * deployment_raw[[#This Row],[Column5]])), 0),"")</f>
        <v/>
      </c>
      <c r="M70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08" s="188" t="str">
        <f>IF(ISNUMBER(deployment_raw[[#This Row],[Column14]]), deployment_raw[[#This Row],[Column14]],"")</f>
        <v/>
      </c>
      <c r="O708" s="189" t="str">
        <f>IF(ISNUMBER(deployment_raw[[#This Row],[Column15]]), deployment_raw[[#This Row],[Column15]]/1048576,"")</f>
        <v/>
      </c>
      <c r="P708" s="190" t="str">
        <f>IF(ISNUMBER(deployment_raw[[#This Row],[Column12]]), (deployment_raw[[#This Row],[Column12]] * deployment_raw[[#This Row],[Column5]]),"")</f>
        <v/>
      </c>
      <c r="Q708" s="189" t="str">
        <f>IF(ISNUMBER(deployment_raw[[#This Row],[Column13]]), (deployment_raw[[#This Row],[Column13]] * deployment_raw[[#This Row],[Column5]])/1048576,"")</f>
        <v/>
      </c>
    </row>
    <row r="709" spans="1:17" ht="15.75" customHeight="1" x14ac:dyDescent="0.25">
      <c r="A709" s="37" t="str">
        <f>IF(ISNONTEXT(deployment_raw[[#This Row],[Column1]]), "", deployment_raw[[#This Row],[Column1]])</f>
        <v/>
      </c>
      <c r="B709" s="38" t="str">
        <f>IF(ISNONTEXT(deployment_raw[[#This Row],[Column2]]), "", deployment_raw[[#This Row],[Column2]])</f>
        <v/>
      </c>
      <c r="C709" s="38" t="str">
        <f>IF(ISNONTEXT(deployment_raw[[#This Row],[Column3]]), "", deployment_raw[[#This Row],[Column3]])</f>
        <v/>
      </c>
      <c r="D709" s="38" t="str">
        <f>IF(ISNONTEXT(deployment_raw[[#This Row],[Column4]]), "", deployment_raw[[#This Row],[Column4]])</f>
        <v/>
      </c>
      <c r="E709" s="39" t="str">
        <f>IF(ISNUMBER(deployment_raw[[#This Row],[Column5]]), deployment_raw[[#This Row],[Column5]],"")</f>
        <v/>
      </c>
      <c r="F709" s="174" t="str">
        <f>IF(ISNUMBER(deployment_raw[[#This Row],[Column6]]), (deployment_raw[[#This Row],[Column6]] * deployment_raw[[#This Row],[Column5]]),"")</f>
        <v/>
      </c>
      <c r="G709" s="175" t="str">
        <f>IF(ISNUMBER(deployment_raw[[#This Row],[Column7]]), (deployment_raw[[#This Row],[Column7]] * deployment_raw[[#This Row],[Column5]])/1048576,"")</f>
        <v/>
      </c>
      <c r="H709" s="175" t="str">
        <f>IF(ISNUMBER(deployment_raw[[#This Row],[Column8]]), (deployment_raw[[#This Row],[Column8]]  * deployment_raw[[#This Row],[Column5]]),"")</f>
        <v/>
      </c>
      <c r="I709" s="176" t="str">
        <f>IF(ISNUMBER(deployment_raw[[#This Row],[Column9]]), (deployment_raw[[#This Row],[Column9]] * deployment_raw[[#This Row],[Column5]])/1048576,"")</f>
        <v/>
      </c>
      <c r="J709" s="57" t="str">
        <f>IF(ISNUMBER(deployment_raw[[#This Row],[Column10]]), (deployment_raw[[#This Row],[Column10]] * deployment_raw[[#This Row],[Column5]]),"")</f>
        <v/>
      </c>
      <c r="K709" s="58" t="str">
        <f>IF(ISNUMBER(deployment_raw[[#This Row],[Column11]]), (deployment_raw[[#This Row],[Column11]] * deployment_raw[[#This Row],[Column5]])/1048576,"")</f>
        <v/>
      </c>
      <c r="L709" s="180" t="str">
        <f>IF(ISNUMBER(deployment_raw[[#This Row],[Column8]]),IF(deployment_raw[[#This Row],[Column5]] &lt;&gt; 0, MAX((deployment_raw[[#This Row],[Column12]] * deployment_raw[[#This Row],[Column5]]), ((deployment_raw[[#This Row],[Column8]] * deployment_raw[[#This Row],[Column5]]) * $L$2), ($H$2 * deployment_raw[[#This Row],[Column5]])), 0),"")</f>
        <v/>
      </c>
      <c r="M70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09" s="188" t="str">
        <f>IF(ISNUMBER(deployment_raw[[#This Row],[Column14]]), deployment_raw[[#This Row],[Column14]],"")</f>
        <v/>
      </c>
      <c r="O709" s="189" t="str">
        <f>IF(ISNUMBER(deployment_raw[[#This Row],[Column15]]), deployment_raw[[#This Row],[Column15]]/1048576,"")</f>
        <v/>
      </c>
      <c r="P709" s="190" t="str">
        <f>IF(ISNUMBER(deployment_raw[[#This Row],[Column12]]), (deployment_raw[[#This Row],[Column12]] * deployment_raw[[#This Row],[Column5]]),"")</f>
        <v/>
      </c>
      <c r="Q709" s="189" t="str">
        <f>IF(ISNUMBER(deployment_raw[[#This Row],[Column13]]), (deployment_raw[[#This Row],[Column13]] * deployment_raw[[#This Row],[Column5]])/1048576,"")</f>
        <v/>
      </c>
    </row>
    <row r="710" spans="1:17" ht="15.75" customHeight="1" x14ac:dyDescent="0.25">
      <c r="A710" s="37" t="str">
        <f>IF(ISNONTEXT(deployment_raw[[#This Row],[Column1]]), "", deployment_raw[[#This Row],[Column1]])</f>
        <v/>
      </c>
      <c r="B710" s="38" t="str">
        <f>IF(ISNONTEXT(deployment_raw[[#This Row],[Column2]]), "", deployment_raw[[#This Row],[Column2]])</f>
        <v/>
      </c>
      <c r="C710" s="38" t="str">
        <f>IF(ISNONTEXT(deployment_raw[[#This Row],[Column3]]), "", deployment_raw[[#This Row],[Column3]])</f>
        <v/>
      </c>
      <c r="D710" s="38" t="str">
        <f>IF(ISNONTEXT(deployment_raw[[#This Row],[Column4]]), "", deployment_raw[[#This Row],[Column4]])</f>
        <v/>
      </c>
      <c r="E710" s="39" t="str">
        <f>IF(ISNUMBER(deployment_raw[[#This Row],[Column5]]), deployment_raw[[#This Row],[Column5]],"")</f>
        <v/>
      </c>
      <c r="F710" s="174" t="str">
        <f>IF(ISNUMBER(deployment_raw[[#This Row],[Column6]]), (deployment_raw[[#This Row],[Column6]] * deployment_raw[[#This Row],[Column5]]),"")</f>
        <v/>
      </c>
      <c r="G710" s="175" t="str">
        <f>IF(ISNUMBER(deployment_raw[[#This Row],[Column7]]), (deployment_raw[[#This Row],[Column7]] * deployment_raw[[#This Row],[Column5]])/1048576,"")</f>
        <v/>
      </c>
      <c r="H710" s="175" t="str">
        <f>IF(ISNUMBER(deployment_raw[[#This Row],[Column8]]), (deployment_raw[[#This Row],[Column8]]  * deployment_raw[[#This Row],[Column5]]),"")</f>
        <v/>
      </c>
      <c r="I710" s="176" t="str">
        <f>IF(ISNUMBER(deployment_raw[[#This Row],[Column9]]), (deployment_raw[[#This Row],[Column9]] * deployment_raw[[#This Row],[Column5]])/1048576,"")</f>
        <v/>
      </c>
      <c r="J710" s="57" t="str">
        <f>IF(ISNUMBER(deployment_raw[[#This Row],[Column10]]), (deployment_raw[[#This Row],[Column10]] * deployment_raw[[#This Row],[Column5]]),"")</f>
        <v/>
      </c>
      <c r="K710" s="58" t="str">
        <f>IF(ISNUMBER(deployment_raw[[#This Row],[Column11]]), (deployment_raw[[#This Row],[Column11]] * deployment_raw[[#This Row],[Column5]])/1048576,"")</f>
        <v/>
      </c>
      <c r="L710" s="180" t="str">
        <f>IF(ISNUMBER(deployment_raw[[#This Row],[Column8]]),IF(deployment_raw[[#This Row],[Column5]] &lt;&gt; 0, MAX((deployment_raw[[#This Row],[Column12]] * deployment_raw[[#This Row],[Column5]]), ((deployment_raw[[#This Row],[Column8]] * deployment_raw[[#This Row],[Column5]]) * $L$2), ($H$2 * deployment_raw[[#This Row],[Column5]])), 0),"")</f>
        <v/>
      </c>
      <c r="M71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10" s="188" t="str">
        <f>IF(ISNUMBER(deployment_raw[[#This Row],[Column14]]), deployment_raw[[#This Row],[Column14]],"")</f>
        <v/>
      </c>
      <c r="O710" s="189" t="str">
        <f>IF(ISNUMBER(deployment_raw[[#This Row],[Column15]]), deployment_raw[[#This Row],[Column15]]/1048576,"")</f>
        <v/>
      </c>
      <c r="P710" s="190" t="str">
        <f>IF(ISNUMBER(deployment_raw[[#This Row],[Column12]]), (deployment_raw[[#This Row],[Column12]] * deployment_raw[[#This Row],[Column5]]),"")</f>
        <v/>
      </c>
      <c r="Q710" s="189" t="str">
        <f>IF(ISNUMBER(deployment_raw[[#This Row],[Column13]]), (deployment_raw[[#This Row],[Column13]] * deployment_raw[[#This Row],[Column5]])/1048576,"")</f>
        <v/>
      </c>
    </row>
    <row r="711" spans="1:17" ht="15.75" customHeight="1" x14ac:dyDescent="0.25">
      <c r="A711" s="37" t="str">
        <f>IF(ISNONTEXT(deployment_raw[[#This Row],[Column1]]), "", deployment_raw[[#This Row],[Column1]])</f>
        <v/>
      </c>
      <c r="B711" s="38" t="str">
        <f>IF(ISNONTEXT(deployment_raw[[#This Row],[Column2]]), "", deployment_raw[[#This Row],[Column2]])</f>
        <v/>
      </c>
      <c r="C711" s="38" t="str">
        <f>IF(ISNONTEXT(deployment_raw[[#This Row],[Column3]]), "", deployment_raw[[#This Row],[Column3]])</f>
        <v/>
      </c>
      <c r="D711" s="38" t="str">
        <f>IF(ISNONTEXT(deployment_raw[[#This Row],[Column4]]), "", deployment_raw[[#This Row],[Column4]])</f>
        <v/>
      </c>
      <c r="E711" s="39" t="str">
        <f>IF(ISNUMBER(deployment_raw[[#This Row],[Column5]]), deployment_raw[[#This Row],[Column5]],"")</f>
        <v/>
      </c>
      <c r="F711" s="174" t="str">
        <f>IF(ISNUMBER(deployment_raw[[#This Row],[Column6]]), (deployment_raw[[#This Row],[Column6]] * deployment_raw[[#This Row],[Column5]]),"")</f>
        <v/>
      </c>
      <c r="G711" s="175" t="str">
        <f>IF(ISNUMBER(deployment_raw[[#This Row],[Column7]]), (deployment_raw[[#This Row],[Column7]] * deployment_raw[[#This Row],[Column5]])/1048576,"")</f>
        <v/>
      </c>
      <c r="H711" s="175" t="str">
        <f>IF(ISNUMBER(deployment_raw[[#This Row],[Column8]]), (deployment_raw[[#This Row],[Column8]]  * deployment_raw[[#This Row],[Column5]]),"")</f>
        <v/>
      </c>
      <c r="I711" s="176" t="str">
        <f>IF(ISNUMBER(deployment_raw[[#This Row],[Column9]]), (deployment_raw[[#This Row],[Column9]] * deployment_raw[[#This Row],[Column5]])/1048576,"")</f>
        <v/>
      </c>
      <c r="J711" s="57" t="str">
        <f>IF(ISNUMBER(deployment_raw[[#This Row],[Column10]]), (deployment_raw[[#This Row],[Column10]] * deployment_raw[[#This Row],[Column5]]),"")</f>
        <v/>
      </c>
      <c r="K711" s="58" t="str">
        <f>IF(ISNUMBER(deployment_raw[[#This Row],[Column11]]), (deployment_raw[[#This Row],[Column11]] * deployment_raw[[#This Row],[Column5]])/1048576,"")</f>
        <v/>
      </c>
      <c r="L711" s="180" t="str">
        <f>IF(ISNUMBER(deployment_raw[[#This Row],[Column8]]),IF(deployment_raw[[#This Row],[Column5]] &lt;&gt; 0, MAX((deployment_raw[[#This Row],[Column12]] * deployment_raw[[#This Row],[Column5]]), ((deployment_raw[[#This Row],[Column8]] * deployment_raw[[#This Row],[Column5]]) * $L$2), ($H$2 * deployment_raw[[#This Row],[Column5]])), 0),"")</f>
        <v/>
      </c>
      <c r="M71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11" s="188" t="str">
        <f>IF(ISNUMBER(deployment_raw[[#This Row],[Column14]]), deployment_raw[[#This Row],[Column14]],"")</f>
        <v/>
      </c>
      <c r="O711" s="189" t="str">
        <f>IF(ISNUMBER(deployment_raw[[#This Row],[Column15]]), deployment_raw[[#This Row],[Column15]]/1048576,"")</f>
        <v/>
      </c>
      <c r="P711" s="190" t="str">
        <f>IF(ISNUMBER(deployment_raw[[#This Row],[Column12]]), (deployment_raw[[#This Row],[Column12]] * deployment_raw[[#This Row],[Column5]]),"")</f>
        <v/>
      </c>
      <c r="Q711" s="189" t="str">
        <f>IF(ISNUMBER(deployment_raw[[#This Row],[Column13]]), (deployment_raw[[#This Row],[Column13]] * deployment_raw[[#This Row],[Column5]])/1048576,"")</f>
        <v/>
      </c>
    </row>
    <row r="712" spans="1:17" ht="15.75" customHeight="1" x14ac:dyDescent="0.25">
      <c r="A712" s="37" t="str">
        <f>IF(ISNONTEXT(deployment_raw[[#This Row],[Column1]]), "", deployment_raw[[#This Row],[Column1]])</f>
        <v/>
      </c>
      <c r="B712" s="38" t="str">
        <f>IF(ISNONTEXT(deployment_raw[[#This Row],[Column2]]), "", deployment_raw[[#This Row],[Column2]])</f>
        <v/>
      </c>
      <c r="C712" s="38" t="str">
        <f>IF(ISNONTEXT(deployment_raw[[#This Row],[Column3]]), "", deployment_raw[[#This Row],[Column3]])</f>
        <v/>
      </c>
      <c r="D712" s="38" t="str">
        <f>IF(ISNONTEXT(deployment_raw[[#This Row],[Column4]]), "", deployment_raw[[#This Row],[Column4]])</f>
        <v/>
      </c>
      <c r="E712" s="39" t="str">
        <f>IF(ISNUMBER(deployment_raw[[#This Row],[Column5]]), deployment_raw[[#This Row],[Column5]],"")</f>
        <v/>
      </c>
      <c r="F712" s="174" t="str">
        <f>IF(ISNUMBER(deployment_raw[[#This Row],[Column6]]), (deployment_raw[[#This Row],[Column6]] * deployment_raw[[#This Row],[Column5]]),"")</f>
        <v/>
      </c>
      <c r="G712" s="175" t="str">
        <f>IF(ISNUMBER(deployment_raw[[#This Row],[Column7]]), (deployment_raw[[#This Row],[Column7]] * deployment_raw[[#This Row],[Column5]])/1048576,"")</f>
        <v/>
      </c>
      <c r="H712" s="175" t="str">
        <f>IF(ISNUMBER(deployment_raw[[#This Row],[Column8]]), (deployment_raw[[#This Row],[Column8]]  * deployment_raw[[#This Row],[Column5]]),"")</f>
        <v/>
      </c>
      <c r="I712" s="176" t="str">
        <f>IF(ISNUMBER(deployment_raw[[#This Row],[Column9]]), (deployment_raw[[#This Row],[Column9]] * deployment_raw[[#This Row],[Column5]])/1048576,"")</f>
        <v/>
      </c>
      <c r="J712" s="57" t="str">
        <f>IF(ISNUMBER(deployment_raw[[#This Row],[Column10]]), (deployment_raw[[#This Row],[Column10]] * deployment_raw[[#This Row],[Column5]]),"")</f>
        <v/>
      </c>
      <c r="K712" s="58" t="str">
        <f>IF(ISNUMBER(deployment_raw[[#This Row],[Column11]]), (deployment_raw[[#This Row],[Column11]] * deployment_raw[[#This Row],[Column5]])/1048576,"")</f>
        <v/>
      </c>
      <c r="L712" s="180" t="str">
        <f>IF(ISNUMBER(deployment_raw[[#This Row],[Column8]]),IF(deployment_raw[[#This Row],[Column5]] &lt;&gt; 0, MAX((deployment_raw[[#This Row],[Column12]] * deployment_raw[[#This Row],[Column5]]), ((deployment_raw[[#This Row],[Column8]] * deployment_raw[[#This Row],[Column5]]) * $L$2), ($H$2 * deployment_raw[[#This Row],[Column5]])), 0),"")</f>
        <v/>
      </c>
      <c r="M71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12" s="188" t="str">
        <f>IF(ISNUMBER(deployment_raw[[#This Row],[Column14]]), deployment_raw[[#This Row],[Column14]],"")</f>
        <v/>
      </c>
      <c r="O712" s="189" t="str">
        <f>IF(ISNUMBER(deployment_raw[[#This Row],[Column15]]), deployment_raw[[#This Row],[Column15]]/1048576,"")</f>
        <v/>
      </c>
      <c r="P712" s="190" t="str">
        <f>IF(ISNUMBER(deployment_raw[[#This Row],[Column12]]), (deployment_raw[[#This Row],[Column12]] * deployment_raw[[#This Row],[Column5]]),"")</f>
        <v/>
      </c>
      <c r="Q712" s="189" t="str">
        <f>IF(ISNUMBER(deployment_raw[[#This Row],[Column13]]), (deployment_raw[[#This Row],[Column13]] * deployment_raw[[#This Row],[Column5]])/1048576,"")</f>
        <v/>
      </c>
    </row>
    <row r="713" spans="1:17" ht="15.75" customHeight="1" x14ac:dyDescent="0.25">
      <c r="A713" s="37" t="str">
        <f>IF(ISNONTEXT(deployment_raw[[#This Row],[Column1]]), "", deployment_raw[[#This Row],[Column1]])</f>
        <v/>
      </c>
      <c r="B713" s="38" t="str">
        <f>IF(ISNONTEXT(deployment_raw[[#This Row],[Column2]]), "", deployment_raw[[#This Row],[Column2]])</f>
        <v/>
      </c>
      <c r="C713" s="38" t="str">
        <f>IF(ISNONTEXT(deployment_raw[[#This Row],[Column3]]), "", deployment_raw[[#This Row],[Column3]])</f>
        <v/>
      </c>
      <c r="D713" s="38" t="str">
        <f>IF(ISNONTEXT(deployment_raw[[#This Row],[Column4]]), "", deployment_raw[[#This Row],[Column4]])</f>
        <v/>
      </c>
      <c r="E713" s="39" t="str">
        <f>IF(ISNUMBER(deployment_raw[[#This Row],[Column5]]), deployment_raw[[#This Row],[Column5]],"")</f>
        <v/>
      </c>
      <c r="F713" s="174" t="str">
        <f>IF(ISNUMBER(deployment_raw[[#This Row],[Column6]]), (deployment_raw[[#This Row],[Column6]] * deployment_raw[[#This Row],[Column5]]),"")</f>
        <v/>
      </c>
      <c r="G713" s="175" t="str">
        <f>IF(ISNUMBER(deployment_raw[[#This Row],[Column7]]), (deployment_raw[[#This Row],[Column7]] * deployment_raw[[#This Row],[Column5]])/1048576,"")</f>
        <v/>
      </c>
      <c r="H713" s="175" t="str">
        <f>IF(ISNUMBER(deployment_raw[[#This Row],[Column8]]), (deployment_raw[[#This Row],[Column8]]  * deployment_raw[[#This Row],[Column5]]),"")</f>
        <v/>
      </c>
      <c r="I713" s="176" t="str">
        <f>IF(ISNUMBER(deployment_raw[[#This Row],[Column9]]), (deployment_raw[[#This Row],[Column9]] * deployment_raw[[#This Row],[Column5]])/1048576,"")</f>
        <v/>
      </c>
      <c r="J713" s="57" t="str">
        <f>IF(ISNUMBER(deployment_raw[[#This Row],[Column10]]), (deployment_raw[[#This Row],[Column10]] * deployment_raw[[#This Row],[Column5]]),"")</f>
        <v/>
      </c>
      <c r="K713" s="58" t="str">
        <f>IF(ISNUMBER(deployment_raw[[#This Row],[Column11]]), (deployment_raw[[#This Row],[Column11]] * deployment_raw[[#This Row],[Column5]])/1048576,"")</f>
        <v/>
      </c>
      <c r="L713" s="180" t="str">
        <f>IF(ISNUMBER(deployment_raw[[#This Row],[Column8]]),IF(deployment_raw[[#This Row],[Column5]] &lt;&gt; 0, MAX((deployment_raw[[#This Row],[Column12]] * deployment_raw[[#This Row],[Column5]]), ((deployment_raw[[#This Row],[Column8]] * deployment_raw[[#This Row],[Column5]]) * $L$2), ($H$2 * deployment_raw[[#This Row],[Column5]])), 0),"")</f>
        <v/>
      </c>
      <c r="M71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13" s="188" t="str">
        <f>IF(ISNUMBER(deployment_raw[[#This Row],[Column14]]), deployment_raw[[#This Row],[Column14]],"")</f>
        <v/>
      </c>
      <c r="O713" s="189" t="str">
        <f>IF(ISNUMBER(deployment_raw[[#This Row],[Column15]]), deployment_raw[[#This Row],[Column15]]/1048576,"")</f>
        <v/>
      </c>
      <c r="P713" s="190" t="str">
        <f>IF(ISNUMBER(deployment_raw[[#This Row],[Column12]]), (deployment_raw[[#This Row],[Column12]] * deployment_raw[[#This Row],[Column5]]),"")</f>
        <v/>
      </c>
      <c r="Q713" s="189" t="str">
        <f>IF(ISNUMBER(deployment_raw[[#This Row],[Column13]]), (deployment_raw[[#This Row],[Column13]] * deployment_raw[[#This Row],[Column5]])/1048576,"")</f>
        <v/>
      </c>
    </row>
    <row r="714" spans="1:17" ht="15.75" customHeight="1" x14ac:dyDescent="0.25">
      <c r="A714" s="37" t="str">
        <f>IF(ISNONTEXT(deployment_raw[[#This Row],[Column1]]), "", deployment_raw[[#This Row],[Column1]])</f>
        <v/>
      </c>
      <c r="B714" s="38" t="str">
        <f>IF(ISNONTEXT(deployment_raw[[#This Row],[Column2]]), "", deployment_raw[[#This Row],[Column2]])</f>
        <v/>
      </c>
      <c r="C714" s="38" t="str">
        <f>IF(ISNONTEXT(deployment_raw[[#This Row],[Column3]]), "", deployment_raw[[#This Row],[Column3]])</f>
        <v/>
      </c>
      <c r="D714" s="38" t="str">
        <f>IF(ISNONTEXT(deployment_raw[[#This Row],[Column4]]), "", deployment_raw[[#This Row],[Column4]])</f>
        <v/>
      </c>
      <c r="E714" s="39" t="str">
        <f>IF(ISNUMBER(deployment_raw[[#This Row],[Column5]]), deployment_raw[[#This Row],[Column5]],"")</f>
        <v/>
      </c>
      <c r="F714" s="174" t="str">
        <f>IF(ISNUMBER(deployment_raw[[#This Row],[Column6]]), (deployment_raw[[#This Row],[Column6]] * deployment_raw[[#This Row],[Column5]]),"")</f>
        <v/>
      </c>
      <c r="G714" s="175" t="str">
        <f>IF(ISNUMBER(deployment_raw[[#This Row],[Column7]]), (deployment_raw[[#This Row],[Column7]] * deployment_raw[[#This Row],[Column5]])/1048576,"")</f>
        <v/>
      </c>
      <c r="H714" s="175" t="str">
        <f>IF(ISNUMBER(deployment_raw[[#This Row],[Column8]]), (deployment_raw[[#This Row],[Column8]]  * deployment_raw[[#This Row],[Column5]]),"")</f>
        <v/>
      </c>
      <c r="I714" s="176" t="str">
        <f>IF(ISNUMBER(deployment_raw[[#This Row],[Column9]]), (deployment_raw[[#This Row],[Column9]] * deployment_raw[[#This Row],[Column5]])/1048576,"")</f>
        <v/>
      </c>
      <c r="J714" s="57" t="str">
        <f>IF(ISNUMBER(deployment_raw[[#This Row],[Column10]]), (deployment_raw[[#This Row],[Column10]] * deployment_raw[[#This Row],[Column5]]),"")</f>
        <v/>
      </c>
      <c r="K714" s="58" t="str">
        <f>IF(ISNUMBER(deployment_raw[[#This Row],[Column11]]), (deployment_raw[[#This Row],[Column11]] * deployment_raw[[#This Row],[Column5]])/1048576,"")</f>
        <v/>
      </c>
      <c r="L714" s="180" t="str">
        <f>IF(ISNUMBER(deployment_raw[[#This Row],[Column8]]),IF(deployment_raw[[#This Row],[Column5]] &lt;&gt; 0, MAX((deployment_raw[[#This Row],[Column12]] * deployment_raw[[#This Row],[Column5]]), ((deployment_raw[[#This Row],[Column8]] * deployment_raw[[#This Row],[Column5]]) * $L$2), ($H$2 * deployment_raw[[#This Row],[Column5]])), 0),"")</f>
        <v/>
      </c>
      <c r="M71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14" s="188" t="str">
        <f>IF(ISNUMBER(deployment_raw[[#This Row],[Column14]]), deployment_raw[[#This Row],[Column14]],"")</f>
        <v/>
      </c>
      <c r="O714" s="189" t="str">
        <f>IF(ISNUMBER(deployment_raw[[#This Row],[Column15]]), deployment_raw[[#This Row],[Column15]]/1048576,"")</f>
        <v/>
      </c>
      <c r="P714" s="190" t="str">
        <f>IF(ISNUMBER(deployment_raw[[#This Row],[Column12]]), (deployment_raw[[#This Row],[Column12]] * deployment_raw[[#This Row],[Column5]]),"")</f>
        <v/>
      </c>
      <c r="Q714" s="189" t="str">
        <f>IF(ISNUMBER(deployment_raw[[#This Row],[Column13]]), (deployment_raw[[#This Row],[Column13]] * deployment_raw[[#This Row],[Column5]])/1048576,"")</f>
        <v/>
      </c>
    </row>
    <row r="715" spans="1:17" ht="15.75" customHeight="1" x14ac:dyDescent="0.25">
      <c r="A715" s="37" t="str">
        <f>IF(ISNONTEXT(deployment_raw[[#This Row],[Column1]]), "", deployment_raw[[#This Row],[Column1]])</f>
        <v/>
      </c>
      <c r="B715" s="38" t="str">
        <f>IF(ISNONTEXT(deployment_raw[[#This Row],[Column2]]), "", deployment_raw[[#This Row],[Column2]])</f>
        <v/>
      </c>
      <c r="C715" s="38" t="str">
        <f>IF(ISNONTEXT(deployment_raw[[#This Row],[Column3]]), "", deployment_raw[[#This Row],[Column3]])</f>
        <v/>
      </c>
      <c r="D715" s="38" t="str">
        <f>IF(ISNONTEXT(deployment_raw[[#This Row],[Column4]]), "", deployment_raw[[#This Row],[Column4]])</f>
        <v/>
      </c>
      <c r="E715" s="39" t="str">
        <f>IF(ISNUMBER(deployment_raw[[#This Row],[Column5]]), deployment_raw[[#This Row],[Column5]],"")</f>
        <v/>
      </c>
      <c r="F715" s="174" t="str">
        <f>IF(ISNUMBER(deployment_raw[[#This Row],[Column6]]), (deployment_raw[[#This Row],[Column6]] * deployment_raw[[#This Row],[Column5]]),"")</f>
        <v/>
      </c>
      <c r="G715" s="175" t="str">
        <f>IF(ISNUMBER(deployment_raw[[#This Row],[Column7]]), (deployment_raw[[#This Row],[Column7]] * deployment_raw[[#This Row],[Column5]])/1048576,"")</f>
        <v/>
      </c>
      <c r="H715" s="175" t="str">
        <f>IF(ISNUMBER(deployment_raw[[#This Row],[Column8]]), (deployment_raw[[#This Row],[Column8]]  * deployment_raw[[#This Row],[Column5]]),"")</f>
        <v/>
      </c>
      <c r="I715" s="176" t="str">
        <f>IF(ISNUMBER(deployment_raw[[#This Row],[Column9]]), (deployment_raw[[#This Row],[Column9]] * deployment_raw[[#This Row],[Column5]])/1048576,"")</f>
        <v/>
      </c>
      <c r="J715" s="57" t="str">
        <f>IF(ISNUMBER(deployment_raw[[#This Row],[Column10]]), (deployment_raw[[#This Row],[Column10]] * deployment_raw[[#This Row],[Column5]]),"")</f>
        <v/>
      </c>
      <c r="K715" s="58" t="str">
        <f>IF(ISNUMBER(deployment_raw[[#This Row],[Column11]]), (deployment_raw[[#This Row],[Column11]] * deployment_raw[[#This Row],[Column5]])/1048576,"")</f>
        <v/>
      </c>
      <c r="L715" s="180" t="str">
        <f>IF(ISNUMBER(deployment_raw[[#This Row],[Column8]]),IF(deployment_raw[[#This Row],[Column5]] &lt;&gt; 0, MAX((deployment_raw[[#This Row],[Column12]] * deployment_raw[[#This Row],[Column5]]), ((deployment_raw[[#This Row],[Column8]] * deployment_raw[[#This Row],[Column5]]) * $L$2), ($H$2 * deployment_raw[[#This Row],[Column5]])), 0),"")</f>
        <v/>
      </c>
      <c r="M71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15" s="188" t="str">
        <f>IF(ISNUMBER(deployment_raw[[#This Row],[Column14]]), deployment_raw[[#This Row],[Column14]],"")</f>
        <v/>
      </c>
      <c r="O715" s="189" t="str">
        <f>IF(ISNUMBER(deployment_raw[[#This Row],[Column15]]), deployment_raw[[#This Row],[Column15]]/1048576,"")</f>
        <v/>
      </c>
      <c r="P715" s="190" t="str">
        <f>IF(ISNUMBER(deployment_raw[[#This Row],[Column12]]), (deployment_raw[[#This Row],[Column12]] * deployment_raw[[#This Row],[Column5]]),"")</f>
        <v/>
      </c>
      <c r="Q715" s="189" t="str">
        <f>IF(ISNUMBER(deployment_raw[[#This Row],[Column13]]), (deployment_raw[[#This Row],[Column13]] * deployment_raw[[#This Row],[Column5]])/1048576,"")</f>
        <v/>
      </c>
    </row>
    <row r="716" spans="1:17" ht="15.75" customHeight="1" x14ac:dyDescent="0.25">
      <c r="A716" s="37" t="str">
        <f>IF(ISNONTEXT(deployment_raw[[#This Row],[Column1]]), "", deployment_raw[[#This Row],[Column1]])</f>
        <v/>
      </c>
      <c r="B716" s="38" t="str">
        <f>IF(ISNONTEXT(deployment_raw[[#This Row],[Column2]]), "", deployment_raw[[#This Row],[Column2]])</f>
        <v/>
      </c>
      <c r="C716" s="38" t="str">
        <f>IF(ISNONTEXT(deployment_raw[[#This Row],[Column3]]), "", deployment_raw[[#This Row],[Column3]])</f>
        <v/>
      </c>
      <c r="D716" s="38" t="str">
        <f>IF(ISNONTEXT(deployment_raw[[#This Row],[Column4]]), "", deployment_raw[[#This Row],[Column4]])</f>
        <v/>
      </c>
      <c r="E716" s="39" t="str">
        <f>IF(ISNUMBER(deployment_raw[[#This Row],[Column5]]), deployment_raw[[#This Row],[Column5]],"")</f>
        <v/>
      </c>
      <c r="F716" s="174" t="str">
        <f>IF(ISNUMBER(deployment_raw[[#This Row],[Column6]]), (deployment_raw[[#This Row],[Column6]] * deployment_raw[[#This Row],[Column5]]),"")</f>
        <v/>
      </c>
      <c r="G716" s="175" t="str">
        <f>IF(ISNUMBER(deployment_raw[[#This Row],[Column7]]), (deployment_raw[[#This Row],[Column7]] * deployment_raw[[#This Row],[Column5]])/1048576,"")</f>
        <v/>
      </c>
      <c r="H716" s="175" t="str">
        <f>IF(ISNUMBER(deployment_raw[[#This Row],[Column8]]), (deployment_raw[[#This Row],[Column8]]  * deployment_raw[[#This Row],[Column5]]),"")</f>
        <v/>
      </c>
      <c r="I716" s="176" t="str">
        <f>IF(ISNUMBER(deployment_raw[[#This Row],[Column9]]), (deployment_raw[[#This Row],[Column9]] * deployment_raw[[#This Row],[Column5]])/1048576,"")</f>
        <v/>
      </c>
      <c r="J716" s="57" t="str">
        <f>IF(ISNUMBER(deployment_raw[[#This Row],[Column10]]), (deployment_raw[[#This Row],[Column10]] * deployment_raw[[#This Row],[Column5]]),"")</f>
        <v/>
      </c>
      <c r="K716" s="58" t="str">
        <f>IF(ISNUMBER(deployment_raw[[#This Row],[Column11]]), (deployment_raw[[#This Row],[Column11]] * deployment_raw[[#This Row],[Column5]])/1048576,"")</f>
        <v/>
      </c>
      <c r="L716" s="180" t="str">
        <f>IF(ISNUMBER(deployment_raw[[#This Row],[Column8]]),IF(deployment_raw[[#This Row],[Column5]] &lt;&gt; 0, MAX((deployment_raw[[#This Row],[Column12]] * deployment_raw[[#This Row],[Column5]]), ((deployment_raw[[#This Row],[Column8]] * deployment_raw[[#This Row],[Column5]]) * $L$2), ($H$2 * deployment_raw[[#This Row],[Column5]])), 0),"")</f>
        <v/>
      </c>
      <c r="M71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16" s="188" t="str">
        <f>IF(ISNUMBER(deployment_raw[[#This Row],[Column14]]), deployment_raw[[#This Row],[Column14]],"")</f>
        <v/>
      </c>
      <c r="O716" s="189" t="str">
        <f>IF(ISNUMBER(deployment_raw[[#This Row],[Column15]]), deployment_raw[[#This Row],[Column15]]/1048576,"")</f>
        <v/>
      </c>
      <c r="P716" s="190" t="str">
        <f>IF(ISNUMBER(deployment_raw[[#This Row],[Column12]]), (deployment_raw[[#This Row],[Column12]] * deployment_raw[[#This Row],[Column5]]),"")</f>
        <v/>
      </c>
      <c r="Q716" s="189" t="str">
        <f>IF(ISNUMBER(deployment_raw[[#This Row],[Column13]]), (deployment_raw[[#This Row],[Column13]] * deployment_raw[[#This Row],[Column5]])/1048576,"")</f>
        <v/>
      </c>
    </row>
    <row r="717" spans="1:17" ht="15.75" customHeight="1" x14ac:dyDescent="0.25">
      <c r="A717" s="37" t="str">
        <f>IF(ISNONTEXT(deployment_raw[[#This Row],[Column1]]), "", deployment_raw[[#This Row],[Column1]])</f>
        <v/>
      </c>
      <c r="B717" s="38" t="str">
        <f>IF(ISNONTEXT(deployment_raw[[#This Row],[Column2]]), "", deployment_raw[[#This Row],[Column2]])</f>
        <v/>
      </c>
      <c r="C717" s="38" t="str">
        <f>IF(ISNONTEXT(deployment_raw[[#This Row],[Column3]]), "", deployment_raw[[#This Row],[Column3]])</f>
        <v/>
      </c>
      <c r="D717" s="38" t="str">
        <f>IF(ISNONTEXT(deployment_raw[[#This Row],[Column4]]), "", deployment_raw[[#This Row],[Column4]])</f>
        <v/>
      </c>
      <c r="E717" s="39" t="str">
        <f>IF(ISNUMBER(deployment_raw[[#This Row],[Column5]]), deployment_raw[[#This Row],[Column5]],"")</f>
        <v/>
      </c>
      <c r="F717" s="174" t="str">
        <f>IF(ISNUMBER(deployment_raw[[#This Row],[Column6]]), (deployment_raw[[#This Row],[Column6]] * deployment_raw[[#This Row],[Column5]]),"")</f>
        <v/>
      </c>
      <c r="G717" s="175" t="str">
        <f>IF(ISNUMBER(deployment_raw[[#This Row],[Column7]]), (deployment_raw[[#This Row],[Column7]] * deployment_raw[[#This Row],[Column5]])/1048576,"")</f>
        <v/>
      </c>
      <c r="H717" s="175" t="str">
        <f>IF(ISNUMBER(deployment_raw[[#This Row],[Column8]]), (deployment_raw[[#This Row],[Column8]]  * deployment_raw[[#This Row],[Column5]]),"")</f>
        <v/>
      </c>
      <c r="I717" s="176" t="str">
        <f>IF(ISNUMBER(deployment_raw[[#This Row],[Column9]]), (deployment_raw[[#This Row],[Column9]] * deployment_raw[[#This Row],[Column5]])/1048576,"")</f>
        <v/>
      </c>
      <c r="J717" s="57" t="str">
        <f>IF(ISNUMBER(deployment_raw[[#This Row],[Column10]]), (deployment_raw[[#This Row],[Column10]] * deployment_raw[[#This Row],[Column5]]),"")</f>
        <v/>
      </c>
      <c r="K717" s="58" t="str">
        <f>IF(ISNUMBER(deployment_raw[[#This Row],[Column11]]), (deployment_raw[[#This Row],[Column11]] * deployment_raw[[#This Row],[Column5]])/1048576,"")</f>
        <v/>
      </c>
      <c r="L717" s="180" t="str">
        <f>IF(ISNUMBER(deployment_raw[[#This Row],[Column8]]),IF(deployment_raw[[#This Row],[Column5]] &lt;&gt; 0, MAX((deployment_raw[[#This Row],[Column12]] * deployment_raw[[#This Row],[Column5]]), ((deployment_raw[[#This Row],[Column8]] * deployment_raw[[#This Row],[Column5]]) * $L$2), ($H$2 * deployment_raw[[#This Row],[Column5]])), 0),"")</f>
        <v/>
      </c>
      <c r="M71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17" s="188" t="str">
        <f>IF(ISNUMBER(deployment_raw[[#This Row],[Column14]]), deployment_raw[[#This Row],[Column14]],"")</f>
        <v/>
      </c>
      <c r="O717" s="189" t="str">
        <f>IF(ISNUMBER(deployment_raw[[#This Row],[Column15]]), deployment_raw[[#This Row],[Column15]]/1048576,"")</f>
        <v/>
      </c>
      <c r="P717" s="190" t="str">
        <f>IF(ISNUMBER(deployment_raw[[#This Row],[Column12]]), (deployment_raw[[#This Row],[Column12]] * deployment_raw[[#This Row],[Column5]]),"")</f>
        <v/>
      </c>
      <c r="Q717" s="189" t="str">
        <f>IF(ISNUMBER(deployment_raw[[#This Row],[Column13]]), (deployment_raw[[#This Row],[Column13]] * deployment_raw[[#This Row],[Column5]])/1048576,"")</f>
        <v/>
      </c>
    </row>
    <row r="718" spans="1:17" ht="15.75" customHeight="1" x14ac:dyDescent="0.25">
      <c r="A718" s="37" t="str">
        <f>IF(ISNONTEXT(deployment_raw[[#This Row],[Column1]]), "", deployment_raw[[#This Row],[Column1]])</f>
        <v/>
      </c>
      <c r="B718" s="38" t="str">
        <f>IF(ISNONTEXT(deployment_raw[[#This Row],[Column2]]), "", deployment_raw[[#This Row],[Column2]])</f>
        <v/>
      </c>
      <c r="C718" s="38" t="str">
        <f>IF(ISNONTEXT(deployment_raw[[#This Row],[Column3]]), "", deployment_raw[[#This Row],[Column3]])</f>
        <v/>
      </c>
      <c r="D718" s="38" t="str">
        <f>IF(ISNONTEXT(deployment_raw[[#This Row],[Column4]]), "", deployment_raw[[#This Row],[Column4]])</f>
        <v/>
      </c>
      <c r="E718" s="39" t="str">
        <f>IF(ISNUMBER(deployment_raw[[#This Row],[Column5]]), deployment_raw[[#This Row],[Column5]],"")</f>
        <v/>
      </c>
      <c r="F718" s="174" t="str">
        <f>IF(ISNUMBER(deployment_raw[[#This Row],[Column6]]), (deployment_raw[[#This Row],[Column6]] * deployment_raw[[#This Row],[Column5]]),"")</f>
        <v/>
      </c>
      <c r="G718" s="175" t="str">
        <f>IF(ISNUMBER(deployment_raw[[#This Row],[Column7]]), (deployment_raw[[#This Row],[Column7]] * deployment_raw[[#This Row],[Column5]])/1048576,"")</f>
        <v/>
      </c>
      <c r="H718" s="175" t="str">
        <f>IF(ISNUMBER(deployment_raw[[#This Row],[Column8]]), (deployment_raw[[#This Row],[Column8]]  * deployment_raw[[#This Row],[Column5]]),"")</f>
        <v/>
      </c>
      <c r="I718" s="176" t="str">
        <f>IF(ISNUMBER(deployment_raw[[#This Row],[Column9]]), (deployment_raw[[#This Row],[Column9]] * deployment_raw[[#This Row],[Column5]])/1048576,"")</f>
        <v/>
      </c>
      <c r="J718" s="57" t="str">
        <f>IF(ISNUMBER(deployment_raw[[#This Row],[Column10]]), (deployment_raw[[#This Row],[Column10]] * deployment_raw[[#This Row],[Column5]]),"")</f>
        <v/>
      </c>
      <c r="K718" s="58" t="str">
        <f>IF(ISNUMBER(deployment_raw[[#This Row],[Column11]]), (deployment_raw[[#This Row],[Column11]] * deployment_raw[[#This Row],[Column5]])/1048576,"")</f>
        <v/>
      </c>
      <c r="L718" s="180" t="str">
        <f>IF(ISNUMBER(deployment_raw[[#This Row],[Column8]]),IF(deployment_raw[[#This Row],[Column5]] &lt;&gt; 0, MAX((deployment_raw[[#This Row],[Column12]] * deployment_raw[[#This Row],[Column5]]), ((deployment_raw[[#This Row],[Column8]] * deployment_raw[[#This Row],[Column5]]) * $L$2), ($H$2 * deployment_raw[[#This Row],[Column5]])), 0),"")</f>
        <v/>
      </c>
      <c r="M71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18" s="188" t="str">
        <f>IF(ISNUMBER(deployment_raw[[#This Row],[Column14]]), deployment_raw[[#This Row],[Column14]],"")</f>
        <v/>
      </c>
      <c r="O718" s="189" t="str">
        <f>IF(ISNUMBER(deployment_raw[[#This Row],[Column15]]), deployment_raw[[#This Row],[Column15]]/1048576,"")</f>
        <v/>
      </c>
      <c r="P718" s="190" t="str">
        <f>IF(ISNUMBER(deployment_raw[[#This Row],[Column12]]), (deployment_raw[[#This Row],[Column12]] * deployment_raw[[#This Row],[Column5]]),"")</f>
        <v/>
      </c>
      <c r="Q718" s="189" t="str">
        <f>IF(ISNUMBER(deployment_raw[[#This Row],[Column13]]), (deployment_raw[[#This Row],[Column13]] * deployment_raw[[#This Row],[Column5]])/1048576,"")</f>
        <v/>
      </c>
    </row>
    <row r="719" spans="1:17" ht="15.75" customHeight="1" x14ac:dyDescent="0.25">
      <c r="A719" s="37" t="str">
        <f>IF(ISNONTEXT(deployment_raw[[#This Row],[Column1]]), "", deployment_raw[[#This Row],[Column1]])</f>
        <v/>
      </c>
      <c r="B719" s="38" t="str">
        <f>IF(ISNONTEXT(deployment_raw[[#This Row],[Column2]]), "", deployment_raw[[#This Row],[Column2]])</f>
        <v/>
      </c>
      <c r="C719" s="38" t="str">
        <f>IF(ISNONTEXT(deployment_raw[[#This Row],[Column3]]), "", deployment_raw[[#This Row],[Column3]])</f>
        <v/>
      </c>
      <c r="D719" s="38" t="str">
        <f>IF(ISNONTEXT(deployment_raw[[#This Row],[Column4]]), "", deployment_raw[[#This Row],[Column4]])</f>
        <v/>
      </c>
      <c r="E719" s="39" t="str">
        <f>IF(ISNUMBER(deployment_raw[[#This Row],[Column5]]), deployment_raw[[#This Row],[Column5]],"")</f>
        <v/>
      </c>
      <c r="F719" s="174" t="str">
        <f>IF(ISNUMBER(deployment_raw[[#This Row],[Column6]]), (deployment_raw[[#This Row],[Column6]] * deployment_raw[[#This Row],[Column5]]),"")</f>
        <v/>
      </c>
      <c r="G719" s="175" t="str">
        <f>IF(ISNUMBER(deployment_raw[[#This Row],[Column7]]), (deployment_raw[[#This Row],[Column7]] * deployment_raw[[#This Row],[Column5]])/1048576,"")</f>
        <v/>
      </c>
      <c r="H719" s="175" t="str">
        <f>IF(ISNUMBER(deployment_raw[[#This Row],[Column8]]), (deployment_raw[[#This Row],[Column8]]  * deployment_raw[[#This Row],[Column5]]),"")</f>
        <v/>
      </c>
      <c r="I719" s="176" t="str">
        <f>IF(ISNUMBER(deployment_raw[[#This Row],[Column9]]), (deployment_raw[[#This Row],[Column9]] * deployment_raw[[#This Row],[Column5]])/1048576,"")</f>
        <v/>
      </c>
      <c r="J719" s="57" t="str">
        <f>IF(ISNUMBER(deployment_raw[[#This Row],[Column10]]), (deployment_raw[[#This Row],[Column10]] * deployment_raw[[#This Row],[Column5]]),"")</f>
        <v/>
      </c>
      <c r="K719" s="58" t="str">
        <f>IF(ISNUMBER(deployment_raw[[#This Row],[Column11]]), (deployment_raw[[#This Row],[Column11]] * deployment_raw[[#This Row],[Column5]])/1048576,"")</f>
        <v/>
      </c>
      <c r="L719" s="180" t="str">
        <f>IF(ISNUMBER(deployment_raw[[#This Row],[Column8]]),IF(deployment_raw[[#This Row],[Column5]] &lt;&gt; 0, MAX((deployment_raw[[#This Row],[Column12]] * deployment_raw[[#This Row],[Column5]]), ((deployment_raw[[#This Row],[Column8]] * deployment_raw[[#This Row],[Column5]]) * $L$2), ($H$2 * deployment_raw[[#This Row],[Column5]])), 0),"")</f>
        <v/>
      </c>
      <c r="M71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19" s="188" t="str">
        <f>IF(ISNUMBER(deployment_raw[[#This Row],[Column14]]), deployment_raw[[#This Row],[Column14]],"")</f>
        <v/>
      </c>
      <c r="O719" s="189" t="str">
        <f>IF(ISNUMBER(deployment_raw[[#This Row],[Column15]]), deployment_raw[[#This Row],[Column15]]/1048576,"")</f>
        <v/>
      </c>
      <c r="P719" s="190" t="str">
        <f>IF(ISNUMBER(deployment_raw[[#This Row],[Column12]]), (deployment_raw[[#This Row],[Column12]] * deployment_raw[[#This Row],[Column5]]),"")</f>
        <v/>
      </c>
      <c r="Q719" s="189" t="str">
        <f>IF(ISNUMBER(deployment_raw[[#This Row],[Column13]]), (deployment_raw[[#This Row],[Column13]] * deployment_raw[[#This Row],[Column5]])/1048576,"")</f>
        <v/>
      </c>
    </row>
    <row r="720" spans="1:17" ht="15.75" customHeight="1" x14ac:dyDescent="0.25">
      <c r="A720" s="37" t="str">
        <f>IF(ISNONTEXT(deployment_raw[[#This Row],[Column1]]), "", deployment_raw[[#This Row],[Column1]])</f>
        <v/>
      </c>
      <c r="B720" s="38" t="str">
        <f>IF(ISNONTEXT(deployment_raw[[#This Row],[Column2]]), "", deployment_raw[[#This Row],[Column2]])</f>
        <v/>
      </c>
      <c r="C720" s="38" t="str">
        <f>IF(ISNONTEXT(deployment_raw[[#This Row],[Column3]]), "", deployment_raw[[#This Row],[Column3]])</f>
        <v/>
      </c>
      <c r="D720" s="38" t="str">
        <f>IF(ISNONTEXT(deployment_raw[[#This Row],[Column4]]), "", deployment_raw[[#This Row],[Column4]])</f>
        <v/>
      </c>
      <c r="E720" s="39" t="str">
        <f>IF(ISNUMBER(deployment_raw[[#This Row],[Column5]]), deployment_raw[[#This Row],[Column5]],"")</f>
        <v/>
      </c>
      <c r="F720" s="174" t="str">
        <f>IF(ISNUMBER(deployment_raw[[#This Row],[Column6]]), (deployment_raw[[#This Row],[Column6]] * deployment_raw[[#This Row],[Column5]]),"")</f>
        <v/>
      </c>
      <c r="G720" s="175" t="str">
        <f>IF(ISNUMBER(deployment_raw[[#This Row],[Column7]]), (deployment_raw[[#This Row],[Column7]] * deployment_raw[[#This Row],[Column5]])/1048576,"")</f>
        <v/>
      </c>
      <c r="H720" s="175" t="str">
        <f>IF(ISNUMBER(deployment_raw[[#This Row],[Column8]]), (deployment_raw[[#This Row],[Column8]]  * deployment_raw[[#This Row],[Column5]]),"")</f>
        <v/>
      </c>
      <c r="I720" s="176" t="str">
        <f>IF(ISNUMBER(deployment_raw[[#This Row],[Column9]]), (deployment_raw[[#This Row],[Column9]] * deployment_raw[[#This Row],[Column5]])/1048576,"")</f>
        <v/>
      </c>
      <c r="J720" s="57" t="str">
        <f>IF(ISNUMBER(deployment_raw[[#This Row],[Column10]]), (deployment_raw[[#This Row],[Column10]] * deployment_raw[[#This Row],[Column5]]),"")</f>
        <v/>
      </c>
      <c r="K720" s="58" t="str">
        <f>IF(ISNUMBER(deployment_raw[[#This Row],[Column11]]), (deployment_raw[[#This Row],[Column11]] * deployment_raw[[#This Row],[Column5]])/1048576,"")</f>
        <v/>
      </c>
      <c r="L720" s="180" t="str">
        <f>IF(ISNUMBER(deployment_raw[[#This Row],[Column8]]),IF(deployment_raw[[#This Row],[Column5]] &lt;&gt; 0, MAX((deployment_raw[[#This Row],[Column12]] * deployment_raw[[#This Row],[Column5]]), ((deployment_raw[[#This Row],[Column8]] * deployment_raw[[#This Row],[Column5]]) * $L$2), ($H$2 * deployment_raw[[#This Row],[Column5]])), 0),"")</f>
        <v/>
      </c>
      <c r="M72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20" s="188" t="str">
        <f>IF(ISNUMBER(deployment_raw[[#This Row],[Column14]]), deployment_raw[[#This Row],[Column14]],"")</f>
        <v/>
      </c>
      <c r="O720" s="189" t="str">
        <f>IF(ISNUMBER(deployment_raw[[#This Row],[Column15]]), deployment_raw[[#This Row],[Column15]]/1048576,"")</f>
        <v/>
      </c>
      <c r="P720" s="190" t="str">
        <f>IF(ISNUMBER(deployment_raw[[#This Row],[Column12]]), (deployment_raw[[#This Row],[Column12]] * deployment_raw[[#This Row],[Column5]]),"")</f>
        <v/>
      </c>
      <c r="Q720" s="189" t="str">
        <f>IF(ISNUMBER(deployment_raw[[#This Row],[Column13]]), (deployment_raw[[#This Row],[Column13]] * deployment_raw[[#This Row],[Column5]])/1048576,"")</f>
        <v/>
      </c>
    </row>
    <row r="721" spans="1:17" ht="15.75" customHeight="1" x14ac:dyDescent="0.25">
      <c r="A721" s="37" t="str">
        <f>IF(ISNONTEXT(deployment_raw[[#This Row],[Column1]]), "", deployment_raw[[#This Row],[Column1]])</f>
        <v/>
      </c>
      <c r="B721" s="38" t="str">
        <f>IF(ISNONTEXT(deployment_raw[[#This Row],[Column2]]), "", deployment_raw[[#This Row],[Column2]])</f>
        <v/>
      </c>
      <c r="C721" s="38" t="str">
        <f>IF(ISNONTEXT(deployment_raw[[#This Row],[Column3]]), "", deployment_raw[[#This Row],[Column3]])</f>
        <v/>
      </c>
      <c r="D721" s="38" t="str">
        <f>IF(ISNONTEXT(deployment_raw[[#This Row],[Column4]]), "", deployment_raw[[#This Row],[Column4]])</f>
        <v/>
      </c>
      <c r="E721" s="39" t="str">
        <f>IF(ISNUMBER(deployment_raw[[#This Row],[Column5]]), deployment_raw[[#This Row],[Column5]],"")</f>
        <v/>
      </c>
      <c r="F721" s="174" t="str">
        <f>IF(ISNUMBER(deployment_raw[[#This Row],[Column6]]), (deployment_raw[[#This Row],[Column6]] * deployment_raw[[#This Row],[Column5]]),"")</f>
        <v/>
      </c>
      <c r="G721" s="175" t="str">
        <f>IF(ISNUMBER(deployment_raw[[#This Row],[Column7]]), (deployment_raw[[#This Row],[Column7]] * deployment_raw[[#This Row],[Column5]])/1048576,"")</f>
        <v/>
      </c>
      <c r="H721" s="175" t="str">
        <f>IF(ISNUMBER(deployment_raw[[#This Row],[Column8]]), (deployment_raw[[#This Row],[Column8]]  * deployment_raw[[#This Row],[Column5]]),"")</f>
        <v/>
      </c>
      <c r="I721" s="176" t="str">
        <f>IF(ISNUMBER(deployment_raw[[#This Row],[Column9]]), (deployment_raw[[#This Row],[Column9]] * deployment_raw[[#This Row],[Column5]])/1048576,"")</f>
        <v/>
      </c>
      <c r="J721" s="57" t="str">
        <f>IF(ISNUMBER(deployment_raw[[#This Row],[Column10]]), (deployment_raw[[#This Row],[Column10]] * deployment_raw[[#This Row],[Column5]]),"")</f>
        <v/>
      </c>
      <c r="K721" s="58" t="str">
        <f>IF(ISNUMBER(deployment_raw[[#This Row],[Column11]]), (deployment_raw[[#This Row],[Column11]] * deployment_raw[[#This Row],[Column5]])/1048576,"")</f>
        <v/>
      </c>
      <c r="L721" s="180" t="str">
        <f>IF(ISNUMBER(deployment_raw[[#This Row],[Column8]]),IF(deployment_raw[[#This Row],[Column5]] &lt;&gt; 0, MAX((deployment_raw[[#This Row],[Column12]] * deployment_raw[[#This Row],[Column5]]), ((deployment_raw[[#This Row],[Column8]] * deployment_raw[[#This Row],[Column5]]) * $L$2), ($H$2 * deployment_raw[[#This Row],[Column5]])), 0),"")</f>
        <v/>
      </c>
      <c r="M72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21" s="188" t="str">
        <f>IF(ISNUMBER(deployment_raw[[#This Row],[Column14]]), deployment_raw[[#This Row],[Column14]],"")</f>
        <v/>
      </c>
      <c r="O721" s="189" t="str">
        <f>IF(ISNUMBER(deployment_raw[[#This Row],[Column15]]), deployment_raw[[#This Row],[Column15]]/1048576,"")</f>
        <v/>
      </c>
      <c r="P721" s="190" t="str">
        <f>IF(ISNUMBER(deployment_raw[[#This Row],[Column12]]), (deployment_raw[[#This Row],[Column12]] * deployment_raw[[#This Row],[Column5]]),"")</f>
        <v/>
      </c>
      <c r="Q721" s="189" t="str">
        <f>IF(ISNUMBER(deployment_raw[[#This Row],[Column13]]), (deployment_raw[[#This Row],[Column13]] * deployment_raw[[#This Row],[Column5]])/1048576,"")</f>
        <v/>
      </c>
    </row>
    <row r="722" spans="1:17" ht="15.75" customHeight="1" x14ac:dyDescent="0.25">
      <c r="A722" s="37" t="str">
        <f>IF(ISNONTEXT(deployment_raw[[#This Row],[Column1]]), "", deployment_raw[[#This Row],[Column1]])</f>
        <v/>
      </c>
      <c r="B722" s="38" t="str">
        <f>IF(ISNONTEXT(deployment_raw[[#This Row],[Column2]]), "", deployment_raw[[#This Row],[Column2]])</f>
        <v/>
      </c>
      <c r="C722" s="38" t="str">
        <f>IF(ISNONTEXT(deployment_raw[[#This Row],[Column3]]), "", deployment_raw[[#This Row],[Column3]])</f>
        <v/>
      </c>
      <c r="D722" s="38" t="str">
        <f>IF(ISNONTEXT(deployment_raw[[#This Row],[Column4]]), "", deployment_raw[[#This Row],[Column4]])</f>
        <v/>
      </c>
      <c r="E722" s="39" t="str">
        <f>IF(ISNUMBER(deployment_raw[[#This Row],[Column5]]), deployment_raw[[#This Row],[Column5]],"")</f>
        <v/>
      </c>
      <c r="F722" s="174" t="str">
        <f>IF(ISNUMBER(deployment_raw[[#This Row],[Column6]]), (deployment_raw[[#This Row],[Column6]] * deployment_raw[[#This Row],[Column5]]),"")</f>
        <v/>
      </c>
      <c r="G722" s="175" t="str">
        <f>IF(ISNUMBER(deployment_raw[[#This Row],[Column7]]), (deployment_raw[[#This Row],[Column7]] * deployment_raw[[#This Row],[Column5]])/1048576,"")</f>
        <v/>
      </c>
      <c r="H722" s="175" t="str">
        <f>IF(ISNUMBER(deployment_raw[[#This Row],[Column8]]), (deployment_raw[[#This Row],[Column8]]  * deployment_raw[[#This Row],[Column5]]),"")</f>
        <v/>
      </c>
      <c r="I722" s="176" t="str">
        <f>IF(ISNUMBER(deployment_raw[[#This Row],[Column9]]), (deployment_raw[[#This Row],[Column9]] * deployment_raw[[#This Row],[Column5]])/1048576,"")</f>
        <v/>
      </c>
      <c r="J722" s="57" t="str">
        <f>IF(ISNUMBER(deployment_raw[[#This Row],[Column10]]), (deployment_raw[[#This Row],[Column10]] * deployment_raw[[#This Row],[Column5]]),"")</f>
        <v/>
      </c>
      <c r="K722" s="58" t="str">
        <f>IF(ISNUMBER(deployment_raw[[#This Row],[Column11]]), (deployment_raw[[#This Row],[Column11]] * deployment_raw[[#This Row],[Column5]])/1048576,"")</f>
        <v/>
      </c>
      <c r="L722" s="180" t="str">
        <f>IF(ISNUMBER(deployment_raw[[#This Row],[Column8]]),IF(deployment_raw[[#This Row],[Column5]] &lt;&gt; 0, MAX((deployment_raw[[#This Row],[Column12]] * deployment_raw[[#This Row],[Column5]]), ((deployment_raw[[#This Row],[Column8]] * deployment_raw[[#This Row],[Column5]]) * $L$2), ($H$2 * deployment_raw[[#This Row],[Column5]])), 0),"")</f>
        <v/>
      </c>
      <c r="M72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22" s="188" t="str">
        <f>IF(ISNUMBER(deployment_raw[[#This Row],[Column14]]), deployment_raw[[#This Row],[Column14]],"")</f>
        <v/>
      </c>
      <c r="O722" s="189" t="str">
        <f>IF(ISNUMBER(deployment_raw[[#This Row],[Column15]]), deployment_raw[[#This Row],[Column15]]/1048576,"")</f>
        <v/>
      </c>
      <c r="P722" s="190" t="str">
        <f>IF(ISNUMBER(deployment_raw[[#This Row],[Column12]]), (deployment_raw[[#This Row],[Column12]] * deployment_raw[[#This Row],[Column5]]),"")</f>
        <v/>
      </c>
      <c r="Q722" s="189" t="str">
        <f>IF(ISNUMBER(deployment_raw[[#This Row],[Column13]]), (deployment_raw[[#This Row],[Column13]] * deployment_raw[[#This Row],[Column5]])/1048576,"")</f>
        <v/>
      </c>
    </row>
    <row r="723" spans="1:17" ht="15.75" customHeight="1" x14ac:dyDescent="0.25">
      <c r="A723" s="37" t="str">
        <f>IF(ISNONTEXT(deployment_raw[[#This Row],[Column1]]), "", deployment_raw[[#This Row],[Column1]])</f>
        <v/>
      </c>
      <c r="B723" s="38" t="str">
        <f>IF(ISNONTEXT(deployment_raw[[#This Row],[Column2]]), "", deployment_raw[[#This Row],[Column2]])</f>
        <v/>
      </c>
      <c r="C723" s="38" t="str">
        <f>IF(ISNONTEXT(deployment_raw[[#This Row],[Column3]]), "", deployment_raw[[#This Row],[Column3]])</f>
        <v/>
      </c>
      <c r="D723" s="38" t="str">
        <f>IF(ISNONTEXT(deployment_raw[[#This Row],[Column4]]), "", deployment_raw[[#This Row],[Column4]])</f>
        <v/>
      </c>
      <c r="E723" s="39" t="str">
        <f>IF(ISNUMBER(deployment_raw[[#This Row],[Column5]]), deployment_raw[[#This Row],[Column5]],"")</f>
        <v/>
      </c>
      <c r="F723" s="174" t="str">
        <f>IF(ISNUMBER(deployment_raw[[#This Row],[Column6]]), (deployment_raw[[#This Row],[Column6]] * deployment_raw[[#This Row],[Column5]]),"")</f>
        <v/>
      </c>
      <c r="G723" s="175" t="str">
        <f>IF(ISNUMBER(deployment_raw[[#This Row],[Column7]]), (deployment_raw[[#This Row],[Column7]] * deployment_raw[[#This Row],[Column5]])/1048576,"")</f>
        <v/>
      </c>
      <c r="H723" s="175" t="str">
        <f>IF(ISNUMBER(deployment_raw[[#This Row],[Column8]]), (deployment_raw[[#This Row],[Column8]]  * deployment_raw[[#This Row],[Column5]]),"")</f>
        <v/>
      </c>
      <c r="I723" s="176" t="str">
        <f>IF(ISNUMBER(deployment_raw[[#This Row],[Column9]]), (deployment_raw[[#This Row],[Column9]] * deployment_raw[[#This Row],[Column5]])/1048576,"")</f>
        <v/>
      </c>
      <c r="J723" s="57" t="str">
        <f>IF(ISNUMBER(deployment_raw[[#This Row],[Column10]]), (deployment_raw[[#This Row],[Column10]] * deployment_raw[[#This Row],[Column5]]),"")</f>
        <v/>
      </c>
      <c r="K723" s="58" t="str">
        <f>IF(ISNUMBER(deployment_raw[[#This Row],[Column11]]), (deployment_raw[[#This Row],[Column11]] * deployment_raw[[#This Row],[Column5]])/1048576,"")</f>
        <v/>
      </c>
      <c r="L723" s="180" t="str">
        <f>IF(ISNUMBER(deployment_raw[[#This Row],[Column8]]),IF(deployment_raw[[#This Row],[Column5]] &lt;&gt; 0, MAX((deployment_raw[[#This Row],[Column12]] * deployment_raw[[#This Row],[Column5]]), ((deployment_raw[[#This Row],[Column8]] * deployment_raw[[#This Row],[Column5]]) * $L$2), ($H$2 * deployment_raw[[#This Row],[Column5]])), 0),"")</f>
        <v/>
      </c>
      <c r="M72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23" s="188" t="str">
        <f>IF(ISNUMBER(deployment_raw[[#This Row],[Column14]]), deployment_raw[[#This Row],[Column14]],"")</f>
        <v/>
      </c>
      <c r="O723" s="189" t="str">
        <f>IF(ISNUMBER(deployment_raw[[#This Row],[Column15]]), deployment_raw[[#This Row],[Column15]]/1048576,"")</f>
        <v/>
      </c>
      <c r="P723" s="190" t="str">
        <f>IF(ISNUMBER(deployment_raw[[#This Row],[Column12]]), (deployment_raw[[#This Row],[Column12]] * deployment_raw[[#This Row],[Column5]]),"")</f>
        <v/>
      </c>
      <c r="Q723" s="189" t="str">
        <f>IF(ISNUMBER(deployment_raw[[#This Row],[Column13]]), (deployment_raw[[#This Row],[Column13]] * deployment_raw[[#This Row],[Column5]])/1048576,"")</f>
        <v/>
      </c>
    </row>
    <row r="724" spans="1:17" ht="15.75" customHeight="1" x14ac:dyDescent="0.25">
      <c r="A724" s="37" t="str">
        <f>IF(ISNONTEXT(deployment_raw[[#This Row],[Column1]]), "", deployment_raw[[#This Row],[Column1]])</f>
        <v/>
      </c>
      <c r="B724" s="38" t="str">
        <f>IF(ISNONTEXT(deployment_raw[[#This Row],[Column2]]), "", deployment_raw[[#This Row],[Column2]])</f>
        <v/>
      </c>
      <c r="C724" s="38" t="str">
        <f>IF(ISNONTEXT(deployment_raw[[#This Row],[Column3]]), "", deployment_raw[[#This Row],[Column3]])</f>
        <v/>
      </c>
      <c r="D724" s="38" t="str">
        <f>IF(ISNONTEXT(deployment_raw[[#This Row],[Column4]]), "", deployment_raw[[#This Row],[Column4]])</f>
        <v/>
      </c>
      <c r="E724" s="39" t="str">
        <f>IF(ISNUMBER(deployment_raw[[#This Row],[Column5]]), deployment_raw[[#This Row],[Column5]],"")</f>
        <v/>
      </c>
      <c r="F724" s="174" t="str">
        <f>IF(ISNUMBER(deployment_raw[[#This Row],[Column6]]), (deployment_raw[[#This Row],[Column6]] * deployment_raw[[#This Row],[Column5]]),"")</f>
        <v/>
      </c>
      <c r="G724" s="175" t="str">
        <f>IF(ISNUMBER(deployment_raw[[#This Row],[Column7]]), (deployment_raw[[#This Row],[Column7]] * deployment_raw[[#This Row],[Column5]])/1048576,"")</f>
        <v/>
      </c>
      <c r="H724" s="175" t="str">
        <f>IF(ISNUMBER(deployment_raw[[#This Row],[Column8]]), (deployment_raw[[#This Row],[Column8]]  * deployment_raw[[#This Row],[Column5]]),"")</f>
        <v/>
      </c>
      <c r="I724" s="176" t="str">
        <f>IF(ISNUMBER(deployment_raw[[#This Row],[Column9]]), (deployment_raw[[#This Row],[Column9]] * deployment_raw[[#This Row],[Column5]])/1048576,"")</f>
        <v/>
      </c>
      <c r="J724" s="57" t="str">
        <f>IF(ISNUMBER(deployment_raw[[#This Row],[Column10]]), (deployment_raw[[#This Row],[Column10]] * deployment_raw[[#This Row],[Column5]]),"")</f>
        <v/>
      </c>
      <c r="K724" s="58" t="str">
        <f>IF(ISNUMBER(deployment_raw[[#This Row],[Column11]]), (deployment_raw[[#This Row],[Column11]] * deployment_raw[[#This Row],[Column5]])/1048576,"")</f>
        <v/>
      </c>
      <c r="L724" s="180" t="str">
        <f>IF(ISNUMBER(deployment_raw[[#This Row],[Column8]]),IF(deployment_raw[[#This Row],[Column5]] &lt;&gt; 0, MAX((deployment_raw[[#This Row],[Column12]] * deployment_raw[[#This Row],[Column5]]), ((deployment_raw[[#This Row],[Column8]] * deployment_raw[[#This Row],[Column5]]) * $L$2), ($H$2 * deployment_raw[[#This Row],[Column5]])), 0),"")</f>
        <v/>
      </c>
      <c r="M72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24" s="188" t="str">
        <f>IF(ISNUMBER(deployment_raw[[#This Row],[Column14]]), deployment_raw[[#This Row],[Column14]],"")</f>
        <v/>
      </c>
      <c r="O724" s="189" t="str">
        <f>IF(ISNUMBER(deployment_raw[[#This Row],[Column15]]), deployment_raw[[#This Row],[Column15]]/1048576,"")</f>
        <v/>
      </c>
      <c r="P724" s="190" t="str">
        <f>IF(ISNUMBER(deployment_raw[[#This Row],[Column12]]), (deployment_raw[[#This Row],[Column12]] * deployment_raw[[#This Row],[Column5]]),"")</f>
        <v/>
      </c>
      <c r="Q724" s="189" t="str">
        <f>IF(ISNUMBER(deployment_raw[[#This Row],[Column13]]), (deployment_raw[[#This Row],[Column13]] * deployment_raw[[#This Row],[Column5]])/1048576,"")</f>
        <v/>
      </c>
    </row>
    <row r="725" spans="1:17" ht="15.75" customHeight="1" x14ac:dyDescent="0.25">
      <c r="A725" s="37" t="str">
        <f>IF(ISNONTEXT(deployment_raw[[#This Row],[Column1]]), "", deployment_raw[[#This Row],[Column1]])</f>
        <v/>
      </c>
      <c r="B725" s="38" t="str">
        <f>IF(ISNONTEXT(deployment_raw[[#This Row],[Column2]]), "", deployment_raw[[#This Row],[Column2]])</f>
        <v/>
      </c>
      <c r="C725" s="38" t="str">
        <f>IF(ISNONTEXT(deployment_raw[[#This Row],[Column3]]), "", deployment_raw[[#This Row],[Column3]])</f>
        <v/>
      </c>
      <c r="D725" s="38" t="str">
        <f>IF(ISNONTEXT(deployment_raw[[#This Row],[Column4]]), "", deployment_raw[[#This Row],[Column4]])</f>
        <v/>
      </c>
      <c r="E725" s="39" t="str">
        <f>IF(ISNUMBER(deployment_raw[[#This Row],[Column5]]), deployment_raw[[#This Row],[Column5]],"")</f>
        <v/>
      </c>
      <c r="F725" s="174" t="str">
        <f>IF(ISNUMBER(deployment_raw[[#This Row],[Column6]]), (deployment_raw[[#This Row],[Column6]] * deployment_raw[[#This Row],[Column5]]),"")</f>
        <v/>
      </c>
      <c r="G725" s="175" t="str">
        <f>IF(ISNUMBER(deployment_raw[[#This Row],[Column7]]), (deployment_raw[[#This Row],[Column7]] * deployment_raw[[#This Row],[Column5]])/1048576,"")</f>
        <v/>
      </c>
      <c r="H725" s="175" t="str">
        <f>IF(ISNUMBER(deployment_raw[[#This Row],[Column8]]), (deployment_raw[[#This Row],[Column8]]  * deployment_raw[[#This Row],[Column5]]),"")</f>
        <v/>
      </c>
      <c r="I725" s="176" t="str">
        <f>IF(ISNUMBER(deployment_raw[[#This Row],[Column9]]), (deployment_raw[[#This Row],[Column9]] * deployment_raw[[#This Row],[Column5]])/1048576,"")</f>
        <v/>
      </c>
      <c r="J725" s="57" t="str">
        <f>IF(ISNUMBER(deployment_raw[[#This Row],[Column10]]), (deployment_raw[[#This Row],[Column10]] * deployment_raw[[#This Row],[Column5]]),"")</f>
        <v/>
      </c>
      <c r="K725" s="58" t="str">
        <f>IF(ISNUMBER(deployment_raw[[#This Row],[Column11]]), (deployment_raw[[#This Row],[Column11]] * deployment_raw[[#This Row],[Column5]])/1048576,"")</f>
        <v/>
      </c>
      <c r="L725" s="180" t="str">
        <f>IF(ISNUMBER(deployment_raw[[#This Row],[Column8]]),IF(deployment_raw[[#This Row],[Column5]] &lt;&gt; 0, MAX((deployment_raw[[#This Row],[Column12]] * deployment_raw[[#This Row],[Column5]]), ((deployment_raw[[#This Row],[Column8]] * deployment_raw[[#This Row],[Column5]]) * $L$2), ($H$2 * deployment_raw[[#This Row],[Column5]])), 0),"")</f>
        <v/>
      </c>
      <c r="M72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25" s="188" t="str">
        <f>IF(ISNUMBER(deployment_raw[[#This Row],[Column14]]), deployment_raw[[#This Row],[Column14]],"")</f>
        <v/>
      </c>
      <c r="O725" s="189" t="str">
        <f>IF(ISNUMBER(deployment_raw[[#This Row],[Column15]]), deployment_raw[[#This Row],[Column15]]/1048576,"")</f>
        <v/>
      </c>
      <c r="P725" s="190" t="str">
        <f>IF(ISNUMBER(deployment_raw[[#This Row],[Column12]]), (deployment_raw[[#This Row],[Column12]] * deployment_raw[[#This Row],[Column5]]),"")</f>
        <v/>
      </c>
      <c r="Q725" s="189" t="str">
        <f>IF(ISNUMBER(deployment_raw[[#This Row],[Column13]]), (deployment_raw[[#This Row],[Column13]] * deployment_raw[[#This Row],[Column5]])/1048576,"")</f>
        <v/>
      </c>
    </row>
    <row r="726" spans="1:17" ht="15.75" customHeight="1" x14ac:dyDescent="0.25">
      <c r="A726" s="37" t="str">
        <f>IF(ISNONTEXT(deployment_raw[[#This Row],[Column1]]), "", deployment_raw[[#This Row],[Column1]])</f>
        <v/>
      </c>
      <c r="B726" s="38" t="str">
        <f>IF(ISNONTEXT(deployment_raw[[#This Row],[Column2]]), "", deployment_raw[[#This Row],[Column2]])</f>
        <v/>
      </c>
      <c r="C726" s="38" t="str">
        <f>IF(ISNONTEXT(deployment_raw[[#This Row],[Column3]]), "", deployment_raw[[#This Row],[Column3]])</f>
        <v/>
      </c>
      <c r="D726" s="38" t="str">
        <f>IF(ISNONTEXT(deployment_raw[[#This Row],[Column4]]), "", deployment_raw[[#This Row],[Column4]])</f>
        <v/>
      </c>
      <c r="E726" s="39" t="str">
        <f>IF(ISNUMBER(deployment_raw[[#This Row],[Column5]]), deployment_raw[[#This Row],[Column5]],"")</f>
        <v/>
      </c>
      <c r="F726" s="174" t="str">
        <f>IF(ISNUMBER(deployment_raw[[#This Row],[Column6]]), (deployment_raw[[#This Row],[Column6]] * deployment_raw[[#This Row],[Column5]]),"")</f>
        <v/>
      </c>
      <c r="G726" s="175" t="str">
        <f>IF(ISNUMBER(deployment_raw[[#This Row],[Column7]]), (deployment_raw[[#This Row],[Column7]] * deployment_raw[[#This Row],[Column5]])/1048576,"")</f>
        <v/>
      </c>
      <c r="H726" s="175" t="str">
        <f>IF(ISNUMBER(deployment_raw[[#This Row],[Column8]]), (deployment_raw[[#This Row],[Column8]]  * deployment_raw[[#This Row],[Column5]]),"")</f>
        <v/>
      </c>
      <c r="I726" s="176" t="str">
        <f>IF(ISNUMBER(deployment_raw[[#This Row],[Column9]]), (deployment_raw[[#This Row],[Column9]] * deployment_raw[[#This Row],[Column5]])/1048576,"")</f>
        <v/>
      </c>
      <c r="J726" s="57" t="str">
        <f>IF(ISNUMBER(deployment_raw[[#This Row],[Column10]]), (deployment_raw[[#This Row],[Column10]] * deployment_raw[[#This Row],[Column5]]),"")</f>
        <v/>
      </c>
      <c r="K726" s="58" t="str">
        <f>IF(ISNUMBER(deployment_raw[[#This Row],[Column11]]), (deployment_raw[[#This Row],[Column11]] * deployment_raw[[#This Row],[Column5]])/1048576,"")</f>
        <v/>
      </c>
      <c r="L726" s="180" t="str">
        <f>IF(ISNUMBER(deployment_raw[[#This Row],[Column8]]),IF(deployment_raw[[#This Row],[Column5]] &lt;&gt; 0, MAX((deployment_raw[[#This Row],[Column12]] * deployment_raw[[#This Row],[Column5]]), ((deployment_raw[[#This Row],[Column8]] * deployment_raw[[#This Row],[Column5]]) * $L$2), ($H$2 * deployment_raw[[#This Row],[Column5]])), 0),"")</f>
        <v/>
      </c>
      <c r="M72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26" s="188" t="str">
        <f>IF(ISNUMBER(deployment_raw[[#This Row],[Column14]]), deployment_raw[[#This Row],[Column14]],"")</f>
        <v/>
      </c>
      <c r="O726" s="189" t="str">
        <f>IF(ISNUMBER(deployment_raw[[#This Row],[Column15]]), deployment_raw[[#This Row],[Column15]]/1048576,"")</f>
        <v/>
      </c>
      <c r="P726" s="190" t="str">
        <f>IF(ISNUMBER(deployment_raw[[#This Row],[Column12]]), (deployment_raw[[#This Row],[Column12]] * deployment_raw[[#This Row],[Column5]]),"")</f>
        <v/>
      </c>
      <c r="Q726" s="189" t="str">
        <f>IF(ISNUMBER(deployment_raw[[#This Row],[Column13]]), (deployment_raw[[#This Row],[Column13]] * deployment_raw[[#This Row],[Column5]])/1048576,"")</f>
        <v/>
      </c>
    </row>
    <row r="727" spans="1:17" ht="15.75" customHeight="1" x14ac:dyDescent="0.25">
      <c r="A727" s="37" t="str">
        <f>IF(ISNONTEXT(deployment_raw[[#This Row],[Column1]]), "", deployment_raw[[#This Row],[Column1]])</f>
        <v/>
      </c>
      <c r="B727" s="38" t="str">
        <f>IF(ISNONTEXT(deployment_raw[[#This Row],[Column2]]), "", deployment_raw[[#This Row],[Column2]])</f>
        <v/>
      </c>
      <c r="C727" s="38" t="str">
        <f>IF(ISNONTEXT(deployment_raw[[#This Row],[Column3]]), "", deployment_raw[[#This Row],[Column3]])</f>
        <v/>
      </c>
      <c r="D727" s="38" t="str">
        <f>IF(ISNONTEXT(deployment_raw[[#This Row],[Column4]]), "", deployment_raw[[#This Row],[Column4]])</f>
        <v/>
      </c>
      <c r="E727" s="39" t="str">
        <f>IF(ISNUMBER(deployment_raw[[#This Row],[Column5]]), deployment_raw[[#This Row],[Column5]],"")</f>
        <v/>
      </c>
      <c r="F727" s="174" t="str">
        <f>IF(ISNUMBER(deployment_raw[[#This Row],[Column6]]), (deployment_raw[[#This Row],[Column6]] * deployment_raw[[#This Row],[Column5]]),"")</f>
        <v/>
      </c>
      <c r="G727" s="175" t="str">
        <f>IF(ISNUMBER(deployment_raw[[#This Row],[Column7]]), (deployment_raw[[#This Row],[Column7]] * deployment_raw[[#This Row],[Column5]])/1048576,"")</f>
        <v/>
      </c>
      <c r="H727" s="175" t="str">
        <f>IF(ISNUMBER(deployment_raw[[#This Row],[Column8]]), (deployment_raw[[#This Row],[Column8]]  * deployment_raw[[#This Row],[Column5]]),"")</f>
        <v/>
      </c>
      <c r="I727" s="176" t="str">
        <f>IF(ISNUMBER(deployment_raw[[#This Row],[Column9]]), (deployment_raw[[#This Row],[Column9]] * deployment_raw[[#This Row],[Column5]])/1048576,"")</f>
        <v/>
      </c>
      <c r="J727" s="57" t="str">
        <f>IF(ISNUMBER(deployment_raw[[#This Row],[Column10]]), (deployment_raw[[#This Row],[Column10]] * deployment_raw[[#This Row],[Column5]]),"")</f>
        <v/>
      </c>
      <c r="K727" s="58" t="str">
        <f>IF(ISNUMBER(deployment_raw[[#This Row],[Column11]]), (deployment_raw[[#This Row],[Column11]] * deployment_raw[[#This Row],[Column5]])/1048576,"")</f>
        <v/>
      </c>
      <c r="L727" s="180" t="str">
        <f>IF(ISNUMBER(deployment_raw[[#This Row],[Column8]]),IF(deployment_raw[[#This Row],[Column5]] &lt;&gt; 0, MAX((deployment_raw[[#This Row],[Column12]] * deployment_raw[[#This Row],[Column5]]), ((deployment_raw[[#This Row],[Column8]] * deployment_raw[[#This Row],[Column5]]) * $L$2), ($H$2 * deployment_raw[[#This Row],[Column5]])), 0),"")</f>
        <v/>
      </c>
      <c r="M72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27" s="188" t="str">
        <f>IF(ISNUMBER(deployment_raw[[#This Row],[Column14]]), deployment_raw[[#This Row],[Column14]],"")</f>
        <v/>
      </c>
      <c r="O727" s="189" t="str">
        <f>IF(ISNUMBER(deployment_raw[[#This Row],[Column15]]), deployment_raw[[#This Row],[Column15]]/1048576,"")</f>
        <v/>
      </c>
      <c r="P727" s="190" t="str">
        <f>IF(ISNUMBER(deployment_raw[[#This Row],[Column12]]), (deployment_raw[[#This Row],[Column12]] * deployment_raw[[#This Row],[Column5]]),"")</f>
        <v/>
      </c>
      <c r="Q727" s="189" t="str">
        <f>IF(ISNUMBER(deployment_raw[[#This Row],[Column13]]), (deployment_raw[[#This Row],[Column13]] * deployment_raw[[#This Row],[Column5]])/1048576,"")</f>
        <v/>
      </c>
    </row>
    <row r="728" spans="1:17" ht="15.75" customHeight="1" x14ac:dyDescent="0.25">
      <c r="A728" s="37" t="str">
        <f>IF(ISNONTEXT(deployment_raw[[#This Row],[Column1]]), "", deployment_raw[[#This Row],[Column1]])</f>
        <v/>
      </c>
      <c r="B728" s="38" t="str">
        <f>IF(ISNONTEXT(deployment_raw[[#This Row],[Column2]]), "", deployment_raw[[#This Row],[Column2]])</f>
        <v/>
      </c>
      <c r="C728" s="38" t="str">
        <f>IF(ISNONTEXT(deployment_raw[[#This Row],[Column3]]), "", deployment_raw[[#This Row],[Column3]])</f>
        <v/>
      </c>
      <c r="D728" s="38" t="str">
        <f>IF(ISNONTEXT(deployment_raw[[#This Row],[Column4]]), "", deployment_raw[[#This Row],[Column4]])</f>
        <v/>
      </c>
      <c r="E728" s="39" t="str">
        <f>IF(ISNUMBER(deployment_raw[[#This Row],[Column5]]), deployment_raw[[#This Row],[Column5]],"")</f>
        <v/>
      </c>
      <c r="F728" s="174" t="str">
        <f>IF(ISNUMBER(deployment_raw[[#This Row],[Column6]]), (deployment_raw[[#This Row],[Column6]] * deployment_raw[[#This Row],[Column5]]),"")</f>
        <v/>
      </c>
      <c r="G728" s="175" t="str">
        <f>IF(ISNUMBER(deployment_raw[[#This Row],[Column7]]), (deployment_raw[[#This Row],[Column7]] * deployment_raw[[#This Row],[Column5]])/1048576,"")</f>
        <v/>
      </c>
      <c r="H728" s="175" t="str">
        <f>IF(ISNUMBER(deployment_raw[[#This Row],[Column8]]), (deployment_raw[[#This Row],[Column8]]  * deployment_raw[[#This Row],[Column5]]),"")</f>
        <v/>
      </c>
      <c r="I728" s="176" t="str">
        <f>IF(ISNUMBER(deployment_raw[[#This Row],[Column9]]), (deployment_raw[[#This Row],[Column9]] * deployment_raw[[#This Row],[Column5]])/1048576,"")</f>
        <v/>
      </c>
      <c r="J728" s="57" t="str">
        <f>IF(ISNUMBER(deployment_raw[[#This Row],[Column10]]), (deployment_raw[[#This Row],[Column10]] * deployment_raw[[#This Row],[Column5]]),"")</f>
        <v/>
      </c>
      <c r="K728" s="58" t="str">
        <f>IF(ISNUMBER(deployment_raw[[#This Row],[Column11]]), (deployment_raw[[#This Row],[Column11]] * deployment_raw[[#This Row],[Column5]])/1048576,"")</f>
        <v/>
      </c>
      <c r="L728" s="180" t="str">
        <f>IF(ISNUMBER(deployment_raw[[#This Row],[Column8]]),IF(deployment_raw[[#This Row],[Column5]] &lt;&gt; 0, MAX((deployment_raw[[#This Row],[Column12]] * deployment_raw[[#This Row],[Column5]]), ((deployment_raw[[#This Row],[Column8]] * deployment_raw[[#This Row],[Column5]]) * $L$2), ($H$2 * deployment_raw[[#This Row],[Column5]])), 0),"")</f>
        <v/>
      </c>
      <c r="M72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28" s="188" t="str">
        <f>IF(ISNUMBER(deployment_raw[[#This Row],[Column14]]), deployment_raw[[#This Row],[Column14]],"")</f>
        <v/>
      </c>
      <c r="O728" s="189" t="str">
        <f>IF(ISNUMBER(deployment_raw[[#This Row],[Column15]]), deployment_raw[[#This Row],[Column15]]/1048576,"")</f>
        <v/>
      </c>
      <c r="P728" s="190" t="str">
        <f>IF(ISNUMBER(deployment_raw[[#This Row],[Column12]]), (deployment_raw[[#This Row],[Column12]] * deployment_raw[[#This Row],[Column5]]),"")</f>
        <v/>
      </c>
      <c r="Q728" s="189" t="str">
        <f>IF(ISNUMBER(deployment_raw[[#This Row],[Column13]]), (deployment_raw[[#This Row],[Column13]] * deployment_raw[[#This Row],[Column5]])/1048576,"")</f>
        <v/>
      </c>
    </row>
    <row r="729" spans="1:17" ht="15.75" customHeight="1" x14ac:dyDescent="0.25">
      <c r="A729" s="37" t="str">
        <f>IF(ISNONTEXT(deployment_raw[[#This Row],[Column1]]), "", deployment_raw[[#This Row],[Column1]])</f>
        <v/>
      </c>
      <c r="B729" s="38" t="str">
        <f>IF(ISNONTEXT(deployment_raw[[#This Row],[Column2]]), "", deployment_raw[[#This Row],[Column2]])</f>
        <v/>
      </c>
      <c r="C729" s="38" t="str">
        <f>IF(ISNONTEXT(deployment_raw[[#This Row],[Column3]]), "", deployment_raw[[#This Row],[Column3]])</f>
        <v/>
      </c>
      <c r="D729" s="38" t="str">
        <f>IF(ISNONTEXT(deployment_raw[[#This Row],[Column4]]), "", deployment_raw[[#This Row],[Column4]])</f>
        <v/>
      </c>
      <c r="E729" s="39" t="str">
        <f>IF(ISNUMBER(deployment_raw[[#This Row],[Column5]]), deployment_raw[[#This Row],[Column5]],"")</f>
        <v/>
      </c>
      <c r="F729" s="174" t="str">
        <f>IF(ISNUMBER(deployment_raw[[#This Row],[Column6]]), (deployment_raw[[#This Row],[Column6]] * deployment_raw[[#This Row],[Column5]]),"")</f>
        <v/>
      </c>
      <c r="G729" s="175" t="str">
        <f>IF(ISNUMBER(deployment_raw[[#This Row],[Column7]]), (deployment_raw[[#This Row],[Column7]] * deployment_raw[[#This Row],[Column5]])/1048576,"")</f>
        <v/>
      </c>
      <c r="H729" s="175" t="str">
        <f>IF(ISNUMBER(deployment_raw[[#This Row],[Column8]]), (deployment_raw[[#This Row],[Column8]]  * deployment_raw[[#This Row],[Column5]]),"")</f>
        <v/>
      </c>
      <c r="I729" s="176" t="str">
        <f>IF(ISNUMBER(deployment_raw[[#This Row],[Column9]]), (deployment_raw[[#This Row],[Column9]] * deployment_raw[[#This Row],[Column5]])/1048576,"")</f>
        <v/>
      </c>
      <c r="J729" s="57" t="str">
        <f>IF(ISNUMBER(deployment_raw[[#This Row],[Column10]]), (deployment_raw[[#This Row],[Column10]] * deployment_raw[[#This Row],[Column5]]),"")</f>
        <v/>
      </c>
      <c r="K729" s="58" t="str">
        <f>IF(ISNUMBER(deployment_raw[[#This Row],[Column11]]), (deployment_raw[[#This Row],[Column11]] * deployment_raw[[#This Row],[Column5]])/1048576,"")</f>
        <v/>
      </c>
      <c r="L729" s="180" t="str">
        <f>IF(ISNUMBER(deployment_raw[[#This Row],[Column8]]),IF(deployment_raw[[#This Row],[Column5]] &lt;&gt; 0, MAX((deployment_raw[[#This Row],[Column12]] * deployment_raw[[#This Row],[Column5]]), ((deployment_raw[[#This Row],[Column8]] * deployment_raw[[#This Row],[Column5]]) * $L$2), ($H$2 * deployment_raw[[#This Row],[Column5]])), 0),"")</f>
        <v/>
      </c>
      <c r="M72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29" s="188" t="str">
        <f>IF(ISNUMBER(deployment_raw[[#This Row],[Column14]]), deployment_raw[[#This Row],[Column14]],"")</f>
        <v/>
      </c>
      <c r="O729" s="189" t="str">
        <f>IF(ISNUMBER(deployment_raw[[#This Row],[Column15]]), deployment_raw[[#This Row],[Column15]]/1048576,"")</f>
        <v/>
      </c>
      <c r="P729" s="190" t="str">
        <f>IF(ISNUMBER(deployment_raw[[#This Row],[Column12]]), (deployment_raw[[#This Row],[Column12]] * deployment_raw[[#This Row],[Column5]]),"")</f>
        <v/>
      </c>
      <c r="Q729" s="189" t="str">
        <f>IF(ISNUMBER(deployment_raw[[#This Row],[Column13]]), (deployment_raw[[#This Row],[Column13]] * deployment_raw[[#This Row],[Column5]])/1048576,"")</f>
        <v/>
      </c>
    </row>
    <row r="730" spans="1:17" ht="15.75" customHeight="1" x14ac:dyDescent="0.25">
      <c r="A730" s="37" t="str">
        <f>IF(ISNONTEXT(deployment_raw[[#This Row],[Column1]]), "", deployment_raw[[#This Row],[Column1]])</f>
        <v/>
      </c>
      <c r="B730" s="38" t="str">
        <f>IF(ISNONTEXT(deployment_raw[[#This Row],[Column2]]), "", deployment_raw[[#This Row],[Column2]])</f>
        <v/>
      </c>
      <c r="C730" s="38" t="str">
        <f>IF(ISNONTEXT(deployment_raw[[#This Row],[Column3]]), "", deployment_raw[[#This Row],[Column3]])</f>
        <v/>
      </c>
      <c r="D730" s="38" t="str">
        <f>IF(ISNONTEXT(deployment_raw[[#This Row],[Column4]]), "", deployment_raw[[#This Row],[Column4]])</f>
        <v/>
      </c>
      <c r="E730" s="39" t="str">
        <f>IF(ISNUMBER(deployment_raw[[#This Row],[Column5]]), deployment_raw[[#This Row],[Column5]],"")</f>
        <v/>
      </c>
      <c r="F730" s="174" t="str">
        <f>IF(ISNUMBER(deployment_raw[[#This Row],[Column6]]), (deployment_raw[[#This Row],[Column6]] * deployment_raw[[#This Row],[Column5]]),"")</f>
        <v/>
      </c>
      <c r="G730" s="175" t="str">
        <f>IF(ISNUMBER(deployment_raw[[#This Row],[Column7]]), (deployment_raw[[#This Row],[Column7]] * deployment_raw[[#This Row],[Column5]])/1048576,"")</f>
        <v/>
      </c>
      <c r="H730" s="175" t="str">
        <f>IF(ISNUMBER(deployment_raw[[#This Row],[Column8]]), (deployment_raw[[#This Row],[Column8]]  * deployment_raw[[#This Row],[Column5]]),"")</f>
        <v/>
      </c>
      <c r="I730" s="176" t="str">
        <f>IF(ISNUMBER(deployment_raw[[#This Row],[Column9]]), (deployment_raw[[#This Row],[Column9]] * deployment_raw[[#This Row],[Column5]])/1048576,"")</f>
        <v/>
      </c>
      <c r="J730" s="57" t="str">
        <f>IF(ISNUMBER(deployment_raw[[#This Row],[Column10]]), (deployment_raw[[#This Row],[Column10]] * deployment_raw[[#This Row],[Column5]]),"")</f>
        <v/>
      </c>
      <c r="K730" s="58" t="str">
        <f>IF(ISNUMBER(deployment_raw[[#This Row],[Column11]]), (deployment_raw[[#This Row],[Column11]] * deployment_raw[[#This Row],[Column5]])/1048576,"")</f>
        <v/>
      </c>
      <c r="L730" s="180" t="str">
        <f>IF(ISNUMBER(deployment_raw[[#This Row],[Column8]]),IF(deployment_raw[[#This Row],[Column5]] &lt;&gt; 0, MAX((deployment_raw[[#This Row],[Column12]] * deployment_raw[[#This Row],[Column5]]), ((deployment_raw[[#This Row],[Column8]] * deployment_raw[[#This Row],[Column5]]) * $L$2), ($H$2 * deployment_raw[[#This Row],[Column5]])), 0),"")</f>
        <v/>
      </c>
      <c r="M73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30" s="188" t="str">
        <f>IF(ISNUMBER(deployment_raw[[#This Row],[Column14]]), deployment_raw[[#This Row],[Column14]],"")</f>
        <v/>
      </c>
      <c r="O730" s="189" t="str">
        <f>IF(ISNUMBER(deployment_raw[[#This Row],[Column15]]), deployment_raw[[#This Row],[Column15]]/1048576,"")</f>
        <v/>
      </c>
      <c r="P730" s="190" t="str">
        <f>IF(ISNUMBER(deployment_raw[[#This Row],[Column12]]), (deployment_raw[[#This Row],[Column12]] * deployment_raw[[#This Row],[Column5]]),"")</f>
        <v/>
      </c>
      <c r="Q730" s="189" t="str">
        <f>IF(ISNUMBER(deployment_raw[[#This Row],[Column13]]), (deployment_raw[[#This Row],[Column13]] * deployment_raw[[#This Row],[Column5]])/1048576,"")</f>
        <v/>
      </c>
    </row>
    <row r="731" spans="1:17" ht="15.75" customHeight="1" x14ac:dyDescent="0.25">
      <c r="A731" s="37" t="str">
        <f>IF(ISNONTEXT(deployment_raw[[#This Row],[Column1]]), "", deployment_raw[[#This Row],[Column1]])</f>
        <v/>
      </c>
      <c r="B731" s="38" t="str">
        <f>IF(ISNONTEXT(deployment_raw[[#This Row],[Column2]]), "", deployment_raw[[#This Row],[Column2]])</f>
        <v/>
      </c>
      <c r="C731" s="38" t="str">
        <f>IF(ISNONTEXT(deployment_raw[[#This Row],[Column3]]), "", deployment_raw[[#This Row],[Column3]])</f>
        <v/>
      </c>
      <c r="D731" s="38" t="str">
        <f>IF(ISNONTEXT(deployment_raw[[#This Row],[Column4]]), "", deployment_raw[[#This Row],[Column4]])</f>
        <v/>
      </c>
      <c r="E731" s="39" t="str">
        <f>IF(ISNUMBER(deployment_raw[[#This Row],[Column5]]), deployment_raw[[#This Row],[Column5]],"")</f>
        <v/>
      </c>
      <c r="F731" s="174" t="str">
        <f>IF(ISNUMBER(deployment_raw[[#This Row],[Column6]]), (deployment_raw[[#This Row],[Column6]] * deployment_raw[[#This Row],[Column5]]),"")</f>
        <v/>
      </c>
      <c r="G731" s="175" t="str">
        <f>IF(ISNUMBER(deployment_raw[[#This Row],[Column7]]), (deployment_raw[[#This Row],[Column7]] * deployment_raw[[#This Row],[Column5]])/1048576,"")</f>
        <v/>
      </c>
      <c r="H731" s="175" t="str">
        <f>IF(ISNUMBER(deployment_raw[[#This Row],[Column8]]), (deployment_raw[[#This Row],[Column8]]  * deployment_raw[[#This Row],[Column5]]),"")</f>
        <v/>
      </c>
      <c r="I731" s="176" t="str">
        <f>IF(ISNUMBER(deployment_raw[[#This Row],[Column9]]), (deployment_raw[[#This Row],[Column9]] * deployment_raw[[#This Row],[Column5]])/1048576,"")</f>
        <v/>
      </c>
      <c r="J731" s="57" t="str">
        <f>IF(ISNUMBER(deployment_raw[[#This Row],[Column10]]), (deployment_raw[[#This Row],[Column10]] * deployment_raw[[#This Row],[Column5]]),"")</f>
        <v/>
      </c>
      <c r="K731" s="58" t="str">
        <f>IF(ISNUMBER(deployment_raw[[#This Row],[Column11]]), (deployment_raw[[#This Row],[Column11]] * deployment_raw[[#This Row],[Column5]])/1048576,"")</f>
        <v/>
      </c>
      <c r="L731" s="180" t="str">
        <f>IF(ISNUMBER(deployment_raw[[#This Row],[Column8]]),IF(deployment_raw[[#This Row],[Column5]] &lt;&gt; 0, MAX((deployment_raw[[#This Row],[Column12]] * deployment_raw[[#This Row],[Column5]]), ((deployment_raw[[#This Row],[Column8]] * deployment_raw[[#This Row],[Column5]]) * $L$2), ($H$2 * deployment_raw[[#This Row],[Column5]])), 0),"")</f>
        <v/>
      </c>
      <c r="M73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31" s="188" t="str">
        <f>IF(ISNUMBER(deployment_raw[[#This Row],[Column14]]), deployment_raw[[#This Row],[Column14]],"")</f>
        <v/>
      </c>
      <c r="O731" s="189" t="str">
        <f>IF(ISNUMBER(deployment_raw[[#This Row],[Column15]]), deployment_raw[[#This Row],[Column15]]/1048576,"")</f>
        <v/>
      </c>
      <c r="P731" s="190" t="str">
        <f>IF(ISNUMBER(deployment_raw[[#This Row],[Column12]]), (deployment_raw[[#This Row],[Column12]] * deployment_raw[[#This Row],[Column5]]),"")</f>
        <v/>
      </c>
      <c r="Q731" s="189" t="str">
        <f>IF(ISNUMBER(deployment_raw[[#This Row],[Column13]]), (deployment_raw[[#This Row],[Column13]] * deployment_raw[[#This Row],[Column5]])/1048576,"")</f>
        <v/>
      </c>
    </row>
    <row r="732" spans="1:17" ht="15.75" customHeight="1" x14ac:dyDescent="0.25">
      <c r="A732" s="37" t="str">
        <f>IF(ISNONTEXT(deployment_raw[[#This Row],[Column1]]), "", deployment_raw[[#This Row],[Column1]])</f>
        <v/>
      </c>
      <c r="B732" s="38" t="str">
        <f>IF(ISNONTEXT(deployment_raw[[#This Row],[Column2]]), "", deployment_raw[[#This Row],[Column2]])</f>
        <v/>
      </c>
      <c r="C732" s="38" t="str">
        <f>IF(ISNONTEXT(deployment_raw[[#This Row],[Column3]]), "", deployment_raw[[#This Row],[Column3]])</f>
        <v/>
      </c>
      <c r="D732" s="38" t="str">
        <f>IF(ISNONTEXT(deployment_raw[[#This Row],[Column4]]), "", deployment_raw[[#This Row],[Column4]])</f>
        <v/>
      </c>
      <c r="E732" s="39" t="str">
        <f>IF(ISNUMBER(deployment_raw[[#This Row],[Column5]]), deployment_raw[[#This Row],[Column5]],"")</f>
        <v/>
      </c>
      <c r="F732" s="174" t="str">
        <f>IF(ISNUMBER(deployment_raw[[#This Row],[Column6]]), (deployment_raw[[#This Row],[Column6]] * deployment_raw[[#This Row],[Column5]]),"")</f>
        <v/>
      </c>
      <c r="G732" s="175" t="str">
        <f>IF(ISNUMBER(deployment_raw[[#This Row],[Column7]]), (deployment_raw[[#This Row],[Column7]] * deployment_raw[[#This Row],[Column5]])/1048576,"")</f>
        <v/>
      </c>
      <c r="H732" s="175" t="str">
        <f>IF(ISNUMBER(deployment_raw[[#This Row],[Column8]]), (deployment_raw[[#This Row],[Column8]]  * deployment_raw[[#This Row],[Column5]]),"")</f>
        <v/>
      </c>
      <c r="I732" s="176" t="str">
        <f>IF(ISNUMBER(deployment_raw[[#This Row],[Column9]]), (deployment_raw[[#This Row],[Column9]] * deployment_raw[[#This Row],[Column5]])/1048576,"")</f>
        <v/>
      </c>
      <c r="J732" s="57" t="str">
        <f>IF(ISNUMBER(deployment_raw[[#This Row],[Column10]]), (deployment_raw[[#This Row],[Column10]] * deployment_raw[[#This Row],[Column5]]),"")</f>
        <v/>
      </c>
      <c r="K732" s="58" t="str">
        <f>IF(ISNUMBER(deployment_raw[[#This Row],[Column11]]), (deployment_raw[[#This Row],[Column11]] * deployment_raw[[#This Row],[Column5]])/1048576,"")</f>
        <v/>
      </c>
      <c r="L732" s="180" t="str">
        <f>IF(ISNUMBER(deployment_raw[[#This Row],[Column8]]),IF(deployment_raw[[#This Row],[Column5]] &lt;&gt; 0, MAX((deployment_raw[[#This Row],[Column12]] * deployment_raw[[#This Row],[Column5]]), ((deployment_raw[[#This Row],[Column8]] * deployment_raw[[#This Row],[Column5]]) * $L$2), ($H$2 * deployment_raw[[#This Row],[Column5]])), 0),"")</f>
        <v/>
      </c>
      <c r="M73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32" s="188" t="str">
        <f>IF(ISNUMBER(deployment_raw[[#This Row],[Column14]]), deployment_raw[[#This Row],[Column14]],"")</f>
        <v/>
      </c>
      <c r="O732" s="189" t="str">
        <f>IF(ISNUMBER(deployment_raw[[#This Row],[Column15]]), deployment_raw[[#This Row],[Column15]]/1048576,"")</f>
        <v/>
      </c>
      <c r="P732" s="190" t="str">
        <f>IF(ISNUMBER(deployment_raw[[#This Row],[Column12]]), (deployment_raw[[#This Row],[Column12]] * deployment_raw[[#This Row],[Column5]]),"")</f>
        <v/>
      </c>
      <c r="Q732" s="189" t="str">
        <f>IF(ISNUMBER(deployment_raw[[#This Row],[Column13]]), (deployment_raw[[#This Row],[Column13]] * deployment_raw[[#This Row],[Column5]])/1048576,"")</f>
        <v/>
      </c>
    </row>
    <row r="733" spans="1:17" ht="15.75" customHeight="1" x14ac:dyDescent="0.25">
      <c r="A733" s="37" t="str">
        <f>IF(ISNONTEXT(deployment_raw[[#This Row],[Column1]]), "", deployment_raw[[#This Row],[Column1]])</f>
        <v/>
      </c>
      <c r="B733" s="38" t="str">
        <f>IF(ISNONTEXT(deployment_raw[[#This Row],[Column2]]), "", deployment_raw[[#This Row],[Column2]])</f>
        <v/>
      </c>
      <c r="C733" s="38" t="str">
        <f>IF(ISNONTEXT(deployment_raw[[#This Row],[Column3]]), "", deployment_raw[[#This Row],[Column3]])</f>
        <v/>
      </c>
      <c r="D733" s="38" t="str">
        <f>IF(ISNONTEXT(deployment_raw[[#This Row],[Column4]]), "", deployment_raw[[#This Row],[Column4]])</f>
        <v/>
      </c>
      <c r="E733" s="39" t="str">
        <f>IF(ISNUMBER(deployment_raw[[#This Row],[Column5]]), deployment_raw[[#This Row],[Column5]],"")</f>
        <v/>
      </c>
      <c r="F733" s="174" t="str">
        <f>IF(ISNUMBER(deployment_raw[[#This Row],[Column6]]), (deployment_raw[[#This Row],[Column6]] * deployment_raw[[#This Row],[Column5]]),"")</f>
        <v/>
      </c>
      <c r="G733" s="175" t="str">
        <f>IF(ISNUMBER(deployment_raw[[#This Row],[Column7]]), (deployment_raw[[#This Row],[Column7]] * deployment_raw[[#This Row],[Column5]])/1048576,"")</f>
        <v/>
      </c>
      <c r="H733" s="175" t="str">
        <f>IF(ISNUMBER(deployment_raw[[#This Row],[Column8]]), (deployment_raw[[#This Row],[Column8]]  * deployment_raw[[#This Row],[Column5]]),"")</f>
        <v/>
      </c>
      <c r="I733" s="176" t="str">
        <f>IF(ISNUMBER(deployment_raw[[#This Row],[Column9]]), (deployment_raw[[#This Row],[Column9]] * deployment_raw[[#This Row],[Column5]])/1048576,"")</f>
        <v/>
      </c>
      <c r="J733" s="57" t="str">
        <f>IF(ISNUMBER(deployment_raw[[#This Row],[Column10]]), (deployment_raw[[#This Row],[Column10]] * deployment_raw[[#This Row],[Column5]]),"")</f>
        <v/>
      </c>
      <c r="K733" s="58" t="str">
        <f>IF(ISNUMBER(deployment_raw[[#This Row],[Column11]]), (deployment_raw[[#This Row],[Column11]] * deployment_raw[[#This Row],[Column5]])/1048576,"")</f>
        <v/>
      </c>
      <c r="L733" s="180" t="str">
        <f>IF(ISNUMBER(deployment_raw[[#This Row],[Column8]]),IF(deployment_raw[[#This Row],[Column5]] &lt;&gt; 0, MAX((deployment_raw[[#This Row],[Column12]] * deployment_raw[[#This Row],[Column5]]), ((deployment_raw[[#This Row],[Column8]] * deployment_raw[[#This Row],[Column5]]) * $L$2), ($H$2 * deployment_raw[[#This Row],[Column5]])), 0),"")</f>
        <v/>
      </c>
      <c r="M73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33" s="188" t="str">
        <f>IF(ISNUMBER(deployment_raw[[#This Row],[Column14]]), deployment_raw[[#This Row],[Column14]],"")</f>
        <v/>
      </c>
      <c r="O733" s="189" t="str">
        <f>IF(ISNUMBER(deployment_raw[[#This Row],[Column15]]), deployment_raw[[#This Row],[Column15]]/1048576,"")</f>
        <v/>
      </c>
      <c r="P733" s="190" t="str">
        <f>IF(ISNUMBER(deployment_raw[[#This Row],[Column12]]), (deployment_raw[[#This Row],[Column12]] * deployment_raw[[#This Row],[Column5]]),"")</f>
        <v/>
      </c>
      <c r="Q733" s="189" t="str">
        <f>IF(ISNUMBER(deployment_raw[[#This Row],[Column13]]), (deployment_raw[[#This Row],[Column13]] * deployment_raw[[#This Row],[Column5]])/1048576,"")</f>
        <v/>
      </c>
    </row>
    <row r="734" spans="1:17" ht="15.75" customHeight="1" x14ac:dyDescent="0.25">
      <c r="A734" s="37" t="str">
        <f>IF(ISNONTEXT(deployment_raw[[#This Row],[Column1]]), "", deployment_raw[[#This Row],[Column1]])</f>
        <v/>
      </c>
      <c r="B734" s="38" t="str">
        <f>IF(ISNONTEXT(deployment_raw[[#This Row],[Column2]]), "", deployment_raw[[#This Row],[Column2]])</f>
        <v/>
      </c>
      <c r="C734" s="38" t="str">
        <f>IF(ISNONTEXT(deployment_raw[[#This Row],[Column3]]), "", deployment_raw[[#This Row],[Column3]])</f>
        <v/>
      </c>
      <c r="D734" s="38" t="str">
        <f>IF(ISNONTEXT(deployment_raw[[#This Row],[Column4]]), "", deployment_raw[[#This Row],[Column4]])</f>
        <v/>
      </c>
      <c r="E734" s="39" t="str">
        <f>IF(ISNUMBER(deployment_raw[[#This Row],[Column5]]), deployment_raw[[#This Row],[Column5]],"")</f>
        <v/>
      </c>
      <c r="F734" s="174" t="str">
        <f>IF(ISNUMBER(deployment_raw[[#This Row],[Column6]]), (deployment_raw[[#This Row],[Column6]] * deployment_raw[[#This Row],[Column5]]),"")</f>
        <v/>
      </c>
      <c r="G734" s="175" t="str">
        <f>IF(ISNUMBER(deployment_raw[[#This Row],[Column7]]), (deployment_raw[[#This Row],[Column7]] * deployment_raw[[#This Row],[Column5]])/1048576,"")</f>
        <v/>
      </c>
      <c r="H734" s="175" t="str">
        <f>IF(ISNUMBER(deployment_raw[[#This Row],[Column8]]), (deployment_raw[[#This Row],[Column8]]  * deployment_raw[[#This Row],[Column5]]),"")</f>
        <v/>
      </c>
      <c r="I734" s="176" t="str">
        <f>IF(ISNUMBER(deployment_raw[[#This Row],[Column9]]), (deployment_raw[[#This Row],[Column9]] * deployment_raw[[#This Row],[Column5]])/1048576,"")</f>
        <v/>
      </c>
      <c r="J734" s="57" t="str">
        <f>IF(ISNUMBER(deployment_raw[[#This Row],[Column10]]), (deployment_raw[[#This Row],[Column10]] * deployment_raw[[#This Row],[Column5]]),"")</f>
        <v/>
      </c>
      <c r="K734" s="58" t="str">
        <f>IF(ISNUMBER(deployment_raw[[#This Row],[Column11]]), (deployment_raw[[#This Row],[Column11]] * deployment_raw[[#This Row],[Column5]])/1048576,"")</f>
        <v/>
      </c>
      <c r="L734" s="180" t="str">
        <f>IF(ISNUMBER(deployment_raw[[#This Row],[Column8]]),IF(deployment_raw[[#This Row],[Column5]] &lt;&gt; 0, MAX((deployment_raw[[#This Row],[Column12]] * deployment_raw[[#This Row],[Column5]]), ((deployment_raw[[#This Row],[Column8]] * deployment_raw[[#This Row],[Column5]]) * $L$2), ($H$2 * deployment_raw[[#This Row],[Column5]])), 0),"")</f>
        <v/>
      </c>
      <c r="M73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34" s="188" t="str">
        <f>IF(ISNUMBER(deployment_raw[[#This Row],[Column14]]), deployment_raw[[#This Row],[Column14]],"")</f>
        <v/>
      </c>
      <c r="O734" s="189" t="str">
        <f>IF(ISNUMBER(deployment_raw[[#This Row],[Column15]]), deployment_raw[[#This Row],[Column15]]/1048576,"")</f>
        <v/>
      </c>
      <c r="P734" s="190" t="str">
        <f>IF(ISNUMBER(deployment_raw[[#This Row],[Column12]]), (deployment_raw[[#This Row],[Column12]] * deployment_raw[[#This Row],[Column5]]),"")</f>
        <v/>
      </c>
      <c r="Q734" s="189" t="str">
        <f>IF(ISNUMBER(deployment_raw[[#This Row],[Column13]]), (deployment_raw[[#This Row],[Column13]] * deployment_raw[[#This Row],[Column5]])/1048576,"")</f>
        <v/>
      </c>
    </row>
    <row r="735" spans="1:17" ht="15.75" customHeight="1" x14ac:dyDescent="0.25">
      <c r="A735" s="37" t="str">
        <f>IF(ISNONTEXT(deployment_raw[[#This Row],[Column1]]), "", deployment_raw[[#This Row],[Column1]])</f>
        <v/>
      </c>
      <c r="B735" s="38" t="str">
        <f>IF(ISNONTEXT(deployment_raw[[#This Row],[Column2]]), "", deployment_raw[[#This Row],[Column2]])</f>
        <v/>
      </c>
      <c r="C735" s="38" t="str">
        <f>IF(ISNONTEXT(deployment_raw[[#This Row],[Column3]]), "", deployment_raw[[#This Row],[Column3]])</f>
        <v/>
      </c>
      <c r="D735" s="38" t="str">
        <f>IF(ISNONTEXT(deployment_raw[[#This Row],[Column4]]), "", deployment_raw[[#This Row],[Column4]])</f>
        <v/>
      </c>
      <c r="E735" s="39" t="str">
        <f>IF(ISNUMBER(deployment_raw[[#This Row],[Column5]]), deployment_raw[[#This Row],[Column5]],"")</f>
        <v/>
      </c>
      <c r="F735" s="174" t="str">
        <f>IF(ISNUMBER(deployment_raw[[#This Row],[Column6]]), (deployment_raw[[#This Row],[Column6]] * deployment_raw[[#This Row],[Column5]]),"")</f>
        <v/>
      </c>
      <c r="G735" s="175" t="str">
        <f>IF(ISNUMBER(deployment_raw[[#This Row],[Column7]]), (deployment_raw[[#This Row],[Column7]] * deployment_raw[[#This Row],[Column5]])/1048576,"")</f>
        <v/>
      </c>
      <c r="H735" s="175" t="str">
        <f>IF(ISNUMBER(deployment_raw[[#This Row],[Column8]]), (deployment_raw[[#This Row],[Column8]]  * deployment_raw[[#This Row],[Column5]]),"")</f>
        <v/>
      </c>
      <c r="I735" s="176" t="str">
        <f>IF(ISNUMBER(deployment_raw[[#This Row],[Column9]]), (deployment_raw[[#This Row],[Column9]] * deployment_raw[[#This Row],[Column5]])/1048576,"")</f>
        <v/>
      </c>
      <c r="J735" s="57" t="str">
        <f>IF(ISNUMBER(deployment_raw[[#This Row],[Column10]]), (deployment_raw[[#This Row],[Column10]] * deployment_raw[[#This Row],[Column5]]),"")</f>
        <v/>
      </c>
      <c r="K735" s="58" t="str">
        <f>IF(ISNUMBER(deployment_raw[[#This Row],[Column11]]), (deployment_raw[[#This Row],[Column11]] * deployment_raw[[#This Row],[Column5]])/1048576,"")</f>
        <v/>
      </c>
      <c r="L735" s="180" t="str">
        <f>IF(ISNUMBER(deployment_raw[[#This Row],[Column8]]),IF(deployment_raw[[#This Row],[Column5]] &lt;&gt; 0, MAX((deployment_raw[[#This Row],[Column12]] * deployment_raw[[#This Row],[Column5]]), ((deployment_raw[[#This Row],[Column8]] * deployment_raw[[#This Row],[Column5]]) * $L$2), ($H$2 * deployment_raw[[#This Row],[Column5]])), 0),"")</f>
        <v/>
      </c>
      <c r="M73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35" s="188" t="str">
        <f>IF(ISNUMBER(deployment_raw[[#This Row],[Column14]]), deployment_raw[[#This Row],[Column14]],"")</f>
        <v/>
      </c>
      <c r="O735" s="189" t="str">
        <f>IF(ISNUMBER(deployment_raw[[#This Row],[Column15]]), deployment_raw[[#This Row],[Column15]]/1048576,"")</f>
        <v/>
      </c>
      <c r="P735" s="190" t="str">
        <f>IF(ISNUMBER(deployment_raw[[#This Row],[Column12]]), (deployment_raw[[#This Row],[Column12]] * deployment_raw[[#This Row],[Column5]]),"")</f>
        <v/>
      </c>
      <c r="Q735" s="189" t="str">
        <f>IF(ISNUMBER(deployment_raw[[#This Row],[Column13]]), (deployment_raw[[#This Row],[Column13]] * deployment_raw[[#This Row],[Column5]])/1048576,"")</f>
        <v/>
      </c>
    </row>
    <row r="736" spans="1:17" ht="15.75" customHeight="1" x14ac:dyDescent="0.25">
      <c r="A736" s="37" t="str">
        <f>IF(ISNONTEXT(deployment_raw[[#This Row],[Column1]]), "", deployment_raw[[#This Row],[Column1]])</f>
        <v/>
      </c>
      <c r="B736" s="38" t="str">
        <f>IF(ISNONTEXT(deployment_raw[[#This Row],[Column2]]), "", deployment_raw[[#This Row],[Column2]])</f>
        <v/>
      </c>
      <c r="C736" s="38" t="str">
        <f>IF(ISNONTEXT(deployment_raw[[#This Row],[Column3]]), "", deployment_raw[[#This Row],[Column3]])</f>
        <v/>
      </c>
      <c r="D736" s="38" t="str">
        <f>IF(ISNONTEXT(deployment_raw[[#This Row],[Column4]]), "", deployment_raw[[#This Row],[Column4]])</f>
        <v/>
      </c>
      <c r="E736" s="39" t="str">
        <f>IF(ISNUMBER(deployment_raw[[#This Row],[Column5]]), deployment_raw[[#This Row],[Column5]],"")</f>
        <v/>
      </c>
      <c r="F736" s="174" t="str">
        <f>IF(ISNUMBER(deployment_raw[[#This Row],[Column6]]), (deployment_raw[[#This Row],[Column6]] * deployment_raw[[#This Row],[Column5]]),"")</f>
        <v/>
      </c>
      <c r="G736" s="175" t="str">
        <f>IF(ISNUMBER(deployment_raw[[#This Row],[Column7]]), (deployment_raw[[#This Row],[Column7]] * deployment_raw[[#This Row],[Column5]])/1048576,"")</f>
        <v/>
      </c>
      <c r="H736" s="175" t="str">
        <f>IF(ISNUMBER(deployment_raw[[#This Row],[Column8]]), (deployment_raw[[#This Row],[Column8]]  * deployment_raw[[#This Row],[Column5]]),"")</f>
        <v/>
      </c>
      <c r="I736" s="176" t="str">
        <f>IF(ISNUMBER(deployment_raw[[#This Row],[Column9]]), (deployment_raw[[#This Row],[Column9]] * deployment_raw[[#This Row],[Column5]])/1048576,"")</f>
        <v/>
      </c>
      <c r="J736" s="57" t="str">
        <f>IF(ISNUMBER(deployment_raw[[#This Row],[Column10]]), (deployment_raw[[#This Row],[Column10]] * deployment_raw[[#This Row],[Column5]]),"")</f>
        <v/>
      </c>
      <c r="K736" s="58" t="str">
        <f>IF(ISNUMBER(deployment_raw[[#This Row],[Column11]]), (deployment_raw[[#This Row],[Column11]] * deployment_raw[[#This Row],[Column5]])/1048576,"")</f>
        <v/>
      </c>
      <c r="L736" s="180" t="str">
        <f>IF(ISNUMBER(deployment_raw[[#This Row],[Column8]]),IF(deployment_raw[[#This Row],[Column5]] &lt;&gt; 0, MAX((deployment_raw[[#This Row],[Column12]] * deployment_raw[[#This Row],[Column5]]), ((deployment_raw[[#This Row],[Column8]] * deployment_raw[[#This Row],[Column5]]) * $L$2), ($H$2 * deployment_raw[[#This Row],[Column5]])), 0),"")</f>
        <v/>
      </c>
      <c r="M73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36" s="188" t="str">
        <f>IF(ISNUMBER(deployment_raw[[#This Row],[Column14]]), deployment_raw[[#This Row],[Column14]],"")</f>
        <v/>
      </c>
      <c r="O736" s="189" t="str">
        <f>IF(ISNUMBER(deployment_raw[[#This Row],[Column15]]), deployment_raw[[#This Row],[Column15]]/1048576,"")</f>
        <v/>
      </c>
      <c r="P736" s="190" t="str">
        <f>IF(ISNUMBER(deployment_raw[[#This Row],[Column12]]), (deployment_raw[[#This Row],[Column12]] * deployment_raw[[#This Row],[Column5]]),"")</f>
        <v/>
      </c>
      <c r="Q736" s="189" t="str">
        <f>IF(ISNUMBER(deployment_raw[[#This Row],[Column13]]), (deployment_raw[[#This Row],[Column13]] * deployment_raw[[#This Row],[Column5]])/1048576,"")</f>
        <v/>
      </c>
    </row>
    <row r="737" spans="1:17" ht="15.75" customHeight="1" x14ac:dyDescent="0.25">
      <c r="A737" s="37" t="str">
        <f>IF(ISNONTEXT(deployment_raw[[#This Row],[Column1]]), "", deployment_raw[[#This Row],[Column1]])</f>
        <v/>
      </c>
      <c r="B737" s="38" t="str">
        <f>IF(ISNONTEXT(deployment_raw[[#This Row],[Column2]]), "", deployment_raw[[#This Row],[Column2]])</f>
        <v/>
      </c>
      <c r="C737" s="38" t="str">
        <f>IF(ISNONTEXT(deployment_raw[[#This Row],[Column3]]), "", deployment_raw[[#This Row],[Column3]])</f>
        <v/>
      </c>
      <c r="D737" s="38" t="str">
        <f>IF(ISNONTEXT(deployment_raw[[#This Row],[Column4]]), "", deployment_raw[[#This Row],[Column4]])</f>
        <v/>
      </c>
      <c r="E737" s="39" t="str">
        <f>IF(ISNUMBER(deployment_raw[[#This Row],[Column5]]), deployment_raw[[#This Row],[Column5]],"")</f>
        <v/>
      </c>
      <c r="F737" s="174" t="str">
        <f>IF(ISNUMBER(deployment_raw[[#This Row],[Column6]]), (deployment_raw[[#This Row],[Column6]] * deployment_raw[[#This Row],[Column5]]),"")</f>
        <v/>
      </c>
      <c r="G737" s="175" t="str">
        <f>IF(ISNUMBER(deployment_raw[[#This Row],[Column7]]), (deployment_raw[[#This Row],[Column7]] * deployment_raw[[#This Row],[Column5]])/1048576,"")</f>
        <v/>
      </c>
      <c r="H737" s="175" t="str">
        <f>IF(ISNUMBER(deployment_raw[[#This Row],[Column8]]), (deployment_raw[[#This Row],[Column8]]  * deployment_raw[[#This Row],[Column5]]),"")</f>
        <v/>
      </c>
      <c r="I737" s="176" t="str">
        <f>IF(ISNUMBER(deployment_raw[[#This Row],[Column9]]), (deployment_raw[[#This Row],[Column9]] * deployment_raw[[#This Row],[Column5]])/1048576,"")</f>
        <v/>
      </c>
      <c r="J737" s="57" t="str">
        <f>IF(ISNUMBER(deployment_raw[[#This Row],[Column10]]), (deployment_raw[[#This Row],[Column10]] * deployment_raw[[#This Row],[Column5]]),"")</f>
        <v/>
      </c>
      <c r="K737" s="58" t="str">
        <f>IF(ISNUMBER(deployment_raw[[#This Row],[Column11]]), (deployment_raw[[#This Row],[Column11]] * deployment_raw[[#This Row],[Column5]])/1048576,"")</f>
        <v/>
      </c>
      <c r="L737" s="180" t="str">
        <f>IF(ISNUMBER(deployment_raw[[#This Row],[Column8]]),IF(deployment_raw[[#This Row],[Column5]] &lt;&gt; 0, MAX((deployment_raw[[#This Row],[Column12]] * deployment_raw[[#This Row],[Column5]]), ((deployment_raw[[#This Row],[Column8]] * deployment_raw[[#This Row],[Column5]]) * $L$2), ($H$2 * deployment_raw[[#This Row],[Column5]])), 0),"")</f>
        <v/>
      </c>
      <c r="M73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37" s="188" t="str">
        <f>IF(ISNUMBER(deployment_raw[[#This Row],[Column14]]), deployment_raw[[#This Row],[Column14]],"")</f>
        <v/>
      </c>
      <c r="O737" s="189" t="str">
        <f>IF(ISNUMBER(deployment_raw[[#This Row],[Column15]]), deployment_raw[[#This Row],[Column15]]/1048576,"")</f>
        <v/>
      </c>
      <c r="P737" s="190" t="str">
        <f>IF(ISNUMBER(deployment_raw[[#This Row],[Column12]]), (deployment_raw[[#This Row],[Column12]] * deployment_raw[[#This Row],[Column5]]),"")</f>
        <v/>
      </c>
      <c r="Q737" s="189" t="str">
        <f>IF(ISNUMBER(deployment_raw[[#This Row],[Column13]]), (deployment_raw[[#This Row],[Column13]] * deployment_raw[[#This Row],[Column5]])/1048576,"")</f>
        <v/>
      </c>
    </row>
    <row r="738" spans="1:17" ht="15.75" customHeight="1" x14ac:dyDescent="0.25">
      <c r="A738" s="37" t="str">
        <f>IF(ISNONTEXT(deployment_raw[[#This Row],[Column1]]), "", deployment_raw[[#This Row],[Column1]])</f>
        <v/>
      </c>
      <c r="B738" s="38" t="str">
        <f>IF(ISNONTEXT(deployment_raw[[#This Row],[Column2]]), "", deployment_raw[[#This Row],[Column2]])</f>
        <v/>
      </c>
      <c r="C738" s="38" t="str">
        <f>IF(ISNONTEXT(deployment_raw[[#This Row],[Column3]]), "", deployment_raw[[#This Row],[Column3]])</f>
        <v/>
      </c>
      <c r="D738" s="38" t="str">
        <f>IF(ISNONTEXT(deployment_raw[[#This Row],[Column4]]), "", deployment_raw[[#This Row],[Column4]])</f>
        <v/>
      </c>
      <c r="E738" s="39" t="str">
        <f>IF(ISNUMBER(deployment_raw[[#This Row],[Column5]]), deployment_raw[[#This Row],[Column5]],"")</f>
        <v/>
      </c>
      <c r="F738" s="174" t="str">
        <f>IF(ISNUMBER(deployment_raw[[#This Row],[Column6]]), (deployment_raw[[#This Row],[Column6]] * deployment_raw[[#This Row],[Column5]]),"")</f>
        <v/>
      </c>
      <c r="G738" s="175" t="str">
        <f>IF(ISNUMBER(deployment_raw[[#This Row],[Column7]]), (deployment_raw[[#This Row],[Column7]] * deployment_raw[[#This Row],[Column5]])/1048576,"")</f>
        <v/>
      </c>
      <c r="H738" s="175" t="str">
        <f>IF(ISNUMBER(deployment_raw[[#This Row],[Column8]]), (deployment_raw[[#This Row],[Column8]]  * deployment_raw[[#This Row],[Column5]]),"")</f>
        <v/>
      </c>
      <c r="I738" s="176" t="str">
        <f>IF(ISNUMBER(deployment_raw[[#This Row],[Column9]]), (deployment_raw[[#This Row],[Column9]] * deployment_raw[[#This Row],[Column5]])/1048576,"")</f>
        <v/>
      </c>
      <c r="J738" s="57" t="str">
        <f>IF(ISNUMBER(deployment_raw[[#This Row],[Column10]]), (deployment_raw[[#This Row],[Column10]] * deployment_raw[[#This Row],[Column5]]),"")</f>
        <v/>
      </c>
      <c r="K738" s="58" t="str">
        <f>IF(ISNUMBER(deployment_raw[[#This Row],[Column11]]), (deployment_raw[[#This Row],[Column11]] * deployment_raw[[#This Row],[Column5]])/1048576,"")</f>
        <v/>
      </c>
      <c r="L738" s="180" t="str">
        <f>IF(ISNUMBER(deployment_raw[[#This Row],[Column8]]),IF(deployment_raw[[#This Row],[Column5]] &lt;&gt; 0, MAX((deployment_raw[[#This Row],[Column12]] * deployment_raw[[#This Row],[Column5]]), ((deployment_raw[[#This Row],[Column8]] * deployment_raw[[#This Row],[Column5]]) * $L$2), ($H$2 * deployment_raw[[#This Row],[Column5]])), 0),"")</f>
        <v/>
      </c>
      <c r="M73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38" s="188" t="str">
        <f>IF(ISNUMBER(deployment_raw[[#This Row],[Column14]]), deployment_raw[[#This Row],[Column14]],"")</f>
        <v/>
      </c>
      <c r="O738" s="189" t="str">
        <f>IF(ISNUMBER(deployment_raw[[#This Row],[Column15]]), deployment_raw[[#This Row],[Column15]]/1048576,"")</f>
        <v/>
      </c>
      <c r="P738" s="190" t="str">
        <f>IF(ISNUMBER(deployment_raw[[#This Row],[Column12]]), (deployment_raw[[#This Row],[Column12]] * deployment_raw[[#This Row],[Column5]]),"")</f>
        <v/>
      </c>
      <c r="Q738" s="189" t="str">
        <f>IF(ISNUMBER(deployment_raw[[#This Row],[Column13]]), (deployment_raw[[#This Row],[Column13]] * deployment_raw[[#This Row],[Column5]])/1048576,"")</f>
        <v/>
      </c>
    </row>
    <row r="739" spans="1:17" ht="15.75" customHeight="1" x14ac:dyDescent="0.25">
      <c r="A739" s="37" t="str">
        <f>IF(ISNONTEXT(deployment_raw[[#This Row],[Column1]]), "", deployment_raw[[#This Row],[Column1]])</f>
        <v/>
      </c>
      <c r="B739" s="38" t="str">
        <f>IF(ISNONTEXT(deployment_raw[[#This Row],[Column2]]), "", deployment_raw[[#This Row],[Column2]])</f>
        <v/>
      </c>
      <c r="C739" s="38" t="str">
        <f>IF(ISNONTEXT(deployment_raw[[#This Row],[Column3]]), "", deployment_raw[[#This Row],[Column3]])</f>
        <v/>
      </c>
      <c r="D739" s="38" t="str">
        <f>IF(ISNONTEXT(deployment_raw[[#This Row],[Column4]]), "", deployment_raw[[#This Row],[Column4]])</f>
        <v/>
      </c>
      <c r="E739" s="39" t="str">
        <f>IF(ISNUMBER(deployment_raw[[#This Row],[Column5]]), deployment_raw[[#This Row],[Column5]],"")</f>
        <v/>
      </c>
      <c r="F739" s="174" t="str">
        <f>IF(ISNUMBER(deployment_raw[[#This Row],[Column6]]), (deployment_raw[[#This Row],[Column6]] * deployment_raw[[#This Row],[Column5]]),"")</f>
        <v/>
      </c>
      <c r="G739" s="175" t="str">
        <f>IF(ISNUMBER(deployment_raw[[#This Row],[Column7]]), (deployment_raw[[#This Row],[Column7]] * deployment_raw[[#This Row],[Column5]])/1048576,"")</f>
        <v/>
      </c>
      <c r="H739" s="175" t="str">
        <f>IF(ISNUMBER(deployment_raw[[#This Row],[Column8]]), (deployment_raw[[#This Row],[Column8]]  * deployment_raw[[#This Row],[Column5]]),"")</f>
        <v/>
      </c>
      <c r="I739" s="176" t="str">
        <f>IF(ISNUMBER(deployment_raw[[#This Row],[Column9]]), (deployment_raw[[#This Row],[Column9]] * deployment_raw[[#This Row],[Column5]])/1048576,"")</f>
        <v/>
      </c>
      <c r="J739" s="57" t="str">
        <f>IF(ISNUMBER(deployment_raw[[#This Row],[Column10]]), (deployment_raw[[#This Row],[Column10]] * deployment_raw[[#This Row],[Column5]]),"")</f>
        <v/>
      </c>
      <c r="K739" s="58" t="str">
        <f>IF(ISNUMBER(deployment_raw[[#This Row],[Column11]]), (deployment_raw[[#This Row],[Column11]] * deployment_raw[[#This Row],[Column5]])/1048576,"")</f>
        <v/>
      </c>
      <c r="L739" s="180" t="str">
        <f>IF(ISNUMBER(deployment_raw[[#This Row],[Column8]]),IF(deployment_raw[[#This Row],[Column5]] &lt;&gt; 0, MAX((deployment_raw[[#This Row],[Column12]] * deployment_raw[[#This Row],[Column5]]), ((deployment_raw[[#This Row],[Column8]] * deployment_raw[[#This Row],[Column5]]) * $L$2), ($H$2 * deployment_raw[[#This Row],[Column5]])), 0),"")</f>
        <v/>
      </c>
      <c r="M73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39" s="188" t="str">
        <f>IF(ISNUMBER(deployment_raw[[#This Row],[Column14]]), deployment_raw[[#This Row],[Column14]],"")</f>
        <v/>
      </c>
      <c r="O739" s="189" t="str">
        <f>IF(ISNUMBER(deployment_raw[[#This Row],[Column15]]), deployment_raw[[#This Row],[Column15]]/1048576,"")</f>
        <v/>
      </c>
      <c r="P739" s="190" t="str">
        <f>IF(ISNUMBER(deployment_raw[[#This Row],[Column12]]), (deployment_raw[[#This Row],[Column12]] * deployment_raw[[#This Row],[Column5]]),"")</f>
        <v/>
      </c>
      <c r="Q739" s="189" t="str">
        <f>IF(ISNUMBER(deployment_raw[[#This Row],[Column13]]), (deployment_raw[[#This Row],[Column13]] * deployment_raw[[#This Row],[Column5]])/1048576,"")</f>
        <v/>
      </c>
    </row>
    <row r="740" spans="1:17" ht="15.75" customHeight="1" x14ac:dyDescent="0.25">
      <c r="A740" s="37" t="str">
        <f>IF(ISNONTEXT(deployment_raw[[#This Row],[Column1]]), "", deployment_raw[[#This Row],[Column1]])</f>
        <v/>
      </c>
      <c r="B740" s="38" t="str">
        <f>IF(ISNONTEXT(deployment_raw[[#This Row],[Column2]]), "", deployment_raw[[#This Row],[Column2]])</f>
        <v/>
      </c>
      <c r="C740" s="38" t="str">
        <f>IF(ISNONTEXT(deployment_raw[[#This Row],[Column3]]), "", deployment_raw[[#This Row],[Column3]])</f>
        <v/>
      </c>
      <c r="D740" s="38" t="str">
        <f>IF(ISNONTEXT(deployment_raw[[#This Row],[Column4]]), "", deployment_raw[[#This Row],[Column4]])</f>
        <v/>
      </c>
      <c r="E740" s="39" t="str">
        <f>IF(ISNUMBER(deployment_raw[[#This Row],[Column5]]), deployment_raw[[#This Row],[Column5]],"")</f>
        <v/>
      </c>
      <c r="F740" s="174" t="str">
        <f>IF(ISNUMBER(deployment_raw[[#This Row],[Column6]]), (deployment_raw[[#This Row],[Column6]] * deployment_raw[[#This Row],[Column5]]),"")</f>
        <v/>
      </c>
      <c r="G740" s="175" t="str">
        <f>IF(ISNUMBER(deployment_raw[[#This Row],[Column7]]), (deployment_raw[[#This Row],[Column7]] * deployment_raw[[#This Row],[Column5]])/1048576,"")</f>
        <v/>
      </c>
      <c r="H740" s="175" t="str">
        <f>IF(ISNUMBER(deployment_raw[[#This Row],[Column8]]), (deployment_raw[[#This Row],[Column8]]  * deployment_raw[[#This Row],[Column5]]),"")</f>
        <v/>
      </c>
      <c r="I740" s="176" t="str">
        <f>IF(ISNUMBER(deployment_raw[[#This Row],[Column9]]), (deployment_raw[[#This Row],[Column9]] * deployment_raw[[#This Row],[Column5]])/1048576,"")</f>
        <v/>
      </c>
      <c r="J740" s="57" t="str">
        <f>IF(ISNUMBER(deployment_raw[[#This Row],[Column10]]), (deployment_raw[[#This Row],[Column10]] * deployment_raw[[#This Row],[Column5]]),"")</f>
        <v/>
      </c>
      <c r="K740" s="58" t="str">
        <f>IF(ISNUMBER(deployment_raw[[#This Row],[Column11]]), (deployment_raw[[#This Row],[Column11]] * deployment_raw[[#This Row],[Column5]])/1048576,"")</f>
        <v/>
      </c>
      <c r="L740" s="180" t="str">
        <f>IF(ISNUMBER(deployment_raw[[#This Row],[Column8]]),IF(deployment_raw[[#This Row],[Column5]] &lt;&gt; 0, MAX((deployment_raw[[#This Row],[Column12]] * deployment_raw[[#This Row],[Column5]]), ((deployment_raw[[#This Row],[Column8]] * deployment_raw[[#This Row],[Column5]]) * $L$2), ($H$2 * deployment_raw[[#This Row],[Column5]])), 0),"")</f>
        <v/>
      </c>
      <c r="M74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40" s="188" t="str">
        <f>IF(ISNUMBER(deployment_raw[[#This Row],[Column14]]), deployment_raw[[#This Row],[Column14]],"")</f>
        <v/>
      </c>
      <c r="O740" s="189" t="str">
        <f>IF(ISNUMBER(deployment_raw[[#This Row],[Column15]]), deployment_raw[[#This Row],[Column15]]/1048576,"")</f>
        <v/>
      </c>
      <c r="P740" s="190" t="str">
        <f>IF(ISNUMBER(deployment_raw[[#This Row],[Column12]]), (deployment_raw[[#This Row],[Column12]] * deployment_raw[[#This Row],[Column5]]),"")</f>
        <v/>
      </c>
      <c r="Q740" s="189" t="str">
        <f>IF(ISNUMBER(deployment_raw[[#This Row],[Column13]]), (deployment_raw[[#This Row],[Column13]] * deployment_raw[[#This Row],[Column5]])/1048576,"")</f>
        <v/>
      </c>
    </row>
    <row r="741" spans="1:17" ht="15.75" customHeight="1" x14ac:dyDescent="0.25">
      <c r="A741" s="37" t="str">
        <f>IF(ISNONTEXT(deployment_raw[[#This Row],[Column1]]), "", deployment_raw[[#This Row],[Column1]])</f>
        <v/>
      </c>
      <c r="B741" s="38" t="str">
        <f>IF(ISNONTEXT(deployment_raw[[#This Row],[Column2]]), "", deployment_raw[[#This Row],[Column2]])</f>
        <v/>
      </c>
      <c r="C741" s="38" t="str">
        <f>IF(ISNONTEXT(deployment_raw[[#This Row],[Column3]]), "", deployment_raw[[#This Row],[Column3]])</f>
        <v/>
      </c>
      <c r="D741" s="38" t="str">
        <f>IF(ISNONTEXT(deployment_raw[[#This Row],[Column4]]), "", deployment_raw[[#This Row],[Column4]])</f>
        <v/>
      </c>
      <c r="E741" s="39" t="str">
        <f>IF(ISNUMBER(deployment_raw[[#This Row],[Column5]]), deployment_raw[[#This Row],[Column5]],"")</f>
        <v/>
      </c>
      <c r="F741" s="174" t="str">
        <f>IF(ISNUMBER(deployment_raw[[#This Row],[Column6]]), (deployment_raw[[#This Row],[Column6]] * deployment_raw[[#This Row],[Column5]]),"")</f>
        <v/>
      </c>
      <c r="G741" s="175" t="str">
        <f>IF(ISNUMBER(deployment_raw[[#This Row],[Column7]]), (deployment_raw[[#This Row],[Column7]] * deployment_raw[[#This Row],[Column5]])/1048576,"")</f>
        <v/>
      </c>
      <c r="H741" s="175" t="str">
        <f>IF(ISNUMBER(deployment_raw[[#This Row],[Column8]]), (deployment_raw[[#This Row],[Column8]]  * deployment_raw[[#This Row],[Column5]]),"")</f>
        <v/>
      </c>
      <c r="I741" s="176" t="str">
        <f>IF(ISNUMBER(deployment_raw[[#This Row],[Column9]]), (deployment_raw[[#This Row],[Column9]] * deployment_raw[[#This Row],[Column5]])/1048576,"")</f>
        <v/>
      </c>
      <c r="J741" s="57" t="str">
        <f>IF(ISNUMBER(deployment_raw[[#This Row],[Column10]]), (deployment_raw[[#This Row],[Column10]] * deployment_raw[[#This Row],[Column5]]),"")</f>
        <v/>
      </c>
      <c r="K741" s="58" t="str">
        <f>IF(ISNUMBER(deployment_raw[[#This Row],[Column11]]), (deployment_raw[[#This Row],[Column11]] * deployment_raw[[#This Row],[Column5]])/1048576,"")</f>
        <v/>
      </c>
      <c r="L741" s="180" t="str">
        <f>IF(ISNUMBER(deployment_raw[[#This Row],[Column8]]),IF(deployment_raw[[#This Row],[Column5]] &lt;&gt; 0, MAX((deployment_raw[[#This Row],[Column12]] * deployment_raw[[#This Row],[Column5]]), ((deployment_raw[[#This Row],[Column8]] * deployment_raw[[#This Row],[Column5]]) * $L$2), ($H$2 * deployment_raw[[#This Row],[Column5]])), 0),"")</f>
        <v/>
      </c>
      <c r="M74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41" s="188" t="str">
        <f>IF(ISNUMBER(deployment_raw[[#This Row],[Column14]]), deployment_raw[[#This Row],[Column14]],"")</f>
        <v/>
      </c>
      <c r="O741" s="189" t="str">
        <f>IF(ISNUMBER(deployment_raw[[#This Row],[Column15]]), deployment_raw[[#This Row],[Column15]]/1048576,"")</f>
        <v/>
      </c>
      <c r="P741" s="190" t="str">
        <f>IF(ISNUMBER(deployment_raw[[#This Row],[Column12]]), (deployment_raw[[#This Row],[Column12]] * deployment_raw[[#This Row],[Column5]]),"")</f>
        <v/>
      </c>
      <c r="Q741" s="189" t="str">
        <f>IF(ISNUMBER(deployment_raw[[#This Row],[Column13]]), (deployment_raw[[#This Row],[Column13]] * deployment_raw[[#This Row],[Column5]])/1048576,"")</f>
        <v/>
      </c>
    </row>
    <row r="742" spans="1:17" ht="15.75" customHeight="1" x14ac:dyDescent="0.25">
      <c r="A742" s="37" t="str">
        <f>IF(ISNONTEXT(deployment_raw[[#This Row],[Column1]]), "", deployment_raw[[#This Row],[Column1]])</f>
        <v/>
      </c>
      <c r="B742" s="38" t="str">
        <f>IF(ISNONTEXT(deployment_raw[[#This Row],[Column2]]), "", deployment_raw[[#This Row],[Column2]])</f>
        <v/>
      </c>
      <c r="C742" s="38" t="str">
        <f>IF(ISNONTEXT(deployment_raw[[#This Row],[Column3]]), "", deployment_raw[[#This Row],[Column3]])</f>
        <v/>
      </c>
      <c r="D742" s="38" t="str">
        <f>IF(ISNONTEXT(deployment_raw[[#This Row],[Column4]]), "", deployment_raw[[#This Row],[Column4]])</f>
        <v/>
      </c>
      <c r="E742" s="39" t="str">
        <f>IF(ISNUMBER(deployment_raw[[#This Row],[Column5]]), deployment_raw[[#This Row],[Column5]],"")</f>
        <v/>
      </c>
      <c r="F742" s="174" t="str">
        <f>IF(ISNUMBER(deployment_raw[[#This Row],[Column6]]), (deployment_raw[[#This Row],[Column6]] * deployment_raw[[#This Row],[Column5]]),"")</f>
        <v/>
      </c>
      <c r="G742" s="175" t="str">
        <f>IF(ISNUMBER(deployment_raw[[#This Row],[Column7]]), (deployment_raw[[#This Row],[Column7]] * deployment_raw[[#This Row],[Column5]])/1048576,"")</f>
        <v/>
      </c>
      <c r="H742" s="175" t="str">
        <f>IF(ISNUMBER(deployment_raw[[#This Row],[Column8]]), (deployment_raw[[#This Row],[Column8]]  * deployment_raw[[#This Row],[Column5]]),"")</f>
        <v/>
      </c>
      <c r="I742" s="176" t="str">
        <f>IF(ISNUMBER(deployment_raw[[#This Row],[Column9]]), (deployment_raw[[#This Row],[Column9]] * deployment_raw[[#This Row],[Column5]])/1048576,"")</f>
        <v/>
      </c>
      <c r="J742" s="57" t="str">
        <f>IF(ISNUMBER(deployment_raw[[#This Row],[Column10]]), (deployment_raw[[#This Row],[Column10]] * deployment_raw[[#This Row],[Column5]]),"")</f>
        <v/>
      </c>
      <c r="K742" s="58" t="str">
        <f>IF(ISNUMBER(deployment_raw[[#This Row],[Column11]]), (deployment_raw[[#This Row],[Column11]] * deployment_raw[[#This Row],[Column5]])/1048576,"")</f>
        <v/>
      </c>
      <c r="L742" s="180" t="str">
        <f>IF(ISNUMBER(deployment_raw[[#This Row],[Column8]]),IF(deployment_raw[[#This Row],[Column5]] &lt;&gt; 0, MAX((deployment_raw[[#This Row],[Column12]] * deployment_raw[[#This Row],[Column5]]), ((deployment_raw[[#This Row],[Column8]] * deployment_raw[[#This Row],[Column5]]) * $L$2), ($H$2 * deployment_raw[[#This Row],[Column5]])), 0),"")</f>
        <v/>
      </c>
      <c r="M74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42" s="188" t="str">
        <f>IF(ISNUMBER(deployment_raw[[#This Row],[Column14]]), deployment_raw[[#This Row],[Column14]],"")</f>
        <v/>
      </c>
      <c r="O742" s="189" t="str">
        <f>IF(ISNUMBER(deployment_raw[[#This Row],[Column15]]), deployment_raw[[#This Row],[Column15]]/1048576,"")</f>
        <v/>
      </c>
      <c r="P742" s="190" t="str">
        <f>IF(ISNUMBER(deployment_raw[[#This Row],[Column12]]), (deployment_raw[[#This Row],[Column12]] * deployment_raw[[#This Row],[Column5]]),"")</f>
        <v/>
      </c>
      <c r="Q742" s="189" t="str">
        <f>IF(ISNUMBER(deployment_raw[[#This Row],[Column13]]), (deployment_raw[[#This Row],[Column13]] * deployment_raw[[#This Row],[Column5]])/1048576,"")</f>
        <v/>
      </c>
    </row>
    <row r="743" spans="1:17" ht="15.75" customHeight="1" x14ac:dyDescent="0.25">
      <c r="A743" s="37" t="str">
        <f>IF(ISNONTEXT(deployment_raw[[#This Row],[Column1]]), "", deployment_raw[[#This Row],[Column1]])</f>
        <v/>
      </c>
      <c r="B743" s="38" t="str">
        <f>IF(ISNONTEXT(deployment_raw[[#This Row],[Column2]]), "", deployment_raw[[#This Row],[Column2]])</f>
        <v/>
      </c>
      <c r="C743" s="38" t="str">
        <f>IF(ISNONTEXT(deployment_raw[[#This Row],[Column3]]), "", deployment_raw[[#This Row],[Column3]])</f>
        <v/>
      </c>
      <c r="D743" s="38" t="str">
        <f>IF(ISNONTEXT(deployment_raw[[#This Row],[Column4]]), "", deployment_raw[[#This Row],[Column4]])</f>
        <v/>
      </c>
      <c r="E743" s="39" t="str">
        <f>IF(ISNUMBER(deployment_raw[[#This Row],[Column5]]), deployment_raw[[#This Row],[Column5]],"")</f>
        <v/>
      </c>
      <c r="F743" s="174" t="str">
        <f>IF(ISNUMBER(deployment_raw[[#This Row],[Column6]]), (deployment_raw[[#This Row],[Column6]] * deployment_raw[[#This Row],[Column5]]),"")</f>
        <v/>
      </c>
      <c r="G743" s="175" t="str">
        <f>IF(ISNUMBER(deployment_raw[[#This Row],[Column7]]), (deployment_raw[[#This Row],[Column7]] * deployment_raw[[#This Row],[Column5]])/1048576,"")</f>
        <v/>
      </c>
      <c r="H743" s="175" t="str">
        <f>IF(ISNUMBER(deployment_raw[[#This Row],[Column8]]), (deployment_raw[[#This Row],[Column8]]  * deployment_raw[[#This Row],[Column5]]),"")</f>
        <v/>
      </c>
      <c r="I743" s="176" t="str">
        <f>IF(ISNUMBER(deployment_raw[[#This Row],[Column9]]), (deployment_raw[[#This Row],[Column9]] * deployment_raw[[#This Row],[Column5]])/1048576,"")</f>
        <v/>
      </c>
      <c r="J743" s="57" t="str">
        <f>IF(ISNUMBER(deployment_raw[[#This Row],[Column10]]), (deployment_raw[[#This Row],[Column10]] * deployment_raw[[#This Row],[Column5]]),"")</f>
        <v/>
      </c>
      <c r="K743" s="58" t="str">
        <f>IF(ISNUMBER(deployment_raw[[#This Row],[Column11]]), (deployment_raw[[#This Row],[Column11]] * deployment_raw[[#This Row],[Column5]])/1048576,"")</f>
        <v/>
      </c>
      <c r="L743" s="180" t="str">
        <f>IF(ISNUMBER(deployment_raw[[#This Row],[Column8]]),IF(deployment_raw[[#This Row],[Column5]] &lt;&gt; 0, MAX((deployment_raw[[#This Row],[Column12]] * deployment_raw[[#This Row],[Column5]]), ((deployment_raw[[#This Row],[Column8]] * deployment_raw[[#This Row],[Column5]]) * $L$2), ($H$2 * deployment_raw[[#This Row],[Column5]])), 0),"")</f>
        <v/>
      </c>
      <c r="M74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43" s="188" t="str">
        <f>IF(ISNUMBER(deployment_raw[[#This Row],[Column14]]), deployment_raw[[#This Row],[Column14]],"")</f>
        <v/>
      </c>
      <c r="O743" s="189" t="str">
        <f>IF(ISNUMBER(deployment_raw[[#This Row],[Column15]]), deployment_raw[[#This Row],[Column15]]/1048576,"")</f>
        <v/>
      </c>
      <c r="P743" s="190" t="str">
        <f>IF(ISNUMBER(deployment_raw[[#This Row],[Column12]]), (deployment_raw[[#This Row],[Column12]] * deployment_raw[[#This Row],[Column5]]),"")</f>
        <v/>
      </c>
      <c r="Q743" s="189" t="str">
        <f>IF(ISNUMBER(deployment_raw[[#This Row],[Column13]]), (deployment_raw[[#This Row],[Column13]] * deployment_raw[[#This Row],[Column5]])/1048576,"")</f>
        <v/>
      </c>
    </row>
    <row r="744" spans="1:17" ht="15.75" customHeight="1" x14ac:dyDescent="0.25">
      <c r="A744" s="37" t="str">
        <f>IF(ISNONTEXT(deployment_raw[[#This Row],[Column1]]), "", deployment_raw[[#This Row],[Column1]])</f>
        <v/>
      </c>
      <c r="B744" s="38" t="str">
        <f>IF(ISNONTEXT(deployment_raw[[#This Row],[Column2]]), "", deployment_raw[[#This Row],[Column2]])</f>
        <v/>
      </c>
      <c r="C744" s="38" t="str">
        <f>IF(ISNONTEXT(deployment_raw[[#This Row],[Column3]]), "", deployment_raw[[#This Row],[Column3]])</f>
        <v/>
      </c>
      <c r="D744" s="38" t="str">
        <f>IF(ISNONTEXT(deployment_raw[[#This Row],[Column4]]), "", deployment_raw[[#This Row],[Column4]])</f>
        <v/>
      </c>
      <c r="E744" s="39" t="str">
        <f>IF(ISNUMBER(deployment_raw[[#This Row],[Column5]]), deployment_raw[[#This Row],[Column5]],"")</f>
        <v/>
      </c>
      <c r="F744" s="174" t="str">
        <f>IF(ISNUMBER(deployment_raw[[#This Row],[Column6]]), (deployment_raw[[#This Row],[Column6]] * deployment_raw[[#This Row],[Column5]]),"")</f>
        <v/>
      </c>
      <c r="G744" s="175" t="str">
        <f>IF(ISNUMBER(deployment_raw[[#This Row],[Column7]]), (deployment_raw[[#This Row],[Column7]] * deployment_raw[[#This Row],[Column5]])/1048576,"")</f>
        <v/>
      </c>
      <c r="H744" s="175" t="str">
        <f>IF(ISNUMBER(deployment_raw[[#This Row],[Column8]]), (deployment_raw[[#This Row],[Column8]]  * deployment_raw[[#This Row],[Column5]]),"")</f>
        <v/>
      </c>
      <c r="I744" s="176" t="str">
        <f>IF(ISNUMBER(deployment_raw[[#This Row],[Column9]]), (deployment_raw[[#This Row],[Column9]] * deployment_raw[[#This Row],[Column5]])/1048576,"")</f>
        <v/>
      </c>
      <c r="J744" s="57" t="str">
        <f>IF(ISNUMBER(deployment_raw[[#This Row],[Column10]]), (deployment_raw[[#This Row],[Column10]] * deployment_raw[[#This Row],[Column5]]),"")</f>
        <v/>
      </c>
      <c r="K744" s="58" t="str">
        <f>IF(ISNUMBER(deployment_raw[[#This Row],[Column11]]), (deployment_raw[[#This Row],[Column11]] * deployment_raw[[#This Row],[Column5]])/1048576,"")</f>
        <v/>
      </c>
      <c r="L744" s="180" t="str">
        <f>IF(ISNUMBER(deployment_raw[[#This Row],[Column8]]),IF(deployment_raw[[#This Row],[Column5]] &lt;&gt; 0, MAX((deployment_raw[[#This Row],[Column12]] * deployment_raw[[#This Row],[Column5]]), ((deployment_raw[[#This Row],[Column8]] * deployment_raw[[#This Row],[Column5]]) * $L$2), ($H$2 * deployment_raw[[#This Row],[Column5]])), 0),"")</f>
        <v/>
      </c>
      <c r="M74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44" s="188" t="str">
        <f>IF(ISNUMBER(deployment_raw[[#This Row],[Column14]]), deployment_raw[[#This Row],[Column14]],"")</f>
        <v/>
      </c>
      <c r="O744" s="189" t="str">
        <f>IF(ISNUMBER(deployment_raw[[#This Row],[Column15]]), deployment_raw[[#This Row],[Column15]]/1048576,"")</f>
        <v/>
      </c>
      <c r="P744" s="190" t="str">
        <f>IF(ISNUMBER(deployment_raw[[#This Row],[Column12]]), (deployment_raw[[#This Row],[Column12]] * deployment_raw[[#This Row],[Column5]]),"")</f>
        <v/>
      </c>
      <c r="Q744" s="189" t="str">
        <f>IF(ISNUMBER(deployment_raw[[#This Row],[Column13]]), (deployment_raw[[#This Row],[Column13]] * deployment_raw[[#This Row],[Column5]])/1048576,"")</f>
        <v/>
      </c>
    </row>
    <row r="745" spans="1:17" ht="15.75" customHeight="1" x14ac:dyDescent="0.25">
      <c r="A745" s="37" t="str">
        <f>IF(ISNONTEXT(deployment_raw[[#This Row],[Column1]]), "", deployment_raw[[#This Row],[Column1]])</f>
        <v/>
      </c>
      <c r="B745" s="38" t="str">
        <f>IF(ISNONTEXT(deployment_raw[[#This Row],[Column2]]), "", deployment_raw[[#This Row],[Column2]])</f>
        <v/>
      </c>
      <c r="C745" s="38" t="str">
        <f>IF(ISNONTEXT(deployment_raw[[#This Row],[Column3]]), "", deployment_raw[[#This Row],[Column3]])</f>
        <v/>
      </c>
      <c r="D745" s="38" t="str">
        <f>IF(ISNONTEXT(deployment_raw[[#This Row],[Column4]]), "", deployment_raw[[#This Row],[Column4]])</f>
        <v/>
      </c>
      <c r="E745" s="39" t="str">
        <f>IF(ISNUMBER(deployment_raw[[#This Row],[Column5]]), deployment_raw[[#This Row],[Column5]],"")</f>
        <v/>
      </c>
      <c r="F745" s="174" t="str">
        <f>IF(ISNUMBER(deployment_raw[[#This Row],[Column6]]), (deployment_raw[[#This Row],[Column6]] * deployment_raw[[#This Row],[Column5]]),"")</f>
        <v/>
      </c>
      <c r="G745" s="175" t="str">
        <f>IF(ISNUMBER(deployment_raw[[#This Row],[Column7]]), (deployment_raw[[#This Row],[Column7]] * deployment_raw[[#This Row],[Column5]])/1048576,"")</f>
        <v/>
      </c>
      <c r="H745" s="175" t="str">
        <f>IF(ISNUMBER(deployment_raw[[#This Row],[Column8]]), (deployment_raw[[#This Row],[Column8]]  * deployment_raw[[#This Row],[Column5]]),"")</f>
        <v/>
      </c>
      <c r="I745" s="176" t="str">
        <f>IF(ISNUMBER(deployment_raw[[#This Row],[Column9]]), (deployment_raw[[#This Row],[Column9]] * deployment_raw[[#This Row],[Column5]])/1048576,"")</f>
        <v/>
      </c>
      <c r="J745" s="57" t="str">
        <f>IF(ISNUMBER(deployment_raw[[#This Row],[Column10]]), (deployment_raw[[#This Row],[Column10]] * deployment_raw[[#This Row],[Column5]]),"")</f>
        <v/>
      </c>
      <c r="K745" s="58" t="str">
        <f>IF(ISNUMBER(deployment_raw[[#This Row],[Column11]]), (deployment_raw[[#This Row],[Column11]] * deployment_raw[[#This Row],[Column5]])/1048576,"")</f>
        <v/>
      </c>
      <c r="L745" s="180" t="str">
        <f>IF(ISNUMBER(deployment_raw[[#This Row],[Column8]]),IF(deployment_raw[[#This Row],[Column5]] &lt;&gt; 0, MAX((deployment_raw[[#This Row],[Column12]] * deployment_raw[[#This Row],[Column5]]), ((deployment_raw[[#This Row],[Column8]] * deployment_raw[[#This Row],[Column5]]) * $L$2), ($H$2 * deployment_raw[[#This Row],[Column5]])), 0),"")</f>
        <v/>
      </c>
      <c r="M74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45" s="188" t="str">
        <f>IF(ISNUMBER(deployment_raw[[#This Row],[Column14]]), deployment_raw[[#This Row],[Column14]],"")</f>
        <v/>
      </c>
      <c r="O745" s="189" t="str">
        <f>IF(ISNUMBER(deployment_raw[[#This Row],[Column15]]), deployment_raw[[#This Row],[Column15]]/1048576,"")</f>
        <v/>
      </c>
      <c r="P745" s="190" t="str">
        <f>IF(ISNUMBER(deployment_raw[[#This Row],[Column12]]), (deployment_raw[[#This Row],[Column12]] * deployment_raw[[#This Row],[Column5]]),"")</f>
        <v/>
      </c>
      <c r="Q745" s="189" t="str">
        <f>IF(ISNUMBER(deployment_raw[[#This Row],[Column13]]), (deployment_raw[[#This Row],[Column13]] * deployment_raw[[#This Row],[Column5]])/1048576,"")</f>
        <v/>
      </c>
    </row>
    <row r="746" spans="1:17" ht="15.75" customHeight="1" x14ac:dyDescent="0.25">
      <c r="A746" s="37" t="str">
        <f>IF(ISNONTEXT(deployment_raw[[#This Row],[Column1]]), "", deployment_raw[[#This Row],[Column1]])</f>
        <v/>
      </c>
      <c r="B746" s="38" t="str">
        <f>IF(ISNONTEXT(deployment_raw[[#This Row],[Column2]]), "", deployment_raw[[#This Row],[Column2]])</f>
        <v/>
      </c>
      <c r="C746" s="38" t="str">
        <f>IF(ISNONTEXT(deployment_raw[[#This Row],[Column3]]), "", deployment_raw[[#This Row],[Column3]])</f>
        <v/>
      </c>
      <c r="D746" s="38" t="str">
        <f>IF(ISNONTEXT(deployment_raw[[#This Row],[Column4]]), "", deployment_raw[[#This Row],[Column4]])</f>
        <v/>
      </c>
      <c r="E746" s="39" t="str">
        <f>IF(ISNUMBER(deployment_raw[[#This Row],[Column5]]), deployment_raw[[#This Row],[Column5]],"")</f>
        <v/>
      </c>
      <c r="F746" s="174" t="str">
        <f>IF(ISNUMBER(deployment_raw[[#This Row],[Column6]]), (deployment_raw[[#This Row],[Column6]] * deployment_raw[[#This Row],[Column5]]),"")</f>
        <v/>
      </c>
      <c r="G746" s="175" t="str">
        <f>IF(ISNUMBER(deployment_raw[[#This Row],[Column7]]), (deployment_raw[[#This Row],[Column7]] * deployment_raw[[#This Row],[Column5]])/1048576,"")</f>
        <v/>
      </c>
      <c r="H746" s="175" t="str">
        <f>IF(ISNUMBER(deployment_raw[[#This Row],[Column8]]), (deployment_raw[[#This Row],[Column8]]  * deployment_raw[[#This Row],[Column5]]),"")</f>
        <v/>
      </c>
      <c r="I746" s="176" t="str">
        <f>IF(ISNUMBER(deployment_raw[[#This Row],[Column9]]), (deployment_raw[[#This Row],[Column9]] * deployment_raw[[#This Row],[Column5]])/1048576,"")</f>
        <v/>
      </c>
      <c r="J746" s="57" t="str">
        <f>IF(ISNUMBER(deployment_raw[[#This Row],[Column10]]), (deployment_raw[[#This Row],[Column10]] * deployment_raw[[#This Row],[Column5]]),"")</f>
        <v/>
      </c>
      <c r="K746" s="58" t="str">
        <f>IF(ISNUMBER(deployment_raw[[#This Row],[Column11]]), (deployment_raw[[#This Row],[Column11]] * deployment_raw[[#This Row],[Column5]])/1048576,"")</f>
        <v/>
      </c>
      <c r="L746" s="180" t="str">
        <f>IF(ISNUMBER(deployment_raw[[#This Row],[Column8]]),IF(deployment_raw[[#This Row],[Column5]] &lt;&gt; 0, MAX((deployment_raw[[#This Row],[Column12]] * deployment_raw[[#This Row],[Column5]]), ((deployment_raw[[#This Row],[Column8]] * deployment_raw[[#This Row],[Column5]]) * $L$2), ($H$2 * deployment_raw[[#This Row],[Column5]])), 0),"")</f>
        <v/>
      </c>
      <c r="M74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46" s="188" t="str">
        <f>IF(ISNUMBER(deployment_raw[[#This Row],[Column14]]), deployment_raw[[#This Row],[Column14]],"")</f>
        <v/>
      </c>
      <c r="O746" s="189" t="str">
        <f>IF(ISNUMBER(deployment_raw[[#This Row],[Column15]]), deployment_raw[[#This Row],[Column15]]/1048576,"")</f>
        <v/>
      </c>
      <c r="P746" s="190" t="str">
        <f>IF(ISNUMBER(deployment_raw[[#This Row],[Column12]]), (deployment_raw[[#This Row],[Column12]] * deployment_raw[[#This Row],[Column5]]),"")</f>
        <v/>
      </c>
      <c r="Q746" s="189" t="str">
        <f>IF(ISNUMBER(deployment_raw[[#This Row],[Column13]]), (deployment_raw[[#This Row],[Column13]] * deployment_raw[[#This Row],[Column5]])/1048576,"")</f>
        <v/>
      </c>
    </row>
    <row r="747" spans="1:17" ht="15.75" customHeight="1" x14ac:dyDescent="0.25">
      <c r="A747" s="37" t="str">
        <f>IF(ISNONTEXT(deployment_raw[[#This Row],[Column1]]), "", deployment_raw[[#This Row],[Column1]])</f>
        <v/>
      </c>
      <c r="B747" s="38" t="str">
        <f>IF(ISNONTEXT(deployment_raw[[#This Row],[Column2]]), "", deployment_raw[[#This Row],[Column2]])</f>
        <v/>
      </c>
      <c r="C747" s="38" t="str">
        <f>IF(ISNONTEXT(deployment_raw[[#This Row],[Column3]]), "", deployment_raw[[#This Row],[Column3]])</f>
        <v/>
      </c>
      <c r="D747" s="38" t="str">
        <f>IF(ISNONTEXT(deployment_raw[[#This Row],[Column4]]), "", deployment_raw[[#This Row],[Column4]])</f>
        <v/>
      </c>
      <c r="E747" s="39" t="str">
        <f>IF(ISNUMBER(deployment_raw[[#This Row],[Column5]]), deployment_raw[[#This Row],[Column5]],"")</f>
        <v/>
      </c>
      <c r="F747" s="174" t="str">
        <f>IF(ISNUMBER(deployment_raw[[#This Row],[Column6]]), (deployment_raw[[#This Row],[Column6]] * deployment_raw[[#This Row],[Column5]]),"")</f>
        <v/>
      </c>
      <c r="G747" s="175" t="str">
        <f>IF(ISNUMBER(deployment_raw[[#This Row],[Column7]]), (deployment_raw[[#This Row],[Column7]] * deployment_raw[[#This Row],[Column5]])/1048576,"")</f>
        <v/>
      </c>
      <c r="H747" s="175" t="str">
        <f>IF(ISNUMBER(deployment_raw[[#This Row],[Column8]]), (deployment_raw[[#This Row],[Column8]]  * deployment_raw[[#This Row],[Column5]]),"")</f>
        <v/>
      </c>
      <c r="I747" s="176" t="str">
        <f>IF(ISNUMBER(deployment_raw[[#This Row],[Column9]]), (deployment_raw[[#This Row],[Column9]] * deployment_raw[[#This Row],[Column5]])/1048576,"")</f>
        <v/>
      </c>
      <c r="J747" s="57" t="str">
        <f>IF(ISNUMBER(deployment_raw[[#This Row],[Column10]]), (deployment_raw[[#This Row],[Column10]] * deployment_raw[[#This Row],[Column5]]),"")</f>
        <v/>
      </c>
      <c r="K747" s="58" t="str">
        <f>IF(ISNUMBER(deployment_raw[[#This Row],[Column11]]), (deployment_raw[[#This Row],[Column11]] * deployment_raw[[#This Row],[Column5]])/1048576,"")</f>
        <v/>
      </c>
      <c r="L747" s="180" t="str">
        <f>IF(ISNUMBER(deployment_raw[[#This Row],[Column8]]),IF(deployment_raw[[#This Row],[Column5]] &lt;&gt; 0, MAX((deployment_raw[[#This Row],[Column12]] * deployment_raw[[#This Row],[Column5]]), ((deployment_raw[[#This Row],[Column8]] * deployment_raw[[#This Row],[Column5]]) * $L$2), ($H$2 * deployment_raw[[#This Row],[Column5]])), 0),"")</f>
        <v/>
      </c>
      <c r="M74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47" s="188" t="str">
        <f>IF(ISNUMBER(deployment_raw[[#This Row],[Column14]]), deployment_raw[[#This Row],[Column14]],"")</f>
        <v/>
      </c>
      <c r="O747" s="189" t="str">
        <f>IF(ISNUMBER(deployment_raw[[#This Row],[Column15]]), deployment_raw[[#This Row],[Column15]]/1048576,"")</f>
        <v/>
      </c>
      <c r="P747" s="190" t="str">
        <f>IF(ISNUMBER(deployment_raw[[#This Row],[Column12]]), (deployment_raw[[#This Row],[Column12]] * deployment_raw[[#This Row],[Column5]]),"")</f>
        <v/>
      </c>
      <c r="Q747" s="189" t="str">
        <f>IF(ISNUMBER(deployment_raw[[#This Row],[Column13]]), (deployment_raw[[#This Row],[Column13]] * deployment_raw[[#This Row],[Column5]])/1048576,"")</f>
        <v/>
      </c>
    </row>
    <row r="748" spans="1:17" ht="15.75" customHeight="1" x14ac:dyDescent="0.25">
      <c r="A748" s="37" t="str">
        <f>IF(ISNONTEXT(deployment_raw[[#This Row],[Column1]]), "", deployment_raw[[#This Row],[Column1]])</f>
        <v/>
      </c>
      <c r="B748" s="38" t="str">
        <f>IF(ISNONTEXT(deployment_raw[[#This Row],[Column2]]), "", deployment_raw[[#This Row],[Column2]])</f>
        <v/>
      </c>
      <c r="C748" s="38" t="str">
        <f>IF(ISNONTEXT(deployment_raw[[#This Row],[Column3]]), "", deployment_raw[[#This Row],[Column3]])</f>
        <v/>
      </c>
      <c r="D748" s="38" t="str">
        <f>IF(ISNONTEXT(deployment_raw[[#This Row],[Column4]]), "", deployment_raw[[#This Row],[Column4]])</f>
        <v/>
      </c>
      <c r="E748" s="39" t="str">
        <f>IF(ISNUMBER(deployment_raw[[#This Row],[Column5]]), deployment_raw[[#This Row],[Column5]],"")</f>
        <v/>
      </c>
      <c r="F748" s="174" t="str">
        <f>IF(ISNUMBER(deployment_raw[[#This Row],[Column6]]), (deployment_raw[[#This Row],[Column6]] * deployment_raw[[#This Row],[Column5]]),"")</f>
        <v/>
      </c>
      <c r="G748" s="175" t="str">
        <f>IF(ISNUMBER(deployment_raw[[#This Row],[Column7]]), (deployment_raw[[#This Row],[Column7]] * deployment_raw[[#This Row],[Column5]])/1048576,"")</f>
        <v/>
      </c>
      <c r="H748" s="175" t="str">
        <f>IF(ISNUMBER(deployment_raw[[#This Row],[Column8]]), (deployment_raw[[#This Row],[Column8]]  * deployment_raw[[#This Row],[Column5]]),"")</f>
        <v/>
      </c>
      <c r="I748" s="176" t="str">
        <f>IF(ISNUMBER(deployment_raw[[#This Row],[Column9]]), (deployment_raw[[#This Row],[Column9]] * deployment_raw[[#This Row],[Column5]])/1048576,"")</f>
        <v/>
      </c>
      <c r="J748" s="57" t="str">
        <f>IF(ISNUMBER(deployment_raw[[#This Row],[Column10]]), (deployment_raw[[#This Row],[Column10]] * deployment_raw[[#This Row],[Column5]]),"")</f>
        <v/>
      </c>
      <c r="K748" s="58" t="str">
        <f>IF(ISNUMBER(deployment_raw[[#This Row],[Column11]]), (deployment_raw[[#This Row],[Column11]] * deployment_raw[[#This Row],[Column5]])/1048576,"")</f>
        <v/>
      </c>
      <c r="L748" s="180" t="str">
        <f>IF(ISNUMBER(deployment_raw[[#This Row],[Column8]]),IF(deployment_raw[[#This Row],[Column5]] &lt;&gt; 0, MAX((deployment_raw[[#This Row],[Column12]] * deployment_raw[[#This Row],[Column5]]), ((deployment_raw[[#This Row],[Column8]] * deployment_raw[[#This Row],[Column5]]) * $L$2), ($H$2 * deployment_raw[[#This Row],[Column5]])), 0),"")</f>
        <v/>
      </c>
      <c r="M74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48" s="188" t="str">
        <f>IF(ISNUMBER(deployment_raw[[#This Row],[Column14]]), deployment_raw[[#This Row],[Column14]],"")</f>
        <v/>
      </c>
      <c r="O748" s="189" t="str">
        <f>IF(ISNUMBER(deployment_raw[[#This Row],[Column15]]), deployment_raw[[#This Row],[Column15]]/1048576,"")</f>
        <v/>
      </c>
      <c r="P748" s="190" t="str">
        <f>IF(ISNUMBER(deployment_raw[[#This Row],[Column12]]), (deployment_raw[[#This Row],[Column12]] * deployment_raw[[#This Row],[Column5]]),"")</f>
        <v/>
      </c>
      <c r="Q748" s="189" t="str">
        <f>IF(ISNUMBER(deployment_raw[[#This Row],[Column13]]), (deployment_raw[[#This Row],[Column13]] * deployment_raw[[#This Row],[Column5]])/1048576,"")</f>
        <v/>
      </c>
    </row>
    <row r="749" spans="1:17" ht="15.75" customHeight="1" x14ac:dyDescent="0.25">
      <c r="A749" s="37" t="str">
        <f>IF(ISNONTEXT(deployment_raw[[#This Row],[Column1]]), "", deployment_raw[[#This Row],[Column1]])</f>
        <v/>
      </c>
      <c r="B749" s="38" t="str">
        <f>IF(ISNONTEXT(deployment_raw[[#This Row],[Column2]]), "", deployment_raw[[#This Row],[Column2]])</f>
        <v/>
      </c>
      <c r="C749" s="38" t="str">
        <f>IF(ISNONTEXT(deployment_raw[[#This Row],[Column3]]), "", deployment_raw[[#This Row],[Column3]])</f>
        <v/>
      </c>
      <c r="D749" s="38" t="str">
        <f>IF(ISNONTEXT(deployment_raw[[#This Row],[Column4]]), "", deployment_raw[[#This Row],[Column4]])</f>
        <v/>
      </c>
      <c r="E749" s="39" t="str">
        <f>IF(ISNUMBER(deployment_raw[[#This Row],[Column5]]), deployment_raw[[#This Row],[Column5]],"")</f>
        <v/>
      </c>
      <c r="F749" s="174" t="str">
        <f>IF(ISNUMBER(deployment_raw[[#This Row],[Column6]]), (deployment_raw[[#This Row],[Column6]] * deployment_raw[[#This Row],[Column5]]),"")</f>
        <v/>
      </c>
      <c r="G749" s="175" t="str">
        <f>IF(ISNUMBER(deployment_raw[[#This Row],[Column7]]), (deployment_raw[[#This Row],[Column7]] * deployment_raw[[#This Row],[Column5]])/1048576,"")</f>
        <v/>
      </c>
      <c r="H749" s="175" t="str">
        <f>IF(ISNUMBER(deployment_raw[[#This Row],[Column8]]), (deployment_raw[[#This Row],[Column8]]  * deployment_raw[[#This Row],[Column5]]),"")</f>
        <v/>
      </c>
      <c r="I749" s="176" t="str">
        <f>IF(ISNUMBER(deployment_raw[[#This Row],[Column9]]), (deployment_raw[[#This Row],[Column9]] * deployment_raw[[#This Row],[Column5]])/1048576,"")</f>
        <v/>
      </c>
      <c r="J749" s="57" t="str">
        <f>IF(ISNUMBER(deployment_raw[[#This Row],[Column10]]), (deployment_raw[[#This Row],[Column10]] * deployment_raw[[#This Row],[Column5]]),"")</f>
        <v/>
      </c>
      <c r="K749" s="58" t="str">
        <f>IF(ISNUMBER(deployment_raw[[#This Row],[Column11]]), (deployment_raw[[#This Row],[Column11]] * deployment_raw[[#This Row],[Column5]])/1048576,"")</f>
        <v/>
      </c>
      <c r="L749" s="180" t="str">
        <f>IF(ISNUMBER(deployment_raw[[#This Row],[Column8]]),IF(deployment_raw[[#This Row],[Column5]] &lt;&gt; 0, MAX((deployment_raw[[#This Row],[Column12]] * deployment_raw[[#This Row],[Column5]]), ((deployment_raw[[#This Row],[Column8]] * deployment_raw[[#This Row],[Column5]]) * $L$2), ($H$2 * deployment_raw[[#This Row],[Column5]])), 0),"")</f>
        <v/>
      </c>
      <c r="M74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49" s="188" t="str">
        <f>IF(ISNUMBER(deployment_raw[[#This Row],[Column14]]), deployment_raw[[#This Row],[Column14]],"")</f>
        <v/>
      </c>
      <c r="O749" s="189" t="str">
        <f>IF(ISNUMBER(deployment_raw[[#This Row],[Column15]]), deployment_raw[[#This Row],[Column15]]/1048576,"")</f>
        <v/>
      </c>
      <c r="P749" s="190" t="str">
        <f>IF(ISNUMBER(deployment_raw[[#This Row],[Column12]]), (deployment_raw[[#This Row],[Column12]] * deployment_raw[[#This Row],[Column5]]),"")</f>
        <v/>
      </c>
      <c r="Q749" s="189" t="str">
        <f>IF(ISNUMBER(deployment_raw[[#This Row],[Column13]]), (deployment_raw[[#This Row],[Column13]] * deployment_raw[[#This Row],[Column5]])/1048576,"")</f>
        <v/>
      </c>
    </row>
    <row r="750" spans="1:17" ht="15.75" customHeight="1" x14ac:dyDescent="0.25">
      <c r="A750" s="37" t="str">
        <f>IF(ISNONTEXT(deployment_raw[[#This Row],[Column1]]), "", deployment_raw[[#This Row],[Column1]])</f>
        <v/>
      </c>
      <c r="B750" s="38" t="str">
        <f>IF(ISNONTEXT(deployment_raw[[#This Row],[Column2]]), "", deployment_raw[[#This Row],[Column2]])</f>
        <v/>
      </c>
      <c r="C750" s="38" t="str">
        <f>IF(ISNONTEXT(deployment_raw[[#This Row],[Column3]]), "", deployment_raw[[#This Row],[Column3]])</f>
        <v/>
      </c>
      <c r="D750" s="38" t="str">
        <f>IF(ISNONTEXT(deployment_raw[[#This Row],[Column4]]), "", deployment_raw[[#This Row],[Column4]])</f>
        <v/>
      </c>
      <c r="E750" s="39" t="str">
        <f>IF(ISNUMBER(deployment_raw[[#This Row],[Column5]]), deployment_raw[[#This Row],[Column5]],"")</f>
        <v/>
      </c>
      <c r="F750" s="174" t="str">
        <f>IF(ISNUMBER(deployment_raw[[#This Row],[Column6]]), (deployment_raw[[#This Row],[Column6]] * deployment_raw[[#This Row],[Column5]]),"")</f>
        <v/>
      </c>
      <c r="G750" s="175" t="str">
        <f>IF(ISNUMBER(deployment_raw[[#This Row],[Column7]]), (deployment_raw[[#This Row],[Column7]] * deployment_raw[[#This Row],[Column5]])/1048576,"")</f>
        <v/>
      </c>
      <c r="H750" s="175" t="str">
        <f>IF(ISNUMBER(deployment_raw[[#This Row],[Column8]]), (deployment_raw[[#This Row],[Column8]]  * deployment_raw[[#This Row],[Column5]]),"")</f>
        <v/>
      </c>
      <c r="I750" s="176" t="str">
        <f>IF(ISNUMBER(deployment_raw[[#This Row],[Column9]]), (deployment_raw[[#This Row],[Column9]] * deployment_raw[[#This Row],[Column5]])/1048576,"")</f>
        <v/>
      </c>
      <c r="J750" s="57" t="str">
        <f>IF(ISNUMBER(deployment_raw[[#This Row],[Column10]]), (deployment_raw[[#This Row],[Column10]] * deployment_raw[[#This Row],[Column5]]),"")</f>
        <v/>
      </c>
      <c r="K750" s="58" t="str">
        <f>IF(ISNUMBER(deployment_raw[[#This Row],[Column11]]), (deployment_raw[[#This Row],[Column11]] * deployment_raw[[#This Row],[Column5]])/1048576,"")</f>
        <v/>
      </c>
      <c r="L750" s="180" t="str">
        <f>IF(ISNUMBER(deployment_raw[[#This Row],[Column8]]),IF(deployment_raw[[#This Row],[Column5]] &lt;&gt; 0, MAX((deployment_raw[[#This Row],[Column12]] * deployment_raw[[#This Row],[Column5]]), ((deployment_raw[[#This Row],[Column8]] * deployment_raw[[#This Row],[Column5]]) * $L$2), ($H$2 * deployment_raw[[#This Row],[Column5]])), 0),"")</f>
        <v/>
      </c>
      <c r="M75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50" s="188" t="str">
        <f>IF(ISNUMBER(deployment_raw[[#This Row],[Column14]]), deployment_raw[[#This Row],[Column14]],"")</f>
        <v/>
      </c>
      <c r="O750" s="189" t="str">
        <f>IF(ISNUMBER(deployment_raw[[#This Row],[Column15]]), deployment_raw[[#This Row],[Column15]]/1048576,"")</f>
        <v/>
      </c>
      <c r="P750" s="190" t="str">
        <f>IF(ISNUMBER(deployment_raw[[#This Row],[Column12]]), (deployment_raw[[#This Row],[Column12]] * deployment_raw[[#This Row],[Column5]]),"")</f>
        <v/>
      </c>
      <c r="Q750" s="189" t="str">
        <f>IF(ISNUMBER(deployment_raw[[#This Row],[Column13]]), (deployment_raw[[#This Row],[Column13]] * deployment_raw[[#This Row],[Column5]])/1048576,"")</f>
        <v/>
      </c>
    </row>
    <row r="751" spans="1:17" ht="15.75" customHeight="1" x14ac:dyDescent="0.25">
      <c r="A751" s="37" t="str">
        <f>IF(ISNONTEXT(deployment_raw[[#This Row],[Column1]]), "", deployment_raw[[#This Row],[Column1]])</f>
        <v/>
      </c>
      <c r="B751" s="38" t="str">
        <f>IF(ISNONTEXT(deployment_raw[[#This Row],[Column2]]), "", deployment_raw[[#This Row],[Column2]])</f>
        <v/>
      </c>
      <c r="C751" s="38" t="str">
        <f>IF(ISNONTEXT(deployment_raw[[#This Row],[Column3]]), "", deployment_raw[[#This Row],[Column3]])</f>
        <v/>
      </c>
      <c r="D751" s="38" t="str">
        <f>IF(ISNONTEXT(deployment_raw[[#This Row],[Column4]]), "", deployment_raw[[#This Row],[Column4]])</f>
        <v/>
      </c>
      <c r="E751" s="39" t="str">
        <f>IF(ISNUMBER(deployment_raw[[#This Row],[Column5]]), deployment_raw[[#This Row],[Column5]],"")</f>
        <v/>
      </c>
      <c r="F751" s="174" t="str">
        <f>IF(ISNUMBER(deployment_raw[[#This Row],[Column6]]), (deployment_raw[[#This Row],[Column6]] * deployment_raw[[#This Row],[Column5]]),"")</f>
        <v/>
      </c>
      <c r="G751" s="175" t="str">
        <f>IF(ISNUMBER(deployment_raw[[#This Row],[Column7]]), (deployment_raw[[#This Row],[Column7]] * deployment_raw[[#This Row],[Column5]])/1048576,"")</f>
        <v/>
      </c>
      <c r="H751" s="175" t="str">
        <f>IF(ISNUMBER(deployment_raw[[#This Row],[Column8]]), (deployment_raw[[#This Row],[Column8]]  * deployment_raw[[#This Row],[Column5]]),"")</f>
        <v/>
      </c>
      <c r="I751" s="176" t="str">
        <f>IF(ISNUMBER(deployment_raw[[#This Row],[Column9]]), (deployment_raw[[#This Row],[Column9]] * deployment_raw[[#This Row],[Column5]])/1048576,"")</f>
        <v/>
      </c>
      <c r="J751" s="57" t="str">
        <f>IF(ISNUMBER(deployment_raw[[#This Row],[Column10]]), (deployment_raw[[#This Row],[Column10]] * deployment_raw[[#This Row],[Column5]]),"")</f>
        <v/>
      </c>
      <c r="K751" s="58" t="str">
        <f>IF(ISNUMBER(deployment_raw[[#This Row],[Column11]]), (deployment_raw[[#This Row],[Column11]] * deployment_raw[[#This Row],[Column5]])/1048576,"")</f>
        <v/>
      </c>
      <c r="L751" s="180" t="str">
        <f>IF(ISNUMBER(deployment_raw[[#This Row],[Column8]]),IF(deployment_raw[[#This Row],[Column5]] &lt;&gt; 0, MAX((deployment_raw[[#This Row],[Column12]] * deployment_raw[[#This Row],[Column5]]), ((deployment_raw[[#This Row],[Column8]] * deployment_raw[[#This Row],[Column5]]) * $L$2), ($H$2 * deployment_raw[[#This Row],[Column5]])), 0),"")</f>
        <v/>
      </c>
      <c r="M75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51" s="188" t="str">
        <f>IF(ISNUMBER(deployment_raw[[#This Row],[Column14]]), deployment_raw[[#This Row],[Column14]],"")</f>
        <v/>
      </c>
      <c r="O751" s="189" t="str">
        <f>IF(ISNUMBER(deployment_raw[[#This Row],[Column15]]), deployment_raw[[#This Row],[Column15]]/1048576,"")</f>
        <v/>
      </c>
      <c r="P751" s="190" t="str">
        <f>IF(ISNUMBER(deployment_raw[[#This Row],[Column12]]), (deployment_raw[[#This Row],[Column12]] * deployment_raw[[#This Row],[Column5]]),"")</f>
        <v/>
      </c>
      <c r="Q751" s="189" t="str">
        <f>IF(ISNUMBER(deployment_raw[[#This Row],[Column13]]), (deployment_raw[[#This Row],[Column13]] * deployment_raw[[#This Row],[Column5]])/1048576,"")</f>
        <v/>
      </c>
    </row>
    <row r="752" spans="1:17" ht="15.75" customHeight="1" x14ac:dyDescent="0.25">
      <c r="A752" s="37" t="str">
        <f>IF(ISNONTEXT(deployment_raw[[#This Row],[Column1]]), "", deployment_raw[[#This Row],[Column1]])</f>
        <v/>
      </c>
      <c r="B752" s="38" t="str">
        <f>IF(ISNONTEXT(deployment_raw[[#This Row],[Column2]]), "", deployment_raw[[#This Row],[Column2]])</f>
        <v/>
      </c>
      <c r="C752" s="38" t="str">
        <f>IF(ISNONTEXT(deployment_raw[[#This Row],[Column3]]), "", deployment_raw[[#This Row],[Column3]])</f>
        <v/>
      </c>
      <c r="D752" s="38" t="str">
        <f>IF(ISNONTEXT(deployment_raw[[#This Row],[Column4]]), "", deployment_raw[[#This Row],[Column4]])</f>
        <v/>
      </c>
      <c r="E752" s="39" t="str">
        <f>IF(ISNUMBER(deployment_raw[[#This Row],[Column5]]), deployment_raw[[#This Row],[Column5]],"")</f>
        <v/>
      </c>
      <c r="F752" s="174" t="str">
        <f>IF(ISNUMBER(deployment_raw[[#This Row],[Column6]]), (deployment_raw[[#This Row],[Column6]] * deployment_raw[[#This Row],[Column5]]),"")</f>
        <v/>
      </c>
      <c r="G752" s="175" t="str">
        <f>IF(ISNUMBER(deployment_raw[[#This Row],[Column7]]), (deployment_raw[[#This Row],[Column7]] * deployment_raw[[#This Row],[Column5]])/1048576,"")</f>
        <v/>
      </c>
      <c r="H752" s="175" t="str">
        <f>IF(ISNUMBER(deployment_raw[[#This Row],[Column8]]), (deployment_raw[[#This Row],[Column8]]  * deployment_raw[[#This Row],[Column5]]),"")</f>
        <v/>
      </c>
      <c r="I752" s="176" t="str">
        <f>IF(ISNUMBER(deployment_raw[[#This Row],[Column9]]), (deployment_raw[[#This Row],[Column9]] * deployment_raw[[#This Row],[Column5]])/1048576,"")</f>
        <v/>
      </c>
      <c r="J752" s="57" t="str">
        <f>IF(ISNUMBER(deployment_raw[[#This Row],[Column10]]), (deployment_raw[[#This Row],[Column10]] * deployment_raw[[#This Row],[Column5]]),"")</f>
        <v/>
      </c>
      <c r="K752" s="58" t="str">
        <f>IF(ISNUMBER(deployment_raw[[#This Row],[Column11]]), (deployment_raw[[#This Row],[Column11]] * deployment_raw[[#This Row],[Column5]])/1048576,"")</f>
        <v/>
      </c>
      <c r="L752" s="180" t="str">
        <f>IF(ISNUMBER(deployment_raw[[#This Row],[Column8]]),IF(deployment_raw[[#This Row],[Column5]] &lt;&gt; 0, MAX((deployment_raw[[#This Row],[Column12]] * deployment_raw[[#This Row],[Column5]]), ((deployment_raw[[#This Row],[Column8]] * deployment_raw[[#This Row],[Column5]]) * $L$2), ($H$2 * deployment_raw[[#This Row],[Column5]])), 0),"")</f>
        <v/>
      </c>
      <c r="M75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52" s="188" t="str">
        <f>IF(ISNUMBER(deployment_raw[[#This Row],[Column14]]), deployment_raw[[#This Row],[Column14]],"")</f>
        <v/>
      </c>
      <c r="O752" s="189" t="str">
        <f>IF(ISNUMBER(deployment_raw[[#This Row],[Column15]]), deployment_raw[[#This Row],[Column15]]/1048576,"")</f>
        <v/>
      </c>
      <c r="P752" s="190" t="str">
        <f>IF(ISNUMBER(deployment_raw[[#This Row],[Column12]]), (deployment_raw[[#This Row],[Column12]] * deployment_raw[[#This Row],[Column5]]),"")</f>
        <v/>
      </c>
      <c r="Q752" s="189" t="str">
        <f>IF(ISNUMBER(deployment_raw[[#This Row],[Column13]]), (deployment_raw[[#This Row],[Column13]] * deployment_raw[[#This Row],[Column5]])/1048576,"")</f>
        <v/>
      </c>
    </row>
    <row r="753" spans="1:17" ht="15.75" customHeight="1" x14ac:dyDescent="0.25">
      <c r="A753" s="37" t="str">
        <f>IF(ISNONTEXT(deployment_raw[[#This Row],[Column1]]), "", deployment_raw[[#This Row],[Column1]])</f>
        <v/>
      </c>
      <c r="B753" s="38" t="str">
        <f>IF(ISNONTEXT(deployment_raw[[#This Row],[Column2]]), "", deployment_raw[[#This Row],[Column2]])</f>
        <v/>
      </c>
      <c r="C753" s="38" t="str">
        <f>IF(ISNONTEXT(deployment_raw[[#This Row],[Column3]]), "", deployment_raw[[#This Row],[Column3]])</f>
        <v/>
      </c>
      <c r="D753" s="38" t="str">
        <f>IF(ISNONTEXT(deployment_raw[[#This Row],[Column4]]), "", deployment_raw[[#This Row],[Column4]])</f>
        <v/>
      </c>
      <c r="E753" s="39" t="str">
        <f>IF(ISNUMBER(deployment_raw[[#This Row],[Column5]]), deployment_raw[[#This Row],[Column5]],"")</f>
        <v/>
      </c>
      <c r="F753" s="174" t="str">
        <f>IF(ISNUMBER(deployment_raw[[#This Row],[Column6]]), (deployment_raw[[#This Row],[Column6]] * deployment_raw[[#This Row],[Column5]]),"")</f>
        <v/>
      </c>
      <c r="G753" s="175" t="str">
        <f>IF(ISNUMBER(deployment_raw[[#This Row],[Column7]]), (deployment_raw[[#This Row],[Column7]] * deployment_raw[[#This Row],[Column5]])/1048576,"")</f>
        <v/>
      </c>
      <c r="H753" s="175" t="str">
        <f>IF(ISNUMBER(deployment_raw[[#This Row],[Column8]]), (deployment_raw[[#This Row],[Column8]]  * deployment_raw[[#This Row],[Column5]]),"")</f>
        <v/>
      </c>
      <c r="I753" s="176" t="str">
        <f>IF(ISNUMBER(deployment_raw[[#This Row],[Column9]]), (deployment_raw[[#This Row],[Column9]] * deployment_raw[[#This Row],[Column5]])/1048576,"")</f>
        <v/>
      </c>
      <c r="J753" s="57" t="str">
        <f>IF(ISNUMBER(deployment_raw[[#This Row],[Column10]]), (deployment_raw[[#This Row],[Column10]] * deployment_raw[[#This Row],[Column5]]),"")</f>
        <v/>
      </c>
      <c r="K753" s="58" t="str">
        <f>IF(ISNUMBER(deployment_raw[[#This Row],[Column11]]), (deployment_raw[[#This Row],[Column11]] * deployment_raw[[#This Row],[Column5]])/1048576,"")</f>
        <v/>
      </c>
      <c r="L753" s="180" t="str">
        <f>IF(ISNUMBER(deployment_raw[[#This Row],[Column8]]),IF(deployment_raw[[#This Row],[Column5]] &lt;&gt; 0, MAX((deployment_raw[[#This Row],[Column12]] * deployment_raw[[#This Row],[Column5]]), ((deployment_raw[[#This Row],[Column8]] * deployment_raw[[#This Row],[Column5]]) * $L$2), ($H$2 * deployment_raw[[#This Row],[Column5]])), 0),"")</f>
        <v/>
      </c>
      <c r="M75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53" s="188" t="str">
        <f>IF(ISNUMBER(deployment_raw[[#This Row],[Column14]]), deployment_raw[[#This Row],[Column14]],"")</f>
        <v/>
      </c>
      <c r="O753" s="189" t="str">
        <f>IF(ISNUMBER(deployment_raw[[#This Row],[Column15]]), deployment_raw[[#This Row],[Column15]]/1048576,"")</f>
        <v/>
      </c>
      <c r="P753" s="190" t="str">
        <f>IF(ISNUMBER(deployment_raw[[#This Row],[Column12]]), (deployment_raw[[#This Row],[Column12]] * deployment_raw[[#This Row],[Column5]]),"")</f>
        <v/>
      </c>
      <c r="Q753" s="189" t="str">
        <f>IF(ISNUMBER(deployment_raw[[#This Row],[Column13]]), (deployment_raw[[#This Row],[Column13]] * deployment_raw[[#This Row],[Column5]])/1048576,"")</f>
        <v/>
      </c>
    </row>
    <row r="754" spans="1:17" ht="15.75" customHeight="1" x14ac:dyDescent="0.25">
      <c r="A754" s="37" t="str">
        <f>IF(ISNONTEXT(deployment_raw[[#This Row],[Column1]]), "", deployment_raw[[#This Row],[Column1]])</f>
        <v/>
      </c>
      <c r="B754" s="38" t="str">
        <f>IF(ISNONTEXT(deployment_raw[[#This Row],[Column2]]), "", deployment_raw[[#This Row],[Column2]])</f>
        <v/>
      </c>
      <c r="C754" s="38" t="str">
        <f>IF(ISNONTEXT(deployment_raw[[#This Row],[Column3]]), "", deployment_raw[[#This Row],[Column3]])</f>
        <v/>
      </c>
      <c r="D754" s="38" t="str">
        <f>IF(ISNONTEXT(deployment_raw[[#This Row],[Column4]]), "", deployment_raw[[#This Row],[Column4]])</f>
        <v/>
      </c>
      <c r="E754" s="39" t="str">
        <f>IF(ISNUMBER(deployment_raw[[#This Row],[Column5]]), deployment_raw[[#This Row],[Column5]],"")</f>
        <v/>
      </c>
      <c r="F754" s="174" t="str">
        <f>IF(ISNUMBER(deployment_raw[[#This Row],[Column6]]), (deployment_raw[[#This Row],[Column6]] * deployment_raw[[#This Row],[Column5]]),"")</f>
        <v/>
      </c>
      <c r="G754" s="175" t="str">
        <f>IF(ISNUMBER(deployment_raw[[#This Row],[Column7]]), (deployment_raw[[#This Row],[Column7]] * deployment_raw[[#This Row],[Column5]])/1048576,"")</f>
        <v/>
      </c>
      <c r="H754" s="175" t="str">
        <f>IF(ISNUMBER(deployment_raw[[#This Row],[Column8]]), (deployment_raw[[#This Row],[Column8]]  * deployment_raw[[#This Row],[Column5]]),"")</f>
        <v/>
      </c>
      <c r="I754" s="176" t="str">
        <f>IF(ISNUMBER(deployment_raw[[#This Row],[Column9]]), (deployment_raw[[#This Row],[Column9]] * deployment_raw[[#This Row],[Column5]])/1048576,"")</f>
        <v/>
      </c>
      <c r="J754" s="57" t="str">
        <f>IF(ISNUMBER(deployment_raw[[#This Row],[Column10]]), (deployment_raw[[#This Row],[Column10]] * deployment_raw[[#This Row],[Column5]]),"")</f>
        <v/>
      </c>
      <c r="K754" s="58" t="str">
        <f>IF(ISNUMBER(deployment_raw[[#This Row],[Column11]]), (deployment_raw[[#This Row],[Column11]] * deployment_raw[[#This Row],[Column5]])/1048576,"")</f>
        <v/>
      </c>
      <c r="L754" s="180" t="str">
        <f>IF(ISNUMBER(deployment_raw[[#This Row],[Column8]]),IF(deployment_raw[[#This Row],[Column5]] &lt;&gt; 0, MAX((deployment_raw[[#This Row],[Column12]] * deployment_raw[[#This Row],[Column5]]), ((deployment_raw[[#This Row],[Column8]] * deployment_raw[[#This Row],[Column5]]) * $L$2), ($H$2 * deployment_raw[[#This Row],[Column5]])), 0),"")</f>
        <v/>
      </c>
      <c r="M75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54" s="188" t="str">
        <f>IF(ISNUMBER(deployment_raw[[#This Row],[Column14]]), deployment_raw[[#This Row],[Column14]],"")</f>
        <v/>
      </c>
      <c r="O754" s="189" t="str">
        <f>IF(ISNUMBER(deployment_raw[[#This Row],[Column15]]), deployment_raw[[#This Row],[Column15]]/1048576,"")</f>
        <v/>
      </c>
      <c r="P754" s="190" t="str">
        <f>IF(ISNUMBER(deployment_raw[[#This Row],[Column12]]), (deployment_raw[[#This Row],[Column12]] * deployment_raw[[#This Row],[Column5]]),"")</f>
        <v/>
      </c>
      <c r="Q754" s="189" t="str">
        <f>IF(ISNUMBER(deployment_raw[[#This Row],[Column13]]), (deployment_raw[[#This Row],[Column13]] * deployment_raw[[#This Row],[Column5]])/1048576,"")</f>
        <v/>
      </c>
    </row>
    <row r="755" spans="1:17" ht="15.75" customHeight="1" x14ac:dyDescent="0.25">
      <c r="A755" s="37" t="str">
        <f>IF(ISNONTEXT(deployment_raw[[#This Row],[Column1]]), "", deployment_raw[[#This Row],[Column1]])</f>
        <v/>
      </c>
      <c r="B755" s="38" t="str">
        <f>IF(ISNONTEXT(deployment_raw[[#This Row],[Column2]]), "", deployment_raw[[#This Row],[Column2]])</f>
        <v/>
      </c>
      <c r="C755" s="38" t="str">
        <f>IF(ISNONTEXT(deployment_raw[[#This Row],[Column3]]), "", deployment_raw[[#This Row],[Column3]])</f>
        <v/>
      </c>
      <c r="D755" s="38" t="str">
        <f>IF(ISNONTEXT(deployment_raw[[#This Row],[Column4]]), "", deployment_raw[[#This Row],[Column4]])</f>
        <v/>
      </c>
      <c r="E755" s="39" t="str">
        <f>IF(ISNUMBER(deployment_raw[[#This Row],[Column5]]), deployment_raw[[#This Row],[Column5]],"")</f>
        <v/>
      </c>
      <c r="F755" s="174" t="str">
        <f>IF(ISNUMBER(deployment_raw[[#This Row],[Column6]]), (deployment_raw[[#This Row],[Column6]] * deployment_raw[[#This Row],[Column5]]),"")</f>
        <v/>
      </c>
      <c r="G755" s="175" t="str">
        <f>IF(ISNUMBER(deployment_raw[[#This Row],[Column7]]), (deployment_raw[[#This Row],[Column7]] * deployment_raw[[#This Row],[Column5]])/1048576,"")</f>
        <v/>
      </c>
      <c r="H755" s="175" t="str">
        <f>IF(ISNUMBER(deployment_raw[[#This Row],[Column8]]), (deployment_raw[[#This Row],[Column8]]  * deployment_raw[[#This Row],[Column5]]),"")</f>
        <v/>
      </c>
      <c r="I755" s="176" t="str">
        <f>IF(ISNUMBER(deployment_raw[[#This Row],[Column9]]), (deployment_raw[[#This Row],[Column9]] * deployment_raw[[#This Row],[Column5]])/1048576,"")</f>
        <v/>
      </c>
      <c r="J755" s="57" t="str">
        <f>IF(ISNUMBER(deployment_raw[[#This Row],[Column10]]), (deployment_raw[[#This Row],[Column10]] * deployment_raw[[#This Row],[Column5]]),"")</f>
        <v/>
      </c>
      <c r="K755" s="58" t="str">
        <f>IF(ISNUMBER(deployment_raw[[#This Row],[Column11]]), (deployment_raw[[#This Row],[Column11]] * deployment_raw[[#This Row],[Column5]])/1048576,"")</f>
        <v/>
      </c>
      <c r="L755" s="180" t="str">
        <f>IF(ISNUMBER(deployment_raw[[#This Row],[Column8]]),IF(deployment_raw[[#This Row],[Column5]] &lt;&gt; 0, MAX((deployment_raw[[#This Row],[Column12]] * deployment_raw[[#This Row],[Column5]]), ((deployment_raw[[#This Row],[Column8]] * deployment_raw[[#This Row],[Column5]]) * $L$2), ($H$2 * deployment_raw[[#This Row],[Column5]])), 0),"")</f>
        <v/>
      </c>
      <c r="M75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55" s="188" t="str">
        <f>IF(ISNUMBER(deployment_raw[[#This Row],[Column14]]), deployment_raw[[#This Row],[Column14]],"")</f>
        <v/>
      </c>
      <c r="O755" s="189" t="str">
        <f>IF(ISNUMBER(deployment_raw[[#This Row],[Column15]]), deployment_raw[[#This Row],[Column15]]/1048576,"")</f>
        <v/>
      </c>
      <c r="P755" s="190" t="str">
        <f>IF(ISNUMBER(deployment_raw[[#This Row],[Column12]]), (deployment_raw[[#This Row],[Column12]] * deployment_raw[[#This Row],[Column5]]),"")</f>
        <v/>
      </c>
      <c r="Q755" s="189" t="str">
        <f>IF(ISNUMBER(deployment_raw[[#This Row],[Column13]]), (deployment_raw[[#This Row],[Column13]] * deployment_raw[[#This Row],[Column5]])/1048576,"")</f>
        <v/>
      </c>
    </row>
    <row r="756" spans="1:17" ht="15.75" customHeight="1" x14ac:dyDescent="0.25">
      <c r="A756" s="37" t="str">
        <f>IF(ISNONTEXT(deployment_raw[[#This Row],[Column1]]), "", deployment_raw[[#This Row],[Column1]])</f>
        <v/>
      </c>
      <c r="B756" s="38" t="str">
        <f>IF(ISNONTEXT(deployment_raw[[#This Row],[Column2]]), "", deployment_raw[[#This Row],[Column2]])</f>
        <v/>
      </c>
      <c r="C756" s="38" t="str">
        <f>IF(ISNONTEXT(deployment_raw[[#This Row],[Column3]]), "", deployment_raw[[#This Row],[Column3]])</f>
        <v/>
      </c>
      <c r="D756" s="38" t="str">
        <f>IF(ISNONTEXT(deployment_raw[[#This Row],[Column4]]), "", deployment_raw[[#This Row],[Column4]])</f>
        <v/>
      </c>
      <c r="E756" s="39" t="str">
        <f>IF(ISNUMBER(deployment_raw[[#This Row],[Column5]]), deployment_raw[[#This Row],[Column5]],"")</f>
        <v/>
      </c>
      <c r="F756" s="174" t="str">
        <f>IF(ISNUMBER(deployment_raw[[#This Row],[Column6]]), (deployment_raw[[#This Row],[Column6]] * deployment_raw[[#This Row],[Column5]]),"")</f>
        <v/>
      </c>
      <c r="G756" s="175" t="str">
        <f>IF(ISNUMBER(deployment_raw[[#This Row],[Column7]]), (deployment_raw[[#This Row],[Column7]] * deployment_raw[[#This Row],[Column5]])/1048576,"")</f>
        <v/>
      </c>
      <c r="H756" s="175" t="str">
        <f>IF(ISNUMBER(deployment_raw[[#This Row],[Column8]]), (deployment_raw[[#This Row],[Column8]]  * deployment_raw[[#This Row],[Column5]]),"")</f>
        <v/>
      </c>
      <c r="I756" s="176" t="str">
        <f>IF(ISNUMBER(deployment_raw[[#This Row],[Column9]]), (deployment_raw[[#This Row],[Column9]] * deployment_raw[[#This Row],[Column5]])/1048576,"")</f>
        <v/>
      </c>
      <c r="J756" s="57" t="str">
        <f>IF(ISNUMBER(deployment_raw[[#This Row],[Column10]]), (deployment_raw[[#This Row],[Column10]] * deployment_raw[[#This Row],[Column5]]),"")</f>
        <v/>
      </c>
      <c r="K756" s="58" t="str">
        <f>IF(ISNUMBER(deployment_raw[[#This Row],[Column11]]), (deployment_raw[[#This Row],[Column11]] * deployment_raw[[#This Row],[Column5]])/1048576,"")</f>
        <v/>
      </c>
      <c r="L756" s="180" t="str">
        <f>IF(ISNUMBER(deployment_raw[[#This Row],[Column8]]),IF(deployment_raw[[#This Row],[Column5]] &lt;&gt; 0, MAX((deployment_raw[[#This Row],[Column12]] * deployment_raw[[#This Row],[Column5]]), ((deployment_raw[[#This Row],[Column8]] * deployment_raw[[#This Row],[Column5]]) * $L$2), ($H$2 * deployment_raw[[#This Row],[Column5]])), 0),"")</f>
        <v/>
      </c>
      <c r="M75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56" s="188" t="str">
        <f>IF(ISNUMBER(deployment_raw[[#This Row],[Column14]]), deployment_raw[[#This Row],[Column14]],"")</f>
        <v/>
      </c>
      <c r="O756" s="189" t="str">
        <f>IF(ISNUMBER(deployment_raw[[#This Row],[Column15]]), deployment_raw[[#This Row],[Column15]]/1048576,"")</f>
        <v/>
      </c>
      <c r="P756" s="190" t="str">
        <f>IF(ISNUMBER(deployment_raw[[#This Row],[Column12]]), (deployment_raw[[#This Row],[Column12]] * deployment_raw[[#This Row],[Column5]]),"")</f>
        <v/>
      </c>
      <c r="Q756" s="189" t="str">
        <f>IF(ISNUMBER(deployment_raw[[#This Row],[Column13]]), (deployment_raw[[#This Row],[Column13]] * deployment_raw[[#This Row],[Column5]])/1048576,"")</f>
        <v/>
      </c>
    </row>
    <row r="757" spans="1:17" ht="15.75" customHeight="1" x14ac:dyDescent="0.25">
      <c r="A757" s="37" t="str">
        <f>IF(ISNONTEXT(deployment_raw[[#This Row],[Column1]]), "", deployment_raw[[#This Row],[Column1]])</f>
        <v/>
      </c>
      <c r="B757" s="38" t="str">
        <f>IF(ISNONTEXT(deployment_raw[[#This Row],[Column2]]), "", deployment_raw[[#This Row],[Column2]])</f>
        <v/>
      </c>
      <c r="C757" s="38" t="str">
        <f>IF(ISNONTEXT(deployment_raw[[#This Row],[Column3]]), "", deployment_raw[[#This Row],[Column3]])</f>
        <v/>
      </c>
      <c r="D757" s="38" t="str">
        <f>IF(ISNONTEXT(deployment_raw[[#This Row],[Column4]]), "", deployment_raw[[#This Row],[Column4]])</f>
        <v/>
      </c>
      <c r="E757" s="39" t="str">
        <f>IF(ISNUMBER(deployment_raw[[#This Row],[Column5]]), deployment_raw[[#This Row],[Column5]],"")</f>
        <v/>
      </c>
      <c r="F757" s="174" t="str">
        <f>IF(ISNUMBER(deployment_raw[[#This Row],[Column6]]), (deployment_raw[[#This Row],[Column6]] * deployment_raw[[#This Row],[Column5]]),"")</f>
        <v/>
      </c>
      <c r="G757" s="175" t="str">
        <f>IF(ISNUMBER(deployment_raw[[#This Row],[Column7]]), (deployment_raw[[#This Row],[Column7]] * deployment_raw[[#This Row],[Column5]])/1048576,"")</f>
        <v/>
      </c>
      <c r="H757" s="175" t="str">
        <f>IF(ISNUMBER(deployment_raw[[#This Row],[Column8]]), (deployment_raw[[#This Row],[Column8]]  * deployment_raw[[#This Row],[Column5]]),"")</f>
        <v/>
      </c>
      <c r="I757" s="176" t="str">
        <f>IF(ISNUMBER(deployment_raw[[#This Row],[Column9]]), (deployment_raw[[#This Row],[Column9]] * deployment_raw[[#This Row],[Column5]])/1048576,"")</f>
        <v/>
      </c>
      <c r="J757" s="57" t="str">
        <f>IF(ISNUMBER(deployment_raw[[#This Row],[Column10]]), (deployment_raw[[#This Row],[Column10]] * deployment_raw[[#This Row],[Column5]]),"")</f>
        <v/>
      </c>
      <c r="K757" s="58" t="str">
        <f>IF(ISNUMBER(deployment_raw[[#This Row],[Column11]]), (deployment_raw[[#This Row],[Column11]] * deployment_raw[[#This Row],[Column5]])/1048576,"")</f>
        <v/>
      </c>
      <c r="L757" s="180" t="str">
        <f>IF(ISNUMBER(deployment_raw[[#This Row],[Column8]]),IF(deployment_raw[[#This Row],[Column5]] &lt;&gt; 0, MAX((deployment_raw[[#This Row],[Column12]] * deployment_raw[[#This Row],[Column5]]), ((deployment_raw[[#This Row],[Column8]] * deployment_raw[[#This Row],[Column5]]) * $L$2), ($H$2 * deployment_raw[[#This Row],[Column5]])), 0),"")</f>
        <v/>
      </c>
      <c r="M75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57" s="188" t="str">
        <f>IF(ISNUMBER(deployment_raw[[#This Row],[Column14]]), deployment_raw[[#This Row],[Column14]],"")</f>
        <v/>
      </c>
      <c r="O757" s="189" t="str">
        <f>IF(ISNUMBER(deployment_raw[[#This Row],[Column15]]), deployment_raw[[#This Row],[Column15]]/1048576,"")</f>
        <v/>
      </c>
      <c r="P757" s="190" t="str">
        <f>IF(ISNUMBER(deployment_raw[[#This Row],[Column12]]), (deployment_raw[[#This Row],[Column12]] * deployment_raw[[#This Row],[Column5]]),"")</f>
        <v/>
      </c>
      <c r="Q757" s="189" t="str">
        <f>IF(ISNUMBER(deployment_raw[[#This Row],[Column13]]), (deployment_raw[[#This Row],[Column13]] * deployment_raw[[#This Row],[Column5]])/1048576,"")</f>
        <v/>
      </c>
    </row>
    <row r="758" spans="1:17" ht="15.75" customHeight="1" x14ac:dyDescent="0.25">
      <c r="A758" s="37" t="str">
        <f>IF(ISNONTEXT(deployment_raw[[#This Row],[Column1]]), "", deployment_raw[[#This Row],[Column1]])</f>
        <v/>
      </c>
      <c r="B758" s="38" t="str">
        <f>IF(ISNONTEXT(deployment_raw[[#This Row],[Column2]]), "", deployment_raw[[#This Row],[Column2]])</f>
        <v/>
      </c>
      <c r="C758" s="38" t="str">
        <f>IF(ISNONTEXT(deployment_raw[[#This Row],[Column3]]), "", deployment_raw[[#This Row],[Column3]])</f>
        <v/>
      </c>
      <c r="D758" s="38" t="str">
        <f>IF(ISNONTEXT(deployment_raw[[#This Row],[Column4]]), "", deployment_raw[[#This Row],[Column4]])</f>
        <v/>
      </c>
      <c r="E758" s="39" t="str">
        <f>IF(ISNUMBER(deployment_raw[[#This Row],[Column5]]), deployment_raw[[#This Row],[Column5]],"")</f>
        <v/>
      </c>
      <c r="F758" s="174" t="str">
        <f>IF(ISNUMBER(deployment_raw[[#This Row],[Column6]]), (deployment_raw[[#This Row],[Column6]] * deployment_raw[[#This Row],[Column5]]),"")</f>
        <v/>
      </c>
      <c r="G758" s="175" t="str">
        <f>IF(ISNUMBER(deployment_raw[[#This Row],[Column7]]), (deployment_raw[[#This Row],[Column7]] * deployment_raw[[#This Row],[Column5]])/1048576,"")</f>
        <v/>
      </c>
      <c r="H758" s="175" t="str">
        <f>IF(ISNUMBER(deployment_raw[[#This Row],[Column8]]), (deployment_raw[[#This Row],[Column8]]  * deployment_raw[[#This Row],[Column5]]),"")</f>
        <v/>
      </c>
      <c r="I758" s="176" t="str">
        <f>IF(ISNUMBER(deployment_raw[[#This Row],[Column9]]), (deployment_raw[[#This Row],[Column9]] * deployment_raw[[#This Row],[Column5]])/1048576,"")</f>
        <v/>
      </c>
      <c r="J758" s="57" t="str">
        <f>IF(ISNUMBER(deployment_raw[[#This Row],[Column10]]), (deployment_raw[[#This Row],[Column10]] * deployment_raw[[#This Row],[Column5]]),"")</f>
        <v/>
      </c>
      <c r="K758" s="58" t="str">
        <f>IF(ISNUMBER(deployment_raw[[#This Row],[Column11]]), (deployment_raw[[#This Row],[Column11]] * deployment_raw[[#This Row],[Column5]])/1048576,"")</f>
        <v/>
      </c>
      <c r="L758" s="180" t="str">
        <f>IF(ISNUMBER(deployment_raw[[#This Row],[Column8]]),IF(deployment_raw[[#This Row],[Column5]] &lt;&gt; 0, MAX((deployment_raw[[#This Row],[Column12]] * deployment_raw[[#This Row],[Column5]]), ((deployment_raw[[#This Row],[Column8]] * deployment_raw[[#This Row],[Column5]]) * $L$2), ($H$2 * deployment_raw[[#This Row],[Column5]])), 0),"")</f>
        <v/>
      </c>
      <c r="M75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58" s="188" t="str">
        <f>IF(ISNUMBER(deployment_raw[[#This Row],[Column14]]), deployment_raw[[#This Row],[Column14]],"")</f>
        <v/>
      </c>
      <c r="O758" s="189" t="str">
        <f>IF(ISNUMBER(deployment_raw[[#This Row],[Column15]]), deployment_raw[[#This Row],[Column15]]/1048576,"")</f>
        <v/>
      </c>
      <c r="P758" s="190" t="str">
        <f>IF(ISNUMBER(deployment_raw[[#This Row],[Column12]]), (deployment_raw[[#This Row],[Column12]] * deployment_raw[[#This Row],[Column5]]),"")</f>
        <v/>
      </c>
      <c r="Q758" s="189" t="str">
        <f>IF(ISNUMBER(deployment_raw[[#This Row],[Column13]]), (deployment_raw[[#This Row],[Column13]] * deployment_raw[[#This Row],[Column5]])/1048576,"")</f>
        <v/>
      </c>
    </row>
    <row r="759" spans="1:17" ht="15.75" customHeight="1" x14ac:dyDescent="0.25">
      <c r="A759" s="37" t="str">
        <f>IF(ISNONTEXT(deployment_raw[[#This Row],[Column1]]), "", deployment_raw[[#This Row],[Column1]])</f>
        <v/>
      </c>
      <c r="B759" s="38" t="str">
        <f>IF(ISNONTEXT(deployment_raw[[#This Row],[Column2]]), "", deployment_raw[[#This Row],[Column2]])</f>
        <v/>
      </c>
      <c r="C759" s="38" t="str">
        <f>IF(ISNONTEXT(deployment_raw[[#This Row],[Column3]]), "", deployment_raw[[#This Row],[Column3]])</f>
        <v/>
      </c>
      <c r="D759" s="38" t="str">
        <f>IF(ISNONTEXT(deployment_raw[[#This Row],[Column4]]), "", deployment_raw[[#This Row],[Column4]])</f>
        <v/>
      </c>
      <c r="E759" s="39" t="str">
        <f>IF(ISNUMBER(deployment_raw[[#This Row],[Column5]]), deployment_raw[[#This Row],[Column5]],"")</f>
        <v/>
      </c>
      <c r="F759" s="174" t="str">
        <f>IF(ISNUMBER(deployment_raw[[#This Row],[Column6]]), (deployment_raw[[#This Row],[Column6]] * deployment_raw[[#This Row],[Column5]]),"")</f>
        <v/>
      </c>
      <c r="G759" s="175" t="str">
        <f>IF(ISNUMBER(deployment_raw[[#This Row],[Column7]]), (deployment_raw[[#This Row],[Column7]] * deployment_raw[[#This Row],[Column5]])/1048576,"")</f>
        <v/>
      </c>
      <c r="H759" s="175" t="str">
        <f>IF(ISNUMBER(deployment_raw[[#This Row],[Column8]]), (deployment_raw[[#This Row],[Column8]]  * deployment_raw[[#This Row],[Column5]]),"")</f>
        <v/>
      </c>
      <c r="I759" s="176" t="str">
        <f>IF(ISNUMBER(deployment_raw[[#This Row],[Column9]]), (deployment_raw[[#This Row],[Column9]] * deployment_raw[[#This Row],[Column5]])/1048576,"")</f>
        <v/>
      </c>
      <c r="J759" s="57" t="str">
        <f>IF(ISNUMBER(deployment_raw[[#This Row],[Column10]]), (deployment_raw[[#This Row],[Column10]] * deployment_raw[[#This Row],[Column5]]),"")</f>
        <v/>
      </c>
      <c r="K759" s="58" t="str">
        <f>IF(ISNUMBER(deployment_raw[[#This Row],[Column11]]), (deployment_raw[[#This Row],[Column11]] * deployment_raw[[#This Row],[Column5]])/1048576,"")</f>
        <v/>
      </c>
      <c r="L759" s="180" t="str">
        <f>IF(ISNUMBER(deployment_raw[[#This Row],[Column8]]),IF(deployment_raw[[#This Row],[Column5]] &lt;&gt; 0, MAX((deployment_raw[[#This Row],[Column12]] * deployment_raw[[#This Row],[Column5]]), ((deployment_raw[[#This Row],[Column8]] * deployment_raw[[#This Row],[Column5]]) * $L$2), ($H$2 * deployment_raw[[#This Row],[Column5]])), 0),"")</f>
        <v/>
      </c>
      <c r="M75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59" s="188" t="str">
        <f>IF(ISNUMBER(deployment_raw[[#This Row],[Column14]]), deployment_raw[[#This Row],[Column14]],"")</f>
        <v/>
      </c>
      <c r="O759" s="189" t="str">
        <f>IF(ISNUMBER(deployment_raw[[#This Row],[Column15]]), deployment_raw[[#This Row],[Column15]]/1048576,"")</f>
        <v/>
      </c>
      <c r="P759" s="190" t="str">
        <f>IF(ISNUMBER(deployment_raw[[#This Row],[Column12]]), (deployment_raw[[#This Row],[Column12]] * deployment_raw[[#This Row],[Column5]]),"")</f>
        <v/>
      </c>
      <c r="Q759" s="189" t="str">
        <f>IF(ISNUMBER(deployment_raw[[#This Row],[Column13]]), (deployment_raw[[#This Row],[Column13]] * deployment_raw[[#This Row],[Column5]])/1048576,"")</f>
        <v/>
      </c>
    </row>
    <row r="760" spans="1:17" ht="15.75" customHeight="1" x14ac:dyDescent="0.25">
      <c r="A760" s="37" t="str">
        <f>IF(ISNONTEXT(deployment_raw[[#This Row],[Column1]]), "", deployment_raw[[#This Row],[Column1]])</f>
        <v/>
      </c>
      <c r="B760" s="38" t="str">
        <f>IF(ISNONTEXT(deployment_raw[[#This Row],[Column2]]), "", deployment_raw[[#This Row],[Column2]])</f>
        <v/>
      </c>
      <c r="C760" s="38" t="str">
        <f>IF(ISNONTEXT(deployment_raw[[#This Row],[Column3]]), "", deployment_raw[[#This Row],[Column3]])</f>
        <v/>
      </c>
      <c r="D760" s="38" t="str">
        <f>IF(ISNONTEXT(deployment_raw[[#This Row],[Column4]]), "", deployment_raw[[#This Row],[Column4]])</f>
        <v/>
      </c>
      <c r="E760" s="39" t="str">
        <f>IF(ISNUMBER(deployment_raw[[#This Row],[Column5]]), deployment_raw[[#This Row],[Column5]],"")</f>
        <v/>
      </c>
      <c r="F760" s="174" t="str">
        <f>IF(ISNUMBER(deployment_raw[[#This Row],[Column6]]), (deployment_raw[[#This Row],[Column6]] * deployment_raw[[#This Row],[Column5]]),"")</f>
        <v/>
      </c>
      <c r="G760" s="175" t="str">
        <f>IF(ISNUMBER(deployment_raw[[#This Row],[Column7]]), (deployment_raw[[#This Row],[Column7]] * deployment_raw[[#This Row],[Column5]])/1048576,"")</f>
        <v/>
      </c>
      <c r="H760" s="175" t="str">
        <f>IF(ISNUMBER(deployment_raw[[#This Row],[Column8]]), (deployment_raw[[#This Row],[Column8]]  * deployment_raw[[#This Row],[Column5]]),"")</f>
        <v/>
      </c>
      <c r="I760" s="176" t="str">
        <f>IF(ISNUMBER(deployment_raw[[#This Row],[Column9]]), (deployment_raw[[#This Row],[Column9]] * deployment_raw[[#This Row],[Column5]])/1048576,"")</f>
        <v/>
      </c>
      <c r="J760" s="57" t="str">
        <f>IF(ISNUMBER(deployment_raw[[#This Row],[Column10]]), (deployment_raw[[#This Row],[Column10]] * deployment_raw[[#This Row],[Column5]]),"")</f>
        <v/>
      </c>
      <c r="K760" s="58" t="str">
        <f>IF(ISNUMBER(deployment_raw[[#This Row],[Column11]]), (deployment_raw[[#This Row],[Column11]] * deployment_raw[[#This Row],[Column5]])/1048576,"")</f>
        <v/>
      </c>
      <c r="L760" s="180" t="str">
        <f>IF(ISNUMBER(deployment_raw[[#This Row],[Column8]]),IF(deployment_raw[[#This Row],[Column5]] &lt;&gt; 0, MAX((deployment_raw[[#This Row],[Column12]] * deployment_raw[[#This Row],[Column5]]), ((deployment_raw[[#This Row],[Column8]] * deployment_raw[[#This Row],[Column5]]) * $L$2), ($H$2 * deployment_raw[[#This Row],[Column5]])), 0),"")</f>
        <v/>
      </c>
      <c r="M76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60" s="188" t="str">
        <f>IF(ISNUMBER(deployment_raw[[#This Row],[Column14]]), deployment_raw[[#This Row],[Column14]],"")</f>
        <v/>
      </c>
      <c r="O760" s="189" t="str">
        <f>IF(ISNUMBER(deployment_raw[[#This Row],[Column15]]), deployment_raw[[#This Row],[Column15]]/1048576,"")</f>
        <v/>
      </c>
      <c r="P760" s="190" t="str">
        <f>IF(ISNUMBER(deployment_raw[[#This Row],[Column12]]), (deployment_raw[[#This Row],[Column12]] * deployment_raw[[#This Row],[Column5]]),"")</f>
        <v/>
      </c>
      <c r="Q760" s="189" t="str">
        <f>IF(ISNUMBER(deployment_raw[[#This Row],[Column13]]), (deployment_raw[[#This Row],[Column13]] * deployment_raw[[#This Row],[Column5]])/1048576,"")</f>
        <v/>
      </c>
    </row>
    <row r="761" spans="1:17" ht="15.75" customHeight="1" x14ac:dyDescent="0.25">
      <c r="A761" s="37" t="str">
        <f>IF(ISNONTEXT(deployment_raw[[#This Row],[Column1]]), "", deployment_raw[[#This Row],[Column1]])</f>
        <v/>
      </c>
      <c r="B761" s="38" t="str">
        <f>IF(ISNONTEXT(deployment_raw[[#This Row],[Column2]]), "", deployment_raw[[#This Row],[Column2]])</f>
        <v/>
      </c>
      <c r="C761" s="38" t="str">
        <f>IF(ISNONTEXT(deployment_raw[[#This Row],[Column3]]), "", deployment_raw[[#This Row],[Column3]])</f>
        <v/>
      </c>
      <c r="D761" s="38" t="str">
        <f>IF(ISNONTEXT(deployment_raw[[#This Row],[Column4]]), "", deployment_raw[[#This Row],[Column4]])</f>
        <v/>
      </c>
      <c r="E761" s="39" t="str">
        <f>IF(ISNUMBER(deployment_raw[[#This Row],[Column5]]), deployment_raw[[#This Row],[Column5]],"")</f>
        <v/>
      </c>
      <c r="F761" s="174" t="str">
        <f>IF(ISNUMBER(deployment_raw[[#This Row],[Column6]]), (deployment_raw[[#This Row],[Column6]] * deployment_raw[[#This Row],[Column5]]),"")</f>
        <v/>
      </c>
      <c r="G761" s="175" t="str">
        <f>IF(ISNUMBER(deployment_raw[[#This Row],[Column7]]), (deployment_raw[[#This Row],[Column7]] * deployment_raw[[#This Row],[Column5]])/1048576,"")</f>
        <v/>
      </c>
      <c r="H761" s="175" t="str">
        <f>IF(ISNUMBER(deployment_raw[[#This Row],[Column8]]), (deployment_raw[[#This Row],[Column8]]  * deployment_raw[[#This Row],[Column5]]),"")</f>
        <v/>
      </c>
      <c r="I761" s="176" t="str">
        <f>IF(ISNUMBER(deployment_raw[[#This Row],[Column9]]), (deployment_raw[[#This Row],[Column9]] * deployment_raw[[#This Row],[Column5]])/1048576,"")</f>
        <v/>
      </c>
      <c r="J761" s="57" t="str">
        <f>IF(ISNUMBER(deployment_raw[[#This Row],[Column10]]), (deployment_raw[[#This Row],[Column10]] * deployment_raw[[#This Row],[Column5]]),"")</f>
        <v/>
      </c>
      <c r="K761" s="58" t="str">
        <f>IF(ISNUMBER(deployment_raw[[#This Row],[Column11]]), (deployment_raw[[#This Row],[Column11]] * deployment_raw[[#This Row],[Column5]])/1048576,"")</f>
        <v/>
      </c>
      <c r="L761" s="180" t="str">
        <f>IF(ISNUMBER(deployment_raw[[#This Row],[Column8]]),IF(deployment_raw[[#This Row],[Column5]] &lt;&gt; 0, MAX((deployment_raw[[#This Row],[Column12]] * deployment_raw[[#This Row],[Column5]]), ((deployment_raw[[#This Row],[Column8]] * deployment_raw[[#This Row],[Column5]]) * $L$2), ($H$2 * deployment_raw[[#This Row],[Column5]])), 0),"")</f>
        <v/>
      </c>
      <c r="M76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61" s="188" t="str">
        <f>IF(ISNUMBER(deployment_raw[[#This Row],[Column14]]), deployment_raw[[#This Row],[Column14]],"")</f>
        <v/>
      </c>
      <c r="O761" s="189" t="str">
        <f>IF(ISNUMBER(deployment_raw[[#This Row],[Column15]]), deployment_raw[[#This Row],[Column15]]/1048576,"")</f>
        <v/>
      </c>
      <c r="P761" s="190" t="str">
        <f>IF(ISNUMBER(deployment_raw[[#This Row],[Column12]]), (deployment_raw[[#This Row],[Column12]] * deployment_raw[[#This Row],[Column5]]),"")</f>
        <v/>
      </c>
      <c r="Q761" s="189" t="str">
        <f>IF(ISNUMBER(deployment_raw[[#This Row],[Column13]]), (deployment_raw[[#This Row],[Column13]] * deployment_raw[[#This Row],[Column5]])/1048576,"")</f>
        <v/>
      </c>
    </row>
    <row r="762" spans="1:17" ht="15.75" customHeight="1" x14ac:dyDescent="0.25">
      <c r="A762" s="37" t="str">
        <f>IF(ISNONTEXT(deployment_raw[[#This Row],[Column1]]), "", deployment_raw[[#This Row],[Column1]])</f>
        <v/>
      </c>
      <c r="B762" s="38" t="str">
        <f>IF(ISNONTEXT(deployment_raw[[#This Row],[Column2]]), "", deployment_raw[[#This Row],[Column2]])</f>
        <v/>
      </c>
      <c r="C762" s="38" t="str">
        <f>IF(ISNONTEXT(deployment_raw[[#This Row],[Column3]]), "", deployment_raw[[#This Row],[Column3]])</f>
        <v/>
      </c>
      <c r="D762" s="38" t="str">
        <f>IF(ISNONTEXT(deployment_raw[[#This Row],[Column4]]), "", deployment_raw[[#This Row],[Column4]])</f>
        <v/>
      </c>
      <c r="E762" s="39" t="str">
        <f>IF(ISNUMBER(deployment_raw[[#This Row],[Column5]]), deployment_raw[[#This Row],[Column5]],"")</f>
        <v/>
      </c>
      <c r="F762" s="174" t="str">
        <f>IF(ISNUMBER(deployment_raw[[#This Row],[Column6]]), (deployment_raw[[#This Row],[Column6]] * deployment_raw[[#This Row],[Column5]]),"")</f>
        <v/>
      </c>
      <c r="G762" s="175" t="str">
        <f>IF(ISNUMBER(deployment_raw[[#This Row],[Column7]]), (deployment_raw[[#This Row],[Column7]] * deployment_raw[[#This Row],[Column5]])/1048576,"")</f>
        <v/>
      </c>
      <c r="H762" s="175" t="str">
        <f>IF(ISNUMBER(deployment_raw[[#This Row],[Column8]]), (deployment_raw[[#This Row],[Column8]]  * deployment_raw[[#This Row],[Column5]]),"")</f>
        <v/>
      </c>
      <c r="I762" s="176" t="str">
        <f>IF(ISNUMBER(deployment_raw[[#This Row],[Column9]]), (deployment_raw[[#This Row],[Column9]] * deployment_raw[[#This Row],[Column5]])/1048576,"")</f>
        <v/>
      </c>
      <c r="J762" s="57" t="str">
        <f>IF(ISNUMBER(deployment_raw[[#This Row],[Column10]]), (deployment_raw[[#This Row],[Column10]] * deployment_raw[[#This Row],[Column5]]),"")</f>
        <v/>
      </c>
      <c r="K762" s="58" t="str">
        <f>IF(ISNUMBER(deployment_raw[[#This Row],[Column11]]), (deployment_raw[[#This Row],[Column11]] * deployment_raw[[#This Row],[Column5]])/1048576,"")</f>
        <v/>
      </c>
      <c r="L762" s="180" t="str">
        <f>IF(ISNUMBER(deployment_raw[[#This Row],[Column8]]),IF(deployment_raw[[#This Row],[Column5]] &lt;&gt; 0, MAX((deployment_raw[[#This Row],[Column12]] * deployment_raw[[#This Row],[Column5]]), ((deployment_raw[[#This Row],[Column8]] * deployment_raw[[#This Row],[Column5]]) * $L$2), ($H$2 * deployment_raw[[#This Row],[Column5]])), 0),"")</f>
        <v/>
      </c>
      <c r="M76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62" s="188" t="str">
        <f>IF(ISNUMBER(deployment_raw[[#This Row],[Column14]]), deployment_raw[[#This Row],[Column14]],"")</f>
        <v/>
      </c>
      <c r="O762" s="189" t="str">
        <f>IF(ISNUMBER(deployment_raw[[#This Row],[Column15]]), deployment_raw[[#This Row],[Column15]]/1048576,"")</f>
        <v/>
      </c>
      <c r="P762" s="190" t="str">
        <f>IF(ISNUMBER(deployment_raw[[#This Row],[Column12]]), (deployment_raw[[#This Row],[Column12]] * deployment_raw[[#This Row],[Column5]]),"")</f>
        <v/>
      </c>
      <c r="Q762" s="189" t="str">
        <f>IF(ISNUMBER(deployment_raw[[#This Row],[Column13]]), (deployment_raw[[#This Row],[Column13]] * deployment_raw[[#This Row],[Column5]])/1048576,"")</f>
        <v/>
      </c>
    </row>
    <row r="763" spans="1:17" ht="15.75" customHeight="1" x14ac:dyDescent="0.25">
      <c r="A763" s="37" t="str">
        <f>IF(ISNONTEXT(deployment_raw[[#This Row],[Column1]]), "", deployment_raw[[#This Row],[Column1]])</f>
        <v/>
      </c>
      <c r="B763" s="38" t="str">
        <f>IF(ISNONTEXT(deployment_raw[[#This Row],[Column2]]), "", deployment_raw[[#This Row],[Column2]])</f>
        <v/>
      </c>
      <c r="C763" s="38" t="str">
        <f>IF(ISNONTEXT(deployment_raw[[#This Row],[Column3]]), "", deployment_raw[[#This Row],[Column3]])</f>
        <v/>
      </c>
      <c r="D763" s="38" t="str">
        <f>IF(ISNONTEXT(deployment_raw[[#This Row],[Column4]]), "", deployment_raw[[#This Row],[Column4]])</f>
        <v/>
      </c>
      <c r="E763" s="39" t="str">
        <f>IF(ISNUMBER(deployment_raw[[#This Row],[Column5]]), deployment_raw[[#This Row],[Column5]],"")</f>
        <v/>
      </c>
      <c r="F763" s="174" t="str">
        <f>IF(ISNUMBER(deployment_raw[[#This Row],[Column6]]), (deployment_raw[[#This Row],[Column6]] * deployment_raw[[#This Row],[Column5]]),"")</f>
        <v/>
      </c>
      <c r="G763" s="175" t="str">
        <f>IF(ISNUMBER(deployment_raw[[#This Row],[Column7]]), (deployment_raw[[#This Row],[Column7]] * deployment_raw[[#This Row],[Column5]])/1048576,"")</f>
        <v/>
      </c>
      <c r="H763" s="175" t="str">
        <f>IF(ISNUMBER(deployment_raw[[#This Row],[Column8]]), (deployment_raw[[#This Row],[Column8]]  * deployment_raw[[#This Row],[Column5]]),"")</f>
        <v/>
      </c>
      <c r="I763" s="176" t="str">
        <f>IF(ISNUMBER(deployment_raw[[#This Row],[Column9]]), (deployment_raw[[#This Row],[Column9]] * deployment_raw[[#This Row],[Column5]])/1048576,"")</f>
        <v/>
      </c>
      <c r="J763" s="57" t="str">
        <f>IF(ISNUMBER(deployment_raw[[#This Row],[Column10]]), (deployment_raw[[#This Row],[Column10]] * deployment_raw[[#This Row],[Column5]]),"")</f>
        <v/>
      </c>
      <c r="K763" s="58" t="str">
        <f>IF(ISNUMBER(deployment_raw[[#This Row],[Column11]]), (deployment_raw[[#This Row],[Column11]] * deployment_raw[[#This Row],[Column5]])/1048576,"")</f>
        <v/>
      </c>
      <c r="L763" s="180" t="str">
        <f>IF(ISNUMBER(deployment_raw[[#This Row],[Column8]]),IF(deployment_raw[[#This Row],[Column5]] &lt;&gt; 0, MAX((deployment_raw[[#This Row],[Column12]] * deployment_raw[[#This Row],[Column5]]), ((deployment_raw[[#This Row],[Column8]] * deployment_raw[[#This Row],[Column5]]) * $L$2), ($H$2 * deployment_raw[[#This Row],[Column5]])), 0),"")</f>
        <v/>
      </c>
      <c r="M76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63" s="188" t="str">
        <f>IF(ISNUMBER(deployment_raw[[#This Row],[Column14]]), deployment_raw[[#This Row],[Column14]],"")</f>
        <v/>
      </c>
      <c r="O763" s="189" t="str">
        <f>IF(ISNUMBER(deployment_raw[[#This Row],[Column15]]), deployment_raw[[#This Row],[Column15]]/1048576,"")</f>
        <v/>
      </c>
      <c r="P763" s="190" t="str">
        <f>IF(ISNUMBER(deployment_raw[[#This Row],[Column12]]), (deployment_raw[[#This Row],[Column12]] * deployment_raw[[#This Row],[Column5]]),"")</f>
        <v/>
      </c>
      <c r="Q763" s="189" t="str">
        <f>IF(ISNUMBER(deployment_raw[[#This Row],[Column13]]), (deployment_raw[[#This Row],[Column13]] * deployment_raw[[#This Row],[Column5]])/1048576,"")</f>
        <v/>
      </c>
    </row>
    <row r="764" spans="1:17" ht="15.75" customHeight="1" x14ac:dyDescent="0.25">
      <c r="A764" s="37" t="str">
        <f>IF(ISNONTEXT(deployment_raw[[#This Row],[Column1]]), "", deployment_raw[[#This Row],[Column1]])</f>
        <v/>
      </c>
      <c r="B764" s="38" t="str">
        <f>IF(ISNONTEXT(deployment_raw[[#This Row],[Column2]]), "", deployment_raw[[#This Row],[Column2]])</f>
        <v/>
      </c>
      <c r="C764" s="38" t="str">
        <f>IF(ISNONTEXT(deployment_raw[[#This Row],[Column3]]), "", deployment_raw[[#This Row],[Column3]])</f>
        <v/>
      </c>
      <c r="D764" s="38" t="str">
        <f>IF(ISNONTEXT(deployment_raw[[#This Row],[Column4]]), "", deployment_raw[[#This Row],[Column4]])</f>
        <v/>
      </c>
      <c r="E764" s="39" t="str">
        <f>IF(ISNUMBER(deployment_raw[[#This Row],[Column5]]), deployment_raw[[#This Row],[Column5]],"")</f>
        <v/>
      </c>
      <c r="F764" s="174" t="str">
        <f>IF(ISNUMBER(deployment_raw[[#This Row],[Column6]]), (deployment_raw[[#This Row],[Column6]] * deployment_raw[[#This Row],[Column5]]),"")</f>
        <v/>
      </c>
      <c r="G764" s="175" t="str">
        <f>IF(ISNUMBER(deployment_raw[[#This Row],[Column7]]), (deployment_raw[[#This Row],[Column7]] * deployment_raw[[#This Row],[Column5]])/1048576,"")</f>
        <v/>
      </c>
      <c r="H764" s="175" t="str">
        <f>IF(ISNUMBER(deployment_raw[[#This Row],[Column8]]), (deployment_raw[[#This Row],[Column8]]  * deployment_raw[[#This Row],[Column5]]),"")</f>
        <v/>
      </c>
      <c r="I764" s="176" t="str">
        <f>IF(ISNUMBER(deployment_raw[[#This Row],[Column9]]), (deployment_raw[[#This Row],[Column9]] * deployment_raw[[#This Row],[Column5]])/1048576,"")</f>
        <v/>
      </c>
      <c r="J764" s="57" t="str">
        <f>IF(ISNUMBER(deployment_raw[[#This Row],[Column10]]), (deployment_raw[[#This Row],[Column10]] * deployment_raw[[#This Row],[Column5]]),"")</f>
        <v/>
      </c>
      <c r="K764" s="58" t="str">
        <f>IF(ISNUMBER(deployment_raw[[#This Row],[Column11]]), (deployment_raw[[#This Row],[Column11]] * deployment_raw[[#This Row],[Column5]])/1048576,"")</f>
        <v/>
      </c>
      <c r="L764" s="180" t="str">
        <f>IF(ISNUMBER(deployment_raw[[#This Row],[Column8]]),IF(deployment_raw[[#This Row],[Column5]] &lt;&gt; 0, MAX((deployment_raw[[#This Row],[Column12]] * deployment_raw[[#This Row],[Column5]]), ((deployment_raw[[#This Row],[Column8]] * deployment_raw[[#This Row],[Column5]]) * $L$2), ($H$2 * deployment_raw[[#This Row],[Column5]])), 0),"")</f>
        <v/>
      </c>
      <c r="M76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64" s="188" t="str">
        <f>IF(ISNUMBER(deployment_raw[[#This Row],[Column14]]), deployment_raw[[#This Row],[Column14]],"")</f>
        <v/>
      </c>
      <c r="O764" s="189" t="str">
        <f>IF(ISNUMBER(deployment_raw[[#This Row],[Column15]]), deployment_raw[[#This Row],[Column15]]/1048576,"")</f>
        <v/>
      </c>
      <c r="P764" s="190" t="str">
        <f>IF(ISNUMBER(deployment_raw[[#This Row],[Column12]]), (deployment_raw[[#This Row],[Column12]] * deployment_raw[[#This Row],[Column5]]),"")</f>
        <v/>
      </c>
      <c r="Q764" s="189" t="str">
        <f>IF(ISNUMBER(deployment_raw[[#This Row],[Column13]]), (deployment_raw[[#This Row],[Column13]] * deployment_raw[[#This Row],[Column5]])/1048576,"")</f>
        <v/>
      </c>
    </row>
    <row r="765" spans="1:17" ht="15.75" customHeight="1" x14ac:dyDescent="0.25">
      <c r="A765" s="37" t="str">
        <f>IF(ISNONTEXT(deployment_raw[[#This Row],[Column1]]), "", deployment_raw[[#This Row],[Column1]])</f>
        <v/>
      </c>
      <c r="B765" s="38" t="str">
        <f>IF(ISNONTEXT(deployment_raw[[#This Row],[Column2]]), "", deployment_raw[[#This Row],[Column2]])</f>
        <v/>
      </c>
      <c r="C765" s="38" t="str">
        <f>IF(ISNONTEXT(deployment_raw[[#This Row],[Column3]]), "", deployment_raw[[#This Row],[Column3]])</f>
        <v/>
      </c>
      <c r="D765" s="38" t="str">
        <f>IF(ISNONTEXT(deployment_raw[[#This Row],[Column4]]), "", deployment_raw[[#This Row],[Column4]])</f>
        <v/>
      </c>
      <c r="E765" s="39" t="str">
        <f>IF(ISNUMBER(deployment_raw[[#This Row],[Column5]]), deployment_raw[[#This Row],[Column5]],"")</f>
        <v/>
      </c>
      <c r="F765" s="174" t="str">
        <f>IF(ISNUMBER(deployment_raw[[#This Row],[Column6]]), (deployment_raw[[#This Row],[Column6]] * deployment_raw[[#This Row],[Column5]]),"")</f>
        <v/>
      </c>
      <c r="G765" s="175" t="str">
        <f>IF(ISNUMBER(deployment_raw[[#This Row],[Column7]]), (deployment_raw[[#This Row],[Column7]] * deployment_raw[[#This Row],[Column5]])/1048576,"")</f>
        <v/>
      </c>
      <c r="H765" s="175" t="str">
        <f>IF(ISNUMBER(deployment_raw[[#This Row],[Column8]]), (deployment_raw[[#This Row],[Column8]]  * deployment_raw[[#This Row],[Column5]]),"")</f>
        <v/>
      </c>
      <c r="I765" s="176" t="str">
        <f>IF(ISNUMBER(deployment_raw[[#This Row],[Column9]]), (deployment_raw[[#This Row],[Column9]] * deployment_raw[[#This Row],[Column5]])/1048576,"")</f>
        <v/>
      </c>
      <c r="J765" s="57" t="str">
        <f>IF(ISNUMBER(deployment_raw[[#This Row],[Column10]]), (deployment_raw[[#This Row],[Column10]] * deployment_raw[[#This Row],[Column5]]),"")</f>
        <v/>
      </c>
      <c r="K765" s="58" t="str">
        <f>IF(ISNUMBER(deployment_raw[[#This Row],[Column11]]), (deployment_raw[[#This Row],[Column11]] * deployment_raw[[#This Row],[Column5]])/1048576,"")</f>
        <v/>
      </c>
      <c r="L765" s="180" t="str">
        <f>IF(ISNUMBER(deployment_raw[[#This Row],[Column8]]),IF(deployment_raw[[#This Row],[Column5]] &lt;&gt; 0, MAX((deployment_raw[[#This Row],[Column12]] * deployment_raw[[#This Row],[Column5]]), ((deployment_raw[[#This Row],[Column8]] * deployment_raw[[#This Row],[Column5]]) * $L$2), ($H$2 * deployment_raw[[#This Row],[Column5]])), 0),"")</f>
        <v/>
      </c>
      <c r="M76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65" s="188" t="str">
        <f>IF(ISNUMBER(deployment_raw[[#This Row],[Column14]]), deployment_raw[[#This Row],[Column14]],"")</f>
        <v/>
      </c>
      <c r="O765" s="189" t="str">
        <f>IF(ISNUMBER(deployment_raw[[#This Row],[Column15]]), deployment_raw[[#This Row],[Column15]]/1048576,"")</f>
        <v/>
      </c>
      <c r="P765" s="190" t="str">
        <f>IF(ISNUMBER(deployment_raw[[#This Row],[Column12]]), (deployment_raw[[#This Row],[Column12]] * deployment_raw[[#This Row],[Column5]]),"")</f>
        <v/>
      </c>
      <c r="Q765" s="189" t="str">
        <f>IF(ISNUMBER(deployment_raw[[#This Row],[Column13]]), (deployment_raw[[#This Row],[Column13]] * deployment_raw[[#This Row],[Column5]])/1048576,"")</f>
        <v/>
      </c>
    </row>
    <row r="766" spans="1:17" ht="15.75" customHeight="1" x14ac:dyDescent="0.25">
      <c r="A766" s="37" t="str">
        <f>IF(ISNONTEXT(deployment_raw[[#This Row],[Column1]]), "", deployment_raw[[#This Row],[Column1]])</f>
        <v/>
      </c>
      <c r="B766" s="38" t="str">
        <f>IF(ISNONTEXT(deployment_raw[[#This Row],[Column2]]), "", deployment_raw[[#This Row],[Column2]])</f>
        <v/>
      </c>
      <c r="C766" s="38" t="str">
        <f>IF(ISNONTEXT(deployment_raw[[#This Row],[Column3]]), "", deployment_raw[[#This Row],[Column3]])</f>
        <v/>
      </c>
      <c r="D766" s="38" t="str">
        <f>IF(ISNONTEXT(deployment_raw[[#This Row],[Column4]]), "", deployment_raw[[#This Row],[Column4]])</f>
        <v/>
      </c>
      <c r="E766" s="39" t="str">
        <f>IF(ISNUMBER(deployment_raw[[#This Row],[Column5]]), deployment_raw[[#This Row],[Column5]],"")</f>
        <v/>
      </c>
      <c r="F766" s="174" t="str">
        <f>IF(ISNUMBER(deployment_raw[[#This Row],[Column6]]), (deployment_raw[[#This Row],[Column6]] * deployment_raw[[#This Row],[Column5]]),"")</f>
        <v/>
      </c>
      <c r="G766" s="175" t="str">
        <f>IF(ISNUMBER(deployment_raw[[#This Row],[Column7]]), (deployment_raw[[#This Row],[Column7]] * deployment_raw[[#This Row],[Column5]])/1048576,"")</f>
        <v/>
      </c>
      <c r="H766" s="175" t="str">
        <f>IF(ISNUMBER(deployment_raw[[#This Row],[Column8]]), (deployment_raw[[#This Row],[Column8]]  * deployment_raw[[#This Row],[Column5]]),"")</f>
        <v/>
      </c>
      <c r="I766" s="176" t="str">
        <f>IF(ISNUMBER(deployment_raw[[#This Row],[Column9]]), (deployment_raw[[#This Row],[Column9]] * deployment_raw[[#This Row],[Column5]])/1048576,"")</f>
        <v/>
      </c>
      <c r="J766" s="57" t="str">
        <f>IF(ISNUMBER(deployment_raw[[#This Row],[Column10]]), (deployment_raw[[#This Row],[Column10]] * deployment_raw[[#This Row],[Column5]]),"")</f>
        <v/>
      </c>
      <c r="K766" s="58" t="str">
        <f>IF(ISNUMBER(deployment_raw[[#This Row],[Column11]]), (deployment_raw[[#This Row],[Column11]] * deployment_raw[[#This Row],[Column5]])/1048576,"")</f>
        <v/>
      </c>
      <c r="L766" s="180" t="str">
        <f>IF(ISNUMBER(deployment_raw[[#This Row],[Column8]]),IF(deployment_raw[[#This Row],[Column5]] &lt;&gt; 0, MAX((deployment_raw[[#This Row],[Column12]] * deployment_raw[[#This Row],[Column5]]), ((deployment_raw[[#This Row],[Column8]] * deployment_raw[[#This Row],[Column5]]) * $L$2), ($H$2 * deployment_raw[[#This Row],[Column5]])), 0),"")</f>
        <v/>
      </c>
      <c r="M76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66" s="188" t="str">
        <f>IF(ISNUMBER(deployment_raw[[#This Row],[Column14]]), deployment_raw[[#This Row],[Column14]],"")</f>
        <v/>
      </c>
      <c r="O766" s="189" t="str">
        <f>IF(ISNUMBER(deployment_raw[[#This Row],[Column15]]), deployment_raw[[#This Row],[Column15]]/1048576,"")</f>
        <v/>
      </c>
      <c r="P766" s="190" t="str">
        <f>IF(ISNUMBER(deployment_raw[[#This Row],[Column12]]), (deployment_raw[[#This Row],[Column12]] * deployment_raw[[#This Row],[Column5]]),"")</f>
        <v/>
      </c>
      <c r="Q766" s="189" t="str">
        <f>IF(ISNUMBER(deployment_raw[[#This Row],[Column13]]), (deployment_raw[[#This Row],[Column13]] * deployment_raw[[#This Row],[Column5]])/1048576,"")</f>
        <v/>
      </c>
    </row>
    <row r="767" spans="1:17" ht="15.75" customHeight="1" x14ac:dyDescent="0.25">
      <c r="A767" s="37" t="str">
        <f>IF(ISNONTEXT(deployment_raw[[#This Row],[Column1]]), "", deployment_raw[[#This Row],[Column1]])</f>
        <v/>
      </c>
      <c r="B767" s="38" t="str">
        <f>IF(ISNONTEXT(deployment_raw[[#This Row],[Column2]]), "", deployment_raw[[#This Row],[Column2]])</f>
        <v/>
      </c>
      <c r="C767" s="38" t="str">
        <f>IF(ISNONTEXT(deployment_raw[[#This Row],[Column3]]), "", deployment_raw[[#This Row],[Column3]])</f>
        <v/>
      </c>
      <c r="D767" s="38" t="str">
        <f>IF(ISNONTEXT(deployment_raw[[#This Row],[Column4]]), "", deployment_raw[[#This Row],[Column4]])</f>
        <v/>
      </c>
      <c r="E767" s="39" t="str">
        <f>IF(ISNUMBER(deployment_raw[[#This Row],[Column5]]), deployment_raw[[#This Row],[Column5]],"")</f>
        <v/>
      </c>
      <c r="F767" s="174" t="str">
        <f>IF(ISNUMBER(deployment_raw[[#This Row],[Column6]]), (deployment_raw[[#This Row],[Column6]] * deployment_raw[[#This Row],[Column5]]),"")</f>
        <v/>
      </c>
      <c r="G767" s="175" t="str">
        <f>IF(ISNUMBER(deployment_raw[[#This Row],[Column7]]), (deployment_raw[[#This Row],[Column7]] * deployment_raw[[#This Row],[Column5]])/1048576,"")</f>
        <v/>
      </c>
      <c r="H767" s="175" t="str">
        <f>IF(ISNUMBER(deployment_raw[[#This Row],[Column8]]), (deployment_raw[[#This Row],[Column8]]  * deployment_raw[[#This Row],[Column5]]),"")</f>
        <v/>
      </c>
      <c r="I767" s="176" t="str">
        <f>IF(ISNUMBER(deployment_raw[[#This Row],[Column9]]), (deployment_raw[[#This Row],[Column9]] * deployment_raw[[#This Row],[Column5]])/1048576,"")</f>
        <v/>
      </c>
      <c r="J767" s="57" t="str">
        <f>IF(ISNUMBER(deployment_raw[[#This Row],[Column10]]), (deployment_raw[[#This Row],[Column10]] * deployment_raw[[#This Row],[Column5]]),"")</f>
        <v/>
      </c>
      <c r="K767" s="58" t="str">
        <f>IF(ISNUMBER(deployment_raw[[#This Row],[Column11]]), (deployment_raw[[#This Row],[Column11]] * deployment_raw[[#This Row],[Column5]])/1048576,"")</f>
        <v/>
      </c>
      <c r="L767" s="180" t="str">
        <f>IF(ISNUMBER(deployment_raw[[#This Row],[Column8]]),IF(deployment_raw[[#This Row],[Column5]] &lt;&gt; 0, MAX((deployment_raw[[#This Row],[Column12]] * deployment_raw[[#This Row],[Column5]]), ((deployment_raw[[#This Row],[Column8]] * deployment_raw[[#This Row],[Column5]]) * $L$2), ($H$2 * deployment_raw[[#This Row],[Column5]])), 0),"")</f>
        <v/>
      </c>
      <c r="M76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67" s="188" t="str">
        <f>IF(ISNUMBER(deployment_raw[[#This Row],[Column14]]), deployment_raw[[#This Row],[Column14]],"")</f>
        <v/>
      </c>
      <c r="O767" s="189" t="str">
        <f>IF(ISNUMBER(deployment_raw[[#This Row],[Column15]]), deployment_raw[[#This Row],[Column15]]/1048576,"")</f>
        <v/>
      </c>
      <c r="P767" s="190" t="str">
        <f>IF(ISNUMBER(deployment_raw[[#This Row],[Column12]]), (deployment_raw[[#This Row],[Column12]] * deployment_raw[[#This Row],[Column5]]),"")</f>
        <v/>
      </c>
      <c r="Q767" s="189" t="str">
        <f>IF(ISNUMBER(deployment_raw[[#This Row],[Column13]]), (deployment_raw[[#This Row],[Column13]] * deployment_raw[[#This Row],[Column5]])/1048576,"")</f>
        <v/>
      </c>
    </row>
    <row r="768" spans="1:17" ht="15.75" customHeight="1" x14ac:dyDescent="0.25">
      <c r="A768" s="37" t="str">
        <f>IF(ISNONTEXT(deployment_raw[[#This Row],[Column1]]), "", deployment_raw[[#This Row],[Column1]])</f>
        <v/>
      </c>
      <c r="B768" s="38" t="str">
        <f>IF(ISNONTEXT(deployment_raw[[#This Row],[Column2]]), "", deployment_raw[[#This Row],[Column2]])</f>
        <v/>
      </c>
      <c r="C768" s="38" t="str">
        <f>IF(ISNONTEXT(deployment_raw[[#This Row],[Column3]]), "", deployment_raw[[#This Row],[Column3]])</f>
        <v/>
      </c>
      <c r="D768" s="38" t="str">
        <f>IF(ISNONTEXT(deployment_raw[[#This Row],[Column4]]), "", deployment_raw[[#This Row],[Column4]])</f>
        <v/>
      </c>
      <c r="E768" s="39" t="str">
        <f>IF(ISNUMBER(deployment_raw[[#This Row],[Column5]]), deployment_raw[[#This Row],[Column5]],"")</f>
        <v/>
      </c>
      <c r="F768" s="174" t="str">
        <f>IF(ISNUMBER(deployment_raw[[#This Row],[Column6]]), (deployment_raw[[#This Row],[Column6]] * deployment_raw[[#This Row],[Column5]]),"")</f>
        <v/>
      </c>
      <c r="G768" s="175" t="str">
        <f>IF(ISNUMBER(deployment_raw[[#This Row],[Column7]]), (deployment_raw[[#This Row],[Column7]] * deployment_raw[[#This Row],[Column5]])/1048576,"")</f>
        <v/>
      </c>
      <c r="H768" s="175" t="str">
        <f>IF(ISNUMBER(deployment_raw[[#This Row],[Column8]]), (deployment_raw[[#This Row],[Column8]]  * deployment_raw[[#This Row],[Column5]]),"")</f>
        <v/>
      </c>
      <c r="I768" s="176" t="str">
        <f>IF(ISNUMBER(deployment_raw[[#This Row],[Column9]]), (deployment_raw[[#This Row],[Column9]] * deployment_raw[[#This Row],[Column5]])/1048576,"")</f>
        <v/>
      </c>
      <c r="J768" s="57" t="str">
        <f>IF(ISNUMBER(deployment_raw[[#This Row],[Column10]]), (deployment_raw[[#This Row],[Column10]] * deployment_raw[[#This Row],[Column5]]),"")</f>
        <v/>
      </c>
      <c r="K768" s="58" t="str">
        <f>IF(ISNUMBER(deployment_raw[[#This Row],[Column11]]), (deployment_raw[[#This Row],[Column11]] * deployment_raw[[#This Row],[Column5]])/1048576,"")</f>
        <v/>
      </c>
      <c r="L768" s="180" t="str">
        <f>IF(ISNUMBER(deployment_raw[[#This Row],[Column8]]),IF(deployment_raw[[#This Row],[Column5]] &lt;&gt; 0, MAX((deployment_raw[[#This Row],[Column12]] * deployment_raw[[#This Row],[Column5]]), ((deployment_raw[[#This Row],[Column8]] * deployment_raw[[#This Row],[Column5]]) * $L$2), ($H$2 * deployment_raw[[#This Row],[Column5]])), 0),"")</f>
        <v/>
      </c>
      <c r="M76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68" s="188" t="str">
        <f>IF(ISNUMBER(deployment_raw[[#This Row],[Column14]]), deployment_raw[[#This Row],[Column14]],"")</f>
        <v/>
      </c>
      <c r="O768" s="189" t="str">
        <f>IF(ISNUMBER(deployment_raw[[#This Row],[Column15]]), deployment_raw[[#This Row],[Column15]]/1048576,"")</f>
        <v/>
      </c>
      <c r="P768" s="190" t="str">
        <f>IF(ISNUMBER(deployment_raw[[#This Row],[Column12]]), (deployment_raw[[#This Row],[Column12]] * deployment_raw[[#This Row],[Column5]]),"")</f>
        <v/>
      </c>
      <c r="Q768" s="189" t="str">
        <f>IF(ISNUMBER(deployment_raw[[#This Row],[Column13]]), (deployment_raw[[#This Row],[Column13]] * deployment_raw[[#This Row],[Column5]])/1048576,"")</f>
        <v/>
      </c>
    </row>
    <row r="769" spans="1:17" ht="15.75" customHeight="1" x14ac:dyDescent="0.25">
      <c r="A769" s="37" t="str">
        <f>IF(ISNONTEXT(deployment_raw[[#This Row],[Column1]]), "", deployment_raw[[#This Row],[Column1]])</f>
        <v/>
      </c>
      <c r="B769" s="38" t="str">
        <f>IF(ISNONTEXT(deployment_raw[[#This Row],[Column2]]), "", deployment_raw[[#This Row],[Column2]])</f>
        <v/>
      </c>
      <c r="C769" s="38" t="str">
        <f>IF(ISNONTEXT(deployment_raw[[#This Row],[Column3]]), "", deployment_raw[[#This Row],[Column3]])</f>
        <v/>
      </c>
      <c r="D769" s="38" t="str">
        <f>IF(ISNONTEXT(deployment_raw[[#This Row],[Column4]]), "", deployment_raw[[#This Row],[Column4]])</f>
        <v/>
      </c>
      <c r="E769" s="39" t="str">
        <f>IF(ISNUMBER(deployment_raw[[#This Row],[Column5]]), deployment_raw[[#This Row],[Column5]],"")</f>
        <v/>
      </c>
      <c r="F769" s="174" t="str">
        <f>IF(ISNUMBER(deployment_raw[[#This Row],[Column6]]), (deployment_raw[[#This Row],[Column6]] * deployment_raw[[#This Row],[Column5]]),"")</f>
        <v/>
      </c>
      <c r="G769" s="175" t="str">
        <f>IF(ISNUMBER(deployment_raw[[#This Row],[Column7]]), (deployment_raw[[#This Row],[Column7]] * deployment_raw[[#This Row],[Column5]])/1048576,"")</f>
        <v/>
      </c>
      <c r="H769" s="175" t="str">
        <f>IF(ISNUMBER(deployment_raw[[#This Row],[Column8]]), (deployment_raw[[#This Row],[Column8]]  * deployment_raw[[#This Row],[Column5]]),"")</f>
        <v/>
      </c>
      <c r="I769" s="176" t="str">
        <f>IF(ISNUMBER(deployment_raw[[#This Row],[Column9]]), (deployment_raw[[#This Row],[Column9]] * deployment_raw[[#This Row],[Column5]])/1048576,"")</f>
        <v/>
      </c>
      <c r="J769" s="57" t="str">
        <f>IF(ISNUMBER(deployment_raw[[#This Row],[Column10]]), (deployment_raw[[#This Row],[Column10]] * deployment_raw[[#This Row],[Column5]]),"")</f>
        <v/>
      </c>
      <c r="K769" s="58" t="str">
        <f>IF(ISNUMBER(deployment_raw[[#This Row],[Column11]]), (deployment_raw[[#This Row],[Column11]] * deployment_raw[[#This Row],[Column5]])/1048576,"")</f>
        <v/>
      </c>
      <c r="L769" s="180" t="str">
        <f>IF(ISNUMBER(deployment_raw[[#This Row],[Column8]]),IF(deployment_raw[[#This Row],[Column5]] &lt;&gt; 0, MAX((deployment_raw[[#This Row],[Column12]] * deployment_raw[[#This Row],[Column5]]), ((deployment_raw[[#This Row],[Column8]] * deployment_raw[[#This Row],[Column5]]) * $L$2), ($H$2 * deployment_raw[[#This Row],[Column5]])), 0),"")</f>
        <v/>
      </c>
      <c r="M76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69" s="188" t="str">
        <f>IF(ISNUMBER(deployment_raw[[#This Row],[Column14]]), deployment_raw[[#This Row],[Column14]],"")</f>
        <v/>
      </c>
      <c r="O769" s="189" t="str">
        <f>IF(ISNUMBER(deployment_raw[[#This Row],[Column15]]), deployment_raw[[#This Row],[Column15]]/1048576,"")</f>
        <v/>
      </c>
      <c r="P769" s="190" t="str">
        <f>IF(ISNUMBER(deployment_raw[[#This Row],[Column12]]), (deployment_raw[[#This Row],[Column12]] * deployment_raw[[#This Row],[Column5]]),"")</f>
        <v/>
      </c>
      <c r="Q769" s="189" t="str">
        <f>IF(ISNUMBER(deployment_raw[[#This Row],[Column13]]), (deployment_raw[[#This Row],[Column13]] * deployment_raw[[#This Row],[Column5]])/1048576,"")</f>
        <v/>
      </c>
    </row>
    <row r="770" spans="1:17" ht="15.75" customHeight="1" x14ac:dyDescent="0.25">
      <c r="A770" s="37" t="str">
        <f>IF(ISNONTEXT(deployment_raw[[#This Row],[Column1]]), "", deployment_raw[[#This Row],[Column1]])</f>
        <v/>
      </c>
      <c r="B770" s="38" t="str">
        <f>IF(ISNONTEXT(deployment_raw[[#This Row],[Column2]]), "", deployment_raw[[#This Row],[Column2]])</f>
        <v/>
      </c>
      <c r="C770" s="38" t="str">
        <f>IF(ISNONTEXT(deployment_raw[[#This Row],[Column3]]), "", deployment_raw[[#This Row],[Column3]])</f>
        <v/>
      </c>
      <c r="D770" s="38" t="str">
        <f>IF(ISNONTEXT(deployment_raw[[#This Row],[Column4]]), "", deployment_raw[[#This Row],[Column4]])</f>
        <v/>
      </c>
      <c r="E770" s="39" t="str">
        <f>IF(ISNUMBER(deployment_raw[[#This Row],[Column5]]), deployment_raw[[#This Row],[Column5]],"")</f>
        <v/>
      </c>
      <c r="F770" s="174" t="str">
        <f>IF(ISNUMBER(deployment_raw[[#This Row],[Column6]]), (deployment_raw[[#This Row],[Column6]] * deployment_raw[[#This Row],[Column5]]),"")</f>
        <v/>
      </c>
      <c r="G770" s="175" t="str">
        <f>IF(ISNUMBER(deployment_raw[[#This Row],[Column7]]), (deployment_raw[[#This Row],[Column7]] * deployment_raw[[#This Row],[Column5]])/1048576,"")</f>
        <v/>
      </c>
      <c r="H770" s="175" t="str">
        <f>IF(ISNUMBER(deployment_raw[[#This Row],[Column8]]), (deployment_raw[[#This Row],[Column8]]  * deployment_raw[[#This Row],[Column5]]),"")</f>
        <v/>
      </c>
      <c r="I770" s="176" t="str">
        <f>IF(ISNUMBER(deployment_raw[[#This Row],[Column9]]), (deployment_raw[[#This Row],[Column9]] * deployment_raw[[#This Row],[Column5]])/1048576,"")</f>
        <v/>
      </c>
      <c r="J770" s="57" t="str">
        <f>IF(ISNUMBER(deployment_raw[[#This Row],[Column10]]), (deployment_raw[[#This Row],[Column10]] * deployment_raw[[#This Row],[Column5]]),"")</f>
        <v/>
      </c>
      <c r="K770" s="58" t="str">
        <f>IF(ISNUMBER(deployment_raw[[#This Row],[Column11]]), (deployment_raw[[#This Row],[Column11]] * deployment_raw[[#This Row],[Column5]])/1048576,"")</f>
        <v/>
      </c>
      <c r="L770" s="180" t="str">
        <f>IF(ISNUMBER(deployment_raw[[#This Row],[Column8]]),IF(deployment_raw[[#This Row],[Column5]] &lt;&gt; 0, MAX((deployment_raw[[#This Row],[Column12]] * deployment_raw[[#This Row],[Column5]]), ((deployment_raw[[#This Row],[Column8]] * deployment_raw[[#This Row],[Column5]]) * $L$2), ($H$2 * deployment_raw[[#This Row],[Column5]])), 0),"")</f>
        <v/>
      </c>
      <c r="M77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70" s="188" t="str">
        <f>IF(ISNUMBER(deployment_raw[[#This Row],[Column14]]), deployment_raw[[#This Row],[Column14]],"")</f>
        <v/>
      </c>
      <c r="O770" s="189" t="str">
        <f>IF(ISNUMBER(deployment_raw[[#This Row],[Column15]]), deployment_raw[[#This Row],[Column15]]/1048576,"")</f>
        <v/>
      </c>
      <c r="P770" s="190" t="str">
        <f>IF(ISNUMBER(deployment_raw[[#This Row],[Column12]]), (deployment_raw[[#This Row],[Column12]] * deployment_raw[[#This Row],[Column5]]),"")</f>
        <v/>
      </c>
      <c r="Q770" s="189" t="str">
        <f>IF(ISNUMBER(deployment_raw[[#This Row],[Column13]]), (deployment_raw[[#This Row],[Column13]] * deployment_raw[[#This Row],[Column5]])/1048576,"")</f>
        <v/>
      </c>
    </row>
    <row r="771" spans="1:17" ht="15.75" customHeight="1" x14ac:dyDescent="0.25">
      <c r="A771" s="37" t="str">
        <f>IF(ISNONTEXT(deployment_raw[[#This Row],[Column1]]), "", deployment_raw[[#This Row],[Column1]])</f>
        <v/>
      </c>
      <c r="B771" s="38" t="str">
        <f>IF(ISNONTEXT(deployment_raw[[#This Row],[Column2]]), "", deployment_raw[[#This Row],[Column2]])</f>
        <v/>
      </c>
      <c r="C771" s="38" t="str">
        <f>IF(ISNONTEXT(deployment_raw[[#This Row],[Column3]]), "", deployment_raw[[#This Row],[Column3]])</f>
        <v/>
      </c>
      <c r="D771" s="38" t="str">
        <f>IF(ISNONTEXT(deployment_raw[[#This Row],[Column4]]), "", deployment_raw[[#This Row],[Column4]])</f>
        <v/>
      </c>
      <c r="E771" s="39" t="str">
        <f>IF(ISNUMBER(deployment_raw[[#This Row],[Column5]]), deployment_raw[[#This Row],[Column5]],"")</f>
        <v/>
      </c>
      <c r="F771" s="174" t="str">
        <f>IF(ISNUMBER(deployment_raw[[#This Row],[Column6]]), (deployment_raw[[#This Row],[Column6]] * deployment_raw[[#This Row],[Column5]]),"")</f>
        <v/>
      </c>
      <c r="G771" s="175" t="str">
        <f>IF(ISNUMBER(deployment_raw[[#This Row],[Column7]]), (deployment_raw[[#This Row],[Column7]] * deployment_raw[[#This Row],[Column5]])/1048576,"")</f>
        <v/>
      </c>
      <c r="H771" s="175" t="str">
        <f>IF(ISNUMBER(deployment_raw[[#This Row],[Column8]]), (deployment_raw[[#This Row],[Column8]]  * deployment_raw[[#This Row],[Column5]]),"")</f>
        <v/>
      </c>
      <c r="I771" s="176" t="str">
        <f>IF(ISNUMBER(deployment_raw[[#This Row],[Column9]]), (deployment_raw[[#This Row],[Column9]] * deployment_raw[[#This Row],[Column5]])/1048576,"")</f>
        <v/>
      </c>
      <c r="J771" s="57" t="str">
        <f>IF(ISNUMBER(deployment_raw[[#This Row],[Column10]]), (deployment_raw[[#This Row],[Column10]] * deployment_raw[[#This Row],[Column5]]),"")</f>
        <v/>
      </c>
      <c r="K771" s="58" t="str">
        <f>IF(ISNUMBER(deployment_raw[[#This Row],[Column11]]), (deployment_raw[[#This Row],[Column11]] * deployment_raw[[#This Row],[Column5]])/1048576,"")</f>
        <v/>
      </c>
      <c r="L771" s="180" t="str">
        <f>IF(ISNUMBER(deployment_raw[[#This Row],[Column8]]),IF(deployment_raw[[#This Row],[Column5]] &lt;&gt; 0, MAX((deployment_raw[[#This Row],[Column12]] * deployment_raw[[#This Row],[Column5]]), ((deployment_raw[[#This Row],[Column8]] * deployment_raw[[#This Row],[Column5]]) * $L$2), ($H$2 * deployment_raw[[#This Row],[Column5]])), 0),"")</f>
        <v/>
      </c>
      <c r="M77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71" s="188" t="str">
        <f>IF(ISNUMBER(deployment_raw[[#This Row],[Column14]]), deployment_raw[[#This Row],[Column14]],"")</f>
        <v/>
      </c>
      <c r="O771" s="189" t="str">
        <f>IF(ISNUMBER(deployment_raw[[#This Row],[Column15]]), deployment_raw[[#This Row],[Column15]]/1048576,"")</f>
        <v/>
      </c>
      <c r="P771" s="190" t="str">
        <f>IF(ISNUMBER(deployment_raw[[#This Row],[Column12]]), (deployment_raw[[#This Row],[Column12]] * deployment_raw[[#This Row],[Column5]]),"")</f>
        <v/>
      </c>
      <c r="Q771" s="189" t="str">
        <f>IF(ISNUMBER(deployment_raw[[#This Row],[Column13]]), (deployment_raw[[#This Row],[Column13]] * deployment_raw[[#This Row],[Column5]])/1048576,"")</f>
        <v/>
      </c>
    </row>
    <row r="772" spans="1:17" ht="15.75" customHeight="1" x14ac:dyDescent="0.25">
      <c r="A772" s="37" t="str">
        <f>IF(ISNONTEXT(deployment_raw[[#This Row],[Column1]]), "", deployment_raw[[#This Row],[Column1]])</f>
        <v/>
      </c>
      <c r="B772" s="38" t="str">
        <f>IF(ISNONTEXT(deployment_raw[[#This Row],[Column2]]), "", deployment_raw[[#This Row],[Column2]])</f>
        <v/>
      </c>
      <c r="C772" s="38" t="str">
        <f>IF(ISNONTEXT(deployment_raw[[#This Row],[Column3]]), "", deployment_raw[[#This Row],[Column3]])</f>
        <v/>
      </c>
      <c r="D772" s="38" t="str">
        <f>IF(ISNONTEXT(deployment_raw[[#This Row],[Column4]]), "", deployment_raw[[#This Row],[Column4]])</f>
        <v/>
      </c>
      <c r="E772" s="39" t="str">
        <f>IF(ISNUMBER(deployment_raw[[#This Row],[Column5]]), deployment_raw[[#This Row],[Column5]],"")</f>
        <v/>
      </c>
      <c r="F772" s="174" t="str">
        <f>IF(ISNUMBER(deployment_raw[[#This Row],[Column6]]), (deployment_raw[[#This Row],[Column6]] * deployment_raw[[#This Row],[Column5]]),"")</f>
        <v/>
      </c>
      <c r="G772" s="175" t="str">
        <f>IF(ISNUMBER(deployment_raw[[#This Row],[Column7]]), (deployment_raw[[#This Row],[Column7]] * deployment_raw[[#This Row],[Column5]])/1048576,"")</f>
        <v/>
      </c>
      <c r="H772" s="175" t="str">
        <f>IF(ISNUMBER(deployment_raw[[#This Row],[Column8]]), (deployment_raw[[#This Row],[Column8]]  * deployment_raw[[#This Row],[Column5]]),"")</f>
        <v/>
      </c>
      <c r="I772" s="176" t="str">
        <f>IF(ISNUMBER(deployment_raw[[#This Row],[Column9]]), (deployment_raw[[#This Row],[Column9]] * deployment_raw[[#This Row],[Column5]])/1048576,"")</f>
        <v/>
      </c>
      <c r="J772" s="57" t="str">
        <f>IF(ISNUMBER(deployment_raw[[#This Row],[Column10]]), (deployment_raw[[#This Row],[Column10]] * deployment_raw[[#This Row],[Column5]]),"")</f>
        <v/>
      </c>
      <c r="K772" s="58" t="str">
        <f>IF(ISNUMBER(deployment_raw[[#This Row],[Column11]]), (deployment_raw[[#This Row],[Column11]] * deployment_raw[[#This Row],[Column5]])/1048576,"")</f>
        <v/>
      </c>
      <c r="L772" s="180" t="str">
        <f>IF(ISNUMBER(deployment_raw[[#This Row],[Column8]]),IF(deployment_raw[[#This Row],[Column5]] &lt;&gt; 0, MAX((deployment_raw[[#This Row],[Column12]] * deployment_raw[[#This Row],[Column5]]), ((deployment_raw[[#This Row],[Column8]] * deployment_raw[[#This Row],[Column5]]) * $L$2), ($H$2 * deployment_raw[[#This Row],[Column5]])), 0),"")</f>
        <v/>
      </c>
      <c r="M77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72" s="188" t="str">
        <f>IF(ISNUMBER(deployment_raw[[#This Row],[Column14]]), deployment_raw[[#This Row],[Column14]],"")</f>
        <v/>
      </c>
      <c r="O772" s="189" t="str">
        <f>IF(ISNUMBER(deployment_raw[[#This Row],[Column15]]), deployment_raw[[#This Row],[Column15]]/1048576,"")</f>
        <v/>
      </c>
      <c r="P772" s="190" t="str">
        <f>IF(ISNUMBER(deployment_raw[[#This Row],[Column12]]), (deployment_raw[[#This Row],[Column12]] * deployment_raw[[#This Row],[Column5]]),"")</f>
        <v/>
      </c>
      <c r="Q772" s="189" t="str">
        <f>IF(ISNUMBER(deployment_raw[[#This Row],[Column13]]), (deployment_raw[[#This Row],[Column13]] * deployment_raw[[#This Row],[Column5]])/1048576,"")</f>
        <v/>
      </c>
    </row>
    <row r="773" spans="1:17" ht="15.75" customHeight="1" x14ac:dyDescent="0.25">
      <c r="A773" s="37" t="str">
        <f>IF(ISNONTEXT(deployment_raw[[#This Row],[Column1]]), "", deployment_raw[[#This Row],[Column1]])</f>
        <v/>
      </c>
      <c r="B773" s="38" t="str">
        <f>IF(ISNONTEXT(deployment_raw[[#This Row],[Column2]]), "", deployment_raw[[#This Row],[Column2]])</f>
        <v/>
      </c>
      <c r="C773" s="38" t="str">
        <f>IF(ISNONTEXT(deployment_raw[[#This Row],[Column3]]), "", deployment_raw[[#This Row],[Column3]])</f>
        <v/>
      </c>
      <c r="D773" s="38" t="str">
        <f>IF(ISNONTEXT(deployment_raw[[#This Row],[Column4]]), "", deployment_raw[[#This Row],[Column4]])</f>
        <v/>
      </c>
      <c r="E773" s="39" t="str">
        <f>IF(ISNUMBER(deployment_raw[[#This Row],[Column5]]), deployment_raw[[#This Row],[Column5]],"")</f>
        <v/>
      </c>
      <c r="F773" s="174" t="str">
        <f>IF(ISNUMBER(deployment_raw[[#This Row],[Column6]]), (deployment_raw[[#This Row],[Column6]] * deployment_raw[[#This Row],[Column5]]),"")</f>
        <v/>
      </c>
      <c r="G773" s="175" t="str">
        <f>IF(ISNUMBER(deployment_raw[[#This Row],[Column7]]), (deployment_raw[[#This Row],[Column7]] * deployment_raw[[#This Row],[Column5]])/1048576,"")</f>
        <v/>
      </c>
      <c r="H773" s="175" t="str">
        <f>IF(ISNUMBER(deployment_raw[[#This Row],[Column8]]), (deployment_raw[[#This Row],[Column8]]  * deployment_raw[[#This Row],[Column5]]),"")</f>
        <v/>
      </c>
      <c r="I773" s="176" t="str">
        <f>IF(ISNUMBER(deployment_raw[[#This Row],[Column9]]), (deployment_raw[[#This Row],[Column9]] * deployment_raw[[#This Row],[Column5]])/1048576,"")</f>
        <v/>
      </c>
      <c r="J773" s="57" t="str">
        <f>IF(ISNUMBER(deployment_raw[[#This Row],[Column10]]), (deployment_raw[[#This Row],[Column10]] * deployment_raw[[#This Row],[Column5]]),"")</f>
        <v/>
      </c>
      <c r="K773" s="58" t="str">
        <f>IF(ISNUMBER(deployment_raw[[#This Row],[Column11]]), (deployment_raw[[#This Row],[Column11]] * deployment_raw[[#This Row],[Column5]])/1048576,"")</f>
        <v/>
      </c>
      <c r="L773" s="180" t="str">
        <f>IF(ISNUMBER(deployment_raw[[#This Row],[Column8]]),IF(deployment_raw[[#This Row],[Column5]] &lt;&gt; 0, MAX((deployment_raw[[#This Row],[Column12]] * deployment_raw[[#This Row],[Column5]]), ((deployment_raw[[#This Row],[Column8]] * deployment_raw[[#This Row],[Column5]]) * $L$2), ($H$2 * deployment_raw[[#This Row],[Column5]])), 0),"")</f>
        <v/>
      </c>
      <c r="M77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73" s="188" t="str">
        <f>IF(ISNUMBER(deployment_raw[[#This Row],[Column14]]), deployment_raw[[#This Row],[Column14]],"")</f>
        <v/>
      </c>
      <c r="O773" s="189" t="str">
        <f>IF(ISNUMBER(deployment_raw[[#This Row],[Column15]]), deployment_raw[[#This Row],[Column15]]/1048576,"")</f>
        <v/>
      </c>
      <c r="P773" s="190" t="str">
        <f>IF(ISNUMBER(deployment_raw[[#This Row],[Column12]]), (deployment_raw[[#This Row],[Column12]] * deployment_raw[[#This Row],[Column5]]),"")</f>
        <v/>
      </c>
      <c r="Q773" s="189" t="str">
        <f>IF(ISNUMBER(deployment_raw[[#This Row],[Column13]]), (deployment_raw[[#This Row],[Column13]] * deployment_raw[[#This Row],[Column5]])/1048576,"")</f>
        <v/>
      </c>
    </row>
    <row r="774" spans="1:17" ht="15.75" customHeight="1" x14ac:dyDescent="0.25">
      <c r="A774" s="37" t="str">
        <f>IF(ISNONTEXT(deployment_raw[[#This Row],[Column1]]), "", deployment_raw[[#This Row],[Column1]])</f>
        <v/>
      </c>
      <c r="B774" s="38" t="str">
        <f>IF(ISNONTEXT(deployment_raw[[#This Row],[Column2]]), "", deployment_raw[[#This Row],[Column2]])</f>
        <v/>
      </c>
      <c r="C774" s="38" t="str">
        <f>IF(ISNONTEXT(deployment_raw[[#This Row],[Column3]]), "", deployment_raw[[#This Row],[Column3]])</f>
        <v/>
      </c>
      <c r="D774" s="38" t="str">
        <f>IF(ISNONTEXT(deployment_raw[[#This Row],[Column4]]), "", deployment_raw[[#This Row],[Column4]])</f>
        <v/>
      </c>
      <c r="E774" s="39" t="str">
        <f>IF(ISNUMBER(deployment_raw[[#This Row],[Column5]]), deployment_raw[[#This Row],[Column5]],"")</f>
        <v/>
      </c>
      <c r="F774" s="174" t="str">
        <f>IF(ISNUMBER(deployment_raw[[#This Row],[Column6]]), (deployment_raw[[#This Row],[Column6]] * deployment_raw[[#This Row],[Column5]]),"")</f>
        <v/>
      </c>
      <c r="G774" s="175" t="str">
        <f>IF(ISNUMBER(deployment_raw[[#This Row],[Column7]]), (deployment_raw[[#This Row],[Column7]] * deployment_raw[[#This Row],[Column5]])/1048576,"")</f>
        <v/>
      </c>
      <c r="H774" s="175" t="str">
        <f>IF(ISNUMBER(deployment_raw[[#This Row],[Column8]]), (deployment_raw[[#This Row],[Column8]]  * deployment_raw[[#This Row],[Column5]]),"")</f>
        <v/>
      </c>
      <c r="I774" s="176" t="str">
        <f>IF(ISNUMBER(deployment_raw[[#This Row],[Column9]]), (deployment_raw[[#This Row],[Column9]] * deployment_raw[[#This Row],[Column5]])/1048576,"")</f>
        <v/>
      </c>
      <c r="J774" s="57" t="str">
        <f>IF(ISNUMBER(deployment_raw[[#This Row],[Column10]]), (deployment_raw[[#This Row],[Column10]] * deployment_raw[[#This Row],[Column5]]),"")</f>
        <v/>
      </c>
      <c r="K774" s="58" t="str">
        <f>IF(ISNUMBER(deployment_raw[[#This Row],[Column11]]), (deployment_raw[[#This Row],[Column11]] * deployment_raw[[#This Row],[Column5]])/1048576,"")</f>
        <v/>
      </c>
      <c r="L774" s="180" t="str">
        <f>IF(ISNUMBER(deployment_raw[[#This Row],[Column8]]),IF(deployment_raw[[#This Row],[Column5]] &lt;&gt; 0, MAX((deployment_raw[[#This Row],[Column12]] * deployment_raw[[#This Row],[Column5]]), ((deployment_raw[[#This Row],[Column8]] * deployment_raw[[#This Row],[Column5]]) * $L$2), ($H$2 * deployment_raw[[#This Row],[Column5]])), 0),"")</f>
        <v/>
      </c>
      <c r="M77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74" s="188" t="str">
        <f>IF(ISNUMBER(deployment_raw[[#This Row],[Column14]]), deployment_raw[[#This Row],[Column14]],"")</f>
        <v/>
      </c>
      <c r="O774" s="189" t="str">
        <f>IF(ISNUMBER(deployment_raw[[#This Row],[Column15]]), deployment_raw[[#This Row],[Column15]]/1048576,"")</f>
        <v/>
      </c>
      <c r="P774" s="190" t="str">
        <f>IF(ISNUMBER(deployment_raw[[#This Row],[Column12]]), (deployment_raw[[#This Row],[Column12]] * deployment_raw[[#This Row],[Column5]]),"")</f>
        <v/>
      </c>
      <c r="Q774" s="189" t="str">
        <f>IF(ISNUMBER(deployment_raw[[#This Row],[Column13]]), (deployment_raw[[#This Row],[Column13]] * deployment_raw[[#This Row],[Column5]])/1048576,"")</f>
        <v/>
      </c>
    </row>
    <row r="775" spans="1:17" ht="15.75" customHeight="1" x14ac:dyDescent="0.25">
      <c r="A775" s="37" t="str">
        <f>IF(ISNONTEXT(deployment_raw[[#This Row],[Column1]]), "", deployment_raw[[#This Row],[Column1]])</f>
        <v/>
      </c>
      <c r="B775" s="38" t="str">
        <f>IF(ISNONTEXT(deployment_raw[[#This Row],[Column2]]), "", deployment_raw[[#This Row],[Column2]])</f>
        <v/>
      </c>
      <c r="C775" s="38" t="str">
        <f>IF(ISNONTEXT(deployment_raw[[#This Row],[Column3]]), "", deployment_raw[[#This Row],[Column3]])</f>
        <v/>
      </c>
      <c r="D775" s="38" t="str">
        <f>IF(ISNONTEXT(deployment_raw[[#This Row],[Column4]]), "", deployment_raw[[#This Row],[Column4]])</f>
        <v/>
      </c>
      <c r="E775" s="39" t="str">
        <f>IF(ISNUMBER(deployment_raw[[#This Row],[Column5]]), deployment_raw[[#This Row],[Column5]],"")</f>
        <v/>
      </c>
      <c r="F775" s="174" t="str">
        <f>IF(ISNUMBER(deployment_raw[[#This Row],[Column6]]), (deployment_raw[[#This Row],[Column6]] * deployment_raw[[#This Row],[Column5]]),"")</f>
        <v/>
      </c>
      <c r="G775" s="175" t="str">
        <f>IF(ISNUMBER(deployment_raw[[#This Row],[Column7]]), (deployment_raw[[#This Row],[Column7]] * deployment_raw[[#This Row],[Column5]])/1048576,"")</f>
        <v/>
      </c>
      <c r="H775" s="175" t="str">
        <f>IF(ISNUMBER(deployment_raw[[#This Row],[Column8]]), (deployment_raw[[#This Row],[Column8]]  * deployment_raw[[#This Row],[Column5]]),"")</f>
        <v/>
      </c>
      <c r="I775" s="176" t="str">
        <f>IF(ISNUMBER(deployment_raw[[#This Row],[Column9]]), (deployment_raw[[#This Row],[Column9]] * deployment_raw[[#This Row],[Column5]])/1048576,"")</f>
        <v/>
      </c>
      <c r="J775" s="57" t="str">
        <f>IF(ISNUMBER(deployment_raw[[#This Row],[Column10]]), (deployment_raw[[#This Row],[Column10]] * deployment_raw[[#This Row],[Column5]]),"")</f>
        <v/>
      </c>
      <c r="K775" s="58" t="str">
        <f>IF(ISNUMBER(deployment_raw[[#This Row],[Column11]]), (deployment_raw[[#This Row],[Column11]] * deployment_raw[[#This Row],[Column5]])/1048576,"")</f>
        <v/>
      </c>
      <c r="L775" s="180" t="str">
        <f>IF(ISNUMBER(deployment_raw[[#This Row],[Column8]]),IF(deployment_raw[[#This Row],[Column5]] &lt;&gt; 0, MAX((deployment_raw[[#This Row],[Column12]] * deployment_raw[[#This Row],[Column5]]), ((deployment_raw[[#This Row],[Column8]] * deployment_raw[[#This Row],[Column5]]) * $L$2), ($H$2 * deployment_raw[[#This Row],[Column5]])), 0),"")</f>
        <v/>
      </c>
      <c r="M77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75" s="188" t="str">
        <f>IF(ISNUMBER(deployment_raw[[#This Row],[Column14]]), deployment_raw[[#This Row],[Column14]],"")</f>
        <v/>
      </c>
      <c r="O775" s="189" t="str">
        <f>IF(ISNUMBER(deployment_raw[[#This Row],[Column15]]), deployment_raw[[#This Row],[Column15]]/1048576,"")</f>
        <v/>
      </c>
      <c r="P775" s="190" t="str">
        <f>IF(ISNUMBER(deployment_raw[[#This Row],[Column12]]), (deployment_raw[[#This Row],[Column12]] * deployment_raw[[#This Row],[Column5]]),"")</f>
        <v/>
      </c>
      <c r="Q775" s="189" t="str">
        <f>IF(ISNUMBER(deployment_raw[[#This Row],[Column13]]), (deployment_raw[[#This Row],[Column13]] * deployment_raw[[#This Row],[Column5]])/1048576,"")</f>
        <v/>
      </c>
    </row>
    <row r="776" spans="1:17" ht="15.75" customHeight="1" x14ac:dyDescent="0.25">
      <c r="A776" s="37" t="str">
        <f>IF(ISNONTEXT(deployment_raw[[#This Row],[Column1]]), "", deployment_raw[[#This Row],[Column1]])</f>
        <v/>
      </c>
      <c r="B776" s="38" t="str">
        <f>IF(ISNONTEXT(deployment_raw[[#This Row],[Column2]]), "", deployment_raw[[#This Row],[Column2]])</f>
        <v/>
      </c>
      <c r="C776" s="38" t="str">
        <f>IF(ISNONTEXT(deployment_raw[[#This Row],[Column3]]), "", deployment_raw[[#This Row],[Column3]])</f>
        <v/>
      </c>
      <c r="D776" s="38" t="str">
        <f>IF(ISNONTEXT(deployment_raw[[#This Row],[Column4]]), "", deployment_raw[[#This Row],[Column4]])</f>
        <v/>
      </c>
      <c r="E776" s="39" t="str">
        <f>IF(ISNUMBER(deployment_raw[[#This Row],[Column5]]), deployment_raw[[#This Row],[Column5]],"")</f>
        <v/>
      </c>
      <c r="F776" s="174" t="str">
        <f>IF(ISNUMBER(deployment_raw[[#This Row],[Column6]]), (deployment_raw[[#This Row],[Column6]] * deployment_raw[[#This Row],[Column5]]),"")</f>
        <v/>
      </c>
      <c r="G776" s="175" t="str">
        <f>IF(ISNUMBER(deployment_raw[[#This Row],[Column7]]), (deployment_raw[[#This Row],[Column7]] * deployment_raw[[#This Row],[Column5]])/1048576,"")</f>
        <v/>
      </c>
      <c r="H776" s="175" t="str">
        <f>IF(ISNUMBER(deployment_raw[[#This Row],[Column8]]), (deployment_raw[[#This Row],[Column8]]  * deployment_raw[[#This Row],[Column5]]),"")</f>
        <v/>
      </c>
      <c r="I776" s="176" t="str">
        <f>IF(ISNUMBER(deployment_raw[[#This Row],[Column9]]), (deployment_raw[[#This Row],[Column9]] * deployment_raw[[#This Row],[Column5]])/1048576,"")</f>
        <v/>
      </c>
      <c r="J776" s="57" t="str">
        <f>IF(ISNUMBER(deployment_raw[[#This Row],[Column10]]), (deployment_raw[[#This Row],[Column10]] * deployment_raw[[#This Row],[Column5]]),"")</f>
        <v/>
      </c>
      <c r="K776" s="58" t="str">
        <f>IF(ISNUMBER(deployment_raw[[#This Row],[Column11]]), (deployment_raw[[#This Row],[Column11]] * deployment_raw[[#This Row],[Column5]])/1048576,"")</f>
        <v/>
      </c>
      <c r="L776" s="180" t="str">
        <f>IF(ISNUMBER(deployment_raw[[#This Row],[Column8]]),IF(deployment_raw[[#This Row],[Column5]] &lt;&gt; 0, MAX((deployment_raw[[#This Row],[Column12]] * deployment_raw[[#This Row],[Column5]]), ((deployment_raw[[#This Row],[Column8]] * deployment_raw[[#This Row],[Column5]]) * $L$2), ($H$2 * deployment_raw[[#This Row],[Column5]])), 0),"")</f>
        <v/>
      </c>
      <c r="M77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76" s="188" t="str">
        <f>IF(ISNUMBER(deployment_raw[[#This Row],[Column14]]), deployment_raw[[#This Row],[Column14]],"")</f>
        <v/>
      </c>
      <c r="O776" s="189" t="str">
        <f>IF(ISNUMBER(deployment_raw[[#This Row],[Column15]]), deployment_raw[[#This Row],[Column15]]/1048576,"")</f>
        <v/>
      </c>
      <c r="P776" s="190" t="str">
        <f>IF(ISNUMBER(deployment_raw[[#This Row],[Column12]]), (deployment_raw[[#This Row],[Column12]] * deployment_raw[[#This Row],[Column5]]),"")</f>
        <v/>
      </c>
      <c r="Q776" s="189" t="str">
        <f>IF(ISNUMBER(deployment_raw[[#This Row],[Column13]]), (deployment_raw[[#This Row],[Column13]] * deployment_raw[[#This Row],[Column5]])/1048576,"")</f>
        <v/>
      </c>
    </row>
    <row r="777" spans="1:17" ht="15.75" customHeight="1" x14ac:dyDescent="0.25">
      <c r="A777" s="37" t="str">
        <f>IF(ISNONTEXT(deployment_raw[[#This Row],[Column1]]), "", deployment_raw[[#This Row],[Column1]])</f>
        <v/>
      </c>
      <c r="B777" s="38" t="str">
        <f>IF(ISNONTEXT(deployment_raw[[#This Row],[Column2]]), "", deployment_raw[[#This Row],[Column2]])</f>
        <v/>
      </c>
      <c r="C777" s="38" t="str">
        <f>IF(ISNONTEXT(deployment_raw[[#This Row],[Column3]]), "", deployment_raw[[#This Row],[Column3]])</f>
        <v/>
      </c>
      <c r="D777" s="38" t="str">
        <f>IF(ISNONTEXT(deployment_raw[[#This Row],[Column4]]), "", deployment_raw[[#This Row],[Column4]])</f>
        <v/>
      </c>
      <c r="E777" s="39" t="str">
        <f>IF(ISNUMBER(deployment_raw[[#This Row],[Column5]]), deployment_raw[[#This Row],[Column5]],"")</f>
        <v/>
      </c>
      <c r="F777" s="174" t="str">
        <f>IF(ISNUMBER(deployment_raw[[#This Row],[Column6]]), (deployment_raw[[#This Row],[Column6]] * deployment_raw[[#This Row],[Column5]]),"")</f>
        <v/>
      </c>
      <c r="G777" s="175" t="str">
        <f>IF(ISNUMBER(deployment_raw[[#This Row],[Column7]]), (deployment_raw[[#This Row],[Column7]] * deployment_raw[[#This Row],[Column5]])/1048576,"")</f>
        <v/>
      </c>
      <c r="H777" s="175" t="str">
        <f>IF(ISNUMBER(deployment_raw[[#This Row],[Column8]]), (deployment_raw[[#This Row],[Column8]]  * deployment_raw[[#This Row],[Column5]]),"")</f>
        <v/>
      </c>
      <c r="I777" s="176" t="str">
        <f>IF(ISNUMBER(deployment_raw[[#This Row],[Column9]]), (deployment_raw[[#This Row],[Column9]] * deployment_raw[[#This Row],[Column5]])/1048576,"")</f>
        <v/>
      </c>
      <c r="J777" s="57" t="str">
        <f>IF(ISNUMBER(deployment_raw[[#This Row],[Column10]]), (deployment_raw[[#This Row],[Column10]] * deployment_raw[[#This Row],[Column5]]),"")</f>
        <v/>
      </c>
      <c r="K777" s="58" t="str">
        <f>IF(ISNUMBER(deployment_raw[[#This Row],[Column11]]), (deployment_raw[[#This Row],[Column11]] * deployment_raw[[#This Row],[Column5]])/1048576,"")</f>
        <v/>
      </c>
      <c r="L777" s="180" t="str">
        <f>IF(ISNUMBER(deployment_raw[[#This Row],[Column8]]),IF(deployment_raw[[#This Row],[Column5]] &lt;&gt; 0, MAX((deployment_raw[[#This Row],[Column12]] * deployment_raw[[#This Row],[Column5]]), ((deployment_raw[[#This Row],[Column8]] * deployment_raw[[#This Row],[Column5]]) * $L$2), ($H$2 * deployment_raw[[#This Row],[Column5]])), 0),"")</f>
        <v/>
      </c>
      <c r="M77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77" s="188" t="str">
        <f>IF(ISNUMBER(deployment_raw[[#This Row],[Column14]]), deployment_raw[[#This Row],[Column14]],"")</f>
        <v/>
      </c>
      <c r="O777" s="189" t="str">
        <f>IF(ISNUMBER(deployment_raw[[#This Row],[Column15]]), deployment_raw[[#This Row],[Column15]]/1048576,"")</f>
        <v/>
      </c>
      <c r="P777" s="190" t="str">
        <f>IF(ISNUMBER(deployment_raw[[#This Row],[Column12]]), (deployment_raw[[#This Row],[Column12]] * deployment_raw[[#This Row],[Column5]]),"")</f>
        <v/>
      </c>
      <c r="Q777" s="189" t="str">
        <f>IF(ISNUMBER(deployment_raw[[#This Row],[Column13]]), (deployment_raw[[#This Row],[Column13]] * deployment_raw[[#This Row],[Column5]])/1048576,"")</f>
        <v/>
      </c>
    </row>
    <row r="778" spans="1:17" ht="15.75" customHeight="1" x14ac:dyDescent="0.25">
      <c r="A778" s="37" t="str">
        <f>IF(ISNONTEXT(deployment_raw[[#This Row],[Column1]]), "", deployment_raw[[#This Row],[Column1]])</f>
        <v/>
      </c>
      <c r="B778" s="38" t="str">
        <f>IF(ISNONTEXT(deployment_raw[[#This Row],[Column2]]), "", deployment_raw[[#This Row],[Column2]])</f>
        <v/>
      </c>
      <c r="C778" s="38" t="str">
        <f>IF(ISNONTEXT(deployment_raw[[#This Row],[Column3]]), "", deployment_raw[[#This Row],[Column3]])</f>
        <v/>
      </c>
      <c r="D778" s="38" t="str">
        <f>IF(ISNONTEXT(deployment_raw[[#This Row],[Column4]]), "", deployment_raw[[#This Row],[Column4]])</f>
        <v/>
      </c>
      <c r="E778" s="39" t="str">
        <f>IF(ISNUMBER(deployment_raw[[#This Row],[Column5]]), deployment_raw[[#This Row],[Column5]],"")</f>
        <v/>
      </c>
      <c r="F778" s="174" t="str">
        <f>IF(ISNUMBER(deployment_raw[[#This Row],[Column6]]), (deployment_raw[[#This Row],[Column6]] * deployment_raw[[#This Row],[Column5]]),"")</f>
        <v/>
      </c>
      <c r="G778" s="175" t="str">
        <f>IF(ISNUMBER(deployment_raw[[#This Row],[Column7]]), (deployment_raw[[#This Row],[Column7]] * deployment_raw[[#This Row],[Column5]])/1048576,"")</f>
        <v/>
      </c>
      <c r="H778" s="175" t="str">
        <f>IF(ISNUMBER(deployment_raw[[#This Row],[Column8]]), (deployment_raw[[#This Row],[Column8]]  * deployment_raw[[#This Row],[Column5]]),"")</f>
        <v/>
      </c>
      <c r="I778" s="176" t="str">
        <f>IF(ISNUMBER(deployment_raw[[#This Row],[Column9]]), (deployment_raw[[#This Row],[Column9]] * deployment_raw[[#This Row],[Column5]])/1048576,"")</f>
        <v/>
      </c>
      <c r="J778" s="57" t="str">
        <f>IF(ISNUMBER(deployment_raw[[#This Row],[Column10]]), (deployment_raw[[#This Row],[Column10]] * deployment_raw[[#This Row],[Column5]]),"")</f>
        <v/>
      </c>
      <c r="K778" s="58" t="str">
        <f>IF(ISNUMBER(deployment_raw[[#This Row],[Column11]]), (deployment_raw[[#This Row],[Column11]] * deployment_raw[[#This Row],[Column5]])/1048576,"")</f>
        <v/>
      </c>
      <c r="L778" s="180" t="str">
        <f>IF(ISNUMBER(deployment_raw[[#This Row],[Column8]]),IF(deployment_raw[[#This Row],[Column5]] &lt;&gt; 0, MAX((deployment_raw[[#This Row],[Column12]] * deployment_raw[[#This Row],[Column5]]), ((deployment_raw[[#This Row],[Column8]] * deployment_raw[[#This Row],[Column5]]) * $L$2), ($H$2 * deployment_raw[[#This Row],[Column5]])), 0),"")</f>
        <v/>
      </c>
      <c r="M77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78" s="188" t="str">
        <f>IF(ISNUMBER(deployment_raw[[#This Row],[Column14]]), deployment_raw[[#This Row],[Column14]],"")</f>
        <v/>
      </c>
      <c r="O778" s="189" t="str">
        <f>IF(ISNUMBER(deployment_raw[[#This Row],[Column15]]), deployment_raw[[#This Row],[Column15]]/1048576,"")</f>
        <v/>
      </c>
      <c r="P778" s="190" t="str">
        <f>IF(ISNUMBER(deployment_raw[[#This Row],[Column12]]), (deployment_raw[[#This Row],[Column12]] * deployment_raw[[#This Row],[Column5]]),"")</f>
        <v/>
      </c>
      <c r="Q778" s="189" t="str">
        <f>IF(ISNUMBER(deployment_raw[[#This Row],[Column13]]), (deployment_raw[[#This Row],[Column13]] * deployment_raw[[#This Row],[Column5]])/1048576,"")</f>
        <v/>
      </c>
    </row>
    <row r="779" spans="1:17" ht="15.75" customHeight="1" x14ac:dyDescent="0.25">
      <c r="A779" s="37" t="str">
        <f>IF(ISNONTEXT(deployment_raw[[#This Row],[Column1]]), "", deployment_raw[[#This Row],[Column1]])</f>
        <v/>
      </c>
      <c r="B779" s="38" t="str">
        <f>IF(ISNONTEXT(deployment_raw[[#This Row],[Column2]]), "", deployment_raw[[#This Row],[Column2]])</f>
        <v/>
      </c>
      <c r="C779" s="38" t="str">
        <f>IF(ISNONTEXT(deployment_raw[[#This Row],[Column3]]), "", deployment_raw[[#This Row],[Column3]])</f>
        <v/>
      </c>
      <c r="D779" s="38" t="str">
        <f>IF(ISNONTEXT(deployment_raw[[#This Row],[Column4]]), "", deployment_raw[[#This Row],[Column4]])</f>
        <v/>
      </c>
      <c r="E779" s="39" t="str">
        <f>IF(ISNUMBER(deployment_raw[[#This Row],[Column5]]), deployment_raw[[#This Row],[Column5]],"")</f>
        <v/>
      </c>
      <c r="F779" s="174" t="str">
        <f>IF(ISNUMBER(deployment_raw[[#This Row],[Column6]]), (deployment_raw[[#This Row],[Column6]] * deployment_raw[[#This Row],[Column5]]),"")</f>
        <v/>
      </c>
      <c r="G779" s="175" t="str">
        <f>IF(ISNUMBER(deployment_raw[[#This Row],[Column7]]), (deployment_raw[[#This Row],[Column7]] * deployment_raw[[#This Row],[Column5]])/1048576,"")</f>
        <v/>
      </c>
      <c r="H779" s="175" t="str">
        <f>IF(ISNUMBER(deployment_raw[[#This Row],[Column8]]), (deployment_raw[[#This Row],[Column8]]  * deployment_raw[[#This Row],[Column5]]),"")</f>
        <v/>
      </c>
      <c r="I779" s="176" t="str">
        <f>IF(ISNUMBER(deployment_raw[[#This Row],[Column9]]), (deployment_raw[[#This Row],[Column9]] * deployment_raw[[#This Row],[Column5]])/1048576,"")</f>
        <v/>
      </c>
      <c r="J779" s="57" t="str">
        <f>IF(ISNUMBER(deployment_raw[[#This Row],[Column10]]), (deployment_raw[[#This Row],[Column10]] * deployment_raw[[#This Row],[Column5]]),"")</f>
        <v/>
      </c>
      <c r="K779" s="58" t="str">
        <f>IF(ISNUMBER(deployment_raw[[#This Row],[Column11]]), (deployment_raw[[#This Row],[Column11]] * deployment_raw[[#This Row],[Column5]])/1048576,"")</f>
        <v/>
      </c>
      <c r="L779" s="180" t="str">
        <f>IF(ISNUMBER(deployment_raw[[#This Row],[Column8]]),IF(deployment_raw[[#This Row],[Column5]] &lt;&gt; 0, MAX((deployment_raw[[#This Row],[Column12]] * deployment_raw[[#This Row],[Column5]]), ((deployment_raw[[#This Row],[Column8]] * deployment_raw[[#This Row],[Column5]]) * $L$2), ($H$2 * deployment_raw[[#This Row],[Column5]])), 0),"")</f>
        <v/>
      </c>
      <c r="M77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79" s="188" t="str">
        <f>IF(ISNUMBER(deployment_raw[[#This Row],[Column14]]), deployment_raw[[#This Row],[Column14]],"")</f>
        <v/>
      </c>
      <c r="O779" s="189" t="str">
        <f>IF(ISNUMBER(deployment_raw[[#This Row],[Column15]]), deployment_raw[[#This Row],[Column15]]/1048576,"")</f>
        <v/>
      </c>
      <c r="P779" s="190" t="str">
        <f>IF(ISNUMBER(deployment_raw[[#This Row],[Column12]]), (deployment_raw[[#This Row],[Column12]] * deployment_raw[[#This Row],[Column5]]),"")</f>
        <v/>
      </c>
      <c r="Q779" s="189" t="str">
        <f>IF(ISNUMBER(deployment_raw[[#This Row],[Column13]]), (deployment_raw[[#This Row],[Column13]] * deployment_raw[[#This Row],[Column5]])/1048576,"")</f>
        <v/>
      </c>
    </row>
    <row r="780" spans="1:17" ht="15.75" customHeight="1" x14ac:dyDescent="0.25">
      <c r="A780" s="37" t="str">
        <f>IF(ISNONTEXT(deployment_raw[[#This Row],[Column1]]), "", deployment_raw[[#This Row],[Column1]])</f>
        <v/>
      </c>
      <c r="B780" s="38" t="str">
        <f>IF(ISNONTEXT(deployment_raw[[#This Row],[Column2]]), "", deployment_raw[[#This Row],[Column2]])</f>
        <v/>
      </c>
      <c r="C780" s="38" t="str">
        <f>IF(ISNONTEXT(deployment_raw[[#This Row],[Column3]]), "", deployment_raw[[#This Row],[Column3]])</f>
        <v/>
      </c>
      <c r="D780" s="38" t="str">
        <f>IF(ISNONTEXT(deployment_raw[[#This Row],[Column4]]), "", deployment_raw[[#This Row],[Column4]])</f>
        <v/>
      </c>
      <c r="E780" s="39" t="str">
        <f>IF(ISNUMBER(deployment_raw[[#This Row],[Column5]]), deployment_raw[[#This Row],[Column5]],"")</f>
        <v/>
      </c>
      <c r="F780" s="174" t="str">
        <f>IF(ISNUMBER(deployment_raw[[#This Row],[Column6]]), (deployment_raw[[#This Row],[Column6]] * deployment_raw[[#This Row],[Column5]]),"")</f>
        <v/>
      </c>
      <c r="G780" s="175" t="str">
        <f>IF(ISNUMBER(deployment_raw[[#This Row],[Column7]]), (deployment_raw[[#This Row],[Column7]] * deployment_raw[[#This Row],[Column5]])/1048576,"")</f>
        <v/>
      </c>
      <c r="H780" s="175" t="str">
        <f>IF(ISNUMBER(deployment_raw[[#This Row],[Column8]]), (deployment_raw[[#This Row],[Column8]]  * deployment_raw[[#This Row],[Column5]]),"")</f>
        <v/>
      </c>
      <c r="I780" s="176" t="str">
        <f>IF(ISNUMBER(deployment_raw[[#This Row],[Column9]]), (deployment_raw[[#This Row],[Column9]] * deployment_raw[[#This Row],[Column5]])/1048576,"")</f>
        <v/>
      </c>
      <c r="J780" s="57" t="str">
        <f>IF(ISNUMBER(deployment_raw[[#This Row],[Column10]]), (deployment_raw[[#This Row],[Column10]] * deployment_raw[[#This Row],[Column5]]),"")</f>
        <v/>
      </c>
      <c r="K780" s="58" t="str">
        <f>IF(ISNUMBER(deployment_raw[[#This Row],[Column11]]), (deployment_raw[[#This Row],[Column11]] * deployment_raw[[#This Row],[Column5]])/1048576,"")</f>
        <v/>
      </c>
      <c r="L780" s="180" t="str">
        <f>IF(ISNUMBER(deployment_raw[[#This Row],[Column8]]),IF(deployment_raw[[#This Row],[Column5]] &lt;&gt; 0, MAX((deployment_raw[[#This Row],[Column12]] * deployment_raw[[#This Row],[Column5]]), ((deployment_raw[[#This Row],[Column8]] * deployment_raw[[#This Row],[Column5]]) * $L$2), ($H$2 * deployment_raw[[#This Row],[Column5]])), 0),"")</f>
        <v/>
      </c>
      <c r="M78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80" s="188" t="str">
        <f>IF(ISNUMBER(deployment_raw[[#This Row],[Column14]]), deployment_raw[[#This Row],[Column14]],"")</f>
        <v/>
      </c>
      <c r="O780" s="189" t="str">
        <f>IF(ISNUMBER(deployment_raw[[#This Row],[Column15]]), deployment_raw[[#This Row],[Column15]]/1048576,"")</f>
        <v/>
      </c>
      <c r="P780" s="190" t="str">
        <f>IF(ISNUMBER(deployment_raw[[#This Row],[Column12]]), (deployment_raw[[#This Row],[Column12]] * deployment_raw[[#This Row],[Column5]]),"")</f>
        <v/>
      </c>
      <c r="Q780" s="189" t="str">
        <f>IF(ISNUMBER(deployment_raw[[#This Row],[Column13]]), (deployment_raw[[#This Row],[Column13]] * deployment_raw[[#This Row],[Column5]])/1048576,"")</f>
        <v/>
      </c>
    </row>
    <row r="781" spans="1:17" ht="15.75" customHeight="1" x14ac:dyDescent="0.25">
      <c r="A781" s="37" t="str">
        <f>IF(ISNONTEXT(deployment_raw[[#This Row],[Column1]]), "", deployment_raw[[#This Row],[Column1]])</f>
        <v/>
      </c>
      <c r="B781" s="38" t="str">
        <f>IF(ISNONTEXT(deployment_raw[[#This Row],[Column2]]), "", deployment_raw[[#This Row],[Column2]])</f>
        <v/>
      </c>
      <c r="C781" s="38" t="str">
        <f>IF(ISNONTEXT(deployment_raw[[#This Row],[Column3]]), "", deployment_raw[[#This Row],[Column3]])</f>
        <v/>
      </c>
      <c r="D781" s="38" t="str">
        <f>IF(ISNONTEXT(deployment_raw[[#This Row],[Column4]]), "", deployment_raw[[#This Row],[Column4]])</f>
        <v/>
      </c>
      <c r="E781" s="39" t="str">
        <f>IF(ISNUMBER(deployment_raw[[#This Row],[Column5]]), deployment_raw[[#This Row],[Column5]],"")</f>
        <v/>
      </c>
      <c r="F781" s="174" t="str">
        <f>IF(ISNUMBER(deployment_raw[[#This Row],[Column6]]), (deployment_raw[[#This Row],[Column6]] * deployment_raw[[#This Row],[Column5]]),"")</f>
        <v/>
      </c>
      <c r="G781" s="175" t="str">
        <f>IF(ISNUMBER(deployment_raw[[#This Row],[Column7]]), (deployment_raw[[#This Row],[Column7]] * deployment_raw[[#This Row],[Column5]])/1048576,"")</f>
        <v/>
      </c>
      <c r="H781" s="175" t="str">
        <f>IF(ISNUMBER(deployment_raw[[#This Row],[Column8]]), (deployment_raw[[#This Row],[Column8]]  * deployment_raw[[#This Row],[Column5]]),"")</f>
        <v/>
      </c>
      <c r="I781" s="176" t="str">
        <f>IF(ISNUMBER(deployment_raw[[#This Row],[Column9]]), (deployment_raw[[#This Row],[Column9]] * deployment_raw[[#This Row],[Column5]])/1048576,"")</f>
        <v/>
      </c>
      <c r="J781" s="57" t="str">
        <f>IF(ISNUMBER(deployment_raw[[#This Row],[Column10]]), (deployment_raw[[#This Row],[Column10]] * deployment_raw[[#This Row],[Column5]]),"")</f>
        <v/>
      </c>
      <c r="K781" s="58" t="str">
        <f>IF(ISNUMBER(deployment_raw[[#This Row],[Column11]]), (deployment_raw[[#This Row],[Column11]] * deployment_raw[[#This Row],[Column5]])/1048576,"")</f>
        <v/>
      </c>
      <c r="L781" s="180" t="str">
        <f>IF(ISNUMBER(deployment_raw[[#This Row],[Column8]]),IF(deployment_raw[[#This Row],[Column5]] &lt;&gt; 0, MAX((deployment_raw[[#This Row],[Column12]] * deployment_raw[[#This Row],[Column5]]), ((deployment_raw[[#This Row],[Column8]] * deployment_raw[[#This Row],[Column5]]) * $L$2), ($H$2 * deployment_raw[[#This Row],[Column5]])), 0),"")</f>
        <v/>
      </c>
      <c r="M78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81" s="188" t="str">
        <f>IF(ISNUMBER(deployment_raw[[#This Row],[Column14]]), deployment_raw[[#This Row],[Column14]],"")</f>
        <v/>
      </c>
      <c r="O781" s="189" t="str">
        <f>IF(ISNUMBER(deployment_raw[[#This Row],[Column15]]), deployment_raw[[#This Row],[Column15]]/1048576,"")</f>
        <v/>
      </c>
      <c r="P781" s="190" t="str">
        <f>IF(ISNUMBER(deployment_raw[[#This Row],[Column12]]), (deployment_raw[[#This Row],[Column12]] * deployment_raw[[#This Row],[Column5]]),"")</f>
        <v/>
      </c>
      <c r="Q781" s="189" t="str">
        <f>IF(ISNUMBER(deployment_raw[[#This Row],[Column13]]), (deployment_raw[[#This Row],[Column13]] * deployment_raw[[#This Row],[Column5]])/1048576,"")</f>
        <v/>
      </c>
    </row>
    <row r="782" spans="1:17" ht="15.75" customHeight="1" x14ac:dyDescent="0.25">
      <c r="A782" s="37" t="str">
        <f>IF(ISNONTEXT(deployment_raw[[#This Row],[Column1]]), "", deployment_raw[[#This Row],[Column1]])</f>
        <v/>
      </c>
      <c r="B782" s="38" t="str">
        <f>IF(ISNONTEXT(deployment_raw[[#This Row],[Column2]]), "", deployment_raw[[#This Row],[Column2]])</f>
        <v/>
      </c>
      <c r="C782" s="38" t="str">
        <f>IF(ISNONTEXT(deployment_raw[[#This Row],[Column3]]), "", deployment_raw[[#This Row],[Column3]])</f>
        <v/>
      </c>
      <c r="D782" s="38" t="str">
        <f>IF(ISNONTEXT(deployment_raw[[#This Row],[Column4]]), "", deployment_raw[[#This Row],[Column4]])</f>
        <v/>
      </c>
      <c r="E782" s="39" t="str">
        <f>IF(ISNUMBER(deployment_raw[[#This Row],[Column5]]), deployment_raw[[#This Row],[Column5]],"")</f>
        <v/>
      </c>
      <c r="F782" s="174" t="str">
        <f>IF(ISNUMBER(deployment_raw[[#This Row],[Column6]]), (deployment_raw[[#This Row],[Column6]] * deployment_raw[[#This Row],[Column5]]),"")</f>
        <v/>
      </c>
      <c r="G782" s="175" t="str">
        <f>IF(ISNUMBER(deployment_raw[[#This Row],[Column7]]), (deployment_raw[[#This Row],[Column7]] * deployment_raw[[#This Row],[Column5]])/1048576,"")</f>
        <v/>
      </c>
      <c r="H782" s="175" t="str">
        <f>IF(ISNUMBER(deployment_raw[[#This Row],[Column8]]), (deployment_raw[[#This Row],[Column8]]  * deployment_raw[[#This Row],[Column5]]),"")</f>
        <v/>
      </c>
      <c r="I782" s="176" t="str">
        <f>IF(ISNUMBER(deployment_raw[[#This Row],[Column9]]), (deployment_raw[[#This Row],[Column9]] * deployment_raw[[#This Row],[Column5]])/1048576,"")</f>
        <v/>
      </c>
      <c r="J782" s="57" t="str">
        <f>IF(ISNUMBER(deployment_raw[[#This Row],[Column10]]), (deployment_raw[[#This Row],[Column10]] * deployment_raw[[#This Row],[Column5]]),"")</f>
        <v/>
      </c>
      <c r="K782" s="58" t="str">
        <f>IF(ISNUMBER(deployment_raw[[#This Row],[Column11]]), (deployment_raw[[#This Row],[Column11]] * deployment_raw[[#This Row],[Column5]])/1048576,"")</f>
        <v/>
      </c>
      <c r="L782" s="180" t="str">
        <f>IF(ISNUMBER(deployment_raw[[#This Row],[Column8]]),IF(deployment_raw[[#This Row],[Column5]] &lt;&gt; 0, MAX((deployment_raw[[#This Row],[Column12]] * deployment_raw[[#This Row],[Column5]]), ((deployment_raw[[#This Row],[Column8]] * deployment_raw[[#This Row],[Column5]]) * $L$2), ($H$2 * deployment_raw[[#This Row],[Column5]])), 0),"")</f>
        <v/>
      </c>
      <c r="M78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82" s="188" t="str">
        <f>IF(ISNUMBER(deployment_raw[[#This Row],[Column14]]), deployment_raw[[#This Row],[Column14]],"")</f>
        <v/>
      </c>
      <c r="O782" s="189" t="str">
        <f>IF(ISNUMBER(deployment_raw[[#This Row],[Column15]]), deployment_raw[[#This Row],[Column15]]/1048576,"")</f>
        <v/>
      </c>
      <c r="P782" s="190" t="str">
        <f>IF(ISNUMBER(deployment_raw[[#This Row],[Column12]]), (deployment_raw[[#This Row],[Column12]] * deployment_raw[[#This Row],[Column5]]),"")</f>
        <v/>
      </c>
      <c r="Q782" s="189" t="str">
        <f>IF(ISNUMBER(deployment_raw[[#This Row],[Column13]]), (deployment_raw[[#This Row],[Column13]] * deployment_raw[[#This Row],[Column5]])/1048576,"")</f>
        <v/>
      </c>
    </row>
    <row r="783" spans="1:17" ht="15.75" customHeight="1" x14ac:dyDescent="0.25">
      <c r="A783" s="37" t="str">
        <f>IF(ISNONTEXT(deployment_raw[[#This Row],[Column1]]), "", deployment_raw[[#This Row],[Column1]])</f>
        <v/>
      </c>
      <c r="B783" s="38" t="str">
        <f>IF(ISNONTEXT(deployment_raw[[#This Row],[Column2]]), "", deployment_raw[[#This Row],[Column2]])</f>
        <v/>
      </c>
      <c r="C783" s="38" t="str">
        <f>IF(ISNONTEXT(deployment_raw[[#This Row],[Column3]]), "", deployment_raw[[#This Row],[Column3]])</f>
        <v/>
      </c>
      <c r="D783" s="38" t="str">
        <f>IF(ISNONTEXT(deployment_raw[[#This Row],[Column4]]), "", deployment_raw[[#This Row],[Column4]])</f>
        <v/>
      </c>
      <c r="E783" s="39" t="str">
        <f>IF(ISNUMBER(deployment_raw[[#This Row],[Column5]]), deployment_raw[[#This Row],[Column5]],"")</f>
        <v/>
      </c>
      <c r="F783" s="174" t="str">
        <f>IF(ISNUMBER(deployment_raw[[#This Row],[Column6]]), (deployment_raw[[#This Row],[Column6]] * deployment_raw[[#This Row],[Column5]]),"")</f>
        <v/>
      </c>
      <c r="G783" s="175" t="str">
        <f>IF(ISNUMBER(deployment_raw[[#This Row],[Column7]]), (deployment_raw[[#This Row],[Column7]] * deployment_raw[[#This Row],[Column5]])/1048576,"")</f>
        <v/>
      </c>
      <c r="H783" s="175" t="str">
        <f>IF(ISNUMBER(deployment_raw[[#This Row],[Column8]]), (deployment_raw[[#This Row],[Column8]]  * deployment_raw[[#This Row],[Column5]]),"")</f>
        <v/>
      </c>
      <c r="I783" s="176" t="str">
        <f>IF(ISNUMBER(deployment_raw[[#This Row],[Column9]]), (deployment_raw[[#This Row],[Column9]] * deployment_raw[[#This Row],[Column5]])/1048576,"")</f>
        <v/>
      </c>
      <c r="J783" s="57" t="str">
        <f>IF(ISNUMBER(deployment_raw[[#This Row],[Column10]]), (deployment_raw[[#This Row],[Column10]] * deployment_raw[[#This Row],[Column5]]),"")</f>
        <v/>
      </c>
      <c r="K783" s="58" t="str">
        <f>IF(ISNUMBER(deployment_raw[[#This Row],[Column11]]), (deployment_raw[[#This Row],[Column11]] * deployment_raw[[#This Row],[Column5]])/1048576,"")</f>
        <v/>
      </c>
      <c r="L783" s="180" t="str">
        <f>IF(ISNUMBER(deployment_raw[[#This Row],[Column8]]),IF(deployment_raw[[#This Row],[Column5]] &lt;&gt; 0, MAX((deployment_raw[[#This Row],[Column12]] * deployment_raw[[#This Row],[Column5]]), ((deployment_raw[[#This Row],[Column8]] * deployment_raw[[#This Row],[Column5]]) * $L$2), ($H$2 * deployment_raw[[#This Row],[Column5]])), 0),"")</f>
        <v/>
      </c>
      <c r="M78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83" s="188" t="str">
        <f>IF(ISNUMBER(deployment_raw[[#This Row],[Column14]]), deployment_raw[[#This Row],[Column14]],"")</f>
        <v/>
      </c>
      <c r="O783" s="189" t="str">
        <f>IF(ISNUMBER(deployment_raw[[#This Row],[Column15]]), deployment_raw[[#This Row],[Column15]]/1048576,"")</f>
        <v/>
      </c>
      <c r="P783" s="190" t="str">
        <f>IF(ISNUMBER(deployment_raw[[#This Row],[Column12]]), (deployment_raw[[#This Row],[Column12]] * deployment_raw[[#This Row],[Column5]]),"")</f>
        <v/>
      </c>
      <c r="Q783" s="189" t="str">
        <f>IF(ISNUMBER(deployment_raw[[#This Row],[Column13]]), (deployment_raw[[#This Row],[Column13]] * deployment_raw[[#This Row],[Column5]])/1048576,"")</f>
        <v/>
      </c>
    </row>
    <row r="784" spans="1:17" ht="15.75" customHeight="1" x14ac:dyDescent="0.25">
      <c r="A784" s="37" t="str">
        <f>IF(ISNONTEXT(deployment_raw[[#This Row],[Column1]]), "", deployment_raw[[#This Row],[Column1]])</f>
        <v/>
      </c>
      <c r="B784" s="38" t="str">
        <f>IF(ISNONTEXT(deployment_raw[[#This Row],[Column2]]), "", deployment_raw[[#This Row],[Column2]])</f>
        <v/>
      </c>
      <c r="C784" s="38" t="str">
        <f>IF(ISNONTEXT(deployment_raw[[#This Row],[Column3]]), "", deployment_raw[[#This Row],[Column3]])</f>
        <v/>
      </c>
      <c r="D784" s="38" t="str">
        <f>IF(ISNONTEXT(deployment_raw[[#This Row],[Column4]]), "", deployment_raw[[#This Row],[Column4]])</f>
        <v/>
      </c>
      <c r="E784" s="39" t="str">
        <f>IF(ISNUMBER(deployment_raw[[#This Row],[Column5]]), deployment_raw[[#This Row],[Column5]],"")</f>
        <v/>
      </c>
      <c r="F784" s="174" t="str">
        <f>IF(ISNUMBER(deployment_raw[[#This Row],[Column6]]), (deployment_raw[[#This Row],[Column6]] * deployment_raw[[#This Row],[Column5]]),"")</f>
        <v/>
      </c>
      <c r="G784" s="175" t="str">
        <f>IF(ISNUMBER(deployment_raw[[#This Row],[Column7]]), (deployment_raw[[#This Row],[Column7]] * deployment_raw[[#This Row],[Column5]])/1048576,"")</f>
        <v/>
      </c>
      <c r="H784" s="175" t="str">
        <f>IF(ISNUMBER(deployment_raw[[#This Row],[Column8]]), (deployment_raw[[#This Row],[Column8]]  * deployment_raw[[#This Row],[Column5]]),"")</f>
        <v/>
      </c>
      <c r="I784" s="176" t="str">
        <f>IF(ISNUMBER(deployment_raw[[#This Row],[Column9]]), (deployment_raw[[#This Row],[Column9]] * deployment_raw[[#This Row],[Column5]])/1048576,"")</f>
        <v/>
      </c>
      <c r="J784" s="57" t="str">
        <f>IF(ISNUMBER(deployment_raw[[#This Row],[Column10]]), (deployment_raw[[#This Row],[Column10]] * deployment_raw[[#This Row],[Column5]]),"")</f>
        <v/>
      </c>
      <c r="K784" s="58" t="str">
        <f>IF(ISNUMBER(deployment_raw[[#This Row],[Column11]]), (deployment_raw[[#This Row],[Column11]] * deployment_raw[[#This Row],[Column5]])/1048576,"")</f>
        <v/>
      </c>
      <c r="L784" s="180" t="str">
        <f>IF(ISNUMBER(deployment_raw[[#This Row],[Column8]]),IF(deployment_raw[[#This Row],[Column5]] &lt;&gt; 0, MAX((deployment_raw[[#This Row],[Column12]] * deployment_raw[[#This Row],[Column5]]), ((deployment_raw[[#This Row],[Column8]] * deployment_raw[[#This Row],[Column5]]) * $L$2), ($H$2 * deployment_raw[[#This Row],[Column5]])), 0),"")</f>
        <v/>
      </c>
      <c r="M78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84" s="188" t="str">
        <f>IF(ISNUMBER(deployment_raw[[#This Row],[Column14]]), deployment_raw[[#This Row],[Column14]],"")</f>
        <v/>
      </c>
      <c r="O784" s="189" t="str">
        <f>IF(ISNUMBER(deployment_raw[[#This Row],[Column15]]), deployment_raw[[#This Row],[Column15]]/1048576,"")</f>
        <v/>
      </c>
      <c r="P784" s="190" t="str">
        <f>IF(ISNUMBER(deployment_raw[[#This Row],[Column12]]), (deployment_raw[[#This Row],[Column12]] * deployment_raw[[#This Row],[Column5]]),"")</f>
        <v/>
      </c>
      <c r="Q784" s="189" t="str">
        <f>IF(ISNUMBER(deployment_raw[[#This Row],[Column13]]), (deployment_raw[[#This Row],[Column13]] * deployment_raw[[#This Row],[Column5]])/1048576,"")</f>
        <v/>
      </c>
    </row>
    <row r="785" spans="1:17" ht="15.75" customHeight="1" x14ac:dyDescent="0.25">
      <c r="A785" s="37" t="str">
        <f>IF(ISNONTEXT(deployment_raw[[#This Row],[Column1]]), "", deployment_raw[[#This Row],[Column1]])</f>
        <v/>
      </c>
      <c r="B785" s="38" t="str">
        <f>IF(ISNONTEXT(deployment_raw[[#This Row],[Column2]]), "", deployment_raw[[#This Row],[Column2]])</f>
        <v/>
      </c>
      <c r="C785" s="38" t="str">
        <f>IF(ISNONTEXT(deployment_raw[[#This Row],[Column3]]), "", deployment_raw[[#This Row],[Column3]])</f>
        <v/>
      </c>
      <c r="D785" s="38" t="str">
        <f>IF(ISNONTEXT(deployment_raw[[#This Row],[Column4]]), "", deployment_raw[[#This Row],[Column4]])</f>
        <v/>
      </c>
      <c r="E785" s="39" t="str">
        <f>IF(ISNUMBER(deployment_raw[[#This Row],[Column5]]), deployment_raw[[#This Row],[Column5]],"")</f>
        <v/>
      </c>
      <c r="F785" s="174" t="str">
        <f>IF(ISNUMBER(deployment_raw[[#This Row],[Column6]]), (deployment_raw[[#This Row],[Column6]] * deployment_raw[[#This Row],[Column5]]),"")</f>
        <v/>
      </c>
      <c r="G785" s="175" t="str">
        <f>IF(ISNUMBER(deployment_raw[[#This Row],[Column7]]), (deployment_raw[[#This Row],[Column7]] * deployment_raw[[#This Row],[Column5]])/1048576,"")</f>
        <v/>
      </c>
      <c r="H785" s="175" t="str">
        <f>IF(ISNUMBER(deployment_raw[[#This Row],[Column8]]), (deployment_raw[[#This Row],[Column8]]  * deployment_raw[[#This Row],[Column5]]),"")</f>
        <v/>
      </c>
      <c r="I785" s="176" t="str">
        <f>IF(ISNUMBER(deployment_raw[[#This Row],[Column9]]), (deployment_raw[[#This Row],[Column9]] * deployment_raw[[#This Row],[Column5]])/1048576,"")</f>
        <v/>
      </c>
      <c r="J785" s="57" t="str">
        <f>IF(ISNUMBER(deployment_raw[[#This Row],[Column10]]), (deployment_raw[[#This Row],[Column10]] * deployment_raw[[#This Row],[Column5]]),"")</f>
        <v/>
      </c>
      <c r="K785" s="58" t="str">
        <f>IF(ISNUMBER(deployment_raw[[#This Row],[Column11]]), (deployment_raw[[#This Row],[Column11]] * deployment_raw[[#This Row],[Column5]])/1048576,"")</f>
        <v/>
      </c>
      <c r="L785" s="180" t="str">
        <f>IF(ISNUMBER(deployment_raw[[#This Row],[Column8]]),IF(deployment_raw[[#This Row],[Column5]] &lt;&gt; 0, MAX((deployment_raw[[#This Row],[Column12]] * deployment_raw[[#This Row],[Column5]]), ((deployment_raw[[#This Row],[Column8]] * deployment_raw[[#This Row],[Column5]]) * $L$2), ($H$2 * deployment_raw[[#This Row],[Column5]])), 0),"")</f>
        <v/>
      </c>
      <c r="M78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85" s="188" t="str">
        <f>IF(ISNUMBER(deployment_raw[[#This Row],[Column14]]), deployment_raw[[#This Row],[Column14]],"")</f>
        <v/>
      </c>
      <c r="O785" s="189" t="str">
        <f>IF(ISNUMBER(deployment_raw[[#This Row],[Column15]]), deployment_raw[[#This Row],[Column15]]/1048576,"")</f>
        <v/>
      </c>
      <c r="P785" s="190" t="str">
        <f>IF(ISNUMBER(deployment_raw[[#This Row],[Column12]]), (deployment_raw[[#This Row],[Column12]] * deployment_raw[[#This Row],[Column5]]),"")</f>
        <v/>
      </c>
      <c r="Q785" s="189" t="str">
        <f>IF(ISNUMBER(deployment_raw[[#This Row],[Column13]]), (deployment_raw[[#This Row],[Column13]] * deployment_raw[[#This Row],[Column5]])/1048576,"")</f>
        <v/>
      </c>
    </row>
    <row r="786" spans="1:17" ht="15.75" customHeight="1" x14ac:dyDescent="0.25">
      <c r="A786" s="37" t="str">
        <f>IF(ISNONTEXT(deployment_raw[[#This Row],[Column1]]), "", deployment_raw[[#This Row],[Column1]])</f>
        <v/>
      </c>
      <c r="B786" s="38" t="str">
        <f>IF(ISNONTEXT(deployment_raw[[#This Row],[Column2]]), "", deployment_raw[[#This Row],[Column2]])</f>
        <v/>
      </c>
      <c r="C786" s="38" t="str">
        <f>IF(ISNONTEXT(deployment_raw[[#This Row],[Column3]]), "", deployment_raw[[#This Row],[Column3]])</f>
        <v/>
      </c>
      <c r="D786" s="38" t="str">
        <f>IF(ISNONTEXT(deployment_raw[[#This Row],[Column4]]), "", deployment_raw[[#This Row],[Column4]])</f>
        <v/>
      </c>
      <c r="E786" s="39" t="str">
        <f>IF(ISNUMBER(deployment_raw[[#This Row],[Column5]]), deployment_raw[[#This Row],[Column5]],"")</f>
        <v/>
      </c>
      <c r="F786" s="174" t="str">
        <f>IF(ISNUMBER(deployment_raw[[#This Row],[Column6]]), (deployment_raw[[#This Row],[Column6]] * deployment_raw[[#This Row],[Column5]]),"")</f>
        <v/>
      </c>
      <c r="G786" s="175" t="str">
        <f>IF(ISNUMBER(deployment_raw[[#This Row],[Column7]]), (deployment_raw[[#This Row],[Column7]] * deployment_raw[[#This Row],[Column5]])/1048576,"")</f>
        <v/>
      </c>
      <c r="H786" s="175" t="str">
        <f>IF(ISNUMBER(deployment_raw[[#This Row],[Column8]]), (deployment_raw[[#This Row],[Column8]]  * deployment_raw[[#This Row],[Column5]]),"")</f>
        <v/>
      </c>
      <c r="I786" s="176" t="str">
        <f>IF(ISNUMBER(deployment_raw[[#This Row],[Column9]]), (deployment_raw[[#This Row],[Column9]] * deployment_raw[[#This Row],[Column5]])/1048576,"")</f>
        <v/>
      </c>
      <c r="J786" s="57" t="str">
        <f>IF(ISNUMBER(deployment_raw[[#This Row],[Column10]]), (deployment_raw[[#This Row],[Column10]] * deployment_raw[[#This Row],[Column5]]),"")</f>
        <v/>
      </c>
      <c r="K786" s="58" t="str">
        <f>IF(ISNUMBER(deployment_raw[[#This Row],[Column11]]), (deployment_raw[[#This Row],[Column11]] * deployment_raw[[#This Row],[Column5]])/1048576,"")</f>
        <v/>
      </c>
      <c r="L786" s="180" t="str">
        <f>IF(ISNUMBER(deployment_raw[[#This Row],[Column8]]),IF(deployment_raw[[#This Row],[Column5]] &lt;&gt; 0, MAX((deployment_raw[[#This Row],[Column12]] * deployment_raw[[#This Row],[Column5]]), ((deployment_raw[[#This Row],[Column8]] * deployment_raw[[#This Row],[Column5]]) * $L$2), ($H$2 * deployment_raw[[#This Row],[Column5]])), 0),"")</f>
        <v/>
      </c>
      <c r="M78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86" s="188" t="str">
        <f>IF(ISNUMBER(deployment_raw[[#This Row],[Column14]]), deployment_raw[[#This Row],[Column14]],"")</f>
        <v/>
      </c>
      <c r="O786" s="189" t="str">
        <f>IF(ISNUMBER(deployment_raw[[#This Row],[Column15]]), deployment_raw[[#This Row],[Column15]]/1048576,"")</f>
        <v/>
      </c>
      <c r="P786" s="190" t="str">
        <f>IF(ISNUMBER(deployment_raw[[#This Row],[Column12]]), (deployment_raw[[#This Row],[Column12]] * deployment_raw[[#This Row],[Column5]]),"")</f>
        <v/>
      </c>
      <c r="Q786" s="189" t="str">
        <f>IF(ISNUMBER(deployment_raw[[#This Row],[Column13]]), (deployment_raw[[#This Row],[Column13]] * deployment_raw[[#This Row],[Column5]])/1048576,"")</f>
        <v/>
      </c>
    </row>
    <row r="787" spans="1:17" ht="15.75" customHeight="1" x14ac:dyDescent="0.25">
      <c r="A787" s="37" t="str">
        <f>IF(ISNONTEXT(deployment_raw[[#This Row],[Column1]]), "", deployment_raw[[#This Row],[Column1]])</f>
        <v/>
      </c>
      <c r="B787" s="38" t="str">
        <f>IF(ISNONTEXT(deployment_raw[[#This Row],[Column2]]), "", deployment_raw[[#This Row],[Column2]])</f>
        <v/>
      </c>
      <c r="C787" s="38" t="str">
        <f>IF(ISNONTEXT(deployment_raw[[#This Row],[Column3]]), "", deployment_raw[[#This Row],[Column3]])</f>
        <v/>
      </c>
      <c r="D787" s="38" t="str">
        <f>IF(ISNONTEXT(deployment_raw[[#This Row],[Column4]]), "", deployment_raw[[#This Row],[Column4]])</f>
        <v/>
      </c>
      <c r="E787" s="39" t="str">
        <f>IF(ISNUMBER(deployment_raw[[#This Row],[Column5]]), deployment_raw[[#This Row],[Column5]],"")</f>
        <v/>
      </c>
      <c r="F787" s="174" t="str">
        <f>IF(ISNUMBER(deployment_raw[[#This Row],[Column6]]), (deployment_raw[[#This Row],[Column6]] * deployment_raw[[#This Row],[Column5]]),"")</f>
        <v/>
      </c>
      <c r="G787" s="175" t="str">
        <f>IF(ISNUMBER(deployment_raw[[#This Row],[Column7]]), (deployment_raw[[#This Row],[Column7]] * deployment_raw[[#This Row],[Column5]])/1048576,"")</f>
        <v/>
      </c>
      <c r="H787" s="175" t="str">
        <f>IF(ISNUMBER(deployment_raw[[#This Row],[Column8]]), (deployment_raw[[#This Row],[Column8]]  * deployment_raw[[#This Row],[Column5]]),"")</f>
        <v/>
      </c>
      <c r="I787" s="176" t="str">
        <f>IF(ISNUMBER(deployment_raw[[#This Row],[Column9]]), (deployment_raw[[#This Row],[Column9]] * deployment_raw[[#This Row],[Column5]])/1048576,"")</f>
        <v/>
      </c>
      <c r="J787" s="57" t="str">
        <f>IF(ISNUMBER(deployment_raw[[#This Row],[Column10]]), (deployment_raw[[#This Row],[Column10]] * deployment_raw[[#This Row],[Column5]]),"")</f>
        <v/>
      </c>
      <c r="K787" s="58" t="str">
        <f>IF(ISNUMBER(deployment_raw[[#This Row],[Column11]]), (deployment_raw[[#This Row],[Column11]] * deployment_raw[[#This Row],[Column5]])/1048576,"")</f>
        <v/>
      </c>
      <c r="L787" s="180" t="str">
        <f>IF(ISNUMBER(deployment_raw[[#This Row],[Column8]]),IF(deployment_raw[[#This Row],[Column5]] &lt;&gt; 0, MAX((deployment_raw[[#This Row],[Column12]] * deployment_raw[[#This Row],[Column5]]), ((deployment_raw[[#This Row],[Column8]] * deployment_raw[[#This Row],[Column5]]) * $L$2), ($H$2 * deployment_raw[[#This Row],[Column5]])), 0),"")</f>
        <v/>
      </c>
      <c r="M78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87" s="188" t="str">
        <f>IF(ISNUMBER(deployment_raw[[#This Row],[Column14]]), deployment_raw[[#This Row],[Column14]],"")</f>
        <v/>
      </c>
      <c r="O787" s="189" t="str">
        <f>IF(ISNUMBER(deployment_raw[[#This Row],[Column15]]), deployment_raw[[#This Row],[Column15]]/1048576,"")</f>
        <v/>
      </c>
      <c r="P787" s="190" t="str">
        <f>IF(ISNUMBER(deployment_raw[[#This Row],[Column12]]), (deployment_raw[[#This Row],[Column12]] * deployment_raw[[#This Row],[Column5]]),"")</f>
        <v/>
      </c>
      <c r="Q787" s="189" t="str">
        <f>IF(ISNUMBER(deployment_raw[[#This Row],[Column13]]), (deployment_raw[[#This Row],[Column13]] * deployment_raw[[#This Row],[Column5]])/1048576,"")</f>
        <v/>
      </c>
    </row>
    <row r="788" spans="1:17" ht="15.75" customHeight="1" x14ac:dyDescent="0.25">
      <c r="A788" s="37" t="str">
        <f>IF(ISNONTEXT(deployment_raw[[#This Row],[Column1]]), "", deployment_raw[[#This Row],[Column1]])</f>
        <v/>
      </c>
      <c r="B788" s="38" t="str">
        <f>IF(ISNONTEXT(deployment_raw[[#This Row],[Column2]]), "", deployment_raw[[#This Row],[Column2]])</f>
        <v/>
      </c>
      <c r="C788" s="38" t="str">
        <f>IF(ISNONTEXT(deployment_raw[[#This Row],[Column3]]), "", deployment_raw[[#This Row],[Column3]])</f>
        <v/>
      </c>
      <c r="D788" s="38" t="str">
        <f>IF(ISNONTEXT(deployment_raw[[#This Row],[Column4]]), "", deployment_raw[[#This Row],[Column4]])</f>
        <v/>
      </c>
      <c r="E788" s="39" t="str">
        <f>IF(ISNUMBER(deployment_raw[[#This Row],[Column5]]), deployment_raw[[#This Row],[Column5]],"")</f>
        <v/>
      </c>
      <c r="F788" s="174" t="str">
        <f>IF(ISNUMBER(deployment_raw[[#This Row],[Column6]]), (deployment_raw[[#This Row],[Column6]] * deployment_raw[[#This Row],[Column5]]),"")</f>
        <v/>
      </c>
      <c r="G788" s="175" t="str">
        <f>IF(ISNUMBER(deployment_raw[[#This Row],[Column7]]), (deployment_raw[[#This Row],[Column7]] * deployment_raw[[#This Row],[Column5]])/1048576,"")</f>
        <v/>
      </c>
      <c r="H788" s="175" t="str">
        <f>IF(ISNUMBER(deployment_raw[[#This Row],[Column8]]), (deployment_raw[[#This Row],[Column8]]  * deployment_raw[[#This Row],[Column5]]),"")</f>
        <v/>
      </c>
      <c r="I788" s="176" t="str">
        <f>IF(ISNUMBER(deployment_raw[[#This Row],[Column9]]), (deployment_raw[[#This Row],[Column9]] * deployment_raw[[#This Row],[Column5]])/1048576,"")</f>
        <v/>
      </c>
      <c r="J788" s="57" t="str">
        <f>IF(ISNUMBER(deployment_raw[[#This Row],[Column10]]), (deployment_raw[[#This Row],[Column10]] * deployment_raw[[#This Row],[Column5]]),"")</f>
        <v/>
      </c>
      <c r="K788" s="58" t="str">
        <f>IF(ISNUMBER(deployment_raw[[#This Row],[Column11]]), (deployment_raw[[#This Row],[Column11]] * deployment_raw[[#This Row],[Column5]])/1048576,"")</f>
        <v/>
      </c>
      <c r="L788" s="180" t="str">
        <f>IF(ISNUMBER(deployment_raw[[#This Row],[Column8]]),IF(deployment_raw[[#This Row],[Column5]] &lt;&gt; 0, MAX((deployment_raw[[#This Row],[Column12]] * deployment_raw[[#This Row],[Column5]]), ((deployment_raw[[#This Row],[Column8]] * deployment_raw[[#This Row],[Column5]]) * $L$2), ($H$2 * deployment_raw[[#This Row],[Column5]])), 0),"")</f>
        <v/>
      </c>
      <c r="M78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88" s="188" t="str">
        <f>IF(ISNUMBER(deployment_raw[[#This Row],[Column14]]), deployment_raw[[#This Row],[Column14]],"")</f>
        <v/>
      </c>
      <c r="O788" s="189" t="str">
        <f>IF(ISNUMBER(deployment_raw[[#This Row],[Column15]]), deployment_raw[[#This Row],[Column15]]/1048576,"")</f>
        <v/>
      </c>
      <c r="P788" s="190" t="str">
        <f>IF(ISNUMBER(deployment_raw[[#This Row],[Column12]]), (deployment_raw[[#This Row],[Column12]] * deployment_raw[[#This Row],[Column5]]),"")</f>
        <v/>
      </c>
      <c r="Q788" s="189" t="str">
        <f>IF(ISNUMBER(deployment_raw[[#This Row],[Column13]]), (deployment_raw[[#This Row],[Column13]] * deployment_raw[[#This Row],[Column5]])/1048576,"")</f>
        <v/>
      </c>
    </row>
    <row r="789" spans="1:17" ht="15.75" customHeight="1" x14ac:dyDescent="0.25">
      <c r="A789" s="37" t="str">
        <f>IF(ISNONTEXT(deployment_raw[[#This Row],[Column1]]), "", deployment_raw[[#This Row],[Column1]])</f>
        <v/>
      </c>
      <c r="B789" s="38" t="str">
        <f>IF(ISNONTEXT(deployment_raw[[#This Row],[Column2]]), "", deployment_raw[[#This Row],[Column2]])</f>
        <v/>
      </c>
      <c r="C789" s="38" t="str">
        <f>IF(ISNONTEXT(deployment_raw[[#This Row],[Column3]]), "", deployment_raw[[#This Row],[Column3]])</f>
        <v/>
      </c>
      <c r="D789" s="38" t="str">
        <f>IF(ISNONTEXT(deployment_raw[[#This Row],[Column4]]), "", deployment_raw[[#This Row],[Column4]])</f>
        <v/>
      </c>
      <c r="E789" s="39" t="str">
        <f>IF(ISNUMBER(deployment_raw[[#This Row],[Column5]]), deployment_raw[[#This Row],[Column5]],"")</f>
        <v/>
      </c>
      <c r="F789" s="174" t="str">
        <f>IF(ISNUMBER(deployment_raw[[#This Row],[Column6]]), (deployment_raw[[#This Row],[Column6]] * deployment_raw[[#This Row],[Column5]]),"")</f>
        <v/>
      </c>
      <c r="G789" s="175" t="str">
        <f>IF(ISNUMBER(deployment_raw[[#This Row],[Column7]]), (deployment_raw[[#This Row],[Column7]] * deployment_raw[[#This Row],[Column5]])/1048576,"")</f>
        <v/>
      </c>
      <c r="H789" s="175" t="str">
        <f>IF(ISNUMBER(deployment_raw[[#This Row],[Column8]]), (deployment_raw[[#This Row],[Column8]]  * deployment_raw[[#This Row],[Column5]]),"")</f>
        <v/>
      </c>
      <c r="I789" s="176" t="str">
        <f>IF(ISNUMBER(deployment_raw[[#This Row],[Column9]]), (deployment_raw[[#This Row],[Column9]] * deployment_raw[[#This Row],[Column5]])/1048576,"")</f>
        <v/>
      </c>
      <c r="J789" s="57" t="str">
        <f>IF(ISNUMBER(deployment_raw[[#This Row],[Column10]]), (deployment_raw[[#This Row],[Column10]] * deployment_raw[[#This Row],[Column5]]),"")</f>
        <v/>
      </c>
      <c r="K789" s="58" t="str">
        <f>IF(ISNUMBER(deployment_raw[[#This Row],[Column11]]), (deployment_raw[[#This Row],[Column11]] * deployment_raw[[#This Row],[Column5]])/1048576,"")</f>
        <v/>
      </c>
      <c r="L789" s="180" t="str">
        <f>IF(ISNUMBER(deployment_raw[[#This Row],[Column8]]),IF(deployment_raw[[#This Row],[Column5]] &lt;&gt; 0, MAX((deployment_raw[[#This Row],[Column12]] * deployment_raw[[#This Row],[Column5]]), ((deployment_raw[[#This Row],[Column8]] * deployment_raw[[#This Row],[Column5]]) * $L$2), ($H$2 * deployment_raw[[#This Row],[Column5]])), 0),"")</f>
        <v/>
      </c>
      <c r="M78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89" s="188" t="str">
        <f>IF(ISNUMBER(deployment_raw[[#This Row],[Column14]]), deployment_raw[[#This Row],[Column14]],"")</f>
        <v/>
      </c>
      <c r="O789" s="189" t="str">
        <f>IF(ISNUMBER(deployment_raw[[#This Row],[Column15]]), deployment_raw[[#This Row],[Column15]]/1048576,"")</f>
        <v/>
      </c>
      <c r="P789" s="190" t="str">
        <f>IF(ISNUMBER(deployment_raw[[#This Row],[Column12]]), (deployment_raw[[#This Row],[Column12]] * deployment_raw[[#This Row],[Column5]]),"")</f>
        <v/>
      </c>
      <c r="Q789" s="189" t="str">
        <f>IF(ISNUMBER(deployment_raw[[#This Row],[Column13]]), (deployment_raw[[#This Row],[Column13]] * deployment_raw[[#This Row],[Column5]])/1048576,"")</f>
        <v/>
      </c>
    </row>
    <row r="790" spans="1:17" ht="15.75" customHeight="1" x14ac:dyDescent="0.25">
      <c r="A790" s="37" t="str">
        <f>IF(ISNONTEXT(deployment_raw[[#This Row],[Column1]]), "", deployment_raw[[#This Row],[Column1]])</f>
        <v/>
      </c>
      <c r="B790" s="38" t="str">
        <f>IF(ISNONTEXT(deployment_raw[[#This Row],[Column2]]), "", deployment_raw[[#This Row],[Column2]])</f>
        <v/>
      </c>
      <c r="C790" s="38" t="str">
        <f>IF(ISNONTEXT(deployment_raw[[#This Row],[Column3]]), "", deployment_raw[[#This Row],[Column3]])</f>
        <v/>
      </c>
      <c r="D790" s="38" t="str">
        <f>IF(ISNONTEXT(deployment_raw[[#This Row],[Column4]]), "", deployment_raw[[#This Row],[Column4]])</f>
        <v/>
      </c>
      <c r="E790" s="39" t="str">
        <f>IF(ISNUMBER(deployment_raw[[#This Row],[Column5]]), deployment_raw[[#This Row],[Column5]],"")</f>
        <v/>
      </c>
      <c r="F790" s="174" t="str">
        <f>IF(ISNUMBER(deployment_raw[[#This Row],[Column6]]), (deployment_raw[[#This Row],[Column6]] * deployment_raw[[#This Row],[Column5]]),"")</f>
        <v/>
      </c>
      <c r="G790" s="175" t="str">
        <f>IF(ISNUMBER(deployment_raw[[#This Row],[Column7]]), (deployment_raw[[#This Row],[Column7]] * deployment_raw[[#This Row],[Column5]])/1048576,"")</f>
        <v/>
      </c>
      <c r="H790" s="175" t="str">
        <f>IF(ISNUMBER(deployment_raw[[#This Row],[Column8]]), (deployment_raw[[#This Row],[Column8]]  * deployment_raw[[#This Row],[Column5]]),"")</f>
        <v/>
      </c>
      <c r="I790" s="176" t="str">
        <f>IF(ISNUMBER(deployment_raw[[#This Row],[Column9]]), (deployment_raw[[#This Row],[Column9]] * deployment_raw[[#This Row],[Column5]])/1048576,"")</f>
        <v/>
      </c>
      <c r="J790" s="57" t="str">
        <f>IF(ISNUMBER(deployment_raw[[#This Row],[Column10]]), (deployment_raw[[#This Row],[Column10]] * deployment_raw[[#This Row],[Column5]]),"")</f>
        <v/>
      </c>
      <c r="K790" s="58" t="str">
        <f>IF(ISNUMBER(deployment_raw[[#This Row],[Column11]]), (deployment_raw[[#This Row],[Column11]] * deployment_raw[[#This Row],[Column5]])/1048576,"")</f>
        <v/>
      </c>
      <c r="L790" s="180" t="str">
        <f>IF(ISNUMBER(deployment_raw[[#This Row],[Column8]]),IF(deployment_raw[[#This Row],[Column5]] &lt;&gt; 0, MAX((deployment_raw[[#This Row],[Column12]] * deployment_raw[[#This Row],[Column5]]), ((deployment_raw[[#This Row],[Column8]] * deployment_raw[[#This Row],[Column5]]) * $L$2), ($H$2 * deployment_raw[[#This Row],[Column5]])), 0),"")</f>
        <v/>
      </c>
      <c r="M79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90" s="188" t="str">
        <f>IF(ISNUMBER(deployment_raw[[#This Row],[Column14]]), deployment_raw[[#This Row],[Column14]],"")</f>
        <v/>
      </c>
      <c r="O790" s="189" t="str">
        <f>IF(ISNUMBER(deployment_raw[[#This Row],[Column15]]), deployment_raw[[#This Row],[Column15]]/1048576,"")</f>
        <v/>
      </c>
      <c r="P790" s="190" t="str">
        <f>IF(ISNUMBER(deployment_raw[[#This Row],[Column12]]), (deployment_raw[[#This Row],[Column12]] * deployment_raw[[#This Row],[Column5]]),"")</f>
        <v/>
      </c>
      <c r="Q790" s="189" t="str">
        <f>IF(ISNUMBER(deployment_raw[[#This Row],[Column13]]), (deployment_raw[[#This Row],[Column13]] * deployment_raw[[#This Row],[Column5]])/1048576,"")</f>
        <v/>
      </c>
    </row>
    <row r="791" spans="1:17" ht="15.75" customHeight="1" x14ac:dyDescent="0.25">
      <c r="A791" s="37" t="str">
        <f>IF(ISNONTEXT(deployment_raw[[#This Row],[Column1]]), "", deployment_raw[[#This Row],[Column1]])</f>
        <v/>
      </c>
      <c r="B791" s="38" t="str">
        <f>IF(ISNONTEXT(deployment_raw[[#This Row],[Column2]]), "", deployment_raw[[#This Row],[Column2]])</f>
        <v/>
      </c>
      <c r="C791" s="38" t="str">
        <f>IF(ISNONTEXT(deployment_raw[[#This Row],[Column3]]), "", deployment_raw[[#This Row],[Column3]])</f>
        <v/>
      </c>
      <c r="D791" s="38" t="str">
        <f>IF(ISNONTEXT(deployment_raw[[#This Row],[Column4]]), "", deployment_raw[[#This Row],[Column4]])</f>
        <v/>
      </c>
      <c r="E791" s="39" t="str">
        <f>IF(ISNUMBER(deployment_raw[[#This Row],[Column5]]), deployment_raw[[#This Row],[Column5]],"")</f>
        <v/>
      </c>
      <c r="F791" s="174" t="str">
        <f>IF(ISNUMBER(deployment_raw[[#This Row],[Column6]]), (deployment_raw[[#This Row],[Column6]] * deployment_raw[[#This Row],[Column5]]),"")</f>
        <v/>
      </c>
      <c r="G791" s="175" t="str">
        <f>IF(ISNUMBER(deployment_raw[[#This Row],[Column7]]), (deployment_raw[[#This Row],[Column7]] * deployment_raw[[#This Row],[Column5]])/1048576,"")</f>
        <v/>
      </c>
      <c r="H791" s="175" t="str">
        <f>IF(ISNUMBER(deployment_raw[[#This Row],[Column8]]), (deployment_raw[[#This Row],[Column8]]  * deployment_raw[[#This Row],[Column5]]),"")</f>
        <v/>
      </c>
      <c r="I791" s="176" t="str">
        <f>IF(ISNUMBER(deployment_raw[[#This Row],[Column9]]), (deployment_raw[[#This Row],[Column9]] * deployment_raw[[#This Row],[Column5]])/1048576,"")</f>
        <v/>
      </c>
      <c r="J791" s="57" t="str">
        <f>IF(ISNUMBER(deployment_raw[[#This Row],[Column10]]), (deployment_raw[[#This Row],[Column10]] * deployment_raw[[#This Row],[Column5]]),"")</f>
        <v/>
      </c>
      <c r="K791" s="58" t="str">
        <f>IF(ISNUMBER(deployment_raw[[#This Row],[Column11]]), (deployment_raw[[#This Row],[Column11]] * deployment_raw[[#This Row],[Column5]])/1048576,"")</f>
        <v/>
      </c>
      <c r="L791" s="180" t="str">
        <f>IF(ISNUMBER(deployment_raw[[#This Row],[Column8]]),IF(deployment_raw[[#This Row],[Column5]] &lt;&gt; 0, MAX((deployment_raw[[#This Row],[Column12]] * deployment_raw[[#This Row],[Column5]]), ((deployment_raw[[#This Row],[Column8]] * deployment_raw[[#This Row],[Column5]]) * $L$2), ($H$2 * deployment_raw[[#This Row],[Column5]])), 0),"")</f>
        <v/>
      </c>
      <c r="M79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91" s="188" t="str">
        <f>IF(ISNUMBER(deployment_raw[[#This Row],[Column14]]), deployment_raw[[#This Row],[Column14]],"")</f>
        <v/>
      </c>
      <c r="O791" s="189" t="str">
        <f>IF(ISNUMBER(deployment_raw[[#This Row],[Column15]]), deployment_raw[[#This Row],[Column15]]/1048576,"")</f>
        <v/>
      </c>
      <c r="P791" s="190" t="str">
        <f>IF(ISNUMBER(deployment_raw[[#This Row],[Column12]]), (deployment_raw[[#This Row],[Column12]] * deployment_raw[[#This Row],[Column5]]),"")</f>
        <v/>
      </c>
      <c r="Q791" s="189" t="str">
        <f>IF(ISNUMBER(deployment_raw[[#This Row],[Column13]]), (deployment_raw[[#This Row],[Column13]] * deployment_raw[[#This Row],[Column5]])/1048576,"")</f>
        <v/>
      </c>
    </row>
    <row r="792" spans="1:17" ht="15.75" customHeight="1" x14ac:dyDescent="0.25">
      <c r="A792" s="37" t="str">
        <f>IF(ISNONTEXT(deployment_raw[[#This Row],[Column1]]), "", deployment_raw[[#This Row],[Column1]])</f>
        <v/>
      </c>
      <c r="B792" s="38" t="str">
        <f>IF(ISNONTEXT(deployment_raw[[#This Row],[Column2]]), "", deployment_raw[[#This Row],[Column2]])</f>
        <v/>
      </c>
      <c r="C792" s="38" t="str">
        <f>IF(ISNONTEXT(deployment_raw[[#This Row],[Column3]]), "", deployment_raw[[#This Row],[Column3]])</f>
        <v/>
      </c>
      <c r="D792" s="38" t="str">
        <f>IF(ISNONTEXT(deployment_raw[[#This Row],[Column4]]), "", deployment_raw[[#This Row],[Column4]])</f>
        <v/>
      </c>
      <c r="E792" s="39" t="str">
        <f>IF(ISNUMBER(deployment_raw[[#This Row],[Column5]]), deployment_raw[[#This Row],[Column5]],"")</f>
        <v/>
      </c>
      <c r="F792" s="174" t="str">
        <f>IF(ISNUMBER(deployment_raw[[#This Row],[Column6]]), (deployment_raw[[#This Row],[Column6]] * deployment_raw[[#This Row],[Column5]]),"")</f>
        <v/>
      </c>
      <c r="G792" s="175" t="str">
        <f>IF(ISNUMBER(deployment_raw[[#This Row],[Column7]]), (deployment_raw[[#This Row],[Column7]] * deployment_raw[[#This Row],[Column5]])/1048576,"")</f>
        <v/>
      </c>
      <c r="H792" s="175" t="str">
        <f>IF(ISNUMBER(deployment_raw[[#This Row],[Column8]]), (deployment_raw[[#This Row],[Column8]]  * deployment_raw[[#This Row],[Column5]]),"")</f>
        <v/>
      </c>
      <c r="I792" s="176" t="str">
        <f>IF(ISNUMBER(deployment_raw[[#This Row],[Column9]]), (deployment_raw[[#This Row],[Column9]] * deployment_raw[[#This Row],[Column5]])/1048576,"")</f>
        <v/>
      </c>
      <c r="J792" s="57" t="str">
        <f>IF(ISNUMBER(deployment_raw[[#This Row],[Column10]]), (deployment_raw[[#This Row],[Column10]] * deployment_raw[[#This Row],[Column5]]),"")</f>
        <v/>
      </c>
      <c r="K792" s="58" t="str">
        <f>IF(ISNUMBER(deployment_raw[[#This Row],[Column11]]), (deployment_raw[[#This Row],[Column11]] * deployment_raw[[#This Row],[Column5]])/1048576,"")</f>
        <v/>
      </c>
      <c r="L792" s="180" t="str">
        <f>IF(ISNUMBER(deployment_raw[[#This Row],[Column8]]),IF(deployment_raw[[#This Row],[Column5]] &lt;&gt; 0, MAX((deployment_raw[[#This Row],[Column12]] * deployment_raw[[#This Row],[Column5]]), ((deployment_raw[[#This Row],[Column8]] * deployment_raw[[#This Row],[Column5]]) * $L$2), ($H$2 * deployment_raw[[#This Row],[Column5]])), 0),"")</f>
        <v/>
      </c>
      <c r="M79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92" s="188" t="str">
        <f>IF(ISNUMBER(deployment_raw[[#This Row],[Column14]]), deployment_raw[[#This Row],[Column14]],"")</f>
        <v/>
      </c>
      <c r="O792" s="189" t="str">
        <f>IF(ISNUMBER(deployment_raw[[#This Row],[Column15]]), deployment_raw[[#This Row],[Column15]]/1048576,"")</f>
        <v/>
      </c>
      <c r="P792" s="190" t="str">
        <f>IF(ISNUMBER(deployment_raw[[#This Row],[Column12]]), (deployment_raw[[#This Row],[Column12]] * deployment_raw[[#This Row],[Column5]]),"")</f>
        <v/>
      </c>
      <c r="Q792" s="189" t="str">
        <f>IF(ISNUMBER(deployment_raw[[#This Row],[Column13]]), (deployment_raw[[#This Row],[Column13]] * deployment_raw[[#This Row],[Column5]])/1048576,"")</f>
        <v/>
      </c>
    </row>
    <row r="793" spans="1:17" ht="15.75" customHeight="1" x14ac:dyDescent="0.25">
      <c r="A793" s="37" t="str">
        <f>IF(ISNONTEXT(deployment_raw[[#This Row],[Column1]]), "", deployment_raw[[#This Row],[Column1]])</f>
        <v/>
      </c>
      <c r="B793" s="38" t="str">
        <f>IF(ISNONTEXT(deployment_raw[[#This Row],[Column2]]), "", deployment_raw[[#This Row],[Column2]])</f>
        <v/>
      </c>
      <c r="C793" s="38" t="str">
        <f>IF(ISNONTEXT(deployment_raw[[#This Row],[Column3]]), "", deployment_raw[[#This Row],[Column3]])</f>
        <v/>
      </c>
      <c r="D793" s="38" t="str">
        <f>IF(ISNONTEXT(deployment_raw[[#This Row],[Column4]]), "", deployment_raw[[#This Row],[Column4]])</f>
        <v/>
      </c>
      <c r="E793" s="39" t="str">
        <f>IF(ISNUMBER(deployment_raw[[#This Row],[Column5]]), deployment_raw[[#This Row],[Column5]],"")</f>
        <v/>
      </c>
      <c r="F793" s="174" t="str">
        <f>IF(ISNUMBER(deployment_raw[[#This Row],[Column6]]), (deployment_raw[[#This Row],[Column6]] * deployment_raw[[#This Row],[Column5]]),"")</f>
        <v/>
      </c>
      <c r="G793" s="175" t="str">
        <f>IF(ISNUMBER(deployment_raw[[#This Row],[Column7]]), (deployment_raw[[#This Row],[Column7]] * deployment_raw[[#This Row],[Column5]])/1048576,"")</f>
        <v/>
      </c>
      <c r="H793" s="175" t="str">
        <f>IF(ISNUMBER(deployment_raw[[#This Row],[Column8]]), (deployment_raw[[#This Row],[Column8]]  * deployment_raw[[#This Row],[Column5]]),"")</f>
        <v/>
      </c>
      <c r="I793" s="176" t="str">
        <f>IF(ISNUMBER(deployment_raw[[#This Row],[Column9]]), (deployment_raw[[#This Row],[Column9]] * deployment_raw[[#This Row],[Column5]])/1048576,"")</f>
        <v/>
      </c>
      <c r="J793" s="57" t="str">
        <f>IF(ISNUMBER(deployment_raw[[#This Row],[Column10]]), (deployment_raw[[#This Row],[Column10]] * deployment_raw[[#This Row],[Column5]]),"")</f>
        <v/>
      </c>
      <c r="K793" s="58" t="str">
        <f>IF(ISNUMBER(deployment_raw[[#This Row],[Column11]]), (deployment_raw[[#This Row],[Column11]] * deployment_raw[[#This Row],[Column5]])/1048576,"")</f>
        <v/>
      </c>
      <c r="L793" s="180" t="str">
        <f>IF(ISNUMBER(deployment_raw[[#This Row],[Column8]]),IF(deployment_raw[[#This Row],[Column5]] &lt;&gt; 0, MAX((deployment_raw[[#This Row],[Column12]] * deployment_raw[[#This Row],[Column5]]), ((deployment_raw[[#This Row],[Column8]] * deployment_raw[[#This Row],[Column5]]) * $L$2), ($H$2 * deployment_raw[[#This Row],[Column5]])), 0),"")</f>
        <v/>
      </c>
      <c r="M79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93" s="188" t="str">
        <f>IF(ISNUMBER(deployment_raw[[#This Row],[Column14]]), deployment_raw[[#This Row],[Column14]],"")</f>
        <v/>
      </c>
      <c r="O793" s="189" t="str">
        <f>IF(ISNUMBER(deployment_raw[[#This Row],[Column15]]), deployment_raw[[#This Row],[Column15]]/1048576,"")</f>
        <v/>
      </c>
      <c r="P793" s="190" t="str">
        <f>IF(ISNUMBER(deployment_raw[[#This Row],[Column12]]), (deployment_raw[[#This Row],[Column12]] * deployment_raw[[#This Row],[Column5]]),"")</f>
        <v/>
      </c>
      <c r="Q793" s="189" t="str">
        <f>IF(ISNUMBER(deployment_raw[[#This Row],[Column13]]), (deployment_raw[[#This Row],[Column13]] * deployment_raw[[#This Row],[Column5]])/1048576,"")</f>
        <v/>
      </c>
    </row>
    <row r="794" spans="1:17" ht="15.75" customHeight="1" x14ac:dyDescent="0.25">
      <c r="A794" s="37" t="str">
        <f>IF(ISNONTEXT(deployment_raw[[#This Row],[Column1]]), "", deployment_raw[[#This Row],[Column1]])</f>
        <v/>
      </c>
      <c r="B794" s="38" t="str">
        <f>IF(ISNONTEXT(deployment_raw[[#This Row],[Column2]]), "", deployment_raw[[#This Row],[Column2]])</f>
        <v/>
      </c>
      <c r="C794" s="38" t="str">
        <f>IF(ISNONTEXT(deployment_raw[[#This Row],[Column3]]), "", deployment_raw[[#This Row],[Column3]])</f>
        <v/>
      </c>
      <c r="D794" s="38" t="str">
        <f>IF(ISNONTEXT(deployment_raw[[#This Row],[Column4]]), "", deployment_raw[[#This Row],[Column4]])</f>
        <v/>
      </c>
      <c r="E794" s="39" t="str">
        <f>IF(ISNUMBER(deployment_raw[[#This Row],[Column5]]), deployment_raw[[#This Row],[Column5]],"")</f>
        <v/>
      </c>
      <c r="F794" s="174" t="str">
        <f>IF(ISNUMBER(deployment_raw[[#This Row],[Column6]]), (deployment_raw[[#This Row],[Column6]] * deployment_raw[[#This Row],[Column5]]),"")</f>
        <v/>
      </c>
      <c r="G794" s="175" t="str">
        <f>IF(ISNUMBER(deployment_raw[[#This Row],[Column7]]), (deployment_raw[[#This Row],[Column7]] * deployment_raw[[#This Row],[Column5]])/1048576,"")</f>
        <v/>
      </c>
      <c r="H794" s="175" t="str">
        <f>IF(ISNUMBER(deployment_raw[[#This Row],[Column8]]), (deployment_raw[[#This Row],[Column8]]  * deployment_raw[[#This Row],[Column5]]),"")</f>
        <v/>
      </c>
      <c r="I794" s="176" t="str">
        <f>IF(ISNUMBER(deployment_raw[[#This Row],[Column9]]), (deployment_raw[[#This Row],[Column9]] * deployment_raw[[#This Row],[Column5]])/1048576,"")</f>
        <v/>
      </c>
      <c r="J794" s="57" t="str">
        <f>IF(ISNUMBER(deployment_raw[[#This Row],[Column10]]), (deployment_raw[[#This Row],[Column10]] * deployment_raw[[#This Row],[Column5]]),"")</f>
        <v/>
      </c>
      <c r="K794" s="58" t="str">
        <f>IF(ISNUMBER(deployment_raw[[#This Row],[Column11]]), (deployment_raw[[#This Row],[Column11]] * deployment_raw[[#This Row],[Column5]])/1048576,"")</f>
        <v/>
      </c>
      <c r="L794" s="180" t="str">
        <f>IF(ISNUMBER(deployment_raw[[#This Row],[Column8]]),IF(deployment_raw[[#This Row],[Column5]] &lt;&gt; 0, MAX((deployment_raw[[#This Row],[Column12]] * deployment_raw[[#This Row],[Column5]]), ((deployment_raw[[#This Row],[Column8]] * deployment_raw[[#This Row],[Column5]]) * $L$2), ($H$2 * deployment_raw[[#This Row],[Column5]])), 0),"")</f>
        <v/>
      </c>
      <c r="M79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94" s="188" t="str">
        <f>IF(ISNUMBER(deployment_raw[[#This Row],[Column14]]), deployment_raw[[#This Row],[Column14]],"")</f>
        <v/>
      </c>
      <c r="O794" s="189" t="str">
        <f>IF(ISNUMBER(deployment_raw[[#This Row],[Column15]]), deployment_raw[[#This Row],[Column15]]/1048576,"")</f>
        <v/>
      </c>
      <c r="P794" s="190" t="str">
        <f>IF(ISNUMBER(deployment_raw[[#This Row],[Column12]]), (deployment_raw[[#This Row],[Column12]] * deployment_raw[[#This Row],[Column5]]),"")</f>
        <v/>
      </c>
      <c r="Q794" s="189" t="str">
        <f>IF(ISNUMBER(deployment_raw[[#This Row],[Column13]]), (deployment_raw[[#This Row],[Column13]] * deployment_raw[[#This Row],[Column5]])/1048576,"")</f>
        <v/>
      </c>
    </row>
    <row r="795" spans="1:17" ht="15.75" customHeight="1" x14ac:dyDescent="0.25">
      <c r="A795" s="37" t="str">
        <f>IF(ISNONTEXT(deployment_raw[[#This Row],[Column1]]), "", deployment_raw[[#This Row],[Column1]])</f>
        <v/>
      </c>
      <c r="B795" s="38" t="str">
        <f>IF(ISNONTEXT(deployment_raw[[#This Row],[Column2]]), "", deployment_raw[[#This Row],[Column2]])</f>
        <v/>
      </c>
      <c r="C795" s="38" t="str">
        <f>IF(ISNONTEXT(deployment_raw[[#This Row],[Column3]]), "", deployment_raw[[#This Row],[Column3]])</f>
        <v/>
      </c>
      <c r="D795" s="38" t="str">
        <f>IF(ISNONTEXT(deployment_raw[[#This Row],[Column4]]), "", deployment_raw[[#This Row],[Column4]])</f>
        <v/>
      </c>
      <c r="E795" s="39" t="str">
        <f>IF(ISNUMBER(deployment_raw[[#This Row],[Column5]]), deployment_raw[[#This Row],[Column5]],"")</f>
        <v/>
      </c>
      <c r="F795" s="174" t="str">
        <f>IF(ISNUMBER(deployment_raw[[#This Row],[Column6]]), (deployment_raw[[#This Row],[Column6]] * deployment_raw[[#This Row],[Column5]]),"")</f>
        <v/>
      </c>
      <c r="G795" s="175" t="str">
        <f>IF(ISNUMBER(deployment_raw[[#This Row],[Column7]]), (deployment_raw[[#This Row],[Column7]] * deployment_raw[[#This Row],[Column5]])/1048576,"")</f>
        <v/>
      </c>
      <c r="H795" s="175" t="str">
        <f>IF(ISNUMBER(deployment_raw[[#This Row],[Column8]]), (deployment_raw[[#This Row],[Column8]]  * deployment_raw[[#This Row],[Column5]]),"")</f>
        <v/>
      </c>
      <c r="I795" s="176" t="str">
        <f>IF(ISNUMBER(deployment_raw[[#This Row],[Column9]]), (deployment_raw[[#This Row],[Column9]] * deployment_raw[[#This Row],[Column5]])/1048576,"")</f>
        <v/>
      </c>
      <c r="J795" s="57" t="str">
        <f>IF(ISNUMBER(deployment_raw[[#This Row],[Column10]]), (deployment_raw[[#This Row],[Column10]] * deployment_raw[[#This Row],[Column5]]),"")</f>
        <v/>
      </c>
      <c r="K795" s="58" t="str">
        <f>IF(ISNUMBER(deployment_raw[[#This Row],[Column11]]), (deployment_raw[[#This Row],[Column11]] * deployment_raw[[#This Row],[Column5]])/1048576,"")</f>
        <v/>
      </c>
      <c r="L795" s="180" t="str">
        <f>IF(ISNUMBER(deployment_raw[[#This Row],[Column8]]),IF(deployment_raw[[#This Row],[Column5]] &lt;&gt; 0, MAX((deployment_raw[[#This Row],[Column12]] * deployment_raw[[#This Row],[Column5]]), ((deployment_raw[[#This Row],[Column8]] * deployment_raw[[#This Row],[Column5]]) * $L$2), ($H$2 * deployment_raw[[#This Row],[Column5]])), 0),"")</f>
        <v/>
      </c>
      <c r="M79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95" s="188" t="str">
        <f>IF(ISNUMBER(deployment_raw[[#This Row],[Column14]]), deployment_raw[[#This Row],[Column14]],"")</f>
        <v/>
      </c>
      <c r="O795" s="189" t="str">
        <f>IF(ISNUMBER(deployment_raw[[#This Row],[Column15]]), deployment_raw[[#This Row],[Column15]]/1048576,"")</f>
        <v/>
      </c>
      <c r="P795" s="190" t="str">
        <f>IF(ISNUMBER(deployment_raw[[#This Row],[Column12]]), (deployment_raw[[#This Row],[Column12]] * deployment_raw[[#This Row],[Column5]]),"")</f>
        <v/>
      </c>
      <c r="Q795" s="189" t="str">
        <f>IF(ISNUMBER(deployment_raw[[#This Row],[Column13]]), (deployment_raw[[#This Row],[Column13]] * deployment_raw[[#This Row],[Column5]])/1048576,"")</f>
        <v/>
      </c>
    </row>
    <row r="796" spans="1:17" ht="15.75" customHeight="1" x14ac:dyDescent="0.25">
      <c r="A796" s="37" t="str">
        <f>IF(ISNONTEXT(deployment_raw[[#This Row],[Column1]]), "", deployment_raw[[#This Row],[Column1]])</f>
        <v/>
      </c>
      <c r="B796" s="38" t="str">
        <f>IF(ISNONTEXT(deployment_raw[[#This Row],[Column2]]), "", deployment_raw[[#This Row],[Column2]])</f>
        <v/>
      </c>
      <c r="C796" s="38" t="str">
        <f>IF(ISNONTEXT(deployment_raw[[#This Row],[Column3]]), "", deployment_raw[[#This Row],[Column3]])</f>
        <v/>
      </c>
      <c r="D796" s="38" t="str">
        <f>IF(ISNONTEXT(deployment_raw[[#This Row],[Column4]]), "", deployment_raw[[#This Row],[Column4]])</f>
        <v/>
      </c>
      <c r="E796" s="39" t="str">
        <f>IF(ISNUMBER(deployment_raw[[#This Row],[Column5]]), deployment_raw[[#This Row],[Column5]],"")</f>
        <v/>
      </c>
      <c r="F796" s="174" t="str">
        <f>IF(ISNUMBER(deployment_raw[[#This Row],[Column6]]), (deployment_raw[[#This Row],[Column6]] * deployment_raw[[#This Row],[Column5]]),"")</f>
        <v/>
      </c>
      <c r="G796" s="175" t="str">
        <f>IF(ISNUMBER(deployment_raw[[#This Row],[Column7]]), (deployment_raw[[#This Row],[Column7]] * deployment_raw[[#This Row],[Column5]])/1048576,"")</f>
        <v/>
      </c>
      <c r="H796" s="175" t="str">
        <f>IF(ISNUMBER(deployment_raw[[#This Row],[Column8]]), (deployment_raw[[#This Row],[Column8]]  * deployment_raw[[#This Row],[Column5]]),"")</f>
        <v/>
      </c>
      <c r="I796" s="176" t="str">
        <f>IF(ISNUMBER(deployment_raw[[#This Row],[Column9]]), (deployment_raw[[#This Row],[Column9]] * deployment_raw[[#This Row],[Column5]])/1048576,"")</f>
        <v/>
      </c>
      <c r="J796" s="57" t="str">
        <f>IF(ISNUMBER(deployment_raw[[#This Row],[Column10]]), (deployment_raw[[#This Row],[Column10]] * deployment_raw[[#This Row],[Column5]]),"")</f>
        <v/>
      </c>
      <c r="K796" s="58" t="str">
        <f>IF(ISNUMBER(deployment_raw[[#This Row],[Column11]]), (deployment_raw[[#This Row],[Column11]] * deployment_raw[[#This Row],[Column5]])/1048576,"")</f>
        <v/>
      </c>
      <c r="L796" s="180" t="str">
        <f>IF(ISNUMBER(deployment_raw[[#This Row],[Column8]]),IF(deployment_raw[[#This Row],[Column5]] &lt;&gt; 0, MAX((deployment_raw[[#This Row],[Column12]] * deployment_raw[[#This Row],[Column5]]), ((deployment_raw[[#This Row],[Column8]] * deployment_raw[[#This Row],[Column5]]) * $L$2), ($H$2 * deployment_raw[[#This Row],[Column5]])), 0),"")</f>
        <v/>
      </c>
      <c r="M79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96" s="188" t="str">
        <f>IF(ISNUMBER(deployment_raw[[#This Row],[Column14]]), deployment_raw[[#This Row],[Column14]],"")</f>
        <v/>
      </c>
      <c r="O796" s="189" t="str">
        <f>IF(ISNUMBER(deployment_raw[[#This Row],[Column15]]), deployment_raw[[#This Row],[Column15]]/1048576,"")</f>
        <v/>
      </c>
      <c r="P796" s="190" t="str">
        <f>IF(ISNUMBER(deployment_raw[[#This Row],[Column12]]), (deployment_raw[[#This Row],[Column12]] * deployment_raw[[#This Row],[Column5]]),"")</f>
        <v/>
      </c>
      <c r="Q796" s="189" t="str">
        <f>IF(ISNUMBER(deployment_raw[[#This Row],[Column13]]), (deployment_raw[[#This Row],[Column13]] * deployment_raw[[#This Row],[Column5]])/1048576,"")</f>
        <v/>
      </c>
    </row>
    <row r="797" spans="1:17" ht="15.75" customHeight="1" x14ac:dyDescent="0.25">
      <c r="A797" s="37" t="str">
        <f>IF(ISNONTEXT(deployment_raw[[#This Row],[Column1]]), "", deployment_raw[[#This Row],[Column1]])</f>
        <v/>
      </c>
      <c r="B797" s="38" t="str">
        <f>IF(ISNONTEXT(deployment_raw[[#This Row],[Column2]]), "", deployment_raw[[#This Row],[Column2]])</f>
        <v/>
      </c>
      <c r="C797" s="38" t="str">
        <f>IF(ISNONTEXT(deployment_raw[[#This Row],[Column3]]), "", deployment_raw[[#This Row],[Column3]])</f>
        <v/>
      </c>
      <c r="D797" s="38" t="str">
        <f>IF(ISNONTEXT(deployment_raw[[#This Row],[Column4]]), "", deployment_raw[[#This Row],[Column4]])</f>
        <v/>
      </c>
      <c r="E797" s="39" t="str">
        <f>IF(ISNUMBER(deployment_raw[[#This Row],[Column5]]), deployment_raw[[#This Row],[Column5]],"")</f>
        <v/>
      </c>
      <c r="F797" s="174" t="str">
        <f>IF(ISNUMBER(deployment_raw[[#This Row],[Column6]]), (deployment_raw[[#This Row],[Column6]] * deployment_raw[[#This Row],[Column5]]),"")</f>
        <v/>
      </c>
      <c r="G797" s="175" t="str">
        <f>IF(ISNUMBER(deployment_raw[[#This Row],[Column7]]), (deployment_raw[[#This Row],[Column7]] * deployment_raw[[#This Row],[Column5]])/1048576,"")</f>
        <v/>
      </c>
      <c r="H797" s="175" t="str">
        <f>IF(ISNUMBER(deployment_raw[[#This Row],[Column8]]), (deployment_raw[[#This Row],[Column8]]  * deployment_raw[[#This Row],[Column5]]),"")</f>
        <v/>
      </c>
      <c r="I797" s="176" t="str">
        <f>IF(ISNUMBER(deployment_raw[[#This Row],[Column9]]), (deployment_raw[[#This Row],[Column9]] * deployment_raw[[#This Row],[Column5]])/1048576,"")</f>
        <v/>
      </c>
      <c r="J797" s="57" t="str">
        <f>IF(ISNUMBER(deployment_raw[[#This Row],[Column10]]), (deployment_raw[[#This Row],[Column10]] * deployment_raw[[#This Row],[Column5]]),"")</f>
        <v/>
      </c>
      <c r="K797" s="58" t="str">
        <f>IF(ISNUMBER(deployment_raw[[#This Row],[Column11]]), (deployment_raw[[#This Row],[Column11]] * deployment_raw[[#This Row],[Column5]])/1048576,"")</f>
        <v/>
      </c>
      <c r="L797" s="180" t="str">
        <f>IF(ISNUMBER(deployment_raw[[#This Row],[Column8]]),IF(deployment_raw[[#This Row],[Column5]] &lt;&gt; 0, MAX((deployment_raw[[#This Row],[Column12]] * deployment_raw[[#This Row],[Column5]]), ((deployment_raw[[#This Row],[Column8]] * deployment_raw[[#This Row],[Column5]]) * $L$2), ($H$2 * deployment_raw[[#This Row],[Column5]])), 0),"")</f>
        <v/>
      </c>
      <c r="M79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97" s="188" t="str">
        <f>IF(ISNUMBER(deployment_raw[[#This Row],[Column14]]), deployment_raw[[#This Row],[Column14]],"")</f>
        <v/>
      </c>
      <c r="O797" s="189" t="str">
        <f>IF(ISNUMBER(deployment_raw[[#This Row],[Column15]]), deployment_raw[[#This Row],[Column15]]/1048576,"")</f>
        <v/>
      </c>
      <c r="P797" s="190" t="str">
        <f>IF(ISNUMBER(deployment_raw[[#This Row],[Column12]]), (deployment_raw[[#This Row],[Column12]] * deployment_raw[[#This Row],[Column5]]),"")</f>
        <v/>
      </c>
      <c r="Q797" s="189" t="str">
        <f>IF(ISNUMBER(deployment_raw[[#This Row],[Column13]]), (deployment_raw[[#This Row],[Column13]] * deployment_raw[[#This Row],[Column5]])/1048576,"")</f>
        <v/>
      </c>
    </row>
    <row r="798" spans="1:17" ht="15.75" customHeight="1" x14ac:dyDescent="0.25">
      <c r="A798" s="37" t="str">
        <f>IF(ISNONTEXT(deployment_raw[[#This Row],[Column1]]), "", deployment_raw[[#This Row],[Column1]])</f>
        <v/>
      </c>
      <c r="B798" s="38" t="str">
        <f>IF(ISNONTEXT(deployment_raw[[#This Row],[Column2]]), "", deployment_raw[[#This Row],[Column2]])</f>
        <v/>
      </c>
      <c r="C798" s="38" t="str">
        <f>IF(ISNONTEXT(deployment_raw[[#This Row],[Column3]]), "", deployment_raw[[#This Row],[Column3]])</f>
        <v/>
      </c>
      <c r="D798" s="38" t="str">
        <f>IF(ISNONTEXT(deployment_raw[[#This Row],[Column4]]), "", deployment_raw[[#This Row],[Column4]])</f>
        <v/>
      </c>
      <c r="E798" s="39" t="str">
        <f>IF(ISNUMBER(deployment_raw[[#This Row],[Column5]]), deployment_raw[[#This Row],[Column5]],"")</f>
        <v/>
      </c>
      <c r="F798" s="174" t="str">
        <f>IF(ISNUMBER(deployment_raw[[#This Row],[Column6]]), (deployment_raw[[#This Row],[Column6]] * deployment_raw[[#This Row],[Column5]]),"")</f>
        <v/>
      </c>
      <c r="G798" s="175" t="str">
        <f>IF(ISNUMBER(deployment_raw[[#This Row],[Column7]]), (deployment_raw[[#This Row],[Column7]] * deployment_raw[[#This Row],[Column5]])/1048576,"")</f>
        <v/>
      </c>
      <c r="H798" s="175" t="str">
        <f>IF(ISNUMBER(deployment_raw[[#This Row],[Column8]]), (deployment_raw[[#This Row],[Column8]]  * deployment_raw[[#This Row],[Column5]]),"")</f>
        <v/>
      </c>
      <c r="I798" s="176" t="str">
        <f>IF(ISNUMBER(deployment_raw[[#This Row],[Column9]]), (deployment_raw[[#This Row],[Column9]] * deployment_raw[[#This Row],[Column5]])/1048576,"")</f>
        <v/>
      </c>
      <c r="J798" s="57" t="str">
        <f>IF(ISNUMBER(deployment_raw[[#This Row],[Column10]]), (deployment_raw[[#This Row],[Column10]] * deployment_raw[[#This Row],[Column5]]),"")</f>
        <v/>
      </c>
      <c r="K798" s="58" t="str">
        <f>IF(ISNUMBER(deployment_raw[[#This Row],[Column11]]), (deployment_raw[[#This Row],[Column11]] * deployment_raw[[#This Row],[Column5]])/1048576,"")</f>
        <v/>
      </c>
      <c r="L798" s="180" t="str">
        <f>IF(ISNUMBER(deployment_raw[[#This Row],[Column8]]),IF(deployment_raw[[#This Row],[Column5]] &lt;&gt; 0, MAX((deployment_raw[[#This Row],[Column12]] * deployment_raw[[#This Row],[Column5]]), ((deployment_raw[[#This Row],[Column8]] * deployment_raw[[#This Row],[Column5]]) * $L$2), ($H$2 * deployment_raw[[#This Row],[Column5]])), 0),"")</f>
        <v/>
      </c>
      <c r="M79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98" s="188" t="str">
        <f>IF(ISNUMBER(deployment_raw[[#This Row],[Column14]]), deployment_raw[[#This Row],[Column14]],"")</f>
        <v/>
      </c>
      <c r="O798" s="189" t="str">
        <f>IF(ISNUMBER(deployment_raw[[#This Row],[Column15]]), deployment_raw[[#This Row],[Column15]]/1048576,"")</f>
        <v/>
      </c>
      <c r="P798" s="190" t="str">
        <f>IF(ISNUMBER(deployment_raw[[#This Row],[Column12]]), (deployment_raw[[#This Row],[Column12]] * deployment_raw[[#This Row],[Column5]]),"")</f>
        <v/>
      </c>
      <c r="Q798" s="189" t="str">
        <f>IF(ISNUMBER(deployment_raw[[#This Row],[Column13]]), (deployment_raw[[#This Row],[Column13]] * deployment_raw[[#This Row],[Column5]])/1048576,"")</f>
        <v/>
      </c>
    </row>
    <row r="799" spans="1:17" ht="15.75" customHeight="1" x14ac:dyDescent="0.25">
      <c r="A799" s="37" t="str">
        <f>IF(ISNONTEXT(deployment_raw[[#This Row],[Column1]]), "", deployment_raw[[#This Row],[Column1]])</f>
        <v/>
      </c>
      <c r="B799" s="38" t="str">
        <f>IF(ISNONTEXT(deployment_raw[[#This Row],[Column2]]), "", deployment_raw[[#This Row],[Column2]])</f>
        <v/>
      </c>
      <c r="C799" s="38" t="str">
        <f>IF(ISNONTEXT(deployment_raw[[#This Row],[Column3]]), "", deployment_raw[[#This Row],[Column3]])</f>
        <v/>
      </c>
      <c r="D799" s="38" t="str">
        <f>IF(ISNONTEXT(deployment_raw[[#This Row],[Column4]]), "", deployment_raw[[#This Row],[Column4]])</f>
        <v/>
      </c>
      <c r="E799" s="39" t="str">
        <f>IF(ISNUMBER(deployment_raw[[#This Row],[Column5]]), deployment_raw[[#This Row],[Column5]],"")</f>
        <v/>
      </c>
      <c r="F799" s="174" t="str">
        <f>IF(ISNUMBER(deployment_raw[[#This Row],[Column6]]), (deployment_raw[[#This Row],[Column6]] * deployment_raw[[#This Row],[Column5]]),"")</f>
        <v/>
      </c>
      <c r="G799" s="175" t="str">
        <f>IF(ISNUMBER(deployment_raw[[#This Row],[Column7]]), (deployment_raw[[#This Row],[Column7]] * deployment_raw[[#This Row],[Column5]])/1048576,"")</f>
        <v/>
      </c>
      <c r="H799" s="175" t="str">
        <f>IF(ISNUMBER(deployment_raw[[#This Row],[Column8]]), (deployment_raw[[#This Row],[Column8]]  * deployment_raw[[#This Row],[Column5]]),"")</f>
        <v/>
      </c>
      <c r="I799" s="176" t="str">
        <f>IF(ISNUMBER(deployment_raw[[#This Row],[Column9]]), (deployment_raw[[#This Row],[Column9]] * deployment_raw[[#This Row],[Column5]])/1048576,"")</f>
        <v/>
      </c>
      <c r="J799" s="57" t="str">
        <f>IF(ISNUMBER(deployment_raw[[#This Row],[Column10]]), (deployment_raw[[#This Row],[Column10]] * deployment_raw[[#This Row],[Column5]]),"")</f>
        <v/>
      </c>
      <c r="K799" s="58" t="str">
        <f>IF(ISNUMBER(deployment_raw[[#This Row],[Column11]]), (deployment_raw[[#This Row],[Column11]] * deployment_raw[[#This Row],[Column5]])/1048576,"")</f>
        <v/>
      </c>
      <c r="L799" s="180" t="str">
        <f>IF(ISNUMBER(deployment_raw[[#This Row],[Column8]]),IF(deployment_raw[[#This Row],[Column5]] &lt;&gt; 0, MAX((deployment_raw[[#This Row],[Column12]] * deployment_raw[[#This Row],[Column5]]), ((deployment_raw[[#This Row],[Column8]] * deployment_raw[[#This Row],[Column5]]) * $L$2), ($H$2 * deployment_raw[[#This Row],[Column5]])), 0),"")</f>
        <v/>
      </c>
      <c r="M79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799" s="188" t="str">
        <f>IF(ISNUMBER(deployment_raw[[#This Row],[Column14]]), deployment_raw[[#This Row],[Column14]],"")</f>
        <v/>
      </c>
      <c r="O799" s="189" t="str">
        <f>IF(ISNUMBER(deployment_raw[[#This Row],[Column15]]), deployment_raw[[#This Row],[Column15]]/1048576,"")</f>
        <v/>
      </c>
      <c r="P799" s="190" t="str">
        <f>IF(ISNUMBER(deployment_raw[[#This Row],[Column12]]), (deployment_raw[[#This Row],[Column12]] * deployment_raw[[#This Row],[Column5]]),"")</f>
        <v/>
      </c>
      <c r="Q799" s="189" t="str">
        <f>IF(ISNUMBER(deployment_raw[[#This Row],[Column13]]), (deployment_raw[[#This Row],[Column13]] * deployment_raw[[#This Row],[Column5]])/1048576,"")</f>
        <v/>
      </c>
    </row>
    <row r="800" spans="1:17" ht="15.75" customHeight="1" x14ac:dyDescent="0.25">
      <c r="A800" s="37" t="str">
        <f>IF(ISNONTEXT(deployment_raw[[#This Row],[Column1]]), "", deployment_raw[[#This Row],[Column1]])</f>
        <v/>
      </c>
      <c r="B800" s="38" t="str">
        <f>IF(ISNONTEXT(deployment_raw[[#This Row],[Column2]]), "", deployment_raw[[#This Row],[Column2]])</f>
        <v/>
      </c>
      <c r="C800" s="38" t="str">
        <f>IF(ISNONTEXT(deployment_raw[[#This Row],[Column3]]), "", deployment_raw[[#This Row],[Column3]])</f>
        <v/>
      </c>
      <c r="D800" s="38" t="str">
        <f>IF(ISNONTEXT(deployment_raw[[#This Row],[Column4]]), "", deployment_raw[[#This Row],[Column4]])</f>
        <v/>
      </c>
      <c r="E800" s="39" t="str">
        <f>IF(ISNUMBER(deployment_raw[[#This Row],[Column5]]), deployment_raw[[#This Row],[Column5]],"")</f>
        <v/>
      </c>
      <c r="F800" s="174" t="str">
        <f>IF(ISNUMBER(deployment_raw[[#This Row],[Column6]]), (deployment_raw[[#This Row],[Column6]] * deployment_raw[[#This Row],[Column5]]),"")</f>
        <v/>
      </c>
      <c r="G800" s="175" t="str">
        <f>IF(ISNUMBER(deployment_raw[[#This Row],[Column7]]), (deployment_raw[[#This Row],[Column7]] * deployment_raw[[#This Row],[Column5]])/1048576,"")</f>
        <v/>
      </c>
      <c r="H800" s="175" t="str">
        <f>IF(ISNUMBER(deployment_raw[[#This Row],[Column8]]), (deployment_raw[[#This Row],[Column8]]  * deployment_raw[[#This Row],[Column5]]),"")</f>
        <v/>
      </c>
      <c r="I800" s="176" t="str">
        <f>IF(ISNUMBER(deployment_raw[[#This Row],[Column9]]), (deployment_raw[[#This Row],[Column9]] * deployment_raw[[#This Row],[Column5]])/1048576,"")</f>
        <v/>
      </c>
      <c r="J800" s="57" t="str">
        <f>IF(ISNUMBER(deployment_raw[[#This Row],[Column10]]), (deployment_raw[[#This Row],[Column10]] * deployment_raw[[#This Row],[Column5]]),"")</f>
        <v/>
      </c>
      <c r="K800" s="58" t="str">
        <f>IF(ISNUMBER(deployment_raw[[#This Row],[Column11]]), (deployment_raw[[#This Row],[Column11]] * deployment_raw[[#This Row],[Column5]])/1048576,"")</f>
        <v/>
      </c>
      <c r="L800" s="180" t="str">
        <f>IF(ISNUMBER(deployment_raw[[#This Row],[Column8]]),IF(deployment_raw[[#This Row],[Column5]] &lt;&gt; 0, MAX((deployment_raw[[#This Row],[Column12]] * deployment_raw[[#This Row],[Column5]]), ((deployment_raw[[#This Row],[Column8]] * deployment_raw[[#This Row],[Column5]]) * $L$2), ($H$2 * deployment_raw[[#This Row],[Column5]])), 0),"")</f>
        <v/>
      </c>
      <c r="M80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00" s="188" t="str">
        <f>IF(ISNUMBER(deployment_raw[[#This Row],[Column14]]), deployment_raw[[#This Row],[Column14]],"")</f>
        <v/>
      </c>
      <c r="O800" s="189" t="str">
        <f>IF(ISNUMBER(deployment_raw[[#This Row],[Column15]]), deployment_raw[[#This Row],[Column15]]/1048576,"")</f>
        <v/>
      </c>
      <c r="P800" s="190" t="str">
        <f>IF(ISNUMBER(deployment_raw[[#This Row],[Column12]]), (deployment_raw[[#This Row],[Column12]] * deployment_raw[[#This Row],[Column5]]),"")</f>
        <v/>
      </c>
      <c r="Q800" s="189" t="str">
        <f>IF(ISNUMBER(deployment_raw[[#This Row],[Column13]]), (deployment_raw[[#This Row],[Column13]] * deployment_raw[[#This Row],[Column5]])/1048576,"")</f>
        <v/>
      </c>
    </row>
    <row r="801" spans="1:17" ht="15.75" customHeight="1" x14ac:dyDescent="0.25">
      <c r="A801" s="37" t="str">
        <f>IF(ISNONTEXT(deployment_raw[[#This Row],[Column1]]), "", deployment_raw[[#This Row],[Column1]])</f>
        <v/>
      </c>
      <c r="B801" s="38" t="str">
        <f>IF(ISNONTEXT(deployment_raw[[#This Row],[Column2]]), "", deployment_raw[[#This Row],[Column2]])</f>
        <v/>
      </c>
      <c r="C801" s="38" t="str">
        <f>IF(ISNONTEXT(deployment_raw[[#This Row],[Column3]]), "", deployment_raw[[#This Row],[Column3]])</f>
        <v/>
      </c>
      <c r="D801" s="38" t="str">
        <f>IF(ISNONTEXT(deployment_raw[[#This Row],[Column4]]), "", deployment_raw[[#This Row],[Column4]])</f>
        <v/>
      </c>
      <c r="E801" s="39" t="str">
        <f>IF(ISNUMBER(deployment_raw[[#This Row],[Column5]]), deployment_raw[[#This Row],[Column5]],"")</f>
        <v/>
      </c>
      <c r="F801" s="174" t="str">
        <f>IF(ISNUMBER(deployment_raw[[#This Row],[Column6]]), (deployment_raw[[#This Row],[Column6]] * deployment_raw[[#This Row],[Column5]]),"")</f>
        <v/>
      </c>
      <c r="G801" s="175" t="str">
        <f>IF(ISNUMBER(deployment_raw[[#This Row],[Column7]]), (deployment_raw[[#This Row],[Column7]] * deployment_raw[[#This Row],[Column5]])/1048576,"")</f>
        <v/>
      </c>
      <c r="H801" s="175" t="str">
        <f>IF(ISNUMBER(deployment_raw[[#This Row],[Column8]]), (deployment_raw[[#This Row],[Column8]]  * deployment_raw[[#This Row],[Column5]]),"")</f>
        <v/>
      </c>
      <c r="I801" s="176" t="str">
        <f>IF(ISNUMBER(deployment_raw[[#This Row],[Column9]]), (deployment_raw[[#This Row],[Column9]] * deployment_raw[[#This Row],[Column5]])/1048576,"")</f>
        <v/>
      </c>
      <c r="J801" s="57" t="str">
        <f>IF(ISNUMBER(deployment_raw[[#This Row],[Column10]]), (deployment_raw[[#This Row],[Column10]] * deployment_raw[[#This Row],[Column5]]),"")</f>
        <v/>
      </c>
      <c r="K801" s="58" t="str">
        <f>IF(ISNUMBER(deployment_raw[[#This Row],[Column11]]), (deployment_raw[[#This Row],[Column11]] * deployment_raw[[#This Row],[Column5]])/1048576,"")</f>
        <v/>
      </c>
      <c r="L801" s="180" t="str">
        <f>IF(ISNUMBER(deployment_raw[[#This Row],[Column8]]),IF(deployment_raw[[#This Row],[Column5]] &lt;&gt; 0, MAX((deployment_raw[[#This Row],[Column12]] * deployment_raw[[#This Row],[Column5]]), ((deployment_raw[[#This Row],[Column8]] * deployment_raw[[#This Row],[Column5]]) * $L$2), ($H$2 * deployment_raw[[#This Row],[Column5]])), 0),"")</f>
        <v/>
      </c>
      <c r="M80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01" s="188" t="str">
        <f>IF(ISNUMBER(deployment_raw[[#This Row],[Column14]]), deployment_raw[[#This Row],[Column14]],"")</f>
        <v/>
      </c>
      <c r="O801" s="189" t="str">
        <f>IF(ISNUMBER(deployment_raw[[#This Row],[Column15]]), deployment_raw[[#This Row],[Column15]]/1048576,"")</f>
        <v/>
      </c>
      <c r="P801" s="190" t="str">
        <f>IF(ISNUMBER(deployment_raw[[#This Row],[Column12]]), (deployment_raw[[#This Row],[Column12]] * deployment_raw[[#This Row],[Column5]]),"")</f>
        <v/>
      </c>
      <c r="Q801" s="189" t="str">
        <f>IF(ISNUMBER(deployment_raw[[#This Row],[Column13]]), (deployment_raw[[#This Row],[Column13]] * deployment_raw[[#This Row],[Column5]])/1048576,"")</f>
        <v/>
      </c>
    </row>
    <row r="802" spans="1:17" ht="15.75" customHeight="1" x14ac:dyDescent="0.25">
      <c r="A802" s="37" t="str">
        <f>IF(ISNONTEXT(deployment_raw[[#This Row],[Column1]]), "", deployment_raw[[#This Row],[Column1]])</f>
        <v/>
      </c>
      <c r="B802" s="38" t="str">
        <f>IF(ISNONTEXT(deployment_raw[[#This Row],[Column2]]), "", deployment_raw[[#This Row],[Column2]])</f>
        <v/>
      </c>
      <c r="C802" s="38" t="str">
        <f>IF(ISNONTEXT(deployment_raw[[#This Row],[Column3]]), "", deployment_raw[[#This Row],[Column3]])</f>
        <v/>
      </c>
      <c r="D802" s="38" t="str">
        <f>IF(ISNONTEXT(deployment_raw[[#This Row],[Column4]]), "", deployment_raw[[#This Row],[Column4]])</f>
        <v/>
      </c>
      <c r="E802" s="39" t="str">
        <f>IF(ISNUMBER(deployment_raw[[#This Row],[Column5]]), deployment_raw[[#This Row],[Column5]],"")</f>
        <v/>
      </c>
      <c r="F802" s="174" t="str">
        <f>IF(ISNUMBER(deployment_raw[[#This Row],[Column6]]), (deployment_raw[[#This Row],[Column6]] * deployment_raw[[#This Row],[Column5]]),"")</f>
        <v/>
      </c>
      <c r="G802" s="175" t="str">
        <f>IF(ISNUMBER(deployment_raw[[#This Row],[Column7]]), (deployment_raw[[#This Row],[Column7]] * deployment_raw[[#This Row],[Column5]])/1048576,"")</f>
        <v/>
      </c>
      <c r="H802" s="175" t="str">
        <f>IF(ISNUMBER(deployment_raw[[#This Row],[Column8]]), (deployment_raw[[#This Row],[Column8]]  * deployment_raw[[#This Row],[Column5]]),"")</f>
        <v/>
      </c>
      <c r="I802" s="176" t="str">
        <f>IF(ISNUMBER(deployment_raw[[#This Row],[Column9]]), (deployment_raw[[#This Row],[Column9]] * deployment_raw[[#This Row],[Column5]])/1048576,"")</f>
        <v/>
      </c>
      <c r="J802" s="57" t="str">
        <f>IF(ISNUMBER(deployment_raw[[#This Row],[Column10]]), (deployment_raw[[#This Row],[Column10]] * deployment_raw[[#This Row],[Column5]]),"")</f>
        <v/>
      </c>
      <c r="K802" s="58" t="str">
        <f>IF(ISNUMBER(deployment_raw[[#This Row],[Column11]]), (deployment_raw[[#This Row],[Column11]] * deployment_raw[[#This Row],[Column5]])/1048576,"")</f>
        <v/>
      </c>
      <c r="L802" s="180" t="str">
        <f>IF(ISNUMBER(deployment_raw[[#This Row],[Column8]]),IF(deployment_raw[[#This Row],[Column5]] &lt;&gt; 0, MAX((deployment_raw[[#This Row],[Column12]] * deployment_raw[[#This Row],[Column5]]), ((deployment_raw[[#This Row],[Column8]] * deployment_raw[[#This Row],[Column5]]) * $L$2), ($H$2 * deployment_raw[[#This Row],[Column5]])), 0),"")</f>
        <v/>
      </c>
      <c r="M80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02" s="188" t="str">
        <f>IF(ISNUMBER(deployment_raw[[#This Row],[Column14]]), deployment_raw[[#This Row],[Column14]],"")</f>
        <v/>
      </c>
      <c r="O802" s="189" t="str">
        <f>IF(ISNUMBER(deployment_raw[[#This Row],[Column15]]), deployment_raw[[#This Row],[Column15]]/1048576,"")</f>
        <v/>
      </c>
      <c r="P802" s="190" t="str">
        <f>IF(ISNUMBER(deployment_raw[[#This Row],[Column12]]), (deployment_raw[[#This Row],[Column12]] * deployment_raw[[#This Row],[Column5]]),"")</f>
        <v/>
      </c>
      <c r="Q802" s="189" t="str">
        <f>IF(ISNUMBER(deployment_raw[[#This Row],[Column13]]), (deployment_raw[[#This Row],[Column13]] * deployment_raw[[#This Row],[Column5]])/1048576,"")</f>
        <v/>
      </c>
    </row>
    <row r="803" spans="1:17" ht="15.75" customHeight="1" x14ac:dyDescent="0.25">
      <c r="A803" s="37" t="str">
        <f>IF(ISNONTEXT(deployment_raw[[#This Row],[Column1]]), "", deployment_raw[[#This Row],[Column1]])</f>
        <v/>
      </c>
      <c r="B803" s="38" t="str">
        <f>IF(ISNONTEXT(deployment_raw[[#This Row],[Column2]]), "", deployment_raw[[#This Row],[Column2]])</f>
        <v/>
      </c>
      <c r="C803" s="38" t="str">
        <f>IF(ISNONTEXT(deployment_raw[[#This Row],[Column3]]), "", deployment_raw[[#This Row],[Column3]])</f>
        <v/>
      </c>
      <c r="D803" s="38" t="str">
        <f>IF(ISNONTEXT(deployment_raw[[#This Row],[Column4]]), "", deployment_raw[[#This Row],[Column4]])</f>
        <v/>
      </c>
      <c r="E803" s="39" t="str">
        <f>IF(ISNUMBER(deployment_raw[[#This Row],[Column5]]), deployment_raw[[#This Row],[Column5]],"")</f>
        <v/>
      </c>
      <c r="F803" s="174" t="str">
        <f>IF(ISNUMBER(deployment_raw[[#This Row],[Column6]]), (deployment_raw[[#This Row],[Column6]] * deployment_raw[[#This Row],[Column5]]),"")</f>
        <v/>
      </c>
      <c r="G803" s="175" t="str">
        <f>IF(ISNUMBER(deployment_raw[[#This Row],[Column7]]), (deployment_raw[[#This Row],[Column7]] * deployment_raw[[#This Row],[Column5]])/1048576,"")</f>
        <v/>
      </c>
      <c r="H803" s="175" t="str">
        <f>IF(ISNUMBER(deployment_raw[[#This Row],[Column8]]), (deployment_raw[[#This Row],[Column8]]  * deployment_raw[[#This Row],[Column5]]),"")</f>
        <v/>
      </c>
      <c r="I803" s="176" t="str">
        <f>IF(ISNUMBER(deployment_raw[[#This Row],[Column9]]), (deployment_raw[[#This Row],[Column9]] * deployment_raw[[#This Row],[Column5]])/1048576,"")</f>
        <v/>
      </c>
      <c r="J803" s="57" t="str">
        <f>IF(ISNUMBER(deployment_raw[[#This Row],[Column10]]), (deployment_raw[[#This Row],[Column10]] * deployment_raw[[#This Row],[Column5]]),"")</f>
        <v/>
      </c>
      <c r="K803" s="58" t="str">
        <f>IF(ISNUMBER(deployment_raw[[#This Row],[Column11]]), (deployment_raw[[#This Row],[Column11]] * deployment_raw[[#This Row],[Column5]])/1048576,"")</f>
        <v/>
      </c>
      <c r="L803" s="180" t="str">
        <f>IF(ISNUMBER(deployment_raw[[#This Row],[Column8]]),IF(deployment_raw[[#This Row],[Column5]] &lt;&gt; 0, MAX((deployment_raw[[#This Row],[Column12]] * deployment_raw[[#This Row],[Column5]]), ((deployment_raw[[#This Row],[Column8]] * deployment_raw[[#This Row],[Column5]]) * $L$2), ($H$2 * deployment_raw[[#This Row],[Column5]])), 0),"")</f>
        <v/>
      </c>
      <c r="M80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03" s="188" t="str">
        <f>IF(ISNUMBER(deployment_raw[[#This Row],[Column14]]), deployment_raw[[#This Row],[Column14]],"")</f>
        <v/>
      </c>
      <c r="O803" s="189" t="str">
        <f>IF(ISNUMBER(deployment_raw[[#This Row],[Column15]]), deployment_raw[[#This Row],[Column15]]/1048576,"")</f>
        <v/>
      </c>
      <c r="P803" s="190" t="str">
        <f>IF(ISNUMBER(deployment_raw[[#This Row],[Column12]]), (deployment_raw[[#This Row],[Column12]] * deployment_raw[[#This Row],[Column5]]),"")</f>
        <v/>
      </c>
      <c r="Q803" s="189" t="str">
        <f>IF(ISNUMBER(deployment_raw[[#This Row],[Column13]]), (deployment_raw[[#This Row],[Column13]] * deployment_raw[[#This Row],[Column5]])/1048576,"")</f>
        <v/>
      </c>
    </row>
    <row r="804" spans="1:17" ht="15.75" customHeight="1" x14ac:dyDescent="0.25">
      <c r="A804" s="37" t="str">
        <f>IF(ISNONTEXT(deployment_raw[[#This Row],[Column1]]), "", deployment_raw[[#This Row],[Column1]])</f>
        <v/>
      </c>
      <c r="B804" s="38" t="str">
        <f>IF(ISNONTEXT(deployment_raw[[#This Row],[Column2]]), "", deployment_raw[[#This Row],[Column2]])</f>
        <v/>
      </c>
      <c r="C804" s="38" t="str">
        <f>IF(ISNONTEXT(deployment_raw[[#This Row],[Column3]]), "", deployment_raw[[#This Row],[Column3]])</f>
        <v/>
      </c>
      <c r="D804" s="38" t="str">
        <f>IF(ISNONTEXT(deployment_raw[[#This Row],[Column4]]), "", deployment_raw[[#This Row],[Column4]])</f>
        <v/>
      </c>
      <c r="E804" s="39" t="str">
        <f>IF(ISNUMBER(deployment_raw[[#This Row],[Column5]]), deployment_raw[[#This Row],[Column5]],"")</f>
        <v/>
      </c>
      <c r="F804" s="174" t="str">
        <f>IF(ISNUMBER(deployment_raw[[#This Row],[Column6]]), (deployment_raw[[#This Row],[Column6]] * deployment_raw[[#This Row],[Column5]]),"")</f>
        <v/>
      </c>
      <c r="G804" s="175" t="str">
        <f>IF(ISNUMBER(deployment_raw[[#This Row],[Column7]]), (deployment_raw[[#This Row],[Column7]] * deployment_raw[[#This Row],[Column5]])/1048576,"")</f>
        <v/>
      </c>
      <c r="H804" s="175" t="str">
        <f>IF(ISNUMBER(deployment_raw[[#This Row],[Column8]]), (deployment_raw[[#This Row],[Column8]]  * deployment_raw[[#This Row],[Column5]]),"")</f>
        <v/>
      </c>
      <c r="I804" s="176" t="str">
        <f>IF(ISNUMBER(deployment_raw[[#This Row],[Column9]]), (deployment_raw[[#This Row],[Column9]] * deployment_raw[[#This Row],[Column5]])/1048576,"")</f>
        <v/>
      </c>
      <c r="J804" s="57" t="str">
        <f>IF(ISNUMBER(deployment_raw[[#This Row],[Column10]]), (deployment_raw[[#This Row],[Column10]] * deployment_raw[[#This Row],[Column5]]),"")</f>
        <v/>
      </c>
      <c r="K804" s="58" t="str">
        <f>IF(ISNUMBER(deployment_raw[[#This Row],[Column11]]), (deployment_raw[[#This Row],[Column11]] * deployment_raw[[#This Row],[Column5]])/1048576,"")</f>
        <v/>
      </c>
      <c r="L804" s="180" t="str">
        <f>IF(ISNUMBER(deployment_raw[[#This Row],[Column8]]),IF(deployment_raw[[#This Row],[Column5]] &lt;&gt; 0, MAX((deployment_raw[[#This Row],[Column12]] * deployment_raw[[#This Row],[Column5]]), ((deployment_raw[[#This Row],[Column8]] * deployment_raw[[#This Row],[Column5]]) * $L$2), ($H$2 * deployment_raw[[#This Row],[Column5]])), 0),"")</f>
        <v/>
      </c>
      <c r="M80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04" s="188" t="str">
        <f>IF(ISNUMBER(deployment_raw[[#This Row],[Column14]]), deployment_raw[[#This Row],[Column14]],"")</f>
        <v/>
      </c>
      <c r="O804" s="189" t="str">
        <f>IF(ISNUMBER(deployment_raw[[#This Row],[Column15]]), deployment_raw[[#This Row],[Column15]]/1048576,"")</f>
        <v/>
      </c>
      <c r="P804" s="190" t="str">
        <f>IF(ISNUMBER(deployment_raw[[#This Row],[Column12]]), (deployment_raw[[#This Row],[Column12]] * deployment_raw[[#This Row],[Column5]]),"")</f>
        <v/>
      </c>
      <c r="Q804" s="189" t="str">
        <f>IF(ISNUMBER(deployment_raw[[#This Row],[Column13]]), (deployment_raw[[#This Row],[Column13]] * deployment_raw[[#This Row],[Column5]])/1048576,"")</f>
        <v/>
      </c>
    </row>
    <row r="805" spans="1:17" ht="15.75" customHeight="1" x14ac:dyDescent="0.25">
      <c r="A805" s="37" t="str">
        <f>IF(ISNONTEXT(deployment_raw[[#This Row],[Column1]]), "", deployment_raw[[#This Row],[Column1]])</f>
        <v/>
      </c>
      <c r="B805" s="38" t="str">
        <f>IF(ISNONTEXT(deployment_raw[[#This Row],[Column2]]), "", deployment_raw[[#This Row],[Column2]])</f>
        <v/>
      </c>
      <c r="C805" s="38" t="str">
        <f>IF(ISNONTEXT(deployment_raw[[#This Row],[Column3]]), "", deployment_raw[[#This Row],[Column3]])</f>
        <v/>
      </c>
      <c r="D805" s="38" t="str">
        <f>IF(ISNONTEXT(deployment_raw[[#This Row],[Column4]]), "", deployment_raw[[#This Row],[Column4]])</f>
        <v/>
      </c>
      <c r="E805" s="39" t="str">
        <f>IF(ISNUMBER(deployment_raw[[#This Row],[Column5]]), deployment_raw[[#This Row],[Column5]],"")</f>
        <v/>
      </c>
      <c r="F805" s="174" t="str">
        <f>IF(ISNUMBER(deployment_raw[[#This Row],[Column6]]), (deployment_raw[[#This Row],[Column6]] * deployment_raw[[#This Row],[Column5]]),"")</f>
        <v/>
      </c>
      <c r="G805" s="175" t="str">
        <f>IF(ISNUMBER(deployment_raw[[#This Row],[Column7]]), (deployment_raw[[#This Row],[Column7]] * deployment_raw[[#This Row],[Column5]])/1048576,"")</f>
        <v/>
      </c>
      <c r="H805" s="175" t="str">
        <f>IF(ISNUMBER(deployment_raw[[#This Row],[Column8]]), (deployment_raw[[#This Row],[Column8]]  * deployment_raw[[#This Row],[Column5]]),"")</f>
        <v/>
      </c>
      <c r="I805" s="176" t="str">
        <f>IF(ISNUMBER(deployment_raw[[#This Row],[Column9]]), (deployment_raw[[#This Row],[Column9]] * deployment_raw[[#This Row],[Column5]])/1048576,"")</f>
        <v/>
      </c>
      <c r="J805" s="57" t="str">
        <f>IF(ISNUMBER(deployment_raw[[#This Row],[Column10]]), (deployment_raw[[#This Row],[Column10]] * deployment_raw[[#This Row],[Column5]]),"")</f>
        <v/>
      </c>
      <c r="K805" s="58" t="str">
        <f>IF(ISNUMBER(deployment_raw[[#This Row],[Column11]]), (deployment_raw[[#This Row],[Column11]] * deployment_raw[[#This Row],[Column5]])/1048576,"")</f>
        <v/>
      </c>
      <c r="L805" s="180" t="str">
        <f>IF(ISNUMBER(deployment_raw[[#This Row],[Column8]]),IF(deployment_raw[[#This Row],[Column5]] &lt;&gt; 0, MAX((deployment_raw[[#This Row],[Column12]] * deployment_raw[[#This Row],[Column5]]), ((deployment_raw[[#This Row],[Column8]] * deployment_raw[[#This Row],[Column5]]) * $L$2), ($H$2 * deployment_raw[[#This Row],[Column5]])), 0),"")</f>
        <v/>
      </c>
      <c r="M80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05" s="188" t="str">
        <f>IF(ISNUMBER(deployment_raw[[#This Row],[Column14]]), deployment_raw[[#This Row],[Column14]],"")</f>
        <v/>
      </c>
      <c r="O805" s="189" t="str">
        <f>IF(ISNUMBER(deployment_raw[[#This Row],[Column15]]), deployment_raw[[#This Row],[Column15]]/1048576,"")</f>
        <v/>
      </c>
      <c r="P805" s="190" t="str">
        <f>IF(ISNUMBER(deployment_raw[[#This Row],[Column12]]), (deployment_raw[[#This Row],[Column12]] * deployment_raw[[#This Row],[Column5]]),"")</f>
        <v/>
      </c>
      <c r="Q805" s="189" t="str">
        <f>IF(ISNUMBER(deployment_raw[[#This Row],[Column13]]), (deployment_raw[[#This Row],[Column13]] * deployment_raw[[#This Row],[Column5]])/1048576,"")</f>
        <v/>
      </c>
    </row>
    <row r="806" spans="1:17" ht="15.75" customHeight="1" x14ac:dyDescent="0.25">
      <c r="A806" s="37" t="str">
        <f>IF(ISNONTEXT(deployment_raw[[#This Row],[Column1]]), "", deployment_raw[[#This Row],[Column1]])</f>
        <v/>
      </c>
      <c r="B806" s="38" t="str">
        <f>IF(ISNONTEXT(deployment_raw[[#This Row],[Column2]]), "", deployment_raw[[#This Row],[Column2]])</f>
        <v/>
      </c>
      <c r="C806" s="38" t="str">
        <f>IF(ISNONTEXT(deployment_raw[[#This Row],[Column3]]), "", deployment_raw[[#This Row],[Column3]])</f>
        <v/>
      </c>
      <c r="D806" s="38" t="str">
        <f>IF(ISNONTEXT(deployment_raw[[#This Row],[Column4]]), "", deployment_raw[[#This Row],[Column4]])</f>
        <v/>
      </c>
      <c r="E806" s="39" t="str">
        <f>IF(ISNUMBER(deployment_raw[[#This Row],[Column5]]), deployment_raw[[#This Row],[Column5]],"")</f>
        <v/>
      </c>
      <c r="F806" s="174" t="str">
        <f>IF(ISNUMBER(deployment_raw[[#This Row],[Column6]]), (deployment_raw[[#This Row],[Column6]] * deployment_raw[[#This Row],[Column5]]),"")</f>
        <v/>
      </c>
      <c r="G806" s="175" t="str">
        <f>IF(ISNUMBER(deployment_raw[[#This Row],[Column7]]), (deployment_raw[[#This Row],[Column7]] * deployment_raw[[#This Row],[Column5]])/1048576,"")</f>
        <v/>
      </c>
      <c r="H806" s="175" t="str">
        <f>IF(ISNUMBER(deployment_raw[[#This Row],[Column8]]), (deployment_raw[[#This Row],[Column8]]  * deployment_raw[[#This Row],[Column5]]),"")</f>
        <v/>
      </c>
      <c r="I806" s="176" t="str">
        <f>IF(ISNUMBER(deployment_raw[[#This Row],[Column9]]), (deployment_raw[[#This Row],[Column9]] * deployment_raw[[#This Row],[Column5]])/1048576,"")</f>
        <v/>
      </c>
      <c r="J806" s="57" t="str">
        <f>IF(ISNUMBER(deployment_raw[[#This Row],[Column10]]), (deployment_raw[[#This Row],[Column10]] * deployment_raw[[#This Row],[Column5]]),"")</f>
        <v/>
      </c>
      <c r="K806" s="58" t="str">
        <f>IF(ISNUMBER(deployment_raw[[#This Row],[Column11]]), (deployment_raw[[#This Row],[Column11]] * deployment_raw[[#This Row],[Column5]])/1048576,"")</f>
        <v/>
      </c>
      <c r="L806" s="180" t="str">
        <f>IF(ISNUMBER(deployment_raw[[#This Row],[Column8]]),IF(deployment_raw[[#This Row],[Column5]] &lt;&gt; 0, MAX((deployment_raw[[#This Row],[Column12]] * deployment_raw[[#This Row],[Column5]]), ((deployment_raw[[#This Row],[Column8]] * deployment_raw[[#This Row],[Column5]]) * $L$2), ($H$2 * deployment_raw[[#This Row],[Column5]])), 0),"")</f>
        <v/>
      </c>
      <c r="M80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06" s="188" t="str">
        <f>IF(ISNUMBER(deployment_raw[[#This Row],[Column14]]), deployment_raw[[#This Row],[Column14]],"")</f>
        <v/>
      </c>
      <c r="O806" s="189" t="str">
        <f>IF(ISNUMBER(deployment_raw[[#This Row],[Column15]]), deployment_raw[[#This Row],[Column15]]/1048576,"")</f>
        <v/>
      </c>
      <c r="P806" s="190" t="str">
        <f>IF(ISNUMBER(deployment_raw[[#This Row],[Column12]]), (deployment_raw[[#This Row],[Column12]] * deployment_raw[[#This Row],[Column5]]),"")</f>
        <v/>
      </c>
      <c r="Q806" s="189" t="str">
        <f>IF(ISNUMBER(deployment_raw[[#This Row],[Column13]]), (deployment_raw[[#This Row],[Column13]] * deployment_raw[[#This Row],[Column5]])/1048576,"")</f>
        <v/>
      </c>
    </row>
    <row r="807" spans="1:17" ht="15.75" customHeight="1" x14ac:dyDescent="0.25">
      <c r="A807" s="37" t="str">
        <f>IF(ISNONTEXT(deployment_raw[[#This Row],[Column1]]), "", deployment_raw[[#This Row],[Column1]])</f>
        <v/>
      </c>
      <c r="B807" s="38" t="str">
        <f>IF(ISNONTEXT(deployment_raw[[#This Row],[Column2]]), "", deployment_raw[[#This Row],[Column2]])</f>
        <v/>
      </c>
      <c r="C807" s="38" t="str">
        <f>IF(ISNONTEXT(deployment_raw[[#This Row],[Column3]]), "", deployment_raw[[#This Row],[Column3]])</f>
        <v/>
      </c>
      <c r="D807" s="38" t="str">
        <f>IF(ISNONTEXT(deployment_raw[[#This Row],[Column4]]), "", deployment_raw[[#This Row],[Column4]])</f>
        <v/>
      </c>
      <c r="E807" s="39" t="str">
        <f>IF(ISNUMBER(deployment_raw[[#This Row],[Column5]]), deployment_raw[[#This Row],[Column5]],"")</f>
        <v/>
      </c>
      <c r="F807" s="174" t="str">
        <f>IF(ISNUMBER(deployment_raw[[#This Row],[Column6]]), (deployment_raw[[#This Row],[Column6]] * deployment_raw[[#This Row],[Column5]]),"")</f>
        <v/>
      </c>
      <c r="G807" s="175" t="str">
        <f>IF(ISNUMBER(deployment_raw[[#This Row],[Column7]]), (deployment_raw[[#This Row],[Column7]] * deployment_raw[[#This Row],[Column5]])/1048576,"")</f>
        <v/>
      </c>
      <c r="H807" s="175" t="str">
        <f>IF(ISNUMBER(deployment_raw[[#This Row],[Column8]]), (deployment_raw[[#This Row],[Column8]]  * deployment_raw[[#This Row],[Column5]]),"")</f>
        <v/>
      </c>
      <c r="I807" s="176" t="str">
        <f>IF(ISNUMBER(deployment_raw[[#This Row],[Column9]]), (deployment_raw[[#This Row],[Column9]] * deployment_raw[[#This Row],[Column5]])/1048576,"")</f>
        <v/>
      </c>
      <c r="J807" s="57" t="str">
        <f>IF(ISNUMBER(deployment_raw[[#This Row],[Column10]]), (deployment_raw[[#This Row],[Column10]] * deployment_raw[[#This Row],[Column5]]),"")</f>
        <v/>
      </c>
      <c r="K807" s="58" t="str">
        <f>IF(ISNUMBER(deployment_raw[[#This Row],[Column11]]), (deployment_raw[[#This Row],[Column11]] * deployment_raw[[#This Row],[Column5]])/1048576,"")</f>
        <v/>
      </c>
      <c r="L807" s="180" t="str">
        <f>IF(ISNUMBER(deployment_raw[[#This Row],[Column8]]),IF(deployment_raw[[#This Row],[Column5]] &lt;&gt; 0, MAX((deployment_raw[[#This Row],[Column12]] * deployment_raw[[#This Row],[Column5]]), ((deployment_raw[[#This Row],[Column8]] * deployment_raw[[#This Row],[Column5]]) * $L$2), ($H$2 * deployment_raw[[#This Row],[Column5]])), 0),"")</f>
        <v/>
      </c>
      <c r="M80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07" s="188" t="str">
        <f>IF(ISNUMBER(deployment_raw[[#This Row],[Column14]]), deployment_raw[[#This Row],[Column14]],"")</f>
        <v/>
      </c>
      <c r="O807" s="189" t="str">
        <f>IF(ISNUMBER(deployment_raw[[#This Row],[Column15]]), deployment_raw[[#This Row],[Column15]]/1048576,"")</f>
        <v/>
      </c>
      <c r="P807" s="190" t="str">
        <f>IF(ISNUMBER(deployment_raw[[#This Row],[Column12]]), (deployment_raw[[#This Row],[Column12]] * deployment_raw[[#This Row],[Column5]]),"")</f>
        <v/>
      </c>
      <c r="Q807" s="189" t="str">
        <f>IF(ISNUMBER(deployment_raw[[#This Row],[Column13]]), (deployment_raw[[#This Row],[Column13]] * deployment_raw[[#This Row],[Column5]])/1048576,"")</f>
        <v/>
      </c>
    </row>
    <row r="808" spans="1:17" ht="15.75" customHeight="1" x14ac:dyDescent="0.25">
      <c r="A808" s="37" t="str">
        <f>IF(ISNONTEXT(deployment_raw[[#This Row],[Column1]]), "", deployment_raw[[#This Row],[Column1]])</f>
        <v/>
      </c>
      <c r="B808" s="38" t="str">
        <f>IF(ISNONTEXT(deployment_raw[[#This Row],[Column2]]), "", deployment_raw[[#This Row],[Column2]])</f>
        <v/>
      </c>
      <c r="C808" s="38" t="str">
        <f>IF(ISNONTEXT(deployment_raw[[#This Row],[Column3]]), "", deployment_raw[[#This Row],[Column3]])</f>
        <v/>
      </c>
      <c r="D808" s="38" t="str">
        <f>IF(ISNONTEXT(deployment_raw[[#This Row],[Column4]]), "", deployment_raw[[#This Row],[Column4]])</f>
        <v/>
      </c>
      <c r="E808" s="39" t="str">
        <f>IF(ISNUMBER(deployment_raw[[#This Row],[Column5]]), deployment_raw[[#This Row],[Column5]],"")</f>
        <v/>
      </c>
      <c r="F808" s="174" t="str">
        <f>IF(ISNUMBER(deployment_raw[[#This Row],[Column6]]), (deployment_raw[[#This Row],[Column6]] * deployment_raw[[#This Row],[Column5]]),"")</f>
        <v/>
      </c>
      <c r="G808" s="175" t="str">
        <f>IF(ISNUMBER(deployment_raw[[#This Row],[Column7]]), (deployment_raw[[#This Row],[Column7]] * deployment_raw[[#This Row],[Column5]])/1048576,"")</f>
        <v/>
      </c>
      <c r="H808" s="175" t="str">
        <f>IF(ISNUMBER(deployment_raw[[#This Row],[Column8]]), (deployment_raw[[#This Row],[Column8]]  * deployment_raw[[#This Row],[Column5]]),"")</f>
        <v/>
      </c>
      <c r="I808" s="176" t="str">
        <f>IF(ISNUMBER(deployment_raw[[#This Row],[Column9]]), (deployment_raw[[#This Row],[Column9]] * deployment_raw[[#This Row],[Column5]])/1048576,"")</f>
        <v/>
      </c>
      <c r="J808" s="57" t="str">
        <f>IF(ISNUMBER(deployment_raw[[#This Row],[Column10]]), (deployment_raw[[#This Row],[Column10]] * deployment_raw[[#This Row],[Column5]]),"")</f>
        <v/>
      </c>
      <c r="K808" s="58" t="str">
        <f>IF(ISNUMBER(deployment_raw[[#This Row],[Column11]]), (deployment_raw[[#This Row],[Column11]] * deployment_raw[[#This Row],[Column5]])/1048576,"")</f>
        <v/>
      </c>
      <c r="L808" s="180" t="str">
        <f>IF(ISNUMBER(deployment_raw[[#This Row],[Column8]]),IF(deployment_raw[[#This Row],[Column5]] &lt;&gt; 0, MAX((deployment_raw[[#This Row],[Column12]] * deployment_raw[[#This Row],[Column5]]), ((deployment_raw[[#This Row],[Column8]] * deployment_raw[[#This Row],[Column5]]) * $L$2), ($H$2 * deployment_raw[[#This Row],[Column5]])), 0),"")</f>
        <v/>
      </c>
      <c r="M80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08" s="188" t="str">
        <f>IF(ISNUMBER(deployment_raw[[#This Row],[Column14]]), deployment_raw[[#This Row],[Column14]],"")</f>
        <v/>
      </c>
      <c r="O808" s="189" t="str">
        <f>IF(ISNUMBER(deployment_raw[[#This Row],[Column15]]), deployment_raw[[#This Row],[Column15]]/1048576,"")</f>
        <v/>
      </c>
      <c r="P808" s="190" t="str">
        <f>IF(ISNUMBER(deployment_raw[[#This Row],[Column12]]), (deployment_raw[[#This Row],[Column12]] * deployment_raw[[#This Row],[Column5]]),"")</f>
        <v/>
      </c>
      <c r="Q808" s="189" t="str">
        <f>IF(ISNUMBER(deployment_raw[[#This Row],[Column13]]), (deployment_raw[[#This Row],[Column13]] * deployment_raw[[#This Row],[Column5]])/1048576,"")</f>
        <v/>
      </c>
    </row>
    <row r="809" spans="1:17" ht="15.75" customHeight="1" x14ac:dyDescent="0.25">
      <c r="A809" s="37" t="str">
        <f>IF(ISNONTEXT(deployment_raw[[#This Row],[Column1]]), "", deployment_raw[[#This Row],[Column1]])</f>
        <v/>
      </c>
      <c r="B809" s="38" t="str">
        <f>IF(ISNONTEXT(deployment_raw[[#This Row],[Column2]]), "", deployment_raw[[#This Row],[Column2]])</f>
        <v/>
      </c>
      <c r="C809" s="38" t="str">
        <f>IF(ISNONTEXT(deployment_raw[[#This Row],[Column3]]), "", deployment_raw[[#This Row],[Column3]])</f>
        <v/>
      </c>
      <c r="D809" s="38" t="str">
        <f>IF(ISNONTEXT(deployment_raw[[#This Row],[Column4]]), "", deployment_raw[[#This Row],[Column4]])</f>
        <v/>
      </c>
      <c r="E809" s="39" t="str">
        <f>IF(ISNUMBER(deployment_raw[[#This Row],[Column5]]), deployment_raw[[#This Row],[Column5]],"")</f>
        <v/>
      </c>
      <c r="F809" s="174" t="str">
        <f>IF(ISNUMBER(deployment_raw[[#This Row],[Column6]]), (deployment_raw[[#This Row],[Column6]] * deployment_raw[[#This Row],[Column5]]),"")</f>
        <v/>
      </c>
      <c r="G809" s="175" t="str">
        <f>IF(ISNUMBER(deployment_raw[[#This Row],[Column7]]), (deployment_raw[[#This Row],[Column7]] * deployment_raw[[#This Row],[Column5]])/1048576,"")</f>
        <v/>
      </c>
      <c r="H809" s="175" t="str">
        <f>IF(ISNUMBER(deployment_raw[[#This Row],[Column8]]), (deployment_raw[[#This Row],[Column8]]  * deployment_raw[[#This Row],[Column5]]),"")</f>
        <v/>
      </c>
      <c r="I809" s="176" t="str">
        <f>IF(ISNUMBER(deployment_raw[[#This Row],[Column9]]), (deployment_raw[[#This Row],[Column9]] * deployment_raw[[#This Row],[Column5]])/1048576,"")</f>
        <v/>
      </c>
      <c r="J809" s="57" t="str">
        <f>IF(ISNUMBER(deployment_raw[[#This Row],[Column10]]), (deployment_raw[[#This Row],[Column10]] * deployment_raw[[#This Row],[Column5]]),"")</f>
        <v/>
      </c>
      <c r="K809" s="58" t="str">
        <f>IF(ISNUMBER(deployment_raw[[#This Row],[Column11]]), (deployment_raw[[#This Row],[Column11]] * deployment_raw[[#This Row],[Column5]])/1048576,"")</f>
        <v/>
      </c>
      <c r="L809" s="180" t="str">
        <f>IF(ISNUMBER(deployment_raw[[#This Row],[Column8]]),IF(deployment_raw[[#This Row],[Column5]] &lt;&gt; 0, MAX((deployment_raw[[#This Row],[Column12]] * deployment_raw[[#This Row],[Column5]]), ((deployment_raw[[#This Row],[Column8]] * deployment_raw[[#This Row],[Column5]]) * $L$2), ($H$2 * deployment_raw[[#This Row],[Column5]])), 0),"")</f>
        <v/>
      </c>
      <c r="M80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09" s="188" t="str">
        <f>IF(ISNUMBER(deployment_raw[[#This Row],[Column14]]), deployment_raw[[#This Row],[Column14]],"")</f>
        <v/>
      </c>
      <c r="O809" s="189" t="str">
        <f>IF(ISNUMBER(deployment_raw[[#This Row],[Column15]]), deployment_raw[[#This Row],[Column15]]/1048576,"")</f>
        <v/>
      </c>
      <c r="P809" s="190" t="str">
        <f>IF(ISNUMBER(deployment_raw[[#This Row],[Column12]]), (deployment_raw[[#This Row],[Column12]] * deployment_raw[[#This Row],[Column5]]),"")</f>
        <v/>
      </c>
      <c r="Q809" s="189" t="str">
        <f>IF(ISNUMBER(deployment_raw[[#This Row],[Column13]]), (deployment_raw[[#This Row],[Column13]] * deployment_raw[[#This Row],[Column5]])/1048576,"")</f>
        <v/>
      </c>
    </row>
    <row r="810" spans="1:17" ht="15.75" customHeight="1" x14ac:dyDescent="0.25">
      <c r="A810" s="37" t="str">
        <f>IF(ISNONTEXT(deployment_raw[[#This Row],[Column1]]), "", deployment_raw[[#This Row],[Column1]])</f>
        <v/>
      </c>
      <c r="B810" s="38" t="str">
        <f>IF(ISNONTEXT(deployment_raw[[#This Row],[Column2]]), "", deployment_raw[[#This Row],[Column2]])</f>
        <v/>
      </c>
      <c r="C810" s="38" t="str">
        <f>IF(ISNONTEXT(deployment_raw[[#This Row],[Column3]]), "", deployment_raw[[#This Row],[Column3]])</f>
        <v/>
      </c>
      <c r="D810" s="38" t="str">
        <f>IF(ISNONTEXT(deployment_raw[[#This Row],[Column4]]), "", deployment_raw[[#This Row],[Column4]])</f>
        <v/>
      </c>
      <c r="E810" s="39" t="str">
        <f>IF(ISNUMBER(deployment_raw[[#This Row],[Column5]]), deployment_raw[[#This Row],[Column5]],"")</f>
        <v/>
      </c>
      <c r="F810" s="174" t="str">
        <f>IF(ISNUMBER(deployment_raw[[#This Row],[Column6]]), (deployment_raw[[#This Row],[Column6]] * deployment_raw[[#This Row],[Column5]]),"")</f>
        <v/>
      </c>
      <c r="G810" s="175" t="str">
        <f>IF(ISNUMBER(deployment_raw[[#This Row],[Column7]]), (deployment_raw[[#This Row],[Column7]] * deployment_raw[[#This Row],[Column5]])/1048576,"")</f>
        <v/>
      </c>
      <c r="H810" s="175" t="str">
        <f>IF(ISNUMBER(deployment_raw[[#This Row],[Column8]]), (deployment_raw[[#This Row],[Column8]]  * deployment_raw[[#This Row],[Column5]]),"")</f>
        <v/>
      </c>
      <c r="I810" s="176" t="str">
        <f>IF(ISNUMBER(deployment_raw[[#This Row],[Column9]]), (deployment_raw[[#This Row],[Column9]] * deployment_raw[[#This Row],[Column5]])/1048576,"")</f>
        <v/>
      </c>
      <c r="J810" s="57" t="str">
        <f>IF(ISNUMBER(deployment_raw[[#This Row],[Column10]]), (deployment_raw[[#This Row],[Column10]] * deployment_raw[[#This Row],[Column5]]),"")</f>
        <v/>
      </c>
      <c r="K810" s="58" t="str">
        <f>IF(ISNUMBER(deployment_raw[[#This Row],[Column11]]), (deployment_raw[[#This Row],[Column11]] * deployment_raw[[#This Row],[Column5]])/1048576,"")</f>
        <v/>
      </c>
      <c r="L810" s="180" t="str">
        <f>IF(ISNUMBER(deployment_raw[[#This Row],[Column8]]),IF(deployment_raw[[#This Row],[Column5]] &lt;&gt; 0, MAX((deployment_raw[[#This Row],[Column12]] * deployment_raw[[#This Row],[Column5]]), ((deployment_raw[[#This Row],[Column8]] * deployment_raw[[#This Row],[Column5]]) * $L$2), ($H$2 * deployment_raw[[#This Row],[Column5]])), 0),"")</f>
        <v/>
      </c>
      <c r="M81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10" s="188" t="str">
        <f>IF(ISNUMBER(deployment_raw[[#This Row],[Column14]]), deployment_raw[[#This Row],[Column14]],"")</f>
        <v/>
      </c>
      <c r="O810" s="189" t="str">
        <f>IF(ISNUMBER(deployment_raw[[#This Row],[Column15]]), deployment_raw[[#This Row],[Column15]]/1048576,"")</f>
        <v/>
      </c>
      <c r="P810" s="190" t="str">
        <f>IF(ISNUMBER(deployment_raw[[#This Row],[Column12]]), (deployment_raw[[#This Row],[Column12]] * deployment_raw[[#This Row],[Column5]]),"")</f>
        <v/>
      </c>
      <c r="Q810" s="189" t="str">
        <f>IF(ISNUMBER(deployment_raw[[#This Row],[Column13]]), (deployment_raw[[#This Row],[Column13]] * deployment_raw[[#This Row],[Column5]])/1048576,"")</f>
        <v/>
      </c>
    </row>
    <row r="811" spans="1:17" ht="15.75" customHeight="1" x14ac:dyDescent="0.25">
      <c r="A811" s="37" t="str">
        <f>IF(ISNONTEXT(deployment_raw[[#This Row],[Column1]]), "", deployment_raw[[#This Row],[Column1]])</f>
        <v/>
      </c>
      <c r="B811" s="38" t="str">
        <f>IF(ISNONTEXT(deployment_raw[[#This Row],[Column2]]), "", deployment_raw[[#This Row],[Column2]])</f>
        <v/>
      </c>
      <c r="C811" s="38" t="str">
        <f>IF(ISNONTEXT(deployment_raw[[#This Row],[Column3]]), "", deployment_raw[[#This Row],[Column3]])</f>
        <v/>
      </c>
      <c r="D811" s="38" t="str">
        <f>IF(ISNONTEXT(deployment_raw[[#This Row],[Column4]]), "", deployment_raw[[#This Row],[Column4]])</f>
        <v/>
      </c>
      <c r="E811" s="39" t="str">
        <f>IF(ISNUMBER(deployment_raw[[#This Row],[Column5]]), deployment_raw[[#This Row],[Column5]],"")</f>
        <v/>
      </c>
      <c r="F811" s="174" t="str">
        <f>IF(ISNUMBER(deployment_raw[[#This Row],[Column6]]), (deployment_raw[[#This Row],[Column6]] * deployment_raw[[#This Row],[Column5]]),"")</f>
        <v/>
      </c>
      <c r="G811" s="175" t="str">
        <f>IF(ISNUMBER(deployment_raw[[#This Row],[Column7]]), (deployment_raw[[#This Row],[Column7]] * deployment_raw[[#This Row],[Column5]])/1048576,"")</f>
        <v/>
      </c>
      <c r="H811" s="175" t="str">
        <f>IF(ISNUMBER(deployment_raw[[#This Row],[Column8]]), (deployment_raw[[#This Row],[Column8]]  * deployment_raw[[#This Row],[Column5]]),"")</f>
        <v/>
      </c>
      <c r="I811" s="176" t="str">
        <f>IF(ISNUMBER(deployment_raw[[#This Row],[Column9]]), (deployment_raw[[#This Row],[Column9]] * deployment_raw[[#This Row],[Column5]])/1048576,"")</f>
        <v/>
      </c>
      <c r="J811" s="57" t="str">
        <f>IF(ISNUMBER(deployment_raw[[#This Row],[Column10]]), (deployment_raw[[#This Row],[Column10]] * deployment_raw[[#This Row],[Column5]]),"")</f>
        <v/>
      </c>
      <c r="K811" s="58" t="str">
        <f>IF(ISNUMBER(deployment_raw[[#This Row],[Column11]]), (deployment_raw[[#This Row],[Column11]] * deployment_raw[[#This Row],[Column5]])/1048576,"")</f>
        <v/>
      </c>
      <c r="L811" s="180" t="str">
        <f>IF(ISNUMBER(deployment_raw[[#This Row],[Column8]]),IF(deployment_raw[[#This Row],[Column5]] &lt;&gt; 0, MAX((deployment_raw[[#This Row],[Column12]] * deployment_raw[[#This Row],[Column5]]), ((deployment_raw[[#This Row],[Column8]] * deployment_raw[[#This Row],[Column5]]) * $L$2), ($H$2 * deployment_raw[[#This Row],[Column5]])), 0),"")</f>
        <v/>
      </c>
      <c r="M81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11" s="188" t="str">
        <f>IF(ISNUMBER(deployment_raw[[#This Row],[Column14]]), deployment_raw[[#This Row],[Column14]],"")</f>
        <v/>
      </c>
      <c r="O811" s="189" t="str">
        <f>IF(ISNUMBER(deployment_raw[[#This Row],[Column15]]), deployment_raw[[#This Row],[Column15]]/1048576,"")</f>
        <v/>
      </c>
      <c r="P811" s="190" t="str">
        <f>IF(ISNUMBER(deployment_raw[[#This Row],[Column12]]), (deployment_raw[[#This Row],[Column12]] * deployment_raw[[#This Row],[Column5]]),"")</f>
        <v/>
      </c>
      <c r="Q811" s="189" t="str">
        <f>IF(ISNUMBER(deployment_raw[[#This Row],[Column13]]), (deployment_raw[[#This Row],[Column13]] * deployment_raw[[#This Row],[Column5]])/1048576,"")</f>
        <v/>
      </c>
    </row>
    <row r="812" spans="1:17" ht="15.75" customHeight="1" x14ac:dyDescent="0.25">
      <c r="A812" s="37" t="str">
        <f>IF(ISNONTEXT(deployment_raw[[#This Row],[Column1]]), "", deployment_raw[[#This Row],[Column1]])</f>
        <v/>
      </c>
      <c r="B812" s="38" t="str">
        <f>IF(ISNONTEXT(deployment_raw[[#This Row],[Column2]]), "", deployment_raw[[#This Row],[Column2]])</f>
        <v/>
      </c>
      <c r="C812" s="38" t="str">
        <f>IF(ISNONTEXT(deployment_raw[[#This Row],[Column3]]), "", deployment_raw[[#This Row],[Column3]])</f>
        <v/>
      </c>
      <c r="D812" s="38" t="str">
        <f>IF(ISNONTEXT(deployment_raw[[#This Row],[Column4]]), "", deployment_raw[[#This Row],[Column4]])</f>
        <v/>
      </c>
      <c r="E812" s="39" t="str">
        <f>IF(ISNUMBER(deployment_raw[[#This Row],[Column5]]), deployment_raw[[#This Row],[Column5]],"")</f>
        <v/>
      </c>
      <c r="F812" s="174" t="str">
        <f>IF(ISNUMBER(deployment_raw[[#This Row],[Column6]]), (deployment_raw[[#This Row],[Column6]] * deployment_raw[[#This Row],[Column5]]),"")</f>
        <v/>
      </c>
      <c r="G812" s="175" t="str">
        <f>IF(ISNUMBER(deployment_raw[[#This Row],[Column7]]), (deployment_raw[[#This Row],[Column7]] * deployment_raw[[#This Row],[Column5]])/1048576,"")</f>
        <v/>
      </c>
      <c r="H812" s="175" t="str">
        <f>IF(ISNUMBER(deployment_raw[[#This Row],[Column8]]), (deployment_raw[[#This Row],[Column8]]  * deployment_raw[[#This Row],[Column5]]),"")</f>
        <v/>
      </c>
      <c r="I812" s="176" t="str">
        <f>IF(ISNUMBER(deployment_raw[[#This Row],[Column9]]), (deployment_raw[[#This Row],[Column9]] * deployment_raw[[#This Row],[Column5]])/1048576,"")</f>
        <v/>
      </c>
      <c r="J812" s="57" t="str">
        <f>IF(ISNUMBER(deployment_raw[[#This Row],[Column10]]), (deployment_raw[[#This Row],[Column10]] * deployment_raw[[#This Row],[Column5]]),"")</f>
        <v/>
      </c>
      <c r="K812" s="58" t="str">
        <f>IF(ISNUMBER(deployment_raw[[#This Row],[Column11]]), (deployment_raw[[#This Row],[Column11]] * deployment_raw[[#This Row],[Column5]])/1048576,"")</f>
        <v/>
      </c>
      <c r="L812" s="180" t="str">
        <f>IF(ISNUMBER(deployment_raw[[#This Row],[Column8]]),IF(deployment_raw[[#This Row],[Column5]] &lt;&gt; 0, MAX((deployment_raw[[#This Row],[Column12]] * deployment_raw[[#This Row],[Column5]]), ((deployment_raw[[#This Row],[Column8]] * deployment_raw[[#This Row],[Column5]]) * $L$2), ($H$2 * deployment_raw[[#This Row],[Column5]])), 0),"")</f>
        <v/>
      </c>
      <c r="M81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12" s="188" t="str">
        <f>IF(ISNUMBER(deployment_raw[[#This Row],[Column14]]), deployment_raw[[#This Row],[Column14]],"")</f>
        <v/>
      </c>
      <c r="O812" s="189" t="str">
        <f>IF(ISNUMBER(deployment_raw[[#This Row],[Column15]]), deployment_raw[[#This Row],[Column15]]/1048576,"")</f>
        <v/>
      </c>
      <c r="P812" s="190" t="str">
        <f>IF(ISNUMBER(deployment_raw[[#This Row],[Column12]]), (deployment_raw[[#This Row],[Column12]] * deployment_raw[[#This Row],[Column5]]),"")</f>
        <v/>
      </c>
      <c r="Q812" s="189" t="str">
        <f>IF(ISNUMBER(deployment_raw[[#This Row],[Column13]]), (deployment_raw[[#This Row],[Column13]] * deployment_raw[[#This Row],[Column5]])/1048576,"")</f>
        <v/>
      </c>
    </row>
    <row r="813" spans="1:17" ht="15.75" customHeight="1" x14ac:dyDescent="0.25">
      <c r="A813" s="37" t="str">
        <f>IF(ISNONTEXT(deployment_raw[[#This Row],[Column1]]), "", deployment_raw[[#This Row],[Column1]])</f>
        <v/>
      </c>
      <c r="B813" s="38" t="str">
        <f>IF(ISNONTEXT(deployment_raw[[#This Row],[Column2]]), "", deployment_raw[[#This Row],[Column2]])</f>
        <v/>
      </c>
      <c r="C813" s="38" t="str">
        <f>IF(ISNONTEXT(deployment_raw[[#This Row],[Column3]]), "", deployment_raw[[#This Row],[Column3]])</f>
        <v/>
      </c>
      <c r="D813" s="38" t="str">
        <f>IF(ISNONTEXT(deployment_raw[[#This Row],[Column4]]), "", deployment_raw[[#This Row],[Column4]])</f>
        <v/>
      </c>
      <c r="E813" s="39" t="str">
        <f>IF(ISNUMBER(deployment_raw[[#This Row],[Column5]]), deployment_raw[[#This Row],[Column5]],"")</f>
        <v/>
      </c>
      <c r="F813" s="174" t="str">
        <f>IF(ISNUMBER(deployment_raw[[#This Row],[Column6]]), (deployment_raw[[#This Row],[Column6]] * deployment_raw[[#This Row],[Column5]]),"")</f>
        <v/>
      </c>
      <c r="G813" s="175" t="str">
        <f>IF(ISNUMBER(deployment_raw[[#This Row],[Column7]]), (deployment_raw[[#This Row],[Column7]] * deployment_raw[[#This Row],[Column5]])/1048576,"")</f>
        <v/>
      </c>
      <c r="H813" s="175" t="str">
        <f>IF(ISNUMBER(deployment_raw[[#This Row],[Column8]]), (deployment_raw[[#This Row],[Column8]]  * deployment_raw[[#This Row],[Column5]]),"")</f>
        <v/>
      </c>
      <c r="I813" s="176" t="str">
        <f>IF(ISNUMBER(deployment_raw[[#This Row],[Column9]]), (deployment_raw[[#This Row],[Column9]] * deployment_raw[[#This Row],[Column5]])/1048576,"")</f>
        <v/>
      </c>
      <c r="J813" s="57" t="str">
        <f>IF(ISNUMBER(deployment_raw[[#This Row],[Column10]]), (deployment_raw[[#This Row],[Column10]] * deployment_raw[[#This Row],[Column5]]),"")</f>
        <v/>
      </c>
      <c r="K813" s="58" t="str">
        <f>IF(ISNUMBER(deployment_raw[[#This Row],[Column11]]), (deployment_raw[[#This Row],[Column11]] * deployment_raw[[#This Row],[Column5]])/1048576,"")</f>
        <v/>
      </c>
      <c r="L813" s="180" t="str">
        <f>IF(ISNUMBER(deployment_raw[[#This Row],[Column8]]),IF(deployment_raw[[#This Row],[Column5]] &lt;&gt; 0, MAX((deployment_raw[[#This Row],[Column12]] * deployment_raw[[#This Row],[Column5]]), ((deployment_raw[[#This Row],[Column8]] * deployment_raw[[#This Row],[Column5]]) * $L$2), ($H$2 * deployment_raw[[#This Row],[Column5]])), 0),"")</f>
        <v/>
      </c>
      <c r="M81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13" s="188" t="str">
        <f>IF(ISNUMBER(deployment_raw[[#This Row],[Column14]]), deployment_raw[[#This Row],[Column14]],"")</f>
        <v/>
      </c>
      <c r="O813" s="189" t="str">
        <f>IF(ISNUMBER(deployment_raw[[#This Row],[Column15]]), deployment_raw[[#This Row],[Column15]]/1048576,"")</f>
        <v/>
      </c>
      <c r="P813" s="190" t="str">
        <f>IF(ISNUMBER(deployment_raw[[#This Row],[Column12]]), (deployment_raw[[#This Row],[Column12]] * deployment_raw[[#This Row],[Column5]]),"")</f>
        <v/>
      </c>
      <c r="Q813" s="189" t="str">
        <f>IF(ISNUMBER(deployment_raw[[#This Row],[Column13]]), (deployment_raw[[#This Row],[Column13]] * deployment_raw[[#This Row],[Column5]])/1048576,"")</f>
        <v/>
      </c>
    </row>
    <row r="814" spans="1:17" ht="15.75" customHeight="1" x14ac:dyDescent="0.25">
      <c r="A814" s="37" t="str">
        <f>IF(ISNONTEXT(deployment_raw[[#This Row],[Column1]]), "", deployment_raw[[#This Row],[Column1]])</f>
        <v/>
      </c>
      <c r="B814" s="38" t="str">
        <f>IF(ISNONTEXT(deployment_raw[[#This Row],[Column2]]), "", deployment_raw[[#This Row],[Column2]])</f>
        <v/>
      </c>
      <c r="C814" s="38" t="str">
        <f>IF(ISNONTEXT(deployment_raw[[#This Row],[Column3]]), "", deployment_raw[[#This Row],[Column3]])</f>
        <v/>
      </c>
      <c r="D814" s="38" t="str">
        <f>IF(ISNONTEXT(deployment_raw[[#This Row],[Column4]]), "", deployment_raw[[#This Row],[Column4]])</f>
        <v/>
      </c>
      <c r="E814" s="39" t="str">
        <f>IF(ISNUMBER(deployment_raw[[#This Row],[Column5]]), deployment_raw[[#This Row],[Column5]],"")</f>
        <v/>
      </c>
      <c r="F814" s="174" t="str">
        <f>IF(ISNUMBER(deployment_raw[[#This Row],[Column6]]), (deployment_raw[[#This Row],[Column6]] * deployment_raw[[#This Row],[Column5]]),"")</f>
        <v/>
      </c>
      <c r="G814" s="175" t="str">
        <f>IF(ISNUMBER(deployment_raw[[#This Row],[Column7]]), (deployment_raw[[#This Row],[Column7]] * deployment_raw[[#This Row],[Column5]])/1048576,"")</f>
        <v/>
      </c>
      <c r="H814" s="175" t="str">
        <f>IF(ISNUMBER(deployment_raw[[#This Row],[Column8]]), (deployment_raw[[#This Row],[Column8]]  * deployment_raw[[#This Row],[Column5]]),"")</f>
        <v/>
      </c>
      <c r="I814" s="176" t="str">
        <f>IF(ISNUMBER(deployment_raw[[#This Row],[Column9]]), (deployment_raw[[#This Row],[Column9]] * deployment_raw[[#This Row],[Column5]])/1048576,"")</f>
        <v/>
      </c>
      <c r="J814" s="57" t="str">
        <f>IF(ISNUMBER(deployment_raw[[#This Row],[Column10]]), (deployment_raw[[#This Row],[Column10]] * deployment_raw[[#This Row],[Column5]]),"")</f>
        <v/>
      </c>
      <c r="K814" s="58" t="str">
        <f>IF(ISNUMBER(deployment_raw[[#This Row],[Column11]]), (deployment_raw[[#This Row],[Column11]] * deployment_raw[[#This Row],[Column5]])/1048576,"")</f>
        <v/>
      </c>
      <c r="L814" s="180" t="str">
        <f>IF(ISNUMBER(deployment_raw[[#This Row],[Column8]]),IF(deployment_raw[[#This Row],[Column5]] &lt;&gt; 0, MAX((deployment_raw[[#This Row],[Column12]] * deployment_raw[[#This Row],[Column5]]), ((deployment_raw[[#This Row],[Column8]] * deployment_raw[[#This Row],[Column5]]) * $L$2), ($H$2 * deployment_raw[[#This Row],[Column5]])), 0),"")</f>
        <v/>
      </c>
      <c r="M81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14" s="188" t="str">
        <f>IF(ISNUMBER(deployment_raw[[#This Row],[Column14]]), deployment_raw[[#This Row],[Column14]],"")</f>
        <v/>
      </c>
      <c r="O814" s="189" t="str">
        <f>IF(ISNUMBER(deployment_raw[[#This Row],[Column15]]), deployment_raw[[#This Row],[Column15]]/1048576,"")</f>
        <v/>
      </c>
      <c r="P814" s="190" t="str">
        <f>IF(ISNUMBER(deployment_raw[[#This Row],[Column12]]), (deployment_raw[[#This Row],[Column12]] * deployment_raw[[#This Row],[Column5]]),"")</f>
        <v/>
      </c>
      <c r="Q814" s="189" t="str">
        <f>IF(ISNUMBER(deployment_raw[[#This Row],[Column13]]), (deployment_raw[[#This Row],[Column13]] * deployment_raw[[#This Row],[Column5]])/1048576,"")</f>
        <v/>
      </c>
    </row>
    <row r="815" spans="1:17" ht="15.75" customHeight="1" x14ac:dyDescent="0.25">
      <c r="A815" s="37" t="str">
        <f>IF(ISNONTEXT(deployment_raw[[#This Row],[Column1]]), "", deployment_raw[[#This Row],[Column1]])</f>
        <v/>
      </c>
      <c r="B815" s="38" t="str">
        <f>IF(ISNONTEXT(deployment_raw[[#This Row],[Column2]]), "", deployment_raw[[#This Row],[Column2]])</f>
        <v/>
      </c>
      <c r="C815" s="38" t="str">
        <f>IF(ISNONTEXT(deployment_raw[[#This Row],[Column3]]), "", deployment_raw[[#This Row],[Column3]])</f>
        <v/>
      </c>
      <c r="D815" s="38" t="str">
        <f>IF(ISNONTEXT(deployment_raw[[#This Row],[Column4]]), "", deployment_raw[[#This Row],[Column4]])</f>
        <v/>
      </c>
      <c r="E815" s="39" t="str">
        <f>IF(ISNUMBER(deployment_raw[[#This Row],[Column5]]), deployment_raw[[#This Row],[Column5]],"")</f>
        <v/>
      </c>
      <c r="F815" s="174" t="str">
        <f>IF(ISNUMBER(deployment_raw[[#This Row],[Column6]]), (deployment_raw[[#This Row],[Column6]] * deployment_raw[[#This Row],[Column5]]),"")</f>
        <v/>
      </c>
      <c r="G815" s="175" t="str">
        <f>IF(ISNUMBER(deployment_raw[[#This Row],[Column7]]), (deployment_raw[[#This Row],[Column7]] * deployment_raw[[#This Row],[Column5]])/1048576,"")</f>
        <v/>
      </c>
      <c r="H815" s="175" t="str">
        <f>IF(ISNUMBER(deployment_raw[[#This Row],[Column8]]), (deployment_raw[[#This Row],[Column8]]  * deployment_raw[[#This Row],[Column5]]),"")</f>
        <v/>
      </c>
      <c r="I815" s="176" t="str">
        <f>IF(ISNUMBER(deployment_raw[[#This Row],[Column9]]), (deployment_raw[[#This Row],[Column9]] * deployment_raw[[#This Row],[Column5]])/1048576,"")</f>
        <v/>
      </c>
      <c r="J815" s="57" t="str">
        <f>IF(ISNUMBER(deployment_raw[[#This Row],[Column10]]), (deployment_raw[[#This Row],[Column10]] * deployment_raw[[#This Row],[Column5]]),"")</f>
        <v/>
      </c>
      <c r="K815" s="58" t="str">
        <f>IF(ISNUMBER(deployment_raw[[#This Row],[Column11]]), (deployment_raw[[#This Row],[Column11]] * deployment_raw[[#This Row],[Column5]])/1048576,"")</f>
        <v/>
      </c>
      <c r="L815" s="180" t="str">
        <f>IF(ISNUMBER(deployment_raw[[#This Row],[Column8]]),IF(deployment_raw[[#This Row],[Column5]] &lt;&gt; 0, MAX((deployment_raw[[#This Row],[Column12]] * deployment_raw[[#This Row],[Column5]]), ((deployment_raw[[#This Row],[Column8]] * deployment_raw[[#This Row],[Column5]]) * $L$2), ($H$2 * deployment_raw[[#This Row],[Column5]])), 0),"")</f>
        <v/>
      </c>
      <c r="M81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15" s="188" t="str">
        <f>IF(ISNUMBER(deployment_raw[[#This Row],[Column14]]), deployment_raw[[#This Row],[Column14]],"")</f>
        <v/>
      </c>
      <c r="O815" s="189" t="str">
        <f>IF(ISNUMBER(deployment_raw[[#This Row],[Column15]]), deployment_raw[[#This Row],[Column15]]/1048576,"")</f>
        <v/>
      </c>
      <c r="P815" s="190" t="str">
        <f>IF(ISNUMBER(deployment_raw[[#This Row],[Column12]]), (deployment_raw[[#This Row],[Column12]] * deployment_raw[[#This Row],[Column5]]),"")</f>
        <v/>
      </c>
      <c r="Q815" s="189" t="str">
        <f>IF(ISNUMBER(deployment_raw[[#This Row],[Column13]]), (deployment_raw[[#This Row],[Column13]] * deployment_raw[[#This Row],[Column5]])/1048576,"")</f>
        <v/>
      </c>
    </row>
    <row r="816" spans="1:17" ht="15.75" customHeight="1" x14ac:dyDescent="0.25">
      <c r="A816" s="37" t="str">
        <f>IF(ISNONTEXT(deployment_raw[[#This Row],[Column1]]), "", deployment_raw[[#This Row],[Column1]])</f>
        <v/>
      </c>
      <c r="B816" s="38" t="str">
        <f>IF(ISNONTEXT(deployment_raw[[#This Row],[Column2]]), "", deployment_raw[[#This Row],[Column2]])</f>
        <v/>
      </c>
      <c r="C816" s="38" t="str">
        <f>IF(ISNONTEXT(deployment_raw[[#This Row],[Column3]]), "", deployment_raw[[#This Row],[Column3]])</f>
        <v/>
      </c>
      <c r="D816" s="38" t="str">
        <f>IF(ISNONTEXT(deployment_raw[[#This Row],[Column4]]), "", deployment_raw[[#This Row],[Column4]])</f>
        <v/>
      </c>
      <c r="E816" s="39" t="str">
        <f>IF(ISNUMBER(deployment_raw[[#This Row],[Column5]]), deployment_raw[[#This Row],[Column5]],"")</f>
        <v/>
      </c>
      <c r="F816" s="174" t="str">
        <f>IF(ISNUMBER(deployment_raw[[#This Row],[Column6]]), (deployment_raw[[#This Row],[Column6]] * deployment_raw[[#This Row],[Column5]]),"")</f>
        <v/>
      </c>
      <c r="G816" s="175" t="str">
        <f>IF(ISNUMBER(deployment_raw[[#This Row],[Column7]]), (deployment_raw[[#This Row],[Column7]] * deployment_raw[[#This Row],[Column5]])/1048576,"")</f>
        <v/>
      </c>
      <c r="H816" s="175" t="str">
        <f>IF(ISNUMBER(deployment_raw[[#This Row],[Column8]]), (deployment_raw[[#This Row],[Column8]]  * deployment_raw[[#This Row],[Column5]]),"")</f>
        <v/>
      </c>
      <c r="I816" s="176" t="str">
        <f>IF(ISNUMBER(deployment_raw[[#This Row],[Column9]]), (deployment_raw[[#This Row],[Column9]] * deployment_raw[[#This Row],[Column5]])/1048576,"")</f>
        <v/>
      </c>
      <c r="J816" s="57" t="str">
        <f>IF(ISNUMBER(deployment_raw[[#This Row],[Column10]]), (deployment_raw[[#This Row],[Column10]] * deployment_raw[[#This Row],[Column5]]),"")</f>
        <v/>
      </c>
      <c r="K816" s="58" t="str">
        <f>IF(ISNUMBER(deployment_raw[[#This Row],[Column11]]), (deployment_raw[[#This Row],[Column11]] * deployment_raw[[#This Row],[Column5]])/1048576,"")</f>
        <v/>
      </c>
      <c r="L816" s="180" t="str">
        <f>IF(ISNUMBER(deployment_raw[[#This Row],[Column8]]),IF(deployment_raw[[#This Row],[Column5]] &lt;&gt; 0, MAX((deployment_raw[[#This Row],[Column12]] * deployment_raw[[#This Row],[Column5]]), ((deployment_raw[[#This Row],[Column8]] * deployment_raw[[#This Row],[Column5]]) * $L$2), ($H$2 * deployment_raw[[#This Row],[Column5]])), 0),"")</f>
        <v/>
      </c>
      <c r="M81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16" s="188" t="str">
        <f>IF(ISNUMBER(deployment_raw[[#This Row],[Column14]]), deployment_raw[[#This Row],[Column14]],"")</f>
        <v/>
      </c>
      <c r="O816" s="189" t="str">
        <f>IF(ISNUMBER(deployment_raw[[#This Row],[Column15]]), deployment_raw[[#This Row],[Column15]]/1048576,"")</f>
        <v/>
      </c>
      <c r="P816" s="190" t="str">
        <f>IF(ISNUMBER(deployment_raw[[#This Row],[Column12]]), (deployment_raw[[#This Row],[Column12]] * deployment_raw[[#This Row],[Column5]]),"")</f>
        <v/>
      </c>
      <c r="Q816" s="189" t="str">
        <f>IF(ISNUMBER(deployment_raw[[#This Row],[Column13]]), (deployment_raw[[#This Row],[Column13]] * deployment_raw[[#This Row],[Column5]])/1048576,"")</f>
        <v/>
      </c>
    </row>
    <row r="817" spans="1:17" ht="15.75" customHeight="1" x14ac:dyDescent="0.25">
      <c r="A817" s="37" t="str">
        <f>IF(ISNONTEXT(deployment_raw[[#This Row],[Column1]]), "", deployment_raw[[#This Row],[Column1]])</f>
        <v/>
      </c>
      <c r="B817" s="38" t="str">
        <f>IF(ISNONTEXT(deployment_raw[[#This Row],[Column2]]), "", deployment_raw[[#This Row],[Column2]])</f>
        <v/>
      </c>
      <c r="C817" s="38" t="str">
        <f>IF(ISNONTEXT(deployment_raw[[#This Row],[Column3]]), "", deployment_raw[[#This Row],[Column3]])</f>
        <v/>
      </c>
      <c r="D817" s="38" t="str">
        <f>IF(ISNONTEXT(deployment_raw[[#This Row],[Column4]]), "", deployment_raw[[#This Row],[Column4]])</f>
        <v/>
      </c>
      <c r="E817" s="39" t="str">
        <f>IF(ISNUMBER(deployment_raw[[#This Row],[Column5]]), deployment_raw[[#This Row],[Column5]],"")</f>
        <v/>
      </c>
      <c r="F817" s="174" t="str">
        <f>IF(ISNUMBER(deployment_raw[[#This Row],[Column6]]), (deployment_raw[[#This Row],[Column6]] * deployment_raw[[#This Row],[Column5]]),"")</f>
        <v/>
      </c>
      <c r="G817" s="175" t="str">
        <f>IF(ISNUMBER(deployment_raw[[#This Row],[Column7]]), (deployment_raw[[#This Row],[Column7]] * deployment_raw[[#This Row],[Column5]])/1048576,"")</f>
        <v/>
      </c>
      <c r="H817" s="175" t="str">
        <f>IF(ISNUMBER(deployment_raw[[#This Row],[Column8]]), (deployment_raw[[#This Row],[Column8]]  * deployment_raw[[#This Row],[Column5]]),"")</f>
        <v/>
      </c>
      <c r="I817" s="176" t="str">
        <f>IF(ISNUMBER(deployment_raw[[#This Row],[Column9]]), (deployment_raw[[#This Row],[Column9]] * deployment_raw[[#This Row],[Column5]])/1048576,"")</f>
        <v/>
      </c>
      <c r="J817" s="57" t="str">
        <f>IF(ISNUMBER(deployment_raw[[#This Row],[Column10]]), (deployment_raw[[#This Row],[Column10]] * deployment_raw[[#This Row],[Column5]]),"")</f>
        <v/>
      </c>
      <c r="K817" s="58" t="str">
        <f>IF(ISNUMBER(deployment_raw[[#This Row],[Column11]]), (deployment_raw[[#This Row],[Column11]] * deployment_raw[[#This Row],[Column5]])/1048576,"")</f>
        <v/>
      </c>
      <c r="L817" s="180" t="str">
        <f>IF(ISNUMBER(deployment_raw[[#This Row],[Column8]]),IF(deployment_raw[[#This Row],[Column5]] &lt;&gt; 0, MAX((deployment_raw[[#This Row],[Column12]] * deployment_raw[[#This Row],[Column5]]), ((deployment_raw[[#This Row],[Column8]] * deployment_raw[[#This Row],[Column5]]) * $L$2), ($H$2 * deployment_raw[[#This Row],[Column5]])), 0),"")</f>
        <v/>
      </c>
      <c r="M81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17" s="188" t="str">
        <f>IF(ISNUMBER(deployment_raw[[#This Row],[Column14]]), deployment_raw[[#This Row],[Column14]],"")</f>
        <v/>
      </c>
      <c r="O817" s="189" t="str">
        <f>IF(ISNUMBER(deployment_raw[[#This Row],[Column15]]), deployment_raw[[#This Row],[Column15]]/1048576,"")</f>
        <v/>
      </c>
      <c r="P817" s="190" t="str">
        <f>IF(ISNUMBER(deployment_raw[[#This Row],[Column12]]), (deployment_raw[[#This Row],[Column12]] * deployment_raw[[#This Row],[Column5]]),"")</f>
        <v/>
      </c>
      <c r="Q817" s="189" t="str">
        <f>IF(ISNUMBER(deployment_raw[[#This Row],[Column13]]), (deployment_raw[[#This Row],[Column13]] * deployment_raw[[#This Row],[Column5]])/1048576,"")</f>
        <v/>
      </c>
    </row>
    <row r="818" spans="1:17" ht="15.75" customHeight="1" x14ac:dyDescent="0.25">
      <c r="A818" s="37" t="str">
        <f>IF(ISNONTEXT(deployment_raw[[#This Row],[Column1]]), "", deployment_raw[[#This Row],[Column1]])</f>
        <v/>
      </c>
      <c r="B818" s="38" t="str">
        <f>IF(ISNONTEXT(deployment_raw[[#This Row],[Column2]]), "", deployment_raw[[#This Row],[Column2]])</f>
        <v/>
      </c>
      <c r="C818" s="38" t="str">
        <f>IF(ISNONTEXT(deployment_raw[[#This Row],[Column3]]), "", deployment_raw[[#This Row],[Column3]])</f>
        <v/>
      </c>
      <c r="D818" s="38" t="str">
        <f>IF(ISNONTEXT(deployment_raw[[#This Row],[Column4]]), "", deployment_raw[[#This Row],[Column4]])</f>
        <v/>
      </c>
      <c r="E818" s="39" t="str">
        <f>IF(ISNUMBER(deployment_raw[[#This Row],[Column5]]), deployment_raw[[#This Row],[Column5]],"")</f>
        <v/>
      </c>
      <c r="F818" s="174" t="str">
        <f>IF(ISNUMBER(deployment_raw[[#This Row],[Column6]]), (deployment_raw[[#This Row],[Column6]] * deployment_raw[[#This Row],[Column5]]),"")</f>
        <v/>
      </c>
      <c r="G818" s="175" t="str">
        <f>IF(ISNUMBER(deployment_raw[[#This Row],[Column7]]), (deployment_raw[[#This Row],[Column7]] * deployment_raw[[#This Row],[Column5]])/1048576,"")</f>
        <v/>
      </c>
      <c r="H818" s="175" t="str">
        <f>IF(ISNUMBER(deployment_raw[[#This Row],[Column8]]), (deployment_raw[[#This Row],[Column8]]  * deployment_raw[[#This Row],[Column5]]),"")</f>
        <v/>
      </c>
      <c r="I818" s="176" t="str">
        <f>IF(ISNUMBER(deployment_raw[[#This Row],[Column9]]), (deployment_raw[[#This Row],[Column9]] * deployment_raw[[#This Row],[Column5]])/1048576,"")</f>
        <v/>
      </c>
      <c r="J818" s="57" t="str">
        <f>IF(ISNUMBER(deployment_raw[[#This Row],[Column10]]), (deployment_raw[[#This Row],[Column10]] * deployment_raw[[#This Row],[Column5]]),"")</f>
        <v/>
      </c>
      <c r="K818" s="58" t="str">
        <f>IF(ISNUMBER(deployment_raw[[#This Row],[Column11]]), (deployment_raw[[#This Row],[Column11]] * deployment_raw[[#This Row],[Column5]])/1048576,"")</f>
        <v/>
      </c>
      <c r="L818" s="180" t="str">
        <f>IF(ISNUMBER(deployment_raw[[#This Row],[Column8]]),IF(deployment_raw[[#This Row],[Column5]] &lt;&gt; 0, MAX((deployment_raw[[#This Row],[Column12]] * deployment_raw[[#This Row],[Column5]]), ((deployment_raw[[#This Row],[Column8]] * deployment_raw[[#This Row],[Column5]]) * $L$2), ($H$2 * deployment_raw[[#This Row],[Column5]])), 0),"")</f>
        <v/>
      </c>
      <c r="M81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18" s="188" t="str">
        <f>IF(ISNUMBER(deployment_raw[[#This Row],[Column14]]), deployment_raw[[#This Row],[Column14]],"")</f>
        <v/>
      </c>
      <c r="O818" s="189" t="str">
        <f>IF(ISNUMBER(deployment_raw[[#This Row],[Column15]]), deployment_raw[[#This Row],[Column15]]/1048576,"")</f>
        <v/>
      </c>
      <c r="P818" s="190" t="str">
        <f>IF(ISNUMBER(deployment_raw[[#This Row],[Column12]]), (deployment_raw[[#This Row],[Column12]] * deployment_raw[[#This Row],[Column5]]),"")</f>
        <v/>
      </c>
      <c r="Q818" s="189" t="str">
        <f>IF(ISNUMBER(deployment_raw[[#This Row],[Column13]]), (deployment_raw[[#This Row],[Column13]] * deployment_raw[[#This Row],[Column5]])/1048576,"")</f>
        <v/>
      </c>
    </row>
    <row r="819" spans="1:17" ht="15.75" customHeight="1" x14ac:dyDescent="0.25">
      <c r="A819" s="37" t="str">
        <f>IF(ISNONTEXT(deployment_raw[[#This Row],[Column1]]), "", deployment_raw[[#This Row],[Column1]])</f>
        <v/>
      </c>
      <c r="B819" s="38" t="str">
        <f>IF(ISNONTEXT(deployment_raw[[#This Row],[Column2]]), "", deployment_raw[[#This Row],[Column2]])</f>
        <v/>
      </c>
      <c r="C819" s="38" t="str">
        <f>IF(ISNONTEXT(deployment_raw[[#This Row],[Column3]]), "", deployment_raw[[#This Row],[Column3]])</f>
        <v/>
      </c>
      <c r="D819" s="38" t="str">
        <f>IF(ISNONTEXT(deployment_raw[[#This Row],[Column4]]), "", deployment_raw[[#This Row],[Column4]])</f>
        <v/>
      </c>
      <c r="E819" s="39" t="str">
        <f>IF(ISNUMBER(deployment_raw[[#This Row],[Column5]]), deployment_raw[[#This Row],[Column5]],"")</f>
        <v/>
      </c>
      <c r="F819" s="174" t="str">
        <f>IF(ISNUMBER(deployment_raw[[#This Row],[Column6]]), (deployment_raw[[#This Row],[Column6]] * deployment_raw[[#This Row],[Column5]]),"")</f>
        <v/>
      </c>
      <c r="G819" s="175" t="str">
        <f>IF(ISNUMBER(deployment_raw[[#This Row],[Column7]]), (deployment_raw[[#This Row],[Column7]] * deployment_raw[[#This Row],[Column5]])/1048576,"")</f>
        <v/>
      </c>
      <c r="H819" s="175" t="str">
        <f>IF(ISNUMBER(deployment_raw[[#This Row],[Column8]]), (deployment_raw[[#This Row],[Column8]]  * deployment_raw[[#This Row],[Column5]]),"")</f>
        <v/>
      </c>
      <c r="I819" s="176" t="str">
        <f>IF(ISNUMBER(deployment_raw[[#This Row],[Column9]]), (deployment_raw[[#This Row],[Column9]] * deployment_raw[[#This Row],[Column5]])/1048576,"")</f>
        <v/>
      </c>
      <c r="J819" s="57" t="str">
        <f>IF(ISNUMBER(deployment_raw[[#This Row],[Column10]]), (deployment_raw[[#This Row],[Column10]] * deployment_raw[[#This Row],[Column5]]),"")</f>
        <v/>
      </c>
      <c r="K819" s="58" t="str">
        <f>IF(ISNUMBER(deployment_raw[[#This Row],[Column11]]), (deployment_raw[[#This Row],[Column11]] * deployment_raw[[#This Row],[Column5]])/1048576,"")</f>
        <v/>
      </c>
      <c r="L819" s="180" t="str">
        <f>IF(ISNUMBER(deployment_raw[[#This Row],[Column8]]),IF(deployment_raw[[#This Row],[Column5]] &lt;&gt; 0, MAX((deployment_raw[[#This Row],[Column12]] * deployment_raw[[#This Row],[Column5]]), ((deployment_raw[[#This Row],[Column8]] * deployment_raw[[#This Row],[Column5]]) * $L$2), ($H$2 * deployment_raw[[#This Row],[Column5]])), 0),"")</f>
        <v/>
      </c>
      <c r="M81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19" s="188" t="str">
        <f>IF(ISNUMBER(deployment_raw[[#This Row],[Column14]]), deployment_raw[[#This Row],[Column14]],"")</f>
        <v/>
      </c>
      <c r="O819" s="189" t="str">
        <f>IF(ISNUMBER(deployment_raw[[#This Row],[Column15]]), deployment_raw[[#This Row],[Column15]]/1048576,"")</f>
        <v/>
      </c>
      <c r="P819" s="190" t="str">
        <f>IF(ISNUMBER(deployment_raw[[#This Row],[Column12]]), (deployment_raw[[#This Row],[Column12]] * deployment_raw[[#This Row],[Column5]]),"")</f>
        <v/>
      </c>
      <c r="Q819" s="189" t="str">
        <f>IF(ISNUMBER(deployment_raw[[#This Row],[Column13]]), (deployment_raw[[#This Row],[Column13]] * deployment_raw[[#This Row],[Column5]])/1048576,"")</f>
        <v/>
      </c>
    </row>
    <row r="820" spans="1:17" ht="15.75" customHeight="1" x14ac:dyDescent="0.25">
      <c r="A820" s="37" t="str">
        <f>IF(ISNONTEXT(deployment_raw[[#This Row],[Column1]]), "", deployment_raw[[#This Row],[Column1]])</f>
        <v/>
      </c>
      <c r="B820" s="38" t="str">
        <f>IF(ISNONTEXT(deployment_raw[[#This Row],[Column2]]), "", deployment_raw[[#This Row],[Column2]])</f>
        <v/>
      </c>
      <c r="C820" s="38" t="str">
        <f>IF(ISNONTEXT(deployment_raw[[#This Row],[Column3]]), "", deployment_raw[[#This Row],[Column3]])</f>
        <v/>
      </c>
      <c r="D820" s="38" t="str">
        <f>IF(ISNONTEXT(deployment_raw[[#This Row],[Column4]]), "", deployment_raw[[#This Row],[Column4]])</f>
        <v/>
      </c>
      <c r="E820" s="39" t="str">
        <f>IF(ISNUMBER(deployment_raw[[#This Row],[Column5]]), deployment_raw[[#This Row],[Column5]],"")</f>
        <v/>
      </c>
      <c r="F820" s="174" t="str">
        <f>IF(ISNUMBER(deployment_raw[[#This Row],[Column6]]), (deployment_raw[[#This Row],[Column6]] * deployment_raw[[#This Row],[Column5]]),"")</f>
        <v/>
      </c>
      <c r="G820" s="175" t="str">
        <f>IF(ISNUMBER(deployment_raw[[#This Row],[Column7]]), (deployment_raw[[#This Row],[Column7]] * deployment_raw[[#This Row],[Column5]])/1048576,"")</f>
        <v/>
      </c>
      <c r="H820" s="175" t="str">
        <f>IF(ISNUMBER(deployment_raw[[#This Row],[Column8]]), (deployment_raw[[#This Row],[Column8]]  * deployment_raw[[#This Row],[Column5]]),"")</f>
        <v/>
      </c>
      <c r="I820" s="176" t="str">
        <f>IF(ISNUMBER(deployment_raw[[#This Row],[Column9]]), (deployment_raw[[#This Row],[Column9]] * deployment_raw[[#This Row],[Column5]])/1048576,"")</f>
        <v/>
      </c>
      <c r="J820" s="57" t="str">
        <f>IF(ISNUMBER(deployment_raw[[#This Row],[Column10]]), (deployment_raw[[#This Row],[Column10]] * deployment_raw[[#This Row],[Column5]]),"")</f>
        <v/>
      </c>
      <c r="K820" s="58" t="str">
        <f>IF(ISNUMBER(deployment_raw[[#This Row],[Column11]]), (deployment_raw[[#This Row],[Column11]] * deployment_raw[[#This Row],[Column5]])/1048576,"")</f>
        <v/>
      </c>
      <c r="L820" s="180" t="str">
        <f>IF(ISNUMBER(deployment_raw[[#This Row],[Column8]]),IF(deployment_raw[[#This Row],[Column5]] &lt;&gt; 0, MAX((deployment_raw[[#This Row],[Column12]] * deployment_raw[[#This Row],[Column5]]), ((deployment_raw[[#This Row],[Column8]] * deployment_raw[[#This Row],[Column5]]) * $L$2), ($H$2 * deployment_raw[[#This Row],[Column5]])), 0),"")</f>
        <v/>
      </c>
      <c r="M82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20" s="188" t="str">
        <f>IF(ISNUMBER(deployment_raw[[#This Row],[Column14]]), deployment_raw[[#This Row],[Column14]],"")</f>
        <v/>
      </c>
      <c r="O820" s="189" t="str">
        <f>IF(ISNUMBER(deployment_raw[[#This Row],[Column15]]), deployment_raw[[#This Row],[Column15]]/1048576,"")</f>
        <v/>
      </c>
      <c r="P820" s="190" t="str">
        <f>IF(ISNUMBER(deployment_raw[[#This Row],[Column12]]), (deployment_raw[[#This Row],[Column12]] * deployment_raw[[#This Row],[Column5]]),"")</f>
        <v/>
      </c>
      <c r="Q820" s="189" t="str">
        <f>IF(ISNUMBER(deployment_raw[[#This Row],[Column13]]), (deployment_raw[[#This Row],[Column13]] * deployment_raw[[#This Row],[Column5]])/1048576,"")</f>
        <v/>
      </c>
    </row>
    <row r="821" spans="1:17" ht="15.75" customHeight="1" x14ac:dyDescent="0.25">
      <c r="A821" s="37" t="str">
        <f>IF(ISNONTEXT(deployment_raw[[#This Row],[Column1]]), "", deployment_raw[[#This Row],[Column1]])</f>
        <v/>
      </c>
      <c r="B821" s="38" t="str">
        <f>IF(ISNONTEXT(deployment_raw[[#This Row],[Column2]]), "", deployment_raw[[#This Row],[Column2]])</f>
        <v/>
      </c>
      <c r="C821" s="38" t="str">
        <f>IF(ISNONTEXT(deployment_raw[[#This Row],[Column3]]), "", deployment_raw[[#This Row],[Column3]])</f>
        <v/>
      </c>
      <c r="D821" s="38" t="str">
        <f>IF(ISNONTEXT(deployment_raw[[#This Row],[Column4]]), "", deployment_raw[[#This Row],[Column4]])</f>
        <v/>
      </c>
      <c r="E821" s="39" t="str">
        <f>IF(ISNUMBER(deployment_raw[[#This Row],[Column5]]), deployment_raw[[#This Row],[Column5]],"")</f>
        <v/>
      </c>
      <c r="F821" s="174" t="str">
        <f>IF(ISNUMBER(deployment_raw[[#This Row],[Column6]]), (deployment_raw[[#This Row],[Column6]] * deployment_raw[[#This Row],[Column5]]),"")</f>
        <v/>
      </c>
      <c r="G821" s="175" t="str">
        <f>IF(ISNUMBER(deployment_raw[[#This Row],[Column7]]), (deployment_raw[[#This Row],[Column7]] * deployment_raw[[#This Row],[Column5]])/1048576,"")</f>
        <v/>
      </c>
      <c r="H821" s="175" t="str">
        <f>IF(ISNUMBER(deployment_raw[[#This Row],[Column8]]), (deployment_raw[[#This Row],[Column8]]  * deployment_raw[[#This Row],[Column5]]),"")</f>
        <v/>
      </c>
      <c r="I821" s="176" t="str">
        <f>IF(ISNUMBER(deployment_raw[[#This Row],[Column9]]), (deployment_raw[[#This Row],[Column9]] * deployment_raw[[#This Row],[Column5]])/1048576,"")</f>
        <v/>
      </c>
      <c r="J821" s="57" t="str">
        <f>IF(ISNUMBER(deployment_raw[[#This Row],[Column10]]), (deployment_raw[[#This Row],[Column10]] * deployment_raw[[#This Row],[Column5]]),"")</f>
        <v/>
      </c>
      <c r="K821" s="58" t="str">
        <f>IF(ISNUMBER(deployment_raw[[#This Row],[Column11]]), (deployment_raw[[#This Row],[Column11]] * deployment_raw[[#This Row],[Column5]])/1048576,"")</f>
        <v/>
      </c>
      <c r="L821" s="180" t="str">
        <f>IF(ISNUMBER(deployment_raw[[#This Row],[Column8]]),IF(deployment_raw[[#This Row],[Column5]] &lt;&gt; 0, MAX((deployment_raw[[#This Row],[Column12]] * deployment_raw[[#This Row],[Column5]]), ((deployment_raw[[#This Row],[Column8]] * deployment_raw[[#This Row],[Column5]]) * $L$2), ($H$2 * deployment_raw[[#This Row],[Column5]])), 0),"")</f>
        <v/>
      </c>
      <c r="M82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21" s="188" t="str">
        <f>IF(ISNUMBER(deployment_raw[[#This Row],[Column14]]), deployment_raw[[#This Row],[Column14]],"")</f>
        <v/>
      </c>
      <c r="O821" s="189" t="str">
        <f>IF(ISNUMBER(deployment_raw[[#This Row],[Column15]]), deployment_raw[[#This Row],[Column15]]/1048576,"")</f>
        <v/>
      </c>
      <c r="P821" s="190" t="str">
        <f>IF(ISNUMBER(deployment_raw[[#This Row],[Column12]]), (deployment_raw[[#This Row],[Column12]] * deployment_raw[[#This Row],[Column5]]),"")</f>
        <v/>
      </c>
      <c r="Q821" s="189" t="str">
        <f>IF(ISNUMBER(deployment_raw[[#This Row],[Column13]]), (deployment_raw[[#This Row],[Column13]] * deployment_raw[[#This Row],[Column5]])/1048576,"")</f>
        <v/>
      </c>
    </row>
    <row r="822" spans="1:17" ht="15.75" customHeight="1" x14ac:dyDescent="0.25">
      <c r="A822" s="37" t="str">
        <f>IF(ISNONTEXT(deployment_raw[[#This Row],[Column1]]), "", deployment_raw[[#This Row],[Column1]])</f>
        <v/>
      </c>
      <c r="B822" s="38" t="str">
        <f>IF(ISNONTEXT(deployment_raw[[#This Row],[Column2]]), "", deployment_raw[[#This Row],[Column2]])</f>
        <v/>
      </c>
      <c r="C822" s="38" t="str">
        <f>IF(ISNONTEXT(deployment_raw[[#This Row],[Column3]]), "", deployment_raw[[#This Row],[Column3]])</f>
        <v/>
      </c>
      <c r="D822" s="38" t="str">
        <f>IF(ISNONTEXT(deployment_raw[[#This Row],[Column4]]), "", deployment_raw[[#This Row],[Column4]])</f>
        <v/>
      </c>
      <c r="E822" s="39" t="str">
        <f>IF(ISNUMBER(deployment_raw[[#This Row],[Column5]]), deployment_raw[[#This Row],[Column5]],"")</f>
        <v/>
      </c>
      <c r="F822" s="174" t="str">
        <f>IF(ISNUMBER(deployment_raw[[#This Row],[Column6]]), (deployment_raw[[#This Row],[Column6]] * deployment_raw[[#This Row],[Column5]]),"")</f>
        <v/>
      </c>
      <c r="G822" s="175" t="str">
        <f>IF(ISNUMBER(deployment_raw[[#This Row],[Column7]]), (deployment_raw[[#This Row],[Column7]] * deployment_raw[[#This Row],[Column5]])/1048576,"")</f>
        <v/>
      </c>
      <c r="H822" s="175" t="str">
        <f>IF(ISNUMBER(deployment_raw[[#This Row],[Column8]]), (deployment_raw[[#This Row],[Column8]]  * deployment_raw[[#This Row],[Column5]]),"")</f>
        <v/>
      </c>
      <c r="I822" s="176" t="str">
        <f>IF(ISNUMBER(deployment_raw[[#This Row],[Column9]]), (deployment_raw[[#This Row],[Column9]] * deployment_raw[[#This Row],[Column5]])/1048576,"")</f>
        <v/>
      </c>
      <c r="J822" s="57" t="str">
        <f>IF(ISNUMBER(deployment_raw[[#This Row],[Column10]]), (deployment_raw[[#This Row],[Column10]] * deployment_raw[[#This Row],[Column5]]),"")</f>
        <v/>
      </c>
      <c r="K822" s="58" t="str">
        <f>IF(ISNUMBER(deployment_raw[[#This Row],[Column11]]), (deployment_raw[[#This Row],[Column11]] * deployment_raw[[#This Row],[Column5]])/1048576,"")</f>
        <v/>
      </c>
      <c r="L822" s="180" t="str">
        <f>IF(ISNUMBER(deployment_raw[[#This Row],[Column8]]),IF(deployment_raw[[#This Row],[Column5]] &lt;&gt; 0, MAX((deployment_raw[[#This Row],[Column12]] * deployment_raw[[#This Row],[Column5]]), ((deployment_raw[[#This Row],[Column8]] * deployment_raw[[#This Row],[Column5]]) * $L$2), ($H$2 * deployment_raw[[#This Row],[Column5]])), 0),"")</f>
        <v/>
      </c>
      <c r="M82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22" s="188" t="str">
        <f>IF(ISNUMBER(deployment_raw[[#This Row],[Column14]]), deployment_raw[[#This Row],[Column14]],"")</f>
        <v/>
      </c>
      <c r="O822" s="189" t="str">
        <f>IF(ISNUMBER(deployment_raw[[#This Row],[Column15]]), deployment_raw[[#This Row],[Column15]]/1048576,"")</f>
        <v/>
      </c>
      <c r="P822" s="190" t="str">
        <f>IF(ISNUMBER(deployment_raw[[#This Row],[Column12]]), (deployment_raw[[#This Row],[Column12]] * deployment_raw[[#This Row],[Column5]]),"")</f>
        <v/>
      </c>
      <c r="Q822" s="189" t="str">
        <f>IF(ISNUMBER(deployment_raw[[#This Row],[Column13]]), (deployment_raw[[#This Row],[Column13]] * deployment_raw[[#This Row],[Column5]])/1048576,"")</f>
        <v/>
      </c>
    </row>
    <row r="823" spans="1:17" ht="15.75" customHeight="1" x14ac:dyDescent="0.25">
      <c r="A823" s="37" t="str">
        <f>IF(ISNONTEXT(deployment_raw[[#This Row],[Column1]]), "", deployment_raw[[#This Row],[Column1]])</f>
        <v/>
      </c>
      <c r="B823" s="38" t="str">
        <f>IF(ISNONTEXT(deployment_raw[[#This Row],[Column2]]), "", deployment_raw[[#This Row],[Column2]])</f>
        <v/>
      </c>
      <c r="C823" s="38" t="str">
        <f>IF(ISNONTEXT(deployment_raw[[#This Row],[Column3]]), "", deployment_raw[[#This Row],[Column3]])</f>
        <v/>
      </c>
      <c r="D823" s="38" t="str">
        <f>IF(ISNONTEXT(deployment_raw[[#This Row],[Column4]]), "", deployment_raw[[#This Row],[Column4]])</f>
        <v/>
      </c>
      <c r="E823" s="39" t="str">
        <f>IF(ISNUMBER(deployment_raw[[#This Row],[Column5]]), deployment_raw[[#This Row],[Column5]],"")</f>
        <v/>
      </c>
      <c r="F823" s="174" t="str">
        <f>IF(ISNUMBER(deployment_raw[[#This Row],[Column6]]), (deployment_raw[[#This Row],[Column6]] * deployment_raw[[#This Row],[Column5]]),"")</f>
        <v/>
      </c>
      <c r="G823" s="175" t="str">
        <f>IF(ISNUMBER(deployment_raw[[#This Row],[Column7]]), (deployment_raw[[#This Row],[Column7]] * deployment_raw[[#This Row],[Column5]])/1048576,"")</f>
        <v/>
      </c>
      <c r="H823" s="175" t="str">
        <f>IF(ISNUMBER(deployment_raw[[#This Row],[Column8]]), (deployment_raw[[#This Row],[Column8]]  * deployment_raw[[#This Row],[Column5]]),"")</f>
        <v/>
      </c>
      <c r="I823" s="176" t="str">
        <f>IF(ISNUMBER(deployment_raw[[#This Row],[Column9]]), (deployment_raw[[#This Row],[Column9]] * deployment_raw[[#This Row],[Column5]])/1048576,"")</f>
        <v/>
      </c>
      <c r="J823" s="57" t="str">
        <f>IF(ISNUMBER(deployment_raw[[#This Row],[Column10]]), (deployment_raw[[#This Row],[Column10]] * deployment_raw[[#This Row],[Column5]]),"")</f>
        <v/>
      </c>
      <c r="K823" s="58" t="str">
        <f>IF(ISNUMBER(deployment_raw[[#This Row],[Column11]]), (deployment_raw[[#This Row],[Column11]] * deployment_raw[[#This Row],[Column5]])/1048576,"")</f>
        <v/>
      </c>
      <c r="L823" s="180" t="str">
        <f>IF(ISNUMBER(deployment_raw[[#This Row],[Column8]]),IF(deployment_raw[[#This Row],[Column5]] &lt;&gt; 0, MAX((deployment_raw[[#This Row],[Column12]] * deployment_raw[[#This Row],[Column5]]), ((deployment_raw[[#This Row],[Column8]] * deployment_raw[[#This Row],[Column5]]) * $L$2), ($H$2 * deployment_raw[[#This Row],[Column5]])), 0),"")</f>
        <v/>
      </c>
      <c r="M82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23" s="188" t="str">
        <f>IF(ISNUMBER(deployment_raw[[#This Row],[Column14]]), deployment_raw[[#This Row],[Column14]],"")</f>
        <v/>
      </c>
      <c r="O823" s="189" t="str">
        <f>IF(ISNUMBER(deployment_raw[[#This Row],[Column15]]), deployment_raw[[#This Row],[Column15]]/1048576,"")</f>
        <v/>
      </c>
      <c r="P823" s="190" t="str">
        <f>IF(ISNUMBER(deployment_raw[[#This Row],[Column12]]), (deployment_raw[[#This Row],[Column12]] * deployment_raw[[#This Row],[Column5]]),"")</f>
        <v/>
      </c>
      <c r="Q823" s="189" t="str">
        <f>IF(ISNUMBER(deployment_raw[[#This Row],[Column13]]), (deployment_raw[[#This Row],[Column13]] * deployment_raw[[#This Row],[Column5]])/1048576,"")</f>
        <v/>
      </c>
    </row>
    <row r="824" spans="1:17" ht="15.75" customHeight="1" x14ac:dyDescent="0.25">
      <c r="A824" s="37" t="str">
        <f>IF(ISNONTEXT(deployment_raw[[#This Row],[Column1]]), "", deployment_raw[[#This Row],[Column1]])</f>
        <v/>
      </c>
      <c r="B824" s="38" t="str">
        <f>IF(ISNONTEXT(deployment_raw[[#This Row],[Column2]]), "", deployment_raw[[#This Row],[Column2]])</f>
        <v/>
      </c>
      <c r="C824" s="38" t="str">
        <f>IF(ISNONTEXT(deployment_raw[[#This Row],[Column3]]), "", deployment_raw[[#This Row],[Column3]])</f>
        <v/>
      </c>
      <c r="D824" s="38" t="str">
        <f>IF(ISNONTEXT(deployment_raw[[#This Row],[Column4]]), "", deployment_raw[[#This Row],[Column4]])</f>
        <v/>
      </c>
      <c r="E824" s="39" t="str">
        <f>IF(ISNUMBER(deployment_raw[[#This Row],[Column5]]), deployment_raw[[#This Row],[Column5]],"")</f>
        <v/>
      </c>
      <c r="F824" s="174" t="str">
        <f>IF(ISNUMBER(deployment_raw[[#This Row],[Column6]]), (deployment_raw[[#This Row],[Column6]] * deployment_raw[[#This Row],[Column5]]),"")</f>
        <v/>
      </c>
      <c r="G824" s="175" t="str">
        <f>IF(ISNUMBER(deployment_raw[[#This Row],[Column7]]), (deployment_raw[[#This Row],[Column7]] * deployment_raw[[#This Row],[Column5]])/1048576,"")</f>
        <v/>
      </c>
      <c r="H824" s="175" t="str">
        <f>IF(ISNUMBER(deployment_raw[[#This Row],[Column8]]), (deployment_raw[[#This Row],[Column8]]  * deployment_raw[[#This Row],[Column5]]),"")</f>
        <v/>
      </c>
      <c r="I824" s="176" t="str">
        <f>IF(ISNUMBER(deployment_raw[[#This Row],[Column9]]), (deployment_raw[[#This Row],[Column9]] * deployment_raw[[#This Row],[Column5]])/1048576,"")</f>
        <v/>
      </c>
      <c r="J824" s="57" t="str">
        <f>IF(ISNUMBER(deployment_raw[[#This Row],[Column10]]), (deployment_raw[[#This Row],[Column10]] * deployment_raw[[#This Row],[Column5]]),"")</f>
        <v/>
      </c>
      <c r="K824" s="58" t="str">
        <f>IF(ISNUMBER(deployment_raw[[#This Row],[Column11]]), (deployment_raw[[#This Row],[Column11]] * deployment_raw[[#This Row],[Column5]])/1048576,"")</f>
        <v/>
      </c>
      <c r="L824" s="180" t="str">
        <f>IF(ISNUMBER(deployment_raw[[#This Row],[Column8]]),IF(deployment_raw[[#This Row],[Column5]] &lt;&gt; 0, MAX((deployment_raw[[#This Row],[Column12]] * deployment_raw[[#This Row],[Column5]]), ((deployment_raw[[#This Row],[Column8]] * deployment_raw[[#This Row],[Column5]]) * $L$2), ($H$2 * deployment_raw[[#This Row],[Column5]])), 0),"")</f>
        <v/>
      </c>
      <c r="M82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24" s="188" t="str">
        <f>IF(ISNUMBER(deployment_raw[[#This Row],[Column14]]), deployment_raw[[#This Row],[Column14]],"")</f>
        <v/>
      </c>
      <c r="O824" s="189" t="str">
        <f>IF(ISNUMBER(deployment_raw[[#This Row],[Column15]]), deployment_raw[[#This Row],[Column15]]/1048576,"")</f>
        <v/>
      </c>
      <c r="P824" s="190" t="str">
        <f>IF(ISNUMBER(deployment_raw[[#This Row],[Column12]]), (deployment_raw[[#This Row],[Column12]] * deployment_raw[[#This Row],[Column5]]),"")</f>
        <v/>
      </c>
      <c r="Q824" s="189" t="str">
        <f>IF(ISNUMBER(deployment_raw[[#This Row],[Column13]]), (deployment_raw[[#This Row],[Column13]] * deployment_raw[[#This Row],[Column5]])/1048576,"")</f>
        <v/>
      </c>
    </row>
    <row r="825" spans="1:17" ht="15.75" customHeight="1" x14ac:dyDescent="0.25">
      <c r="A825" s="37" t="str">
        <f>IF(ISNONTEXT(deployment_raw[[#This Row],[Column1]]), "", deployment_raw[[#This Row],[Column1]])</f>
        <v/>
      </c>
      <c r="B825" s="38" t="str">
        <f>IF(ISNONTEXT(deployment_raw[[#This Row],[Column2]]), "", deployment_raw[[#This Row],[Column2]])</f>
        <v/>
      </c>
      <c r="C825" s="38" t="str">
        <f>IF(ISNONTEXT(deployment_raw[[#This Row],[Column3]]), "", deployment_raw[[#This Row],[Column3]])</f>
        <v/>
      </c>
      <c r="D825" s="38" t="str">
        <f>IF(ISNONTEXT(deployment_raw[[#This Row],[Column4]]), "", deployment_raw[[#This Row],[Column4]])</f>
        <v/>
      </c>
      <c r="E825" s="39" t="str">
        <f>IF(ISNUMBER(deployment_raw[[#This Row],[Column5]]), deployment_raw[[#This Row],[Column5]],"")</f>
        <v/>
      </c>
      <c r="F825" s="174" t="str">
        <f>IF(ISNUMBER(deployment_raw[[#This Row],[Column6]]), (deployment_raw[[#This Row],[Column6]] * deployment_raw[[#This Row],[Column5]]),"")</f>
        <v/>
      </c>
      <c r="G825" s="175" t="str">
        <f>IF(ISNUMBER(deployment_raw[[#This Row],[Column7]]), (deployment_raw[[#This Row],[Column7]] * deployment_raw[[#This Row],[Column5]])/1048576,"")</f>
        <v/>
      </c>
      <c r="H825" s="175" t="str">
        <f>IF(ISNUMBER(deployment_raw[[#This Row],[Column8]]), (deployment_raw[[#This Row],[Column8]]  * deployment_raw[[#This Row],[Column5]]),"")</f>
        <v/>
      </c>
      <c r="I825" s="176" t="str">
        <f>IF(ISNUMBER(deployment_raw[[#This Row],[Column9]]), (deployment_raw[[#This Row],[Column9]] * deployment_raw[[#This Row],[Column5]])/1048576,"")</f>
        <v/>
      </c>
      <c r="J825" s="57" t="str">
        <f>IF(ISNUMBER(deployment_raw[[#This Row],[Column10]]), (deployment_raw[[#This Row],[Column10]] * deployment_raw[[#This Row],[Column5]]),"")</f>
        <v/>
      </c>
      <c r="K825" s="58" t="str">
        <f>IF(ISNUMBER(deployment_raw[[#This Row],[Column11]]), (deployment_raw[[#This Row],[Column11]] * deployment_raw[[#This Row],[Column5]])/1048576,"")</f>
        <v/>
      </c>
      <c r="L825" s="180" t="str">
        <f>IF(ISNUMBER(deployment_raw[[#This Row],[Column8]]),IF(deployment_raw[[#This Row],[Column5]] &lt;&gt; 0, MAX((deployment_raw[[#This Row],[Column12]] * deployment_raw[[#This Row],[Column5]]), ((deployment_raw[[#This Row],[Column8]] * deployment_raw[[#This Row],[Column5]]) * $L$2), ($H$2 * deployment_raw[[#This Row],[Column5]])), 0),"")</f>
        <v/>
      </c>
      <c r="M82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25" s="188" t="str">
        <f>IF(ISNUMBER(deployment_raw[[#This Row],[Column14]]), deployment_raw[[#This Row],[Column14]],"")</f>
        <v/>
      </c>
      <c r="O825" s="189" t="str">
        <f>IF(ISNUMBER(deployment_raw[[#This Row],[Column15]]), deployment_raw[[#This Row],[Column15]]/1048576,"")</f>
        <v/>
      </c>
      <c r="P825" s="190" t="str">
        <f>IF(ISNUMBER(deployment_raw[[#This Row],[Column12]]), (deployment_raw[[#This Row],[Column12]] * deployment_raw[[#This Row],[Column5]]),"")</f>
        <v/>
      </c>
      <c r="Q825" s="189" t="str">
        <f>IF(ISNUMBER(deployment_raw[[#This Row],[Column13]]), (deployment_raw[[#This Row],[Column13]] * deployment_raw[[#This Row],[Column5]])/1048576,"")</f>
        <v/>
      </c>
    </row>
    <row r="826" spans="1:17" ht="15.75" customHeight="1" x14ac:dyDescent="0.25">
      <c r="A826" s="37" t="str">
        <f>IF(ISNONTEXT(deployment_raw[[#This Row],[Column1]]), "", deployment_raw[[#This Row],[Column1]])</f>
        <v/>
      </c>
      <c r="B826" s="38" t="str">
        <f>IF(ISNONTEXT(deployment_raw[[#This Row],[Column2]]), "", deployment_raw[[#This Row],[Column2]])</f>
        <v/>
      </c>
      <c r="C826" s="38" t="str">
        <f>IF(ISNONTEXT(deployment_raw[[#This Row],[Column3]]), "", deployment_raw[[#This Row],[Column3]])</f>
        <v/>
      </c>
      <c r="D826" s="38" t="str">
        <f>IF(ISNONTEXT(deployment_raw[[#This Row],[Column4]]), "", deployment_raw[[#This Row],[Column4]])</f>
        <v/>
      </c>
      <c r="E826" s="39" t="str">
        <f>IF(ISNUMBER(deployment_raw[[#This Row],[Column5]]), deployment_raw[[#This Row],[Column5]],"")</f>
        <v/>
      </c>
      <c r="F826" s="174" t="str">
        <f>IF(ISNUMBER(deployment_raw[[#This Row],[Column6]]), (deployment_raw[[#This Row],[Column6]] * deployment_raw[[#This Row],[Column5]]),"")</f>
        <v/>
      </c>
      <c r="G826" s="175" t="str">
        <f>IF(ISNUMBER(deployment_raw[[#This Row],[Column7]]), (deployment_raw[[#This Row],[Column7]] * deployment_raw[[#This Row],[Column5]])/1048576,"")</f>
        <v/>
      </c>
      <c r="H826" s="175" t="str">
        <f>IF(ISNUMBER(deployment_raw[[#This Row],[Column8]]), (deployment_raw[[#This Row],[Column8]]  * deployment_raw[[#This Row],[Column5]]),"")</f>
        <v/>
      </c>
      <c r="I826" s="176" t="str">
        <f>IF(ISNUMBER(deployment_raw[[#This Row],[Column9]]), (deployment_raw[[#This Row],[Column9]] * deployment_raw[[#This Row],[Column5]])/1048576,"")</f>
        <v/>
      </c>
      <c r="J826" s="57" t="str">
        <f>IF(ISNUMBER(deployment_raw[[#This Row],[Column10]]), (deployment_raw[[#This Row],[Column10]] * deployment_raw[[#This Row],[Column5]]),"")</f>
        <v/>
      </c>
      <c r="K826" s="58" t="str">
        <f>IF(ISNUMBER(deployment_raw[[#This Row],[Column11]]), (deployment_raw[[#This Row],[Column11]] * deployment_raw[[#This Row],[Column5]])/1048576,"")</f>
        <v/>
      </c>
      <c r="L826" s="180" t="str">
        <f>IF(ISNUMBER(deployment_raw[[#This Row],[Column8]]),IF(deployment_raw[[#This Row],[Column5]] &lt;&gt; 0, MAX((deployment_raw[[#This Row],[Column12]] * deployment_raw[[#This Row],[Column5]]), ((deployment_raw[[#This Row],[Column8]] * deployment_raw[[#This Row],[Column5]]) * $L$2), ($H$2 * deployment_raw[[#This Row],[Column5]])), 0),"")</f>
        <v/>
      </c>
      <c r="M82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26" s="188" t="str">
        <f>IF(ISNUMBER(deployment_raw[[#This Row],[Column14]]), deployment_raw[[#This Row],[Column14]],"")</f>
        <v/>
      </c>
      <c r="O826" s="189" t="str">
        <f>IF(ISNUMBER(deployment_raw[[#This Row],[Column15]]), deployment_raw[[#This Row],[Column15]]/1048576,"")</f>
        <v/>
      </c>
      <c r="P826" s="190" t="str">
        <f>IF(ISNUMBER(deployment_raw[[#This Row],[Column12]]), (deployment_raw[[#This Row],[Column12]] * deployment_raw[[#This Row],[Column5]]),"")</f>
        <v/>
      </c>
      <c r="Q826" s="189" t="str">
        <f>IF(ISNUMBER(deployment_raw[[#This Row],[Column13]]), (deployment_raw[[#This Row],[Column13]] * deployment_raw[[#This Row],[Column5]])/1048576,"")</f>
        <v/>
      </c>
    </row>
    <row r="827" spans="1:17" ht="15.75" customHeight="1" x14ac:dyDescent="0.25">
      <c r="A827" s="37" t="str">
        <f>IF(ISNONTEXT(deployment_raw[[#This Row],[Column1]]), "", deployment_raw[[#This Row],[Column1]])</f>
        <v/>
      </c>
      <c r="B827" s="38" t="str">
        <f>IF(ISNONTEXT(deployment_raw[[#This Row],[Column2]]), "", deployment_raw[[#This Row],[Column2]])</f>
        <v/>
      </c>
      <c r="C827" s="38" t="str">
        <f>IF(ISNONTEXT(deployment_raw[[#This Row],[Column3]]), "", deployment_raw[[#This Row],[Column3]])</f>
        <v/>
      </c>
      <c r="D827" s="38" t="str">
        <f>IF(ISNONTEXT(deployment_raw[[#This Row],[Column4]]), "", deployment_raw[[#This Row],[Column4]])</f>
        <v/>
      </c>
      <c r="E827" s="39" t="str">
        <f>IF(ISNUMBER(deployment_raw[[#This Row],[Column5]]), deployment_raw[[#This Row],[Column5]],"")</f>
        <v/>
      </c>
      <c r="F827" s="174" t="str">
        <f>IF(ISNUMBER(deployment_raw[[#This Row],[Column6]]), (deployment_raw[[#This Row],[Column6]] * deployment_raw[[#This Row],[Column5]]),"")</f>
        <v/>
      </c>
      <c r="G827" s="175" t="str">
        <f>IF(ISNUMBER(deployment_raw[[#This Row],[Column7]]), (deployment_raw[[#This Row],[Column7]] * deployment_raw[[#This Row],[Column5]])/1048576,"")</f>
        <v/>
      </c>
      <c r="H827" s="175" t="str">
        <f>IF(ISNUMBER(deployment_raw[[#This Row],[Column8]]), (deployment_raw[[#This Row],[Column8]]  * deployment_raw[[#This Row],[Column5]]),"")</f>
        <v/>
      </c>
      <c r="I827" s="176" t="str">
        <f>IF(ISNUMBER(deployment_raw[[#This Row],[Column9]]), (deployment_raw[[#This Row],[Column9]] * deployment_raw[[#This Row],[Column5]])/1048576,"")</f>
        <v/>
      </c>
      <c r="J827" s="57" t="str">
        <f>IF(ISNUMBER(deployment_raw[[#This Row],[Column10]]), (deployment_raw[[#This Row],[Column10]] * deployment_raw[[#This Row],[Column5]]),"")</f>
        <v/>
      </c>
      <c r="K827" s="58" t="str">
        <f>IF(ISNUMBER(deployment_raw[[#This Row],[Column11]]), (deployment_raw[[#This Row],[Column11]] * deployment_raw[[#This Row],[Column5]])/1048576,"")</f>
        <v/>
      </c>
      <c r="L827" s="180" t="str">
        <f>IF(ISNUMBER(deployment_raw[[#This Row],[Column8]]),IF(deployment_raw[[#This Row],[Column5]] &lt;&gt; 0, MAX((deployment_raw[[#This Row],[Column12]] * deployment_raw[[#This Row],[Column5]]), ((deployment_raw[[#This Row],[Column8]] * deployment_raw[[#This Row],[Column5]]) * $L$2), ($H$2 * deployment_raw[[#This Row],[Column5]])), 0),"")</f>
        <v/>
      </c>
      <c r="M82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27" s="188" t="str">
        <f>IF(ISNUMBER(deployment_raw[[#This Row],[Column14]]), deployment_raw[[#This Row],[Column14]],"")</f>
        <v/>
      </c>
      <c r="O827" s="189" t="str">
        <f>IF(ISNUMBER(deployment_raw[[#This Row],[Column15]]), deployment_raw[[#This Row],[Column15]]/1048576,"")</f>
        <v/>
      </c>
      <c r="P827" s="190" t="str">
        <f>IF(ISNUMBER(deployment_raw[[#This Row],[Column12]]), (deployment_raw[[#This Row],[Column12]] * deployment_raw[[#This Row],[Column5]]),"")</f>
        <v/>
      </c>
      <c r="Q827" s="189" t="str">
        <f>IF(ISNUMBER(deployment_raw[[#This Row],[Column13]]), (deployment_raw[[#This Row],[Column13]] * deployment_raw[[#This Row],[Column5]])/1048576,"")</f>
        <v/>
      </c>
    </row>
    <row r="828" spans="1:17" ht="15.75" customHeight="1" x14ac:dyDescent="0.25">
      <c r="A828" s="37" t="str">
        <f>IF(ISNONTEXT(deployment_raw[[#This Row],[Column1]]), "", deployment_raw[[#This Row],[Column1]])</f>
        <v/>
      </c>
      <c r="B828" s="38" t="str">
        <f>IF(ISNONTEXT(deployment_raw[[#This Row],[Column2]]), "", deployment_raw[[#This Row],[Column2]])</f>
        <v/>
      </c>
      <c r="C828" s="38" t="str">
        <f>IF(ISNONTEXT(deployment_raw[[#This Row],[Column3]]), "", deployment_raw[[#This Row],[Column3]])</f>
        <v/>
      </c>
      <c r="D828" s="38" t="str">
        <f>IF(ISNONTEXT(deployment_raw[[#This Row],[Column4]]), "", deployment_raw[[#This Row],[Column4]])</f>
        <v/>
      </c>
      <c r="E828" s="39" t="str">
        <f>IF(ISNUMBER(deployment_raw[[#This Row],[Column5]]), deployment_raw[[#This Row],[Column5]],"")</f>
        <v/>
      </c>
      <c r="F828" s="174" t="str">
        <f>IF(ISNUMBER(deployment_raw[[#This Row],[Column6]]), (deployment_raw[[#This Row],[Column6]] * deployment_raw[[#This Row],[Column5]]),"")</f>
        <v/>
      </c>
      <c r="G828" s="175" t="str">
        <f>IF(ISNUMBER(deployment_raw[[#This Row],[Column7]]), (deployment_raw[[#This Row],[Column7]] * deployment_raw[[#This Row],[Column5]])/1048576,"")</f>
        <v/>
      </c>
      <c r="H828" s="175" t="str">
        <f>IF(ISNUMBER(deployment_raw[[#This Row],[Column8]]), (deployment_raw[[#This Row],[Column8]]  * deployment_raw[[#This Row],[Column5]]),"")</f>
        <v/>
      </c>
      <c r="I828" s="176" t="str">
        <f>IF(ISNUMBER(deployment_raw[[#This Row],[Column9]]), (deployment_raw[[#This Row],[Column9]] * deployment_raw[[#This Row],[Column5]])/1048576,"")</f>
        <v/>
      </c>
      <c r="J828" s="57" t="str">
        <f>IF(ISNUMBER(deployment_raw[[#This Row],[Column10]]), (deployment_raw[[#This Row],[Column10]] * deployment_raw[[#This Row],[Column5]]),"")</f>
        <v/>
      </c>
      <c r="K828" s="58" t="str">
        <f>IF(ISNUMBER(deployment_raw[[#This Row],[Column11]]), (deployment_raw[[#This Row],[Column11]] * deployment_raw[[#This Row],[Column5]])/1048576,"")</f>
        <v/>
      </c>
      <c r="L828" s="180" t="str">
        <f>IF(ISNUMBER(deployment_raw[[#This Row],[Column8]]),IF(deployment_raw[[#This Row],[Column5]] &lt;&gt; 0, MAX((deployment_raw[[#This Row],[Column12]] * deployment_raw[[#This Row],[Column5]]), ((deployment_raw[[#This Row],[Column8]] * deployment_raw[[#This Row],[Column5]]) * $L$2), ($H$2 * deployment_raw[[#This Row],[Column5]])), 0),"")</f>
        <v/>
      </c>
      <c r="M82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28" s="188" t="str">
        <f>IF(ISNUMBER(deployment_raw[[#This Row],[Column14]]), deployment_raw[[#This Row],[Column14]],"")</f>
        <v/>
      </c>
      <c r="O828" s="189" t="str">
        <f>IF(ISNUMBER(deployment_raw[[#This Row],[Column15]]), deployment_raw[[#This Row],[Column15]]/1048576,"")</f>
        <v/>
      </c>
      <c r="P828" s="190" t="str">
        <f>IF(ISNUMBER(deployment_raw[[#This Row],[Column12]]), (deployment_raw[[#This Row],[Column12]] * deployment_raw[[#This Row],[Column5]]),"")</f>
        <v/>
      </c>
      <c r="Q828" s="189" t="str">
        <f>IF(ISNUMBER(deployment_raw[[#This Row],[Column13]]), (deployment_raw[[#This Row],[Column13]] * deployment_raw[[#This Row],[Column5]])/1048576,"")</f>
        <v/>
      </c>
    </row>
    <row r="829" spans="1:17" ht="15.75" customHeight="1" x14ac:dyDescent="0.25">
      <c r="A829" s="37" t="str">
        <f>IF(ISNONTEXT(deployment_raw[[#This Row],[Column1]]), "", deployment_raw[[#This Row],[Column1]])</f>
        <v/>
      </c>
      <c r="B829" s="38" t="str">
        <f>IF(ISNONTEXT(deployment_raw[[#This Row],[Column2]]), "", deployment_raw[[#This Row],[Column2]])</f>
        <v/>
      </c>
      <c r="C829" s="38" t="str">
        <f>IF(ISNONTEXT(deployment_raw[[#This Row],[Column3]]), "", deployment_raw[[#This Row],[Column3]])</f>
        <v/>
      </c>
      <c r="D829" s="38" t="str">
        <f>IF(ISNONTEXT(deployment_raw[[#This Row],[Column4]]), "", deployment_raw[[#This Row],[Column4]])</f>
        <v/>
      </c>
      <c r="E829" s="39" t="str">
        <f>IF(ISNUMBER(deployment_raw[[#This Row],[Column5]]), deployment_raw[[#This Row],[Column5]],"")</f>
        <v/>
      </c>
      <c r="F829" s="174" t="str">
        <f>IF(ISNUMBER(deployment_raw[[#This Row],[Column6]]), (deployment_raw[[#This Row],[Column6]] * deployment_raw[[#This Row],[Column5]]),"")</f>
        <v/>
      </c>
      <c r="G829" s="175" t="str">
        <f>IF(ISNUMBER(deployment_raw[[#This Row],[Column7]]), (deployment_raw[[#This Row],[Column7]] * deployment_raw[[#This Row],[Column5]])/1048576,"")</f>
        <v/>
      </c>
      <c r="H829" s="175" t="str">
        <f>IF(ISNUMBER(deployment_raw[[#This Row],[Column8]]), (deployment_raw[[#This Row],[Column8]]  * deployment_raw[[#This Row],[Column5]]),"")</f>
        <v/>
      </c>
      <c r="I829" s="176" t="str">
        <f>IF(ISNUMBER(deployment_raw[[#This Row],[Column9]]), (deployment_raw[[#This Row],[Column9]] * deployment_raw[[#This Row],[Column5]])/1048576,"")</f>
        <v/>
      </c>
      <c r="J829" s="57" t="str">
        <f>IF(ISNUMBER(deployment_raw[[#This Row],[Column10]]), (deployment_raw[[#This Row],[Column10]] * deployment_raw[[#This Row],[Column5]]),"")</f>
        <v/>
      </c>
      <c r="K829" s="58" t="str">
        <f>IF(ISNUMBER(deployment_raw[[#This Row],[Column11]]), (deployment_raw[[#This Row],[Column11]] * deployment_raw[[#This Row],[Column5]])/1048576,"")</f>
        <v/>
      </c>
      <c r="L829" s="180" t="str">
        <f>IF(ISNUMBER(deployment_raw[[#This Row],[Column8]]),IF(deployment_raw[[#This Row],[Column5]] &lt;&gt; 0, MAX((deployment_raw[[#This Row],[Column12]] * deployment_raw[[#This Row],[Column5]]), ((deployment_raw[[#This Row],[Column8]] * deployment_raw[[#This Row],[Column5]]) * $L$2), ($H$2 * deployment_raw[[#This Row],[Column5]])), 0),"")</f>
        <v/>
      </c>
      <c r="M82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29" s="188" t="str">
        <f>IF(ISNUMBER(deployment_raw[[#This Row],[Column14]]), deployment_raw[[#This Row],[Column14]],"")</f>
        <v/>
      </c>
      <c r="O829" s="189" t="str">
        <f>IF(ISNUMBER(deployment_raw[[#This Row],[Column15]]), deployment_raw[[#This Row],[Column15]]/1048576,"")</f>
        <v/>
      </c>
      <c r="P829" s="190" t="str">
        <f>IF(ISNUMBER(deployment_raw[[#This Row],[Column12]]), (deployment_raw[[#This Row],[Column12]] * deployment_raw[[#This Row],[Column5]]),"")</f>
        <v/>
      </c>
      <c r="Q829" s="189" t="str">
        <f>IF(ISNUMBER(deployment_raw[[#This Row],[Column13]]), (deployment_raw[[#This Row],[Column13]] * deployment_raw[[#This Row],[Column5]])/1048576,"")</f>
        <v/>
      </c>
    </row>
    <row r="830" spans="1:17" ht="15.75" customHeight="1" x14ac:dyDescent="0.25">
      <c r="A830" s="37" t="str">
        <f>IF(ISNONTEXT(deployment_raw[[#This Row],[Column1]]), "", deployment_raw[[#This Row],[Column1]])</f>
        <v/>
      </c>
      <c r="B830" s="38" t="str">
        <f>IF(ISNONTEXT(deployment_raw[[#This Row],[Column2]]), "", deployment_raw[[#This Row],[Column2]])</f>
        <v/>
      </c>
      <c r="C830" s="38" t="str">
        <f>IF(ISNONTEXT(deployment_raw[[#This Row],[Column3]]), "", deployment_raw[[#This Row],[Column3]])</f>
        <v/>
      </c>
      <c r="D830" s="38" t="str">
        <f>IF(ISNONTEXT(deployment_raw[[#This Row],[Column4]]), "", deployment_raw[[#This Row],[Column4]])</f>
        <v/>
      </c>
      <c r="E830" s="39" t="str">
        <f>IF(ISNUMBER(deployment_raw[[#This Row],[Column5]]), deployment_raw[[#This Row],[Column5]],"")</f>
        <v/>
      </c>
      <c r="F830" s="174" t="str">
        <f>IF(ISNUMBER(deployment_raw[[#This Row],[Column6]]), (deployment_raw[[#This Row],[Column6]] * deployment_raw[[#This Row],[Column5]]),"")</f>
        <v/>
      </c>
      <c r="G830" s="175" t="str">
        <f>IF(ISNUMBER(deployment_raw[[#This Row],[Column7]]), (deployment_raw[[#This Row],[Column7]] * deployment_raw[[#This Row],[Column5]])/1048576,"")</f>
        <v/>
      </c>
      <c r="H830" s="175" t="str">
        <f>IF(ISNUMBER(deployment_raw[[#This Row],[Column8]]), (deployment_raw[[#This Row],[Column8]]  * deployment_raw[[#This Row],[Column5]]),"")</f>
        <v/>
      </c>
      <c r="I830" s="176" t="str">
        <f>IF(ISNUMBER(deployment_raw[[#This Row],[Column9]]), (deployment_raw[[#This Row],[Column9]] * deployment_raw[[#This Row],[Column5]])/1048576,"")</f>
        <v/>
      </c>
      <c r="J830" s="57" t="str">
        <f>IF(ISNUMBER(deployment_raw[[#This Row],[Column10]]), (deployment_raw[[#This Row],[Column10]] * deployment_raw[[#This Row],[Column5]]),"")</f>
        <v/>
      </c>
      <c r="K830" s="58" t="str">
        <f>IF(ISNUMBER(deployment_raw[[#This Row],[Column11]]), (deployment_raw[[#This Row],[Column11]] * deployment_raw[[#This Row],[Column5]])/1048576,"")</f>
        <v/>
      </c>
      <c r="L830" s="180" t="str">
        <f>IF(ISNUMBER(deployment_raw[[#This Row],[Column8]]),IF(deployment_raw[[#This Row],[Column5]] &lt;&gt; 0, MAX((deployment_raw[[#This Row],[Column12]] * deployment_raw[[#This Row],[Column5]]), ((deployment_raw[[#This Row],[Column8]] * deployment_raw[[#This Row],[Column5]]) * $L$2), ($H$2 * deployment_raw[[#This Row],[Column5]])), 0),"")</f>
        <v/>
      </c>
      <c r="M83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30" s="188" t="str">
        <f>IF(ISNUMBER(deployment_raw[[#This Row],[Column14]]), deployment_raw[[#This Row],[Column14]],"")</f>
        <v/>
      </c>
      <c r="O830" s="189" t="str">
        <f>IF(ISNUMBER(deployment_raw[[#This Row],[Column15]]), deployment_raw[[#This Row],[Column15]]/1048576,"")</f>
        <v/>
      </c>
      <c r="P830" s="190" t="str">
        <f>IF(ISNUMBER(deployment_raw[[#This Row],[Column12]]), (deployment_raw[[#This Row],[Column12]] * deployment_raw[[#This Row],[Column5]]),"")</f>
        <v/>
      </c>
      <c r="Q830" s="189" t="str">
        <f>IF(ISNUMBER(deployment_raw[[#This Row],[Column13]]), (deployment_raw[[#This Row],[Column13]] * deployment_raw[[#This Row],[Column5]])/1048576,"")</f>
        <v/>
      </c>
    </row>
    <row r="831" spans="1:17" ht="15.75" customHeight="1" x14ac:dyDescent="0.25">
      <c r="A831" s="37" t="str">
        <f>IF(ISNONTEXT(deployment_raw[[#This Row],[Column1]]), "", deployment_raw[[#This Row],[Column1]])</f>
        <v/>
      </c>
      <c r="B831" s="38" t="str">
        <f>IF(ISNONTEXT(deployment_raw[[#This Row],[Column2]]), "", deployment_raw[[#This Row],[Column2]])</f>
        <v/>
      </c>
      <c r="C831" s="38" t="str">
        <f>IF(ISNONTEXT(deployment_raw[[#This Row],[Column3]]), "", deployment_raw[[#This Row],[Column3]])</f>
        <v/>
      </c>
      <c r="D831" s="38" t="str">
        <f>IF(ISNONTEXT(deployment_raw[[#This Row],[Column4]]), "", deployment_raw[[#This Row],[Column4]])</f>
        <v/>
      </c>
      <c r="E831" s="39" t="str">
        <f>IF(ISNUMBER(deployment_raw[[#This Row],[Column5]]), deployment_raw[[#This Row],[Column5]],"")</f>
        <v/>
      </c>
      <c r="F831" s="174" t="str">
        <f>IF(ISNUMBER(deployment_raw[[#This Row],[Column6]]), (deployment_raw[[#This Row],[Column6]] * deployment_raw[[#This Row],[Column5]]),"")</f>
        <v/>
      </c>
      <c r="G831" s="175" t="str">
        <f>IF(ISNUMBER(deployment_raw[[#This Row],[Column7]]), (deployment_raw[[#This Row],[Column7]] * deployment_raw[[#This Row],[Column5]])/1048576,"")</f>
        <v/>
      </c>
      <c r="H831" s="175" t="str">
        <f>IF(ISNUMBER(deployment_raw[[#This Row],[Column8]]), (deployment_raw[[#This Row],[Column8]]  * deployment_raw[[#This Row],[Column5]]),"")</f>
        <v/>
      </c>
      <c r="I831" s="176" t="str">
        <f>IF(ISNUMBER(deployment_raw[[#This Row],[Column9]]), (deployment_raw[[#This Row],[Column9]] * deployment_raw[[#This Row],[Column5]])/1048576,"")</f>
        <v/>
      </c>
      <c r="J831" s="57" t="str">
        <f>IF(ISNUMBER(deployment_raw[[#This Row],[Column10]]), (deployment_raw[[#This Row],[Column10]] * deployment_raw[[#This Row],[Column5]]),"")</f>
        <v/>
      </c>
      <c r="K831" s="58" t="str">
        <f>IF(ISNUMBER(deployment_raw[[#This Row],[Column11]]), (deployment_raw[[#This Row],[Column11]] * deployment_raw[[#This Row],[Column5]])/1048576,"")</f>
        <v/>
      </c>
      <c r="L831" s="180" t="str">
        <f>IF(ISNUMBER(deployment_raw[[#This Row],[Column8]]),IF(deployment_raw[[#This Row],[Column5]] &lt;&gt; 0, MAX((deployment_raw[[#This Row],[Column12]] * deployment_raw[[#This Row],[Column5]]), ((deployment_raw[[#This Row],[Column8]] * deployment_raw[[#This Row],[Column5]]) * $L$2), ($H$2 * deployment_raw[[#This Row],[Column5]])), 0),"")</f>
        <v/>
      </c>
      <c r="M83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31" s="188" t="str">
        <f>IF(ISNUMBER(deployment_raw[[#This Row],[Column14]]), deployment_raw[[#This Row],[Column14]],"")</f>
        <v/>
      </c>
      <c r="O831" s="189" t="str">
        <f>IF(ISNUMBER(deployment_raw[[#This Row],[Column15]]), deployment_raw[[#This Row],[Column15]]/1048576,"")</f>
        <v/>
      </c>
      <c r="P831" s="190" t="str">
        <f>IF(ISNUMBER(deployment_raw[[#This Row],[Column12]]), (deployment_raw[[#This Row],[Column12]] * deployment_raw[[#This Row],[Column5]]),"")</f>
        <v/>
      </c>
      <c r="Q831" s="189" t="str">
        <f>IF(ISNUMBER(deployment_raw[[#This Row],[Column13]]), (deployment_raw[[#This Row],[Column13]] * deployment_raw[[#This Row],[Column5]])/1048576,"")</f>
        <v/>
      </c>
    </row>
    <row r="832" spans="1:17" ht="15.75" customHeight="1" x14ac:dyDescent="0.25">
      <c r="A832" s="37" t="str">
        <f>IF(ISNONTEXT(deployment_raw[[#This Row],[Column1]]), "", deployment_raw[[#This Row],[Column1]])</f>
        <v/>
      </c>
      <c r="B832" s="38" t="str">
        <f>IF(ISNONTEXT(deployment_raw[[#This Row],[Column2]]), "", deployment_raw[[#This Row],[Column2]])</f>
        <v/>
      </c>
      <c r="C832" s="38" t="str">
        <f>IF(ISNONTEXT(deployment_raw[[#This Row],[Column3]]), "", deployment_raw[[#This Row],[Column3]])</f>
        <v/>
      </c>
      <c r="D832" s="38" t="str">
        <f>IF(ISNONTEXT(deployment_raw[[#This Row],[Column4]]), "", deployment_raw[[#This Row],[Column4]])</f>
        <v/>
      </c>
      <c r="E832" s="39" t="str">
        <f>IF(ISNUMBER(deployment_raw[[#This Row],[Column5]]), deployment_raw[[#This Row],[Column5]],"")</f>
        <v/>
      </c>
      <c r="F832" s="174" t="str">
        <f>IF(ISNUMBER(deployment_raw[[#This Row],[Column6]]), (deployment_raw[[#This Row],[Column6]] * deployment_raw[[#This Row],[Column5]]),"")</f>
        <v/>
      </c>
      <c r="G832" s="175" t="str">
        <f>IF(ISNUMBER(deployment_raw[[#This Row],[Column7]]), (deployment_raw[[#This Row],[Column7]] * deployment_raw[[#This Row],[Column5]])/1048576,"")</f>
        <v/>
      </c>
      <c r="H832" s="175" t="str">
        <f>IF(ISNUMBER(deployment_raw[[#This Row],[Column8]]), (deployment_raw[[#This Row],[Column8]]  * deployment_raw[[#This Row],[Column5]]),"")</f>
        <v/>
      </c>
      <c r="I832" s="176" t="str">
        <f>IF(ISNUMBER(deployment_raw[[#This Row],[Column9]]), (deployment_raw[[#This Row],[Column9]] * deployment_raw[[#This Row],[Column5]])/1048576,"")</f>
        <v/>
      </c>
      <c r="J832" s="57" t="str">
        <f>IF(ISNUMBER(deployment_raw[[#This Row],[Column10]]), (deployment_raw[[#This Row],[Column10]] * deployment_raw[[#This Row],[Column5]]),"")</f>
        <v/>
      </c>
      <c r="K832" s="58" t="str">
        <f>IF(ISNUMBER(deployment_raw[[#This Row],[Column11]]), (deployment_raw[[#This Row],[Column11]] * deployment_raw[[#This Row],[Column5]])/1048576,"")</f>
        <v/>
      </c>
      <c r="L832" s="180" t="str">
        <f>IF(ISNUMBER(deployment_raw[[#This Row],[Column8]]),IF(deployment_raw[[#This Row],[Column5]] &lt;&gt; 0, MAX((deployment_raw[[#This Row],[Column12]] * deployment_raw[[#This Row],[Column5]]), ((deployment_raw[[#This Row],[Column8]] * deployment_raw[[#This Row],[Column5]]) * $L$2), ($H$2 * deployment_raw[[#This Row],[Column5]])), 0),"")</f>
        <v/>
      </c>
      <c r="M83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32" s="188" t="str">
        <f>IF(ISNUMBER(deployment_raw[[#This Row],[Column14]]), deployment_raw[[#This Row],[Column14]],"")</f>
        <v/>
      </c>
      <c r="O832" s="189" t="str">
        <f>IF(ISNUMBER(deployment_raw[[#This Row],[Column15]]), deployment_raw[[#This Row],[Column15]]/1048576,"")</f>
        <v/>
      </c>
      <c r="P832" s="190" t="str">
        <f>IF(ISNUMBER(deployment_raw[[#This Row],[Column12]]), (deployment_raw[[#This Row],[Column12]] * deployment_raw[[#This Row],[Column5]]),"")</f>
        <v/>
      </c>
      <c r="Q832" s="189" t="str">
        <f>IF(ISNUMBER(deployment_raw[[#This Row],[Column13]]), (deployment_raw[[#This Row],[Column13]] * deployment_raw[[#This Row],[Column5]])/1048576,"")</f>
        <v/>
      </c>
    </row>
    <row r="833" spans="1:17" ht="15.75" customHeight="1" x14ac:dyDescent="0.25">
      <c r="A833" s="37" t="str">
        <f>IF(ISNONTEXT(deployment_raw[[#This Row],[Column1]]), "", deployment_raw[[#This Row],[Column1]])</f>
        <v/>
      </c>
      <c r="B833" s="38" t="str">
        <f>IF(ISNONTEXT(deployment_raw[[#This Row],[Column2]]), "", deployment_raw[[#This Row],[Column2]])</f>
        <v/>
      </c>
      <c r="C833" s="38" t="str">
        <f>IF(ISNONTEXT(deployment_raw[[#This Row],[Column3]]), "", deployment_raw[[#This Row],[Column3]])</f>
        <v/>
      </c>
      <c r="D833" s="38" t="str">
        <f>IF(ISNONTEXT(deployment_raw[[#This Row],[Column4]]), "", deployment_raw[[#This Row],[Column4]])</f>
        <v/>
      </c>
      <c r="E833" s="39" t="str">
        <f>IF(ISNUMBER(deployment_raw[[#This Row],[Column5]]), deployment_raw[[#This Row],[Column5]],"")</f>
        <v/>
      </c>
      <c r="F833" s="174" t="str">
        <f>IF(ISNUMBER(deployment_raw[[#This Row],[Column6]]), (deployment_raw[[#This Row],[Column6]] * deployment_raw[[#This Row],[Column5]]),"")</f>
        <v/>
      </c>
      <c r="G833" s="175" t="str">
        <f>IF(ISNUMBER(deployment_raw[[#This Row],[Column7]]), (deployment_raw[[#This Row],[Column7]] * deployment_raw[[#This Row],[Column5]])/1048576,"")</f>
        <v/>
      </c>
      <c r="H833" s="175" t="str">
        <f>IF(ISNUMBER(deployment_raw[[#This Row],[Column8]]), (deployment_raw[[#This Row],[Column8]]  * deployment_raw[[#This Row],[Column5]]),"")</f>
        <v/>
      </c>
      <c r="I833" s="176" t="str">
        <f>IF(ISNUMBER(deployment_raw[[#This Row],[Column9]]), (deployment_raw[[#This Row],[Column9]] * deployment_raw[[#This Row],[Column5]])/1048576,"")</f>
        <v/>
      </c>
      <c r="J833" s="57" t="str">
        <f>IF(ISNUMBER(deployment_raw[[#This Row],[Column10]]), (deployment_raw[[#This Row],[Column10]] * deployment_raw[[#This Row],[Column5]]),"")</f>
        <v/>
      </c>
      <c r="K833" s="58" t="str">
        <f>IF(ISNUMBER(deployment_raw[[#This Row],[Column11]]), (deployment_raw[[#This Row],[Column11]] * deployment_raw[[#This Row],[Column5]])/1048576,"")</f>
        <v/>
      </c>
      <c r="L833" s="180" t="str">
        <f>IF(ISNUMBER(deployment_raw[[#This Row],[Column8]]),IF(deployment_raw[[#This Row],[Column5]] &lt;&gt; 0, MAX((deployment_raw[[#This Row],[Column12]] * deployment_raw[[#This Row],[Column5]]), ((deployment_raw[[#This Row],[Column8]] * deployment_raw[[#This Row],[Column5]]) * $L$2), ($H$2 * deployment_raw[[#This Row],[Column5]])), 0),"")</f>
        <v/>
      </c>
      <c r="M83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33" s="188" t="str">
        <f>IF(ISNUMBER(deployment_raw[[#This Row],[Column14]]), deployment_raw[[#This Row],[Column14]],"")</f>
        <v/>
      </c>
      <c r="O833" s="189" t="str">
        <f>IF(ISNUMBER(deployment_raw[[#This Row],[Column15]]), deployment_raw[[#This Row],[Column15]]/1048576,"")</f>
        <v/>
      </c>
      <c r="P833" s="190" t="str">
        <f>IF(ISNUMBER(deployment_raw[[#This Row],[Column12]]), (deployment_raw[[#This Row],[Column12]] * deployment_raw[[#This Row],[Column5]]),"")</f>
        <v/>
      </c>
      <c r="Q833" s="189" t="str">
        <f>IF(ISNUMBER(deployment_raw[[#This Row],[Column13]]), (deployment_raw[[#This Row],[Column13]] * deployment_raw[[#This Row],[Column5]])/1048576,"")</f>
        <v/>
      </c>
    </row>
    <row r="834" spans="1:17" ht="15.75" customHeight="1" x14ac:dyDescent="0.25">
      <c r="A834" s="37" t="str">
        <f>IF(ISNONTEXT(deployment_raw[[#This Row],[Column1]]), "", deployment_raw[[#This Row],[Column1]])</f>
        <v/>
      </c>
      <c r="B834" s="38" t="str">
        <f>IF(ISNONTEXT(deployment_raw[[#This Row],[Column2]]), "", deployment_raw[[#This Row],[Column2]])</f>
        <v/>
      </c>
      <c r="C834" s="38" t="str">
        <f>IF(ISNONTEXT(deployment_raw[[#This Row],[Column3]]), "", deployment_raw[[#This Row],[Column3]])</f>
        <v/>
      </c>
      <c r="D834" s="38" t="str">
        <f>IF(ISNONTEXT(deployment_raw[[#This Row],[Column4]]), "", deployment_raw[[#This Row],[Column4]])</f>
        <v/>
      </c>
      <c r="E834" s="39" t="str">
        <f>IF(ISNUMBER(deployment_raw[[#This Row],[Column5]]), deployment_raw[[#This Row],[Column5]],"")</f>
        <v/>
      </c>
      <c r="F834" s="174" t="str">
        <f>IF(ISNUMBER(deployment_raw[[#This Row],[Column6]]), (deployment_raw[[#This Row],[Column6]] * deployment_raw[[#This Row],[Column5]]),"")</f>
        <v/>
      </c>
      <c r="G834" s="175" t="str">
        <f>IF(ISNUMBER(deployment_raw[[#This Row],[Column7]]), (deployment_raw[[#This Row],[Column7]] * deployment_raw[[#This Row],[Column5]])/1048576,"")</f>
        <v/>
      </c>
      <c r="H834" s="175" t="str">
        <f>IF(ISNUMBER(deployment_raw[[#This Row],[Column8]]), (deployment_raw[[#This Row],[Column8]]  * deployment_raw[[#This Row],[Column5]]),"")</f>
        <v/>
      </c>
      <c r="I834" s="176" t="str">
        <f>IF(ISNUMBER(deployment_raw[[#This Row],[Column9]]), (deployment_raw[[#This Row],[Column9]] * deployment_raw[[#This Row],[Column5]])/1048576,"")</f>
        <v/>
      </c>
      <c r="J834" s="57" t="str">
        <f>IF(ISNUMBER(deployment_raw[[#This Row],[Column10]]), (deployment_raw[[#This Row],[Column10]] * deployment_raw[[#This Row],[Column5]]),"")</f>
        <v/>
      </c>
      <c r="K834" s="58" t="str">
        <f>IF(ISNUMBER(deployment_raw[[#This Row],[Column11]]), (deployment_raw[[#This Row],[Column11]] * deployment_raw[[#This Row],[Column5]])/1048576,"")</f>
        <v/>
      </c>
      <c r="L834" s="180" t="str">
        <f>IF(ISNUMBER(deployment_raw[[#This Row],[Column8]]),IF(deployment_raw[[#This Row],[Column5]] &lt;&gt; 0, MAX((deployment_raw[[#This Row],[Column12]] * deployment_raw[[#This Row],[Column5]]), ((deployment_raw[[#This Row],[Column8]] * deployment_raw[[#This Row],[Column5]]) * $L$2), ($H$2 * deployment_raw[[#This Row],[Column5]])), 0),"")</f>
        <v/>
      </c>
      <c r="M83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34" s="188" t="str">
        <f>IF(ISNUMBER(deployment_raw[[#This Row],[Column14]]), deployment_raw[[#This Row],[Column14]],"")</f>
        <v/>
      </c>
      <c r="O834" s="189" t="str">
        <f>IF(ISNUMBER(deployment_raw[[#This Row],[Column15]]), deployment_raw[[#This Row],[Column15]]/1048576,"")</f>
        <v/>
      </c>
      <c r="P834" s="190" t="str">
        <f>IF(ISNUMBER(deployment_raw[[#This Row],[Column12]]), (deployment_raw[[#This Row],[Column12]] * deployment_raw[[#This Row],[Column5]]),"")</f>
        <v/>
      </c>
      <c r="Q834" s="189" t="str">
        <f>IF(ISNUMBER(deployment_raw[[#This Row],[Column13]]), (deployment_raw[[#This Row],[Column13]] * deployment_raw[[#This Row],[Column5]])/1048576,"")</f>
        <v/>
      </c>
    </row>
    <row r="835" spans="1:17" ht="15.75" customHeight="1" x14ac:dyDescent="0.25">
      <c r="A835" s="37" t="str">
        <f>IF(ISNONTEXT(deployment_raw[[#This Row],[Column1]]), "", deployment_raw[[#This Row],[Column1]])</f>
        <v/>
      </c>
      <c r="B835" s="38" t="str">
        <f>IF(ISNONTEXT(deployment_raw[[#This Row],[Column2]]), "", deployment_raw[[#This Row],[Column2]])</f>
        <v/>
      </c>
      <c r="C835" s="38" t="str">
        <f>IF(ISNONTEXT(deployment_raw[[#This Row],[Column3]]), "", deployment_raw[[#This Row],[Column3]])</f>
        <v/>
      </c>
      <c r="D835" s="38" t="str">
        <f>IF(ISNONTEXT(deployment_raw[[#This Row],[Column4]]), "", deployment_raw[[#This Row],[Column4]])</f>
        <v/>
      </c>
      <c r="E835" s="39" t="str">
        <f>IF(ISNUMBER(deployment_raw[[#This Row],[Column5]]), deployment_raw[[#This Row],[Column5]],"")</f>
        <v/>
      </c>
      <c r="F835" s="174" t="str">
        <f>IF(ISNUMBER(deployment_raw[[#This Row],[Column6]]), (deployment_raw[[#This Row],[Column6]] * deployment_raw[[#This Row],[Column5]]),"")</f>
        <v/>
      </c>
      <c r="G835" s="175" t="str">
        <f>IF(ISNUMBER(deployment_raw[[#This Row],[Column7]]), (deployment_raw[[#This Row],[Column7]] * deployment_raw[[#This Row],[Column5]])/1048576,"")</f>
        <v/>
      </c>
      <c r="H835" s="175" t="str">
        <f>IF(ISNUMBER(deployment_raw[[#This Row],[Column8]]), (deployment_raw[[#This Row],[Column8]]  * deployment_raw[[#This Row],[Column5]]),"")</f>
        <v/>
      </c>
      <c r="I835" s="176" t="str">
        <f>IF(ISNUMBER(deployment_raw[[#This Row],[Column9]]), (deployment_raw[[#This Row],[Column9]] * deployment_raw[[#This Row],[Column5]])/1048576,"")</f>
        <v/>
      </c>
      <c r="J835" s="57" t="str">
        <f>IF(ISNUMBER(deployment_raw[[#This Row],[Column10]]), (deployment_raw[[#This Row],[Column10]] * deployment_raw[[#This Row],[Column5]]),"")</f>
        <v/>
      </c>
      <c r="K835" s="58" t="str">
        <f>IF(ISNUMBER(deployment_raw[[#This Row],[Column11]]), (deployment_raw[[#This Row],[Column11]] * deployment_raw[[#This Row],[Column5]])/1048576,"")</f>
        <v/>
      </c>
      <c r="L835" s="180" t="str">
        <f>IF(ISNUMBER(deployment_raw[[#This Row],[Column8]]),IF(deployment_raw[[#This Row],[Column5]] &lt;&gt; 0, MAX((deployment_raw[[#This Row],[Column12]] * deployment_raw[[#This Row],[Column5]]), ((deployment_raw[[#This Row],[Column8]] * deployment_raw[[#This Row],[Column5]]) * $L$2), ($H$2 * deployment_raw[[#This Row],[Column5]])), 0),"")</f>
        <v/>
      </c>
      <c r="M83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35" s="188" t="str">
        <f>IF(ISNUMBER(deployment_raw[[#This Row],[Column14]]), deployment_raw[[#This Row],[Column14]],"")</f>
        <v/>
      </c>
      <c r="O835" s="189" t="str">
        <f>IF(ISNUMBER(deployment_raw[[#This Row],[Column15]]), deployment_raw[[#This Row],[Column15]]/1048576,"")</f>
        <v/>
      </c>
      <c r="P835" s="190" t="str">
        <f>IF(ISNUMBER(deployment_raw[[#This Row],[Column12]]), (deployment_raw[[#This Row],[Column12]] * deployment_raw[[#This Row],[Column5]]),"")</f>
        <v/>
      </c>
      <c r="Q835" s="189" t="str">
        <f>IF(ISNUMBER(deployment_raw[[#This Row],[Column13]]), (deployment_raw[[#This Row],[Column13]] * deployment_raw[[#This Row],[Column5]])/1048576,"")</f>
        <v/>
      </c>
    </row>
    <row r="836" spans="1:17" ht="15.75" customHeight="1" x14ac:dyDescent="0.25">
      <c r="A836" s="37" t="str">
        <f>IF(ISNONTEXT(deployment_raw[[#This Row],[Column1]]), "", deployment_raw[[#This Row],[Column1]])</f>
        <v/>
      </c>
      <c r="B836" s="38" t="str">
        <f>IF(ISNONTEXT(deployment_raw[[#This Row],[Column2]]), "", deployment_raw[[#This Row],[Column2]])</f>
        <v/>
      </c>
      <c r="C836" s="38" t="str">
        <f>IF(ISNONTEXT(deployment_raw[[#This Row],[Column3]]), "", deployment_raw[[#This Row],[Column3]])</f>
        <v/>
      </c>
      <c r="D836" s="38" t="str">
        <f>IF(ISNONTEXT(deployment_raw[[#This Row],[Column4]]), "", deployment_raw[[#This Row],[Column4]])</f>
        <v/>
      </c>
      <c r="E836" s="39" t="str">
        <f>IF(ISNUMBER(deployment_raw[[#This Row],[Column5]]), deployment_raw[[#This Row],[Column5]],"")</f>
        <v/>
      </c>
      <c r="F836" s="174" t="str">
        <f>IF(ISNUMBER(deployment_raw[[#This Row],[Column6]]), (deployment_raw[[#This Row],[Column6]] * deployment_raw[[#This Row],[Column5]]),"")</f>
        <v/>
      </c>
      <c r="G836" s="175" t="str">
        <f>IF(ISNUMBER(deployment_raw[[#This Row],[Column7]]), (deployment_raw[[#This Row],[Column7]] * deployment_raw[[#This Row],[Column5]])/1048576,"")</f>
        <v/>
      </c>
      <c r="H836" s="175" t="str">
        <f>IF(ISNUMBER(deployment_raw[[#This Row],[Column8]]), (deployment_raw[[#This Row],[Column8]]  * deployment_raw[[#This Row],[Column5]]),"")</f>
        <v/>
      </c>
      <c r="I836" s="176" t="str">
        <f>IF(ISNUMBER(deployment_raw[[#This Row],[Column9]]), (deployment_raw[[#This Row],[Column9]] * deployment_raw[[#This Row],[Column5]])/1048576,"")</f>
        <v/>
      </c>
      <c r="J836" s="57" t="str">
        <f>IF(ISNUMBER(deployment_raw[[#This Row],[Column10]]), (deployment_raw[[#This Row],[Column10]] * deployment_raw[[#This Row],[Column5]]),"")</f>
        <v/>
      </c>
      <c r="K836" s="58" t="str">
        <f>IF(ISNUMBER(deployment_raw[[#This Row],[Column11]]), (deployment_raw[[#This Row],[Column11]] * deployment_raw[[#This Row],[Column5]])/1048576,"")</f>
        <v/>
      </c>
      <c r="L836" s="180" t="str">
        <f>IF(ISNUMBER(deployment_raw[[#This Row],[Column8]]),IF(deployment_raw[[#This Row],[Column5]] &lt;&gt; 0, MAX((deployment_raw[[#This Row],[Column12]] * deployment_raw[[#This Row],[Column5]]), ((deployment_raw[[#This Row],[Column8]] * deployment_raw[[#This Row],[Column5]]) * $L$2), ($H$2 * deployment_raw[[#This Row],[Column5]])), 0),"")</f>
        <v/>
      </c>
      <c r="M83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36" s="188" t="str">
        <f>IF(ISNUMBER(deployment_raw[[#This Row],[Column14]]), deployment_raw[[#This Row],[Column14]],"")</f>
        <v/>
      </c>
      <c r="O836" s="189" t="str">
        <f>IF(ISNUMBER(deployment_raw[[#This Row],[Column15]]), deployment_raw[[#This Row],[Column15]]/1048576,"")</f>
        <v/>
      </c>
      <c r="P836" s="190" t="str">
        <f>IF(ISNUMBER(deployment_raw[[#This Row],[Column12]]), (deployment_raw[[#This Row],[Column12]] * deployment_raw[[#This Row],[Column5]]),"")</f>
        <v/>
      </c>
      <c r="Q836" s="189" t="str">
        <f>IF(ISNUMBER(deployment_raw[[#This Row],[Column13]]), (deployment_raw[[#This Row],[Column13]] * deployment_raw[[#This Row],[Column5]])/1048576,"")</f>
        <v/>
      </c>
    </row>
    <row r="837" spans="1:17" ht="15.75" customHeight="1" x14ac:dyDescent="0.25">
      <c r="A837" s="37" t="str">
        <f>IF(ISNONTEXT(deployment_raw[[#This Row],[Column1]]), "", deployment_raw[[#This Row],[Column1]])</f>
        <v/>
      </c>
      <c r="B837" s="38" t="str">
        <f>IF(ISNONTEXT(deployment_raw[[#This Row],[Column2]]), "", deployment_raw[[#This Row],[Column2]])</f>
        <v/>
      </c>
      <c r="C837" s="38" t="str">
        <f>IF(ISNONTEXT(deployment_raw[[#This Row],[Column3]]), "", deployment_raw[[#This Row],[Column3]])</f>
        <v/>
      </c>
      <c r="D837" s="38" t="str">
        <f>IF(ISNONTEXT(deployment_raw[[#This Row],[Column4]]), "", deployment_raw[[#This Row],[Column4]])</f>
        <v/>
      </c>
      <c r="E837" s="39" t="str">
        <f>IF(ISNUMBER(deployment_raw[[#This Row],[Column5]]), deployment_raw[[#This Row],[Column5]],"")</f>
        <v/>
      </c>
      <c r="F837" s="174" t="str">
        <f>IF(ISNUMBER(deployment_raw[[#This Row],[Column6]]), (deployment_raw[[#This Row],[Column6]] * deployment_raw[[#This Row],[Column5]]),"")</f>
        <v/>
      </c>
      <c r="G837" s="175" t="str">
        <f>IF(ISNUMBER(deployment_raw[[#This Row],[Column7]]), (deployment_raw[[#This Row],[Column7]] * deployment_raw[[#This Row],[Column5]])/1048576,"")</f>
        <v/>
      </c>
      <c r="H837" s="175" t="str">
        <f>IF(ISNUMBER(deployment_raw[[#This Row],[Column8]]), (deployment_raw[[#This Row],[Column8]]  * deployment_raw[[#This Row],[Column5]]),"")</f>
        <v/>
      </c>
      <c r="I837" s="176" t="str">
        <f>IF(ISNUMBER(deployment_raw[[#This Row],[Column9]]), (deployment_raw[[#This Row],[Column9]] * deployment_raw[[#This Row],[Column5]])/1048576,"")</f>
        <v/>
      </c>
      <c r="J837" s="57" t="str">
        <f>IF(ISNUMBER(deployment_raw[[#This Row],[Column10]]), (deployment_raw[[#This Row],[Column10]] * deployment_raw[[#This Row],[Column5]]),"")</f>
        <v/>
      </c>
      <c r="K837" s="58" t="str">
        <f>IF(ISNUMBER(deployment_raw[[#This Row],[Column11]]), (deployment_raw[[#This Row],[Column11]] * deployment_raw[[#This Row],[Column5]])/1048576,"")</f>
        <v/>
      </c>
      <c r="L837" s="180" t="str">
        <f>IF(ISNUMBER(deployment_raw[[#This Row],[Column8]]),IF(deployment_raw[[#This Row],[Column5]] &lt;&gt; 0, MAX((deployment_raw[[#This Row],[Column12]] * deployment_raw[[#This Row],[Column5]]), ((deployment_raw[[#This Row],[Column8]] * deployment_raw[[#This Row],[Column5]]) * $L$2), ($H$2 * deployment_raw[[#This Row],[Column5]])), 0),"")</f>
        <v/>
      </c>
      <c r="M83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37" s="188" t="str">
        <f>IF(ISNUMBER(deployment_raw[[#This Row],[Column14]]), deployment_raw[[#This Row],[Column14]],"")</f>
        <v/>
      </c>
      <c r="O837" s="189" t="str">
        <f>IF(ISNUMBER(deployment_raw[[#This Row],[Column15]]), deployment_raw[[#This Row],[Column15]]/1048576,"")</f>
        <v/>
      </c>
      <c r="P837" s="190" t="str">
        <f>IF(ISNUMBER(deployment_raw[[#This Row],[Column12]]), (deployment_raw[[#This Row],[Column12]] * deployment_raw[[#This Row],[Column5]]),"")</f>
        <v/>
      </c>
      <c r="Q837" s="189" t="str">
        <f>IF(ISNUMBER(deployment_raw[[#This Row],[Column13]]), (deployment_raw[[#This Row],[Column13]] * deployment_raw[[#This Row],[Column5]])/1048576,"")</f>
        <v/>
      </c>
    </row>
    <row r="838" spans="1:17" ht="15.75" customHeight="1" x14ac:dyDescent="0.25">
      <c r="A838" s="37" t="str">
        <f>IF(ISNONTEXT(deployment_raw[[#This Row],[Column1]]), "", deployment_raw[[#This Row],[Column1]])</f>
        <v/>
      </c>
      <c r="B838" s="38" t="str">
        <f>IF(ISNONTEXT(deployment_raw[[#This Row],[Column2]]), "", deployment_raw[[#This Row],[Column2]])</f>
        <v/>
      </c>
      <c r="C838" s="38" t="str">
        <f>IF(ISNONTEXT(deployment_raw[[#This Row],[Column3]]), "", deployment_raw[[#This Row],[Column3]])</f>
        <v/>
      </c>
      <c r="D838" s="38" t="str">
        <f>IF(ISNONTEXT(deployment_raw[[#This Row],[Column4]]), "", deployment_raw[[#This Row],[Column4]])</f>
        <v/>
      </c>
      <c r="E838" s="39" t="str">
        <f>IF(ISNUMBER(deployment_raw[[#This Row],[Column5]]), deployment_raw[[#This Row],[Column5]],"")</f>
        <v/>
      </c>
      <c r="F838" s="174" t="str">
        <f>IF(ISNUMBER(deployment_raw[[#This Row],[Column6]]), (deployment_raw[[#This Row],[Column6]] * deployment_raw[[#This Row],[Column5]]),"")</f>
        <v/>
      </c>
      <c r="G838" s="175" t="str">
        <f>IF(ISNUMBER(deployment_raw[[#This Row],[Column7]]), (deployment_raw[[#This Row],[Column7]] * deployment_raw[[#This Row],[Column5]])/1048576,"")</f>
        <v/>
      </c>
      <c r="H838" s="175" t="str">
        <f>IF(ISNUMBER(deployment_raw[[#This Row],[Column8]]), (deployment_raw[[#This Row],[Column8]]  * deployment_raw[[#This Row],[Column5]]),"")</f>
        <v/>
      </c>
      <c r="I838" s="176" t="str">
        <f>IF(ISNUMBER(deployment_raw[[#This Row],[Column9]]), (deployment_raw[[#This Row],[Column9]] * deployment_raw[[#This Row],[Column5]])/1048576,"")</f>
        <v/>
      </c>
      <c r="J838" s="57" t="str">
        <f>IF(ISNUMBER(deployment_raw[[#This Row],[Column10]]), (deployment_raw[[#This Row],[Column10]] * deployment_raw[[#This Row],[Column5]]),"")</f>
        <v/>
      </c>
      <c r="K838" s="58" t="str">
        <f>IF(ISNUMBER(deployment_raw[[#This Row],[Column11]]), (deployment_raw[[#This Row],[Column11]] * deployment_raw[[#This Row],[Column5]])/1048576,"")</f>
        <v/>
      </c>
      <c r="L838" s="180" t="str">
        <f>IF(ISNUMBER(deployment_raw[[#This Row],[Column8]]),IF(deployment_raw[[#This Row],[Column5]] &lt;&gt; 0, MAX((deployment_raw[[#This Row],[Column12]] * deployment_raw[[#This Row],[Column5]]), ((deployment_raw[[#This Row],[Column8]] * deployment_raw[[#This Row],[Column5]]) * $L$2), ($H$2 * deployment_raw[[#This Row],[Column5]])), 0),"")</f>
        <v/>
      </c>
      <c r="M83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38" s="188" t="str">
        <f>IF(ISNUMBER(deployment_raw[[#This Row],[Column14]]), deployment_raw[[#This Row],[Column14]],"")</f>
        <v/>
      </c>
      <c r="O838" s="189" t="str">
        <f>IF(ISNUMBER(deployment_raw[[#This Row],[Column15]]), deployment_raw[[#This Row],[Column15]]/1048576,"")</f>
        <v/>
      </c>
      <c r="P838" s="190" t="str">
        <f>IF(ISNUMBER(deployment_raw[[#This Row],[Column12]]), (deployment_raw[[#This Row],[Column12]] * deployment_raw[[#This Row],[Column5]]),"")</f>
        <v/>
      </c>
      <c r="Q838" s="189" t="str">
        <f>IF(ISNUMBER(deployment_raw[[#This Row],[Column13]]), (deployment_raw[[#This Row],[Column13]] * deployment_raw[[#This Row],[Column5]])/1048576,"")</f>
        <v/>
      </c>
    </row>
    <row r="839" spans="1:17" ht="15.75" customHeight="1" x14ac:dyDescent="0.25">
      <c r="A839" s="37" t="str">
        <f>IF(ISNONTEXT(deployment_raw[[#This Row],[Column1]]), "", deployment_raw[[#This Row],[Column1]])</f>
        <v/>
      </c>
      <c r="B839" s="38" t="str">
        <f>IF(ISNONTEXT(deployment_raw[[#This Row],[Column2]]), "", deployment_raw[[#This Row],[Column2]])</f>
        <v/>
      </c>
      <c r="C839" s="38" t="str">
        <f>IF(ISNONTEXT(deployment_raw[[#This Row],[Column3]]), "", deployment_raw[[#This Row],[Column3]])</f>
        <v/>
      </c>
      <c r="D839" s="38" t="str">
        <f>IF(ISNONTEXT(deployment_raw[[#This Row],[Column4]]), "", deployment_raw[[#This Row],[Column4]])</f>
        <v/>
      </c>
      <c r="E839" s="39" t="str">
        <f>IF(ISNUMBER(deployment_raw[[#This Row],[Column5]]), deployment_raw[[#This Row],[Column5]],"")</f>
        <v/>
      </c>
      <c r="F839" s="174" t="str">
        <f>IF(ISNUMBER(deployment_raw[[#This Row],[Column6]]), (deployment_raw[[#This Row],[Column6]] * deployment_raw[[#This Row],[Column5]]),"")</f>
        <v/>
      </c>
      <c r="G839" s="175" t="str">
        <f>IF(ISNUMBER(deployment_raw[[#This Row],[Column7]]), (deployment_raw[[#This Row],[Column7]] * deployment_raw[[#This Row],[Column5]])/1048576,"")</f>
        <v/>
      </c>
      <c r="H839" s="175" t="str">
        <f>IF(ISNUMBER(deployment_raw[[#This Row],[Column8]]), (deployment_raw[[#This Row],[Column8]]  * deployment_raw[[#This Row],[Column5]]),"")</f>
        <v/>
      </c>
      <c r="I839" s="176" t="str">
        <f>IF(ISNUMBER(deployment_raw[[#This Row],[Column9]]), (deployment_raw[[#This Row],[Column9]] * deployment_raw[[#This Row],[Column5]])/1048576,"")</f>
        <v/>
      </c>
      <c r="J839" s="57" t="str">
        <f>IF(ISNUMBER(deployment_raw[[#This Row],[Column10]]), (deployment_raw[[#This Row],[Column10]] * deployment_raw[[#This Row],[Column5]]),"")</f>
        <v/>
      </c>
      <c r="K839" s="58" t="str">
        <f>IF(ISNUMBER(deployment_raw[[#This Row],[Column11]]), (deployment_raw[[#This Row],[Column11]] * deployment_raw[[#This Row],[Column5]])/1048576,"")</f>
        <v/>
      </c>
      <c r="L839" s="180" t="str">
        <f>IF(ISNUMBER(deployment_raw[[#This Row],[Column8]]),IF(deployment_raw[[#This Row],[Column5]] &lt;&gt; 0, MAX((deployment_raw[[#This Row],[Column12]] * deployment_raw[[#This Row],[Column5]]), ((deployment_raw[[#This Row],[Column8]] * deployment_raw[[#This Row],[Column5]]) * $L$2), ($H$2 * deployment_raw[[#This Row],[Column5]])), 0),"")</f>
        <v/>
      </c>
      <c r="M83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39" s="188" t="str">
        <f>IF(ISNUMBER(deployment_raw[[#This Row],[Column14]]), deployment_raw[[#This Row],[Column14]],"")</f>
        <v/>
      </c>
      <c r="O839" s="189" t="str">
        <f>IF(ISNUMBER(deployment_raw[[#This Row],[Column15]]), deployment_raw[[#This Row],[Column15]]/1048576,"")</f>
        <v/>
      </c>
      <c r="P839" s="190" t="str">
        <f>IF(ISNUMBER(deployment_raw[[#This Row],[Column12]]), (deployment_raw[[#This Row],[Column12]] * deployment_raw[[#This Row],[Column5]]),"")</f>
        <v/>
      </c>
      <c r="Q839" s="189" t="str">
        <f>IF(ISNUMBER(deployment_raw[[#This Row],[Column13]]), (deployment_raw[[#This Row],[Column13]] * deployment_raw[[#This Row],[Column5]])/1048576,"")</f>
        <v/>
      </c>
    </row>
    <row r="840" spans="1:17" ht="15.75" customHeight="1" x14ac:dyDescent="0.25">
      <c r="A840" s="37" t="str">
        <f>IF(ISNONTEXT(deployment_raw[[#This Row],[Column1]]), "", deployment_raw[[#This Row],[Column1]])</f>
        <v/>
      </c>
      <c r="B840" s="38" t="str">
        <f>IF(ISNONTEXT(deployment_raw[[#This Row],[Column2]]), "", deployment_raw[[#This Row],[Column2]])</f>
        <v/>
      </c>
      <c r="C840" s="38" t="str">
        <f>IF(ISNONTEXT(deployment_raw[[#This Row],[Column3]]), "", deployment_raw[[#This Row],[Column3]])</f>
        <v/>
      </c>
      <c r="D840" s="38" t="str">
        <f>IF(ISNONTEXT(deployment_raw[[#This Row],[Column4]]), "", deployment_raw[[#This Row],[Column4]])</f>
        <v/>
      </c>
      <c r="E840" s="39" t="str">
        <f>IF(ISNUMBER(deployment_raw[[#This Row],[Column5]]), deployment_raw[[#This Row],[Column5]],"")</f>
        <v/>
      </c>
      <c r="F840" s="174" t="str">
        <f>IF(ISNUMBER(deployment_raw[[#This Row],[Column6]]), (deployment_raw[[#This Row],[Column6]] * deployment_raw[[#This Row],[Column5]]),"")</f>
        <v/>
      </c>
      <c r="G840" s="175" t="str">
        <f>IF(ISNUMBER(deployment_raw[[#This Row],[Column7]]), (deployment_raw[[#This Row],[Column7]] * deployment_raw[[#This Row],[Column5]])/1048576,"")</f>
        <v/>
      </c>
      <c r="H840" s="175" t="str">
        <f>IF(ISNUMBER(deployment_raw[[#This Row],[Column8]]), (deployment_raw[[#This Row],[Column8]]  * deployment_raw[[#This Row],[Column5]]),"")</f>
        <v/>
      </c>
      <c r="I840" s="176" t="str">
        <f>IF(ISNUMBER(deployment_raw[[#This Row],[Column9]]), (deployment_raw[[#This Row],[Column9]] * deployment_raw[[#This Row],[Column5]])/1048576,"")</f>
        <v/>
      </c>
      <c r="J840" s="57" t="str">
        <f>IF(ISNUMBER(deployment_raw[[#This Row],[Column10]]), (deployment_raw[[#This Row],[Column10]] * deployment_raw[[#This Row],[Column5]]),"")</f>
        <v/>
      </c>
      <c r="K840" s="58" t="str">
        <f>IF(ISNUMBER(deployment_raw[[#This Row],[Column11]]), (deployment_raw[[#This Row],[Column11]] * deployment_raw[[#This Row],[Column5]])/1048576,"")</f>
        <v/>
      </c>
      <c r="L840" s="180" t="str">
        <f>IF(ISNUMBER(deployment_raw[[#This Row],[Column8]]),IF(deployment_raw[[#This Row],[Column5]] &lt;&gt; 0, MAX((deployment_raw[[#This Row],[Column12]] * deployment_raw[[#This Row],[Column5]]), ((deployment_raw[[#This Row],[Column8]] * deployment_raw[[#This Row],[Column5]]) * $L$2), ($H$2 * deployment_raw[[#This Row],[Column5]])), 0),"")</f>
        <v/>
      </c>
      <c r="M84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40" s="188" t="str">
        <f>IF(ISNUMBER(deployment_raw[[#This Row],[Column14]]), deployment_raw[[#This Row],[Column14]],"")</f>
        <v/>
      </c>
      <c r="O840" s="189" t="str">
        <f>IF(ISNUMBER(deployment_raw[[#This Row],[Column15]]), deployment_raw[[#This Row],[Column15]]/1048576,"")</f>
        <v/>
      </c>
      <c r="P840" s="190" t="str">
        <f>IF(ISNUMBER(deployment_raw[[#This Row],[Column12]]), (deployment_raw[[#This Row],[Column12]] * deployment_raw[[#This Row],[Column5]]),"")</f>
        <v/>
      </c>
      <c r="Q840" s="189" t="str">
        <f>IF(ISNUMBER(deployment_raw[[#This Row],[Column13]]), (deployment_raw[[#This Row],[Column13]] * deployment_raw[[#This Row],[Column5]])/1048576,"")</f>
        <v/>
      </c>
    </row>
    <row r="841" spans="1:17" ht="15.75" customHeight="1" x14ac:dyDescent="0.25">
      <c r="A841" s="37" t="str">
        <f>IF(ISNONTEXT(deployment_raw[[#This Row],[Column1]]), "", deployment_raw[[#This Row],[Column1]])</f>
        <v/>
      </c>
      <c r="B841" s="38" t="str">
        <f>IF(ISNONTEXT(deployment_raw[[#This Row],[Column2]]), "", deployment_raw[[#This Row],[Column2]])</f>
        <v/>
      </c>
      <c r="C841" s="38" t="str">
        <f>IF(ISNONTEXT(deployment_raw[[#This Row],[Column3]]), "", deployment_raw[[#This Row],[Column3]])</f>
        <v/>
      </c>
      <c r="D841" s="38" t="str">
        <f>IF(ISNONTEXT(deployment_raw[[#This Row],[Column4]]), "", deployment_raw[[#This Row],[Column4]])</f>
        <v/>
      </c>
      <c r="E841" s="39" t="str">
        <f>IF(ISNUMBER(deployment_raw[[#This Row],[Column5]]), deployment_raw[[#This Row],[Column5]],"")</f>
        <v/>
      </c>
      <c r="F841" s="174" t="str">
        <f>IF(ISNUMBER(deployment_raw[[#This Row],[Column6]]), (deployment_raw[[#This Row],[Column6]] * deployment_raw[[#This Row],[Column5]]),"")</f>
        <v/>
      </c>
      <c r="G841" s="175" t="str">
        <f>IF(ISNUMBER(deployment_raw[[#This Row],[Column7]]), (deployment_raw[[#This Row],[Column7]] * deployment_raw[[#This Row],[Column5]])/1048576,"")</f>
        <v/>
      </c>
      <c r="H841" s="175" t="str">
        <f>IF(ISNUMBER(deployment_raw[[#This Row],[Column8]]), (deployment_raw[[#This Row],[Column8]]  * deployment_raw[[#This Row],[Column5]]),"")</f>
        <v/>
      </c>
      <c r="I841" s="176" t="str">
        <f>IF(ISNUMBER(deployment_raw[[#This Row],[Column9]]), (deployment_raw[[#This Row],[Column9]] * deployment_raw[[#This Row],[Column5]])/1048576,"")</f>
        <v/>
      </c>
      <c r="J841" s="57" t="str">
        <f>IF(ISNUMBER(deployment_raw[[#This Row],[Column10]]), (deployment_raw[[#This Row],[Column10]] * deployment_raw[[#This Row],[Column5]]),"")</f>
        <v/>
      </c>
      <c r="K841" s="58" t="str">
        <f>IF(ISNUMBER(deployment_raw[[#This Row],[Column11]]), (deployment_raw[[#This Row],[Column11]] * deployment_raw[[#This Row],[Column5]])/1048576,"")</f>
        <v/>
      </c>
      <c r="L841" s="180" t="str">
        <f>IF(ISNUMBER(deployment_raw[[#This Row],[Column8]]),IF(deployment_raw[[#This Row],[Column5]] &lt;&gt; 0, MAX((deployment_raw[[#This Row],[Column12]] * deployment_raw[[#This Row],[Column5]]), ((deployment_raw[[#This Row],[Column8]] * deployment_raw[[#This Row],[Column5]]) * $L$2), ($H$2 * deployment_raw[[#This Row],[Column5]])), 0),"")</f>
        <v/>
      </c>
      <c r="M84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41" s="188" t="str">
        <f>IF(ISNUMBER(deployment_raw[[#This Row],[Column14]]), deployment_raw[[#This Row],[Column14]],"")</f>
        <v/>
      </c>
      <c r="O841" s="189" t="str">
        <f>IF(ISNUMBER(deployment_raw[[#This Row],[Column15]]), deployment_raw[[#This Row],[Column15]]/1048576,"")</f>
        <v/>
      </c>
      <c r="P841" s="190" t="str">
        <f>IF(ISNUMBER(deployment_raw[[#This Row],[Column12]]), (deployment_raw[[#This Row],[Column12]] * deployment_raw[[#This Row],[Column5]]),"")</f>
        <v/>
      </c>
      <c r="Q841" s="189" t="str">
        <f>IF(ISNUMBER(deployment_raw[[#This Row],[Column13]]), (deployment_raw[[#This Row],[Column13]] * deployment_raw[[#This Row],[Column5]])/1048576,"")</f>
        <v/>
      </c>
    </row>
    <row r="842" spans="1:17" ht="15.75" customHeight="1" x14ac:dyDescent="0.25">
      <c r="A842" s="37" t="str">
        <f>IF(ISNONTEXT(deployment_raw[[#This Row],[Column1]]), "", deployment_raw[[#This Row],[Column1]])</f>
        <v/>
      </c>
      <c r="B842" s="38" t="str">
        <f>IF(ISNONTEXT(deployment_raw[[#This Row],[Column2]]), "", deployment_raw[[#This Row],[Column2]])</f>
        <v/>
      </c>
      <c r="C842" s="38" t="str">
        <f>IF(ISNONTEXT(deployment_raw[[#This Row],[Column3]]), "", deployment_raw[[#This Row],[Column3]])</f>
        <v/>
      </c>
      <c r="D842" s="38" t="str">
        <f>IF(ISNONTEXT(deployment_raw[[#This Row],[Column4]]), "", deployment_raw[[#This Row],[Column4]])</f>
        <v/>
      </c>
      <c r="E842" s="39" t="str">
        <f>IF(ISNUMBER(deployment_raw[[#This Row],[Column5]]), deployment_raw[[#This Row],[Column5]],"")</f>
        <v/>
      </c>
      <c r="F842" s="174" t="str">
        <f>IF(ISNUMBER(deployment_raw[[#This Row],[Column6]]), (deployment_raw[[#This Row],[Column6]] * deployment_raw[[#This Row],[Column5]]),"")</f>
        <v/>
      </c>
      <c r="G842" s="175" t="str">
        <f>IF(ISNUMBER(deployment_raw[[#This Row],[Column7]]), (deployment_raw[[#This Row],[Column7]] * deployment_raw[[#This Row],[Column5]])/1048576,"")</f>
        <v/>
      </c>
      <c r="H842" s="175" t="str">
        <f>IF(ISNUMBER(deployment_raw[[#This Row],[Column8]]), (deployment_raw[[#This Row],[Column8]]  * deployment_raw[[#This Row],[Column5]]),"")</f>
        <v/>
      </c>
      <c r="I842" s="176" t="str">
        <f>IF(ISNUMBER(deployment_raw[[#This Row],[Column9]]), (deployment_raw[[#This Row],[Column9]] * deployment_raw[[#This Row],[Column5]])/1048576,"")</f>
        <v/>
      </c>
      <c r="J842" s="57" t="str">
        <f>IF(ISNUMBER(deployment_raw[[#This Row],[Column10]]), (deployment_raw[[#This Row],[Column10]] * deployment_raw[[#This Row],[Column5]]),"")</f>
        <v/>
      </c>
      <c r="K842" s="58" t="str">
        <f>IF(ISNUMBER(deployment_raw[[#This Row],[Column11]]), (deployment_raw[[#This Row],[Column11]] * deployment_raw[[#This Row],[Column5]])/1048576,"")</f>
        <v/>
      </c>
      <c r="L842" s="180" t="str">
        <f>IF(ISNUMBER(deployment_raw[[#This Row],[Column8]]),IF(deployment_raw[[#This Row],[Column5]] &lt;&gt; 0, MAX((deployment_raw[[#This Row],[Column12]] * deployment_raw[[#This Row],[Column5]]), ((deployment_raw[[#This Row],[Column8]] * deployment_raw[[#This Row],[Column5]]) * $L$2), ($H$2 * deployment_raw[[#This Row],[Column5]])), 0),"")</f>
        <v/>
      </c>
      <c r="M84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42" s="188" t="str">
        <f>IF(ISNUMBER(deployment_raw[[#This Row],[Column14]]), deployment_raw[[#This Row],[Column14]],"")</f>
        <v/>
      </c>
      <c r="O842" s="189" t="str">
        <f>IF(ISNUMBER(deployment_raw[[#This Row],[Column15]]), deployment_raw[[#This Row],[Column15]]/1048576,"")</f>
        <v/>
      </c>
      <c r="P842" s="190" t="str">
        <f>IF(ISNUMBER(deployment_raw[[#This Row],[Column12]]), (deployment_raw[[#This Row],[Column12]] * deployment_raw[[#This Row],[Column5]]),"")</f>
        <v/>
      </c>
      <c r="Q842" s="189" t="str">
        <f>IF(ISNUMBER(deployment_raw[[#This Row],[Column13]]), (deployment_raw[[#This Row],[Column13]] * deployment_raw[[#This Row],[Column5]])/1048576,"")</f>
        <v/>
      </c>
    </row>
    <row r="843" spans="1:17" ht="15.75" customHeight="1" x14ac:dyDescent="0.25">
      <c r="A843" s="37" t="str">
        <f>IF(ISNONTEXT(deployment_raw[[#This Row],[Column1]]), "", deployment_raw[[#This Row],[Column1]])</f>
        <v/>
      </c>
      <c r="B843" s="38" t="str">
        <f>IF(ISNONTEXT(deployment_raw[[#This Row],[Column2]]), "", deployment_raw[[#This Row],[Column2]])</f>
        <v/>
      </c>
      <c r="C843" s="38" t="str">
        <f>IF(ISNONTEXT(deployment_raw[[#This Row],[Column3]]), "", deployment_raw[[#This Row],[Column3]])</f>
        <v/>
      </c>
      <c r="D843" s="38" t="str">
        <f>IF(ISNONTEXT(deployment_raw[[#This Row],[Column4]]), "", deployment_raw[[#This Row],[Column4]])</f>
        <v/>
      </c>
      <c r="E843" s="39" t="str">
        <f>IF(ISNUMBER(deployment_raw[[#This Row],[Column5]]), deployment_raw[[#This Row],[Column5]],"")</f>
        <v/>
      </c>
      <c r="F843" s="174" t="str">
        <f>IF(ISNUMBER(deployment_raw[[#This Row],[Column6]]), (deployment_raw[[#This Row],[Column6]] * deployment_raw[[#This Row],[Column5]]),"")</f>
        <v/>
      </c>
      <c r="G843" s="175" t="str">
        <f>IF(ISNUMBER(deployment_raw[[#This Row],[Column7]]), (deployment_raw[[#This Row],[Column7]] * deployment_raw[[#This Row],[Column5]])/1048576,"")</f>
        <v/>
      </c>
      <c r="H843" s="175" t="str">
        <f>IF(ISNUMBER(deployment_raw[[#This Row],[Column8]]), (deployment_raw[[#This Row],[Column8]]  * deployment_raw[[#This Row],[Column5]]),"")</f>
        <v/>
      </c>
      <c r="I843" s="176" t="str">
        <f>IF(ISNUMBER(deployment_raw[[#This Row],[Column9]]), (deployment_raw[[#This Row],[Column9]] * deployment_raw[[#This Row],[Column5]])/1048576,"")</f>
        <v/>
      </c>
      <c r="J843" s="57" t="str">
        <f>IF(ISNUMBER(deployment_raw[[#This Row],[Column10]]), (deployment_raw[[#This Row],[Column10]] * deployment_raw[[#This Row],[Column5]]),"")</f>
        <v/>
      </c>
      <c r="K843" s="58" t="str">
        <f>IF(ISNUMBER(deployment_raw[[#This Row],[Column11]]), (deployment_raw[[#This Row],[Column11]] * deployment_raw[[#This Row],[Column5]])/1048576,"")</f>
        <v/>
      </c>
      <c r="L843" s="180" t="str">
        <f>IF(ISNUMBER(deployment_raw[[#This Row],[Column8]]),IF(deployment_raw[[#This Row],[Column5]] &lt;&gt; 0, MAX((deployment_raw[[#This Row],[Column12]] * deployment_raw[[#This Row],[Column5]]), ((deployment_raw[[#This Row],[Column8]] * deployment_raw[[#This Row],[Column5]]) * $L$2), ($H$2 * deployment_raw[[#This Row],[Column5]])), 0),"")</f>
        <v/>
      </c>
      <c r="M84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43" s="188" t="str">
        <f>IF(ISNUMBER(deployment_raw[[#This Row],[Column14]]), deployment_raw[[#This Row],[Column14]],"")</f>
        <v/>
      </c>
      <c r="O843" s="189" t="str">
        <f>IF(ISNUMBER(deployment_raw[[#This Row],[Column15]]), deployment_raw[[#This Row],[Column15]]/1048576,"")</f>
        <v/>
      </c>
      <c r="P843" s="190" t="str">
        <f>IF(ISNUMBER(deployment_raw[[#This Row],[Column12]]), (deployment_raw[[#This Row],[Column12]] * deployment_raw[[#This Row],[Column5]]),"")</f>
        <v/>
      </c>
      <c r="Q843" s="189" t="str">
        <f>IF(ISNUMBER(deployment_raw[[#This Row],[Column13]]), (deployment_raw[[#This Row],[Column13]] * deployment_raw[[#This Row],[Column5]])/1048576,"")</f>
        <v/>
      </c>
    </row>
    <row r="844" spans="1:17" ht="15.75" customHeight="1" x14ac:dyDescent="0.25">
      <c r="A844" s="37" t="str">
        <f>IF(ISNONTEXT(deployment_raw[[#This Row],[Column1]]), "", deployment_raw[[#This Row],[Column1]])</f>
        <v/>
      </c>
      <c r="B844" s="38" t="str">
        <f>IF(ISNONTEXT(deployment_raw[[#This Row],[Column2]]), "", deployment_raw[[#This Row],[Column2]])</f>
        <v/>
      </c>
      <c r="C844" s="38" t="str">
        <f>IF(ISNONTEXT(deployment_raw[[#This Row],[Column3]]), "", deployment_raw[[#This Row],[Column3]])</f>
        <v/>
      </c>
      <c r="D844" s="38" t="str">
        <f>IF(ISNONTEXT(deployment_raw[[#This Row],[Column4]]), "", deployment_raw[[#This Row],[Column4]])</f>
        <v/>
      </c>
      <c r="E844" s="39" t="str">
        <f>IF(ISNUMBER(deployment_raw[[#This Row],[Column5]]), deployment_raw[[#This Row],[Column5]],"")</f>
        <v/>
      </c>
      <c r="F844" s="174" t="str">
        <f>IF(ISNUMBER(deployment_raw[[#This Row],[Column6]]), (deployment_raw[[#This Row],[Column6]] * deployment_raw[[#This Row],[Column5]]),"")</f>
        <v/>
      </c>
      <c r="G844" s="175" t="str">
        <f>IF(ISNUMBER(deployment_raw[[#This Row],[Column7]]), (deployment_raw[[#This Row],[Column7]] * deployment_raw[[#This Row],[Column5]])/1048576,"")</f>
        <v/>
      </c>
      <c r="H844" s="175" t="str">
        <f>IF(ISNUMBER(deployment_raw[[#This Row],[Column8]]), (deployment_raw[[#This Row],[Column8]]  * deployment_raw[[#This Row],[Column5]]),"")</f>
        <v/>
      </c>
      <c r="I844" s="176" t="str">
        <f>IF(ISNUMBER(deployment_raw[[#This Row],[Column9]]), (deployment_raw[[#This Row],[Column9]] * deployment_raw[[#This Row],[Column5]])/1048576,"")</f>
        <v/>
      </c>
      <c r="J844" s="57" t="str">
        <f>IF(ISNUMBER(deployment_raw[[#This Row],[Column10]]), (deployment_raw[[#This Row],[Column10]] * deployment_raw[[#This Row],[Column5]]),"")</f>
        <v/>
      </c>
      <c r="K844" s="58" t="str">
        <f>IF(ISNUMBER(deployment_raw[[#This Row],[Column11]]), (deployment_raw[[#This Row],[Column11]] * deployment_raw[[#This Row],[Column5]])/1048576,"")</f>
        <v/>
      </c>
      <c r="L844" s="180" t="str">
        <f>IF(ISNUMBER(deployment_raw[[#This Row],[Column8]]),IF(deployment_raw[[#This Row],[Column5]] &lt;&gt; 0, MAX((deployment_raw[[#This Row],[Column12]] * deployment_raw[[#This Row],[Column5]]), ((deployment_raw[[#This Row],[Column8]] * deployment_raw[[#This Row],[Column5]]) * $L$2), ($H$2 * deployment_raw[[#This Row],[Column5]])), 0),"")</f>
        <v/>
      </c>
      <c r="M84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44" s="188" t="str">
        <f>IF(ISNUMBER(deployment_raw[[#This Row],[Column14]]), deployment_raw[[#This Row],[Column14]],"")</f>
        <v/>
      </c>
      <c r="O844" s="189" t="str">
        <f>IF(ISNUMBER(deployment_raw[[#This Row],[Column15]]), deployment_raw[[#This Row],[Column15]]/1048576,"")</f>
        <v/>
      </c>
      <c r="P844" s="190" t="str">
        <f>IF(ISNUMBER(deployment_raw[[#This Row],[Column12]]), (deployment_raw[[#This Row],[Column12]] * deployment_raw[[#This Row],[Column5]]),"")</f>
        <v/>
      </c>
      <c r="Q844" s="189" t="str">
        <f>IF(ISNUMBER(deployment_raw[[#This Row],[Column13]]), (deployment_raw[[#This Row],[Column13]] * deployment_raw[[#This Row],[Column5]])/1048576,"")</f>
        <v/>
      </c>
    </row>
    <row r="845" spans="1:17" ht="15.75" customHeight="1" x14ac:dyDescent="0.25">
      <c r="A845" s="37" t="str">
        <f>IF(ISNONTEXT(deployment_raw[[#This Row],[Column1]]), "", deployment_raw[[#This Row],[Column1]])</f>
        <v/>
      </c>
      <c r="B845" s="38" t="str">
        <f>IF(ISNONTEXT(deployment_raw[[#This Row],[Column2]]), "", deployment_raw[[#This Row],[Column2]])</f>
        <v/>
      </c>
      <c r="C845" s="38" t="str">
        <f>IF(ISNONTEXT(deployment_raw[[#This Row],[Column3]]), "", deployment_raw[[#This Row],[Column3]])</f>
        <v/>
      </c>
      <c r="D845" s="38" t="str">
        <f>IF(ISNONTEXT(deployment_raw[[#This Row],[Column4]]), "", deployment_raw[[#This Row],[Column4]])</f>
        <v/>
      </c>
      <c r="E845" s="39" t="str">
        <f>IF(ISNUMBER(deployment_raw[[#This Row],[Column5]]), deployment_raw[[#This Row],[Column5]],"")</f>
        <v/>
      </c>
      <c r="F845" s="174" t="str">
        <f>IF(ISNUMBER(deployment_raw[[#This Row],[Column6]]), (deployment_raw[[#This Row],[Column6]] * deployment_raw[[#This Row],[Column5]]),"")</f>
        <v/>
      </c>
      <c r="G845" s="175" t="str">
        <f>IF(ISNUMBER(deployment_raw[[#This Row],[Column7]]), (deployment_raw[[#This Row],[Column7]] * deployment_raw[[#This Row],[Column5]])/1048576,"")</f>
        <v/>
      </c>
      <c r="H845" s="175" t="str">
        <f>IF(ISNUMBER(deployment_raw[[#This Row],[Column8]]), (deployment_raw[[#This Row],[Column8]]  * deployment_raw[[#This Row],[Column5]]),"")</f>
        <v/>
      </c>
      <c r="I845" s="176" t="str">
        <f>IF(ISNUMBER(deployment_raw[[#This Row],[Column9]]), (deployment_raw[[#This Row],[Column9]] * deployment_raw[[#This Row],[Column5]])/1048576,"")</f>
        <v/>
      </c>
      <c r="J845" s="57" t="str">
        <f>IF(ISNUMBER(deployment_raw[[#This Row],[Column10]]), (deployment_raw[[#This Row],[Column10]] * deployment_raw[[#This Row],[Column5]]),"")</f>
        <v/>
      </c>
      <c r="K845" s="58" t="str">
        <f>IF(ISNUMBER(deployment_raw[[#This Row],[Column11]]), (deployment_raw[[#This Row],[Column11]] * deployment_raw[[#This Row],[Column5]])/1048576,"")</f>
        <v/>
      </c>
      <c r="L845" s="180" t="str">
        <f>IF(ISNUMBER(deployment_raw[[#This Row],[Column8]]),IF(deployment_raw[[#This Row],[Column5]] &lt;&gt; 0, MAX((deployment_raw[[#This Row],[Column12]] * deployment_raw[[#This Row],[Column5]]), ((deployment_raw[[#This Row],[Column8]] * deployment_raw[[#This Row],[Column5]]) * $L$2), ($H$2 * deployment_raw[[#This Row],[Column5]])), 0),"")</f>
        <v/>
      </c>
      <c r="M84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45" s="188" t="str">
        <f>IF(ISNUMBER(deployment_raw[[#This Row],[Column14]]), deployment_raw[[#This Row],[Column14]],"")</f>
        <v/>
      </c>
      <c r="O845" s="189" t="str">
        <f>IF(ISNUMBER(deployment_raw[[#This Row],[Column15]]), deployment_raw[[#This Row],[Column15]]/1048576,"")</f>
        <v/>
      </c>
      <c r="P845" s="190" t="str">
        <f>IF(ISNUMBER(deployment_raw[[#This Row],[Column12]]), (deployment_raw[[#This Row],[Column12]] * deployment_raw[[#This Row],[Column5]]),"")</f>
        <v/>
      </c>
      <c r="Q845" s="189" t="str">
        <f>IF(ISNUMBER(deployment_raw[[#This Row],[Column13]]), (deployment_raw[[#This Row],[Column13]] * deployment_raw[[#This Row],[Column5]])/1048576,"")</f>
        <v/>
      </c>
    </row>
    <row r="846" spans="1:17" ht="15.75" customHeight="1" x14ac:dyDescent="0.25">
      <c r="A846" s="37" t="str">
        <f>IF(ISNONTEXT(deployment_raw[[#This Row],[Column1]]), "", deployment_raw[[#This Row],[Column1]])</f>
        <v/>
      </c>
      <c r="B846" s="38" t="str">
        <f>IF(ISNONTEXT(deployment_raw[[#This Row],[Column2]]), "", deployment_raw[[#This Row],[Column2]])</f>
        <v/>
      </c>
      <c r="C846" s="38" t="str">
        <f>IF(ISNONTEXT(deployment_raw[[#This Row],[Column3]]), "", deployment_raw[[#This Row],[Column3]])</f>
        <v/>
      </c>
      <c r="D846" s="38" t="str">
        <f>IF(ISNONTEXT(deployment_raw[[#This Row],[Column4]]), "", deployment_raw[[#This Row],[Column4]])</f>
        <v/>
      </c>
      <c r="E846" s="39" t="str">
        <f>IF(ISNUMBER(deployment_raw[[#This Row],[Column5]]), deployment_raw[[#This Row],[Column5]],"")</f>
        <v/>
      </c>
      <c r="F846" s="174" t="str">
        <f>IF(ISNUMBER(deployment_raw[[#This Row],[Column6]]), (deployment_raw[[#This Row],[Column6]] * deployment_raw[[#This Row],[Column5]]),"")</f>
        <v/>
      </c>
      <c r="G846" s="175" t="str">
        <f>IF(ISNUMBER(deployment_raw[[#This Row],[Column7]]), (deployment_raw[[#This Row],[Column7]] * deployment_raw[[#This Row],[Column5]])/1048576,"")</f>
        <v/>
      </c>
      <c r="H846" s="175" t="str">
        <f>IF(ISNUMBER(deployment_raw[[#This Row],[Column8]]), (deployment_raw[[#This Row],[Column8]]  * deployment_raw[[#This Row],[Column5]]),"")</f>
        <v/>
      </c>
      <c r="I846" s="176" t="str">
        <f>IF(ISNUMBER(deployment_raw[[#This Row],[Column9]]), (deployment_raw[[#This Row],[Column9]] * deployment_raw[[#This Row],[Column5]])/1048576,"")</f>
        <v/>
      </c>
      <c r="J846" s="57" t="str">
        <f>IF(ISNUMBER(deployment_raw[[#This Row],[Column10]]), (deployment_raw[[#This Row],[Column10]] * deployment_raw[[#This Row],[Column5]]),"")</f>
        <v/>
      </c>
      <c r="K846" s="58" t="str">
        <f>IF(ISNUMBER(deployment_raw[[#This Row],[Column11]]), (deployment_raw[[#This Row],[Column11]] * deployment_raw[[#This Row],[Column5]])/1048576,"")</f>
        <v/>
      </c>
      <c r="L846" s="180" t="str">
        <f>IF(ISNUMBER(deployment_raw[[#This Row],[Column8]]),IF(deployment_raw[[#This Row],[Column5]] &lt;&gt; 0, MAX((deployment_raw[[#This Row],[Column12]] * deployment_raw[[#This Row],[Column5]]), ((deployment_raw[[#This Row],[Column8]] * deployment_raw[[#This Row],[Column5]]) * $L$2), ($H$2 * deployment_raw[[#This Row],[Column5]])), 0),"")</f>
        <v/>
      </c>
      <c r="M84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46" s="188" t="str">
        <f>IF(ISNUMBER(deployment_raw[[#This Row],[Column14]]), deployment_raw[[#This Row],[Column14]],"")</f>
        <v/>
      </c>
      <c r="O846" s="189" t="str">
        <f>IF(ISNUMBER(deployment_raw[[#This Row],[Column15]]), deployment_raw[[#This Row],[Column15]]/1048576,"")</f>
        <v/>
      </c>
      <c r="P846" s="190" t="str">
        <f>IF(ISNUMBER(deployment_raw[[#This Row],[Column12]]), (deployment_raw[[#This Row],[Column12]] * deployment_raw[[#This Row],[Column5]]),"")</f>
        <v/>
      </c>
      <c r="Q846" s="189" t="str">
        <f>IF(ISNUMBER(deployment_raw[[#This Row],[Column13]]), (deployment_raw[[#This Row],[Column13]] * deployment_raw[[#This Row],[Column5]])/1048576,"")</f>
        <v/>
      </c>
    </row>
    <row r="847" spans="1:17" ht="15.75" customHeight="1" x14ac:dyDescent="0.25">
      <c r="A847" s="37" t="str">
        <f>IF(ISNONTEXT(deployment_raw[[#This Row],[Column1]]), "", deployment_raw[[#This Row],[Column1]])</f>
        <v/>
      </c>
      <c r="B847" s="38" t="str">
        <f>IF(ISNONTEXT(deployment_raw[[#This Row],[Column2]]), "", deployment_raw[[#This Row],[Column2]])</f>
        <v/>
      </c>
      <c r="C847" s="38" t="str">
        <f>IF(ISNONTEXT(deployment_raw[[#This Row],[Column3]]), "", deployment_raw[[#This Row],[Column3]])</f>
        <v/>
      </c>
      <c r="D847" s="38" t="str">
        <f>IF(ISNONTEXT(deployment_raw[[#This Row],[Column4]]), "", deployment_raw[[#This Row],[Column4]])</f>
        <v/>
      </c>
      <c r="E847" s="39" t="str">
        <f>IF(ISNUMBER(deployment_raw[[#This Row],[Column5]]), deployment_raw[[#This Row],[Column5]],"")</f>
        <v/>
      </c>
      <c r="F847" s="174" t="str">
        <f>IF(ISNUMBER(deployment_raw[[#This Row],[Column6]]), (deployment_raw[[#This Row],[Column6]] * deployment_raw[[#This Row],[Column5]]),"")</f>
        <v/>
      </c>
      <c r="G847" s="175" t="str">
        <f>IF(ISNUMBER(deployment_raw[[#This Row],[Column7]]), (deployment_raw[[#This Row],[Column7]] * deployment_raw[[#This Row],[Column5]])/1048576,"")</f>
        <v/>
      </c>
      <c r="H847" s="175" t="str">
        <f>IF(ISNUMBER(deployment_raw[[#This Row],[Column8]]), (deployment_raw[[#This Row],[Column8]]  * deployment_raw[[#This Row],[Column5]]),"")</f>
        <v/>
      </c>
      <c r="I847" s="176" t="str">
        <f>IF(ISNUMBER(deployment_raw[[#This Row],[Column9]]), (deployment_raw[[#This Row],[Column9]] * deployment_raw[[#This Row],[Column5]])/1048576,"")</f>
        <v/>
      </c>
      <c r="J847" s="57" t="str">
        <f>IF(ISNUMBER(deployment_raw[[#This Row],[Column10]]), (deployment_raw[[#This Row],[Column10]] * deployment_raw[[#This Row],[Column5]]),"")</f>
        <v/>
      </c>
      <c r="K847" s="58" t="str">
        <f>IF(ISNUMBER(deployment_raw[[#This Row],[Column11]]), (deployment_raw[[#This Row],[Column11]] * deployment_raw[[#This Row],[Column5]])/1048576,"")</f>
        <v/>
      </c>
      <c r="L847" s="180" t="str">
        <f>IF(ISNUMBER(deployment_raw[[#This Row],[Column8]]),IF(deployment_raw[[#This Row],[Column5]] &lt;&gt; 0, MAX((deployment_raw[[#This Row],[Column12]] * deployment_raw[[#This Row],[Column5]]), ((deployment_raw[[#This Row],[Column8]] * deployment_raw[[#This Row],[Column5]]) * $L$2), ($H$2 * deployment_raw[[#This Row],[Column5]])), 0),"")</f>
        <v/>
      </c>
      <c r="M84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47" s="188" t="str">
        <f>IF(ISNUMBER(deployment_raw[[#This Row],[Column14]]), deployment_raw[[#This Row],[Column14]],"")</f>
        <v/>
      </c>
      <c r="O847" s="189" t="str">
        <f>IF(ISNUMBER(deployment_raw[[#This Row],[Column15]]), deployment_raw[[#This Row],[Column15]]/1048576,"")</f>
        <v/>
      </c>
      <c r="P847" s="190" t="str">
        <f>IF(ISNUMBER(deployment_raw[[#This Row],[Column12]]), (deployment_raw[[#This Row],[Column12]] * deployment_raw[[#This Row],[Column5]]),"")</f>
        <v/>
      </c>
      <c r="Q847" s="189" t="str">
        <f>IF(ISNUMBER(deployment_raw[[#This Row],[Column13]]), (deployment_raw[[#This Row],[Column13]] * deployment_raw[[#This Row],[Column5]])/1048576,"")</f>
        <v/>
      </c>
    </row>
    <row r="848" spans="1:17" ht="15.75" customHeight="1" x14ac:dyDescent="0.25">
      <c r="A848" s="37" t="str">
        <f>IF(ISNONTEXT(deployment_raw[[#This Row],[Column1]]), "", deployment_raw[[#This Row],[Column1]])</f>
        <v/>
      </c>
      <c r="B848" s="38" t="str">
        <f>IF(ISNONTEXT(deployment_raw[[#This Row],[Column2]]), "", deployment_raw[[#This Row],[Column2]])</f>
        <v/>
      </c>
      <c r="C848" s="38" t="str">
        <f>IF(ISNONTEXT(deployment_raw[[#This Row],[Column3]]), "", deployment_raw[[#This Row],[Column3]])</f>
        <v/>
      </c>
      <c r="D848" s="38" t="str">
        <f>IF(ISNONTEXT(deployment_raw[[#This Row],[Column4]]), "", deployment_raw[[#This Row],[Column4]])</f>
        <v/>
      </c>
      <c r="E848" s="39" t="str">
        <f>IF(ISNUMBER(deployment_raw[[#This Row],[Column5]]), deployment_raw[[#This Row],[Column5]],"")</f>
        <v/>
      </c>
      <c r="F848" s="174" t="str">
        <f>IF(ISNUMBER(deployment_raw[[#This Row],[Column6]]), (deployment_raw[[#This Row],[Column6]] * deployment_raw[[#This Row],[Column5]]),"")</f>
        <v/>
      </c>
      <c r="G848" s="175" t="str">
        <f>IF(ISNUMBER(deployment_raw[[#This Row],[Column7]]), (deployment_raw[[#This Row],[Column7]] * deployment_raw[[#This Row],[Column5]])/1048576,"")</f>
        <v/>
      </c>
      <c r="H848" s="175" t="str">
        <f>IF(ISNUMBER(deployment_raw[[#This Row],[Column8]]), (deployment_raw[[#This Row],[Column8]]  * deployment_raw[[#This Row],[Column5]]),"")</f>
        <v/>
      </c>
      <c r="I848" s="176" t="str">
        <f>IF(ISNUMBER(deployment_raw[[#This Row],[Column9]]), (deployment_raw[[#This Row],[Column9]] * deployment_raw[[#This Row],[Column5]])/1048576,"")</f>
        <v/>
      </c>
      <c r="J848" s="57" t="str">
        <f>IF(ISNUMBER(deployment_raw[[#This Row],[Column10]]), (deployment_raw[[#This Row],[Column10]] * deployment_raw[[#This Row],[Column5]]),"")</f>
        <v/>
      </c>
      <c r="K848" s="58" t="str">
        <f>IF(ISNUMBER(deployment_raw[[#This Row],[Column11]]), (deployment_raw[[#This Row],[Column11]] * deployment_raw[[#This Row],[Column5]])/1048576,"")</f>
        <v/>
      </c>
      <c r="L848" s="180" t="str">
        <f>IF(ISNUMBER(deployment_raw[[#This Row],[Column8]]),IF(deployment_raw[[#This Row],[Column5]] &lt;&gt; 0, MAX((deployment_raw[[#This Row],[Column12]] * deployment_raw[[#This Row],[Column5]]), ((deployment_raw[[#This Row],[Column8]] * deployment_raw[[#This Row],[Column5]]) * $L$2), ($H$2 * deployment_raw[[#This Row],[Column5]])), 0),"")</f>
        <v/>
      </c>
      <c r="M84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48" s="188" t="str">
        <f>IF(ISNUMBER(deployment_raw[[#This Row],[Column14]]), deployment_raw[[#This Row],[Column14]],"")</f>
        <v/>
      </c>
      <c r="O848" s="189" t="str">
        <f>IF(ISNUMBER(deployment_raw[[#This Row],[Column15]]), deployment_raw[[#This Row],[Column15]]/1048576,"")</f>
        <v/>
      </c>
      <c r="P848" s="190" t="str">
        <f>IF(ISNUMBER(deployment_raw[[#This Row],[Column12]]), (deployment_raw[[#This Row],[Column12]] * deployment_raw[[#This Row],[Column5]]),"")</f>
        <v/>
      </c>
      <c r="Q848" s="189" t="str">
        <f>IF(ISNUMBER(deployment_raw[[#This Row],[Column13]]), (deployment_raw[[#This Row],[Column13]] * deployment_raw[[#This Row],[Column5]])/1048576,"")</f>
        <v/>
      </c>
    </row>
    <row r="849" spans="1:17" ht="15.75" customHeight="1" x14ac:dyDescent="0.25">
      <c r="A849" s="37" t="str">
        <f>IF(ISNONTEXT(deployment_raw[[#This Row],[Column1]]), "", deployment_raw[[#This Row],[Column1]])</f>
        <v/>
      </c>
      <c r="B849" s="38" t="str">
        <f>IF(ISNONTEXT(deployment_raw[[#This Row],[Column2]]), "", deployment_raw[[#This Row],[Column2]])</f>
        <v/>
      </c>
      <c r="C849" s="38" t="str">
        <f>IF(ISNONTEXT(deployment_raw[[#This Row],[Column3]]), "", deployment_raw[[#This Row],[Column3]])</f>
        <v/>
      </c>
      <c r="D849" s="38" t="str">
        <f>IF(ISNONTEXT(deployment_raw[[#This Row],[Column4]]), "", deployment_raw[[#This Row],[Column4]])</f>
        <v/>
      </c>
      <c r="E849" s="39" t="str">
        <f>IF(ISNUMBER(deployment_raw[[#This Row],[Column5]]), deployment_raw[[#This Row],[Column5]],"")</f>
        <v/>
      </c>
      <c r="F849" s="174" t="str">
        <f>IF(ISNUMBER(deployment_raw[[#This Row],[Column6]]), (deployment_raw[[#This Row],[Column6]] * deployment_raw[[#This Row],[Column5]]),"")</f>
        <v/>
      </c>
      <c r="G849" s="175" t="str">
        <f>IF(ISNUMBER(deployment_raw[[#This Row],[Column7]]), (deployment_raw[[#This Row],[Column7]] * deployment_raw[[#This Row],[Column5]])/1048576,"")</f>
        <v/>
      </c>
      <c r="H849" s="175" t="str">
        <f>IF(ISNUMBER(deployment_raw[[#This Row],[Column8]]), (deployment_raw[[#This Row],[Column8]]  * deployment_raw[[#This Row],[Column5]]),"")</f>
        <v/>
      </c>
      <c r="I849" s="176" t="str">
        <f>IF(ISNUMBER(deployment_raw[[#This Row],[Column9]]), (deployment_raw[[#This Row],[Column9]] * deployment_raw[[#This Row],[Column5]])/1048576,"")</f>
        <v/>
      </c>
      <c r="J849" s="57" t="str">
        <f>IF(ISNUMBER(deployment_raw[[#This Row],[Column10]]), (deployment_raw[[#This Row],[Column10]] * deployment_raw[[#This Row],[Column5]]),"")</f>
        <v/>
      </c>
      <c r="K849" s="58" t="str">
        <f>IF(ISNUMBER(deployment_raw[[#This Row],[Column11]]), (deployment_raw[[#This Row],[Column11]] * deployment_raw[[#This Row],[Column5]])/1048576,"")</f>
        <v/>
      </c>
      <c r="L849" s="180" t="str">
        <f>IF(ISNUMBER(deployment_raw[[#This Row],[Column8]]),IF(deployment_raw[[#This Row],[Column5]] &lt;&gt; 0, MAX((deployment_raw[[#This Row],[Column12]] * deployment_raw[[#This Row],[Column5]]), ((deployment_raw[[#This Row],[Column8]] * deployment_raw[[#This Row],[Column5]]) * $L$2), ($H$2 * deployment_raw[[#This Row],[Column5]])), 0),"")</f>
        <v/>
      </c>
      <c r="M84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49" s="188" t="str">
        <f>IF(ISNUMBER(deployment_raw[[#This Row],[Column14]]), deployment_raw[[#This Row],[Column14]],"")</f>
        <v/>
      </c>
      <c r="O849" s="189" t="str">
        <f>IF(ISNUMBER(deployment_raw[[#This Row],[Column15]]), deployment_raw[[#This Row],[Column15]]/1048576,"")</f>
        <v/>
      </c>
      <c r="P849" s="190" t="str">
        <f>IF(ISNUMBER(deployment_raw[[#This Row],[Column12]]), (deployment_raw[[#This Row],[Column12]] * deployment_raw[[#This Row],[Column5]]),"")</f>
        <v/>
      </c>
      <c r="Q849" s="189" t="str">
        <f>IF(ISNUMBER(deployment_raw[[#This Row],[Column13]]), (deployment_raw[[#This Row],[Column13]] * deployment_raw[[#This Row],[Column5]])/1048576,"")</f>
        <v/>
      </c>
    </row>
    <row r="850" spans="1:17" ht="15.75" customHeight="1" x14ac:dyDescent="0.25">
      <c r="A850" s="37" t="str">
        <f>IF(ISNONTEXT(deployment_raw[[#This Row],[Column1]]), "", deployment_raw[[#This Row],[Column1]])</f>
        <v/>
      </c>
      <c r="B850" s="38" t="str">
        <f>IF(ISNONTEXT(deployment_raw[[#This Row],[Column2]]), "", deployment_raw[[#This Row],[Column2]])</f>
        <v/>
      </c>
      <c r="C850" s="38" t="str">
        <f>IF(ISNONTEXT(deployment_raw[[#This Row],[Column3]]), "", deployment_raw[[#This Row],[Column3]])</f>
        <v/>
      </c>
      <c r="D850" s="38" t="str">
        <f>IF(ISNONTEXT(deployment_raw[[#This Row],[Column4]]), "", deployment_raw[[#This Row],[Column4]])</f>
        <v/>
      </c>
      <c r="E850" s="39" t="str">
        <f>IF(ISNUMBER(deployment_raw[[#This Row],[Column5]]), deployment_raw[[#This Row],[Column5]],"")</f>
        <v/>
      </c>
      <c r="F850" s="174" t="str">
        <f>IF(ISNUMBER(deployment_raw[[#This Row],[Column6]]), (deployment_raw[[#This Row],[Column6]] * deployment_raw[[#This Row],[Column5]]),"")</f>
        <v/>
      </c>
      <c r="G850" s="175" t="str">
        <f>IF(ISNUMBER(deployment_raw[[#This Row],[Column7]]), (deployment_raw[[#This Row],[Column7]] * deployment_raw[[#This Row],[Column5]])/1048576,"")</f>
        <v/>
      </c>
      <c r="H850" s="175" t="str">
        <f>IF(ISNUMBER(deployment_raw[[#This Row],[Column8]]), (deployment_raw[[#This Row],[Column8]]  * deployment_raw[[#This Row],[Column5]]),"")</f>
        <v/>
      </c>
      <c r="I850" s="176" t="str">
        <f>IF(ISNUMBER(deployment_raw[[#This Row],[Column9]]), (deployment_raw[[#This Row],[Column9]] * deployment_raw[[#This Row],[Column5]])/1048576,"")</f>
        <v/>
      </c>
      <c r="J850" s="57" t="str">
        <f>IF(ISNUMBER(deployment_raw[[#This Row],[Column10]]), (deployment_raw[[#This Row],[Column10]] * deployment_raw[[#This Row],[Column5]]),"")</f>
        <v/>
      </c>
      <c r="K850" s="58" t="str">
        <f>IF(ISNUMBER(deployment_raw[[#This Row],[Column11]]), (deployment_raw[[#This Row],[Column11]] * deployment_raw[[#This Row],[Column5]])/1048576,"")</f>
        <v/>
      </c>
      <c r="L850" s="180" t="str">
        <f>IF(ISNUMBER(deployment_raw[[#This Row],[Column8]]),IF(deployment_raw[[#This Row],[Column5]] &lt;&gt; 0, MAX((deployment_raw[[#This Row],[Column12]] * deployment_raw[[#This Row],[Column5]]), ((deployment_raw[[#This Row],[Column8]] * deployment_raw[[#This Row],[Column5]]) * $L$2), ($H$2 * deployment_raw[[#This Row],[Column5]])), 0),"")</f>
        <v/>
      </c>
      <c r="M85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50" s="188" t="str">
        <f>IF(ISNUMBER(deployment_raw[[#This Row],[Column14]]), deployment_raw[[#This Row],[Column14]],"")</f>
        <v/>
      </c>
      <c r="O850" s="189" t="str">
        <f>IF(ISNUMBER(deployment_raw[[#This Row],[Column15]]), deployment_raw[[#This Row],[Column15]]/1048576,"")</f>
        <v/>
      </c>
      <c r="P850" s="190" t="str">
        <f>IF(ISNUMBER(deployment_raw[[#This Row],[Column12]]), (deployment_raw[[#This Row],[Column12]] * deployment_raw[[#This Row],[Column5]]),"")</f>
        <v/>
      </c>
      <c r="Q850" s="189" t="str">
        <f>IF(ISNUMBER(deployment_raw[[#This Row],[Column13]]), (deployment_raw[[#This Row],[Column13]] * deployment_raw[[#This Row],[Column5]])/1048576,"")</f>
        <v/>
      </c>
    </row>
    <row r="851" spans="1:17" ht="15.75" customHeight="1" x14ac:dyDescent="0.25">
      <c r="A851" s="37" t="str">
        <f>IF(ISNONTEXT(deployment_raw[[#This Row],[Column1]]), "", deployment_raw[[#This Row],[Column1]])</f>
        <v/>
      </c>
      <c r="B851" s="38" t="str">
        <f>IF(ISNONTEXT(deployment_raw[[#This Row],[Column2]]), "", deployment_raw[[#This Row],[Column2]])</f>
        <v/>
      </c>
      <c r="C851" s="38" t="str">
        <f>IF(ISNONTEXT(deployment_raw[[#This Row],[Column3]]), "", deployment_raw[[#This Row],[Column3]])</f>
        <v/>
      </c>
      <c r="D851" s="38" t="str">
        <f>IF(ISNONTEXT(deployment_raw[[#This Row],[Column4]]), "", deployment_raw[[#This Row],[Column4]])</f>
        <v/>
      </c>
      <c r="E851" s="39" t="str">
        <f>IF(ISNUMBER(deployment_raw[[#This Row],[Column5]]), deployment_raw[[#This Row],[Column5]],"")</f>
        <v/>
      </c>
      <c r="F851" s="174" t="str">
        <f>IF(ISNUMBER(deployment_raw[[#This Row],[Column6]]), (deployment_raw[[#This Row],[Column6]] * deployment_raw[[#This Row],[Column5]]),"")</f>
        <v/>
      </c>
      <c r="G851" s="175" t="str">
        <f>IF(ISNUMBER(deployment_raw[[#This Row],[Column7]]), (deployment_raw[[#This Row],[Column7]] * deployment_raw[[#This Row],[Column5]])/1048576,"")</f>
        <v/>
      </c>
      <c r="H851" s="175" t="str">
        <f>IF(ISNUMBER(deployment_raw[[#This Row],[Column8]]), (deployment_raw[[#This Row],[Column8]]  * deployment_raw[[#This Row],[Column5]]),"")</f>
        <v/>
      </c>
      <c r="I851" s="176" t="str">
        <f>IF(ISNUMBER(deployment_raw[[#This Row],[Column9]]), (deployment_raw[[#This Row],[Column9]] * deployment_raw[[#This Row],[Column5]])/1048576,"")</f>
        <v/>
      </c>
      <c r="J851" s="57" t="str">
        <f>IF(ISNUMBER(deployment_raw[[#This Row],[Column10]]), (deployment_raw[[#This Row],[Column10]] * deployment_raw[[#This Row],[Column5]]),"")</f>
        <v/>
      </c>
      <c r="K851" s="58" t="str">
        <f>IF(ISNUMBER(deployment_raw[[#This Row],[Column11]]), (deployment_raw[[#This Row],[Column11]] * deployment_raw[[#This Row],[Column5]])/1048576,"")</f>
        <v/>
      </c>
      <c r="L851" s="180" t="str">
        <f>IF(ISNUMBER(deployment_raw[[#This Row],[Column8]]),IF(deployment_raw[[#This Row],[Column5]] &lt;&gt; 0, MAX((deployment_raw[[#This Row],[Column12]] * deployment_raw[[#This Row],[Column5]]), ((deployment_raw[[#This Row],[Column8]] * deployment_raw[[#This Row],[Column5]]) * $L$2), ($H$2 * deployment_raw[[#This Row],[Column5]])), 0),"")</f>
        <v/>
      </c>
      <c r="M85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51" s="188" t="str">
        <f>IF(ISNUMBER(deployment_raw[[#This Row],[Column14]]), deployment_raw[[#This Row],[Column14]],"")</f>
        <v/>
      </c>
      <c r="O851" s="189" t="str">
        <f>IF(ISNUMBER(deployment_raw[[#This Row],[Column15]]), deployment_raw[[#This Row],[Column15]]/1048576,"")</f>
        <v/>
      </c>
      <c r="P851" s="190" t="str">
        <f>IF(ISNUMBER(deployment_raw[[#This Row],[Column12]]), (deployment_raw[[#This Row],[Column12]] * deployment_raw[[#This Row],[Column5]]),"")</f>
        <v/>
      </c>
      <c r="Q851" s="189" t="str">
        <f>IF(ISNUMBER(deployment_raw[[#This Row],[Column13]]), (deployment_raw[[#This Row],[Column13]] * deployment_raw[[#This Row],[Column5]])/1048576,"")</f>
        <v/>
      </c>
    </row>
    <row r="852" spans="1:17" ht="15.75" customHeight="1" x14ac:dyDescent="0.25">
      <c r="A852" s="37" t="str">
        <f>IF(ISNONTEXT(deployment_raw[[#This Row],[Column1]]), "", deployment_raw[[#This Row],[Column1]])</f>
        <v/>
      </c>
      <c r="B852" s="38" t="str">
        <f>IF(ISNONTEXT(deployment_raw[[#This Row],[Column2]]), "", deployment_raw[[#This Row],[Column2]])</f>
        <v/>
      </c>
      <c r="C852" s="38" t="str">
        <f>IF(ISNONTEXT(deployment_raw[[#This Row],[Column3]]), "", deployment_raw[[#This Row],[Column3]])</f>
        <v/>
      </c>
      <c r="D852" s="38" t="str">
        <f>IF(ISNONTEXT(deployment_raw[[#This Row],[Column4]]), "", deployment_raw[[#This Row],[Column4]])</f>
        <v/>
      </c>
      <c r="E852" s="39" t="str">
        <f>IF(ISNUMBER(deployment_raw[[#This Row],[Column5]]), deployment_raw[[#This Row],[Column5]],"")</f>
        <v/>
      </c>
      <c r="F852" s="174" t="str">
        <f>IF(ISNUMBER(deployment_raw[[#This Row],[Column6]]), (deployment_raw[[#This Row],[Column6]] * deployment_raw[[#This Row],[Column5]]),"")</f>
        <v/>
      </c>
      <c r="G852" s="175" t="str">
        <f>IF(ISNUMBER(deployment_raw[[#This Row],[Column7]]), (deployment_raw[[#This Row],[Column7]] * deployment_raw[[#This Row],[Column5]])/1048576,"")</f>
        <v/>
      </c>
      <c r="H852" s="175" t="str">
        <f>IF(ISNUMBER(deployment_raw[[#This Row],[Column8]]), (deployment_raw[[#This Row],[Column8]]  * deployment_raw[[#This Row],[Column5]]),"")</f>
        <v/>
      </c>
      <c r="I852" s="176" t="str">
        <f>IF(ISNUMBER(deployment_raw[[#This Row],[Column9]]), (deployment_raw[[#This Row],[Column9]] * deployment_raw[[#This Row],[Column5]])/1048576,"")</f>
        <v/>
      </c>
      <c r="J852" s="57" t="str">
        <f>IF(ISNUMBER(deployment_raw[[#This Row],[Column10]]), (deployment_raw[[#This Row],[Column10]] * deployment_raw[[#This Row],[Column5]]),"")</f>
        <v/>
      </c>
      <c r="K852" s="58" t="str">
        <f>IF(ISNUMBER(deployment_raw[[#This Row],[Column11]]), (deployment_raw[[#This Row],[Column11]] * deployment_raw[[#This Row],[Column5]])/1048576,"")</f>
        <v/>
      </c>
      <c r="L852" s="180" t="str">
        <f>IF(ISNUMBER(deployment_raw[[#This Row],[Column8]]),IF(deployment_raw[[#This Row],[Column5]] &lt;&gt; 0, MAX((deployment_raw[[#This Row],[Column12]] * deployment_raw[[#This Row],[Column5]]), ((deployment_raw[[#This Row],[Column8]] * deployment_raw[[#This Row],[Column5]]) * $L$2), ($H$2 * deployment_raw[[#This Row],[Column5]])), 0),"")</f>
        <v/>
      </c>
      <c r="M85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52" s="188" t="str">
        <f>IF(ISNUMBER(deployment_raw[[#This Row],[Column14]]), deployment_raw[[#This Row],[Column14]],"")</f>
        <v/>
      </c>
      <c r="O852" s="189" t="str">
        <f>IF(ISNUMBER(deployment_raw[[#This Row],[Column15]]), deployment_raw[[#This Row],[Column15]]/1048576,"")</f>
        <v/>
      </c>
      <c r="P852" s="190" t="str">
        <f>IF(ISNUMBER(deployment_raw[[#This Row],[Column12]]), (deployment_raw[[#This Row],[Column12]] * deployment_raw[[#This Row],[Column5]]),"")</f>
        <v/>
      </c>
      <c r="Q852" s="189" t="str">
        <f>IF(ISNUMBER(deployment_raw[[#This Row],[Column13]]), (deployment_raw[[#This Row],[Column13]] * deployment_raw[[#This Row],[Column5]])/1048576,"")</f>
        <v/>
      </c>
    </row>
    <row r="853" spans="1:17" ht="15.75" customHeight="1" x14ac:dyDescent="0.25">
      <c r="A853" s="37" t="str">
        <f>IF(ISNONTEXT(deployment_raw[[#This Row],[Column1]]), "", deployment_raw[[#This Row],[Column1]])</f>
        <v/>
      </c>
      <c r="B853" s="38" t="str">
        <f>IF(ISNONTEXT(deployment_raw[[#This Row],[Column2]]), "", deployment_raw[[#This Row],[Column2]])</f>
        <v/>
      </c>
      <c r="C853" s="38" t="str">
        <f>IF(ISNONTEXT(deployment_raw[[#This Row],[Column3]]), "", deployment_raw[[#This Row],[Column3]])</f>
        <v/>
      </c>
      <c r="D853" s="38" t="str">
        <f>IF(ISNONTEXT(deployment_raw[[#This Row],[Column4]]), "", deployment_raw[[#This Row],[Column4]])</f>
        <v/>
      </c>
      <c r="E853" s="39" t="str">
        <f>IF(ISNUMBER(deployment_raw[[#This Row],[Column5]]), deployment_raw[[#This Row],[Column5]],"")</f>
        <v/>
      </c>
      <c r="F853" s="174" t="str">
        <f>IF(ISNUMBER(deployment_raw[[#This Row],[Column6]]), (deployment_raw[[#This Row],[Column6]] * deployment_raw[[#This Row],[Column5]]),"")</f>
        <v/>
      </c>
      <c r="G853" s="175" t="str">
        <f>IF(ISNUMBER(deployment_raw[[#This Row],[Column7]]), (deployment_raw[[#This Row],[Column7]] * deployment_raw[[#This Row],[Column5]])/1048576,"")</f>
        <v/>
      </c>
      <c r="H853" s="175" t="str">
        <f>IF(ISNUMBER(deployment_raw[[#This Row],[Column8]]), (deployment_raw[[#This Row],[Column8]]  * deployment_raw[[#This Row],[Column5]]),"")</f>
        <v/>
      </c>
      <c r="I853" s="176" t="str">
        <f>IF(ISNUMBER(deployment_raw[[#This Row],[Column9]]), (deployment_raw[[#This Row],[Column9]] * deployment_raw[[#This Row],[Column5]])/1048576,"")</f>
        <v/>
      </c>
      <c r="J853" s="57" t="str">
        <f>IF(ISNUMBER(deployment_raw[[#This Row],[Column10]]), (deployment_raw[[#This Row],[Column10]] * deployment_raw[[#This Row],[Column5]]),"")</f>
        <v/>
      </c>
      <c r="K853" s="58" t="str">
        <f>IF(ISNUMBER(deployment_raw[[#This Row],[Column11]]), (deployment_raw[[#This Row],[Column11]] * deployment_raw[[#This Row],[Column5]])/1048576,"")</f>
        <v/>
      </c>
      <c r="L853" s="180" t="str">
        <f>IF(ISNUMBER(deployment_raw[[#This Row],[Column8]]),IF(deployment_raw[[#This Row],[Column5]] &lt;&gt; 0, MAX((deployment_raw[[#This Row],[Column12]] * deployment_raw[[#This Row],[Column5]]), ((deployment_raw[[#This Row],[Column8]] * deployment_raw[[#This Row],[Column5]]) * $L$2), ($H$2 * deployment_raw[[#This Row],[Column5]])), 0),"")</f>
        <v/>
      </c>
      <c r="M85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53" s="188" t="str">
        <f>IF(ISNUMBER(deployment_raw[[#This Row],[Column14]]), deployment_raw[[#This Row],[Column14]],"")</f>
        <v/>
      </c>
      <c r="O853" s="189" t="str">
        <f>IF(ISNUMBER(deployment_raw[[#This Row],[Column15]]), deployment_raw[[#This Row],[Column15]]/1048576,"")</f>
        <v/>
      </c>
      <c r="P853" s="190" t="str">
        <f>IF(ISNUMBER(deployment_raw[[#This Row],[Column12]]), (deployment_raw[[#This Row],[Column12]] * deployment_raw[[#This Row],[Column5]]),"")</f>
        <v/>
      </c>
      <c r="Q853" s="189" t="str">
        <f>IF(ISNUMBER(deployment_raw[[#This Row],[Column13]]), (deployment_raw[[#This Row],[Column13]] * deployment_raw[[#This Row],[Column5]])/1048576,"")</f>
        <v/>
      </c>
    </row>
    <row r="854" spans="1:17" ht="15.75" customHeight="1" x14ac:dyDescent="0.25">
      <c r="A854" s="37" t="str">
        <f>IF(ISNONTEXT(deployment_raw[[#This Row],[Column1]]), "", deployment_raw[[#This Row],[Column1]])</f>
        <v/>
      </c>
      <c r="B854" s="38" t="str">
        <f>IF(ISNONTEXT(deployment_raw[[#This Row],[Column2]]), "", deployment_raw[[#This Row],[Column2]])</f>
        <v/>
      </c>
      <c r="C854" s="38" t="str">
        <f>IF(ISNONTEXT(deployment_raw[[#This Row],[Column3]]), "", deployment_raw[[#This Row],[Column3]])</f>
        <v/>
      </c>
      <c r="D854" s="38" t="str">
        <f>IF(ISNONTEXT(deployment_raw[[#This Row],[Column4]]), "", deployment_raw[[#This Row],[Column4]])</f>
        <v/>
      </c>
      <c r="E854" s="39" t="str">
        <f>IF(ISNUMBER(deployment_raw[[#This Row],[Column5]]), deployment_raw[[#This Row],[Column5]],"")</f>
        <v/>
      </c>
      <c r="F854" s="174" t="str">
        <f>IF(ISNUMBER(deployment_raw[[#This Row],[Column6]]), (deployment_raw[[#This Row],[Column6]] * deployment_raw[[#This Row],[Column5]]),"")</f>
        <v/>
      </c>
      <c r="G854" s="175" t="str">
        <f>IF(ISNUMBER(deployment_raw[[#This Row],[Column7]]), (deployment_raw[[#This Row],[Column7]] * deployment_raw[[#This Row],[Column5]])/1048576,"")</f>
        <v/>
      </c>
      <c r="H854" s="175" t="str">
        <f>IF(ISNUMBER(deployment_raw[[#This Row],[Column8]]), (deployment_raw[[#This Row],[Column8]]  * deployment_raw[[#This Row],[Column5]]),"")</f>
        <v/>
      </c>
      <c r="I854" s="176" t="str">
        <f>IF(ISNUMBER(deployment_raw[[#This Row],[Column9]]), (deployment_raw[[#This Row],[Column9]] * deployment_raw[[#This Row],[Column5]])/1048576,"")</f>
        <v/>
      </c>
      <c r="J854" s="57" t="str">
        <f>IF(ISNUMBER(deployment_raw[[#This Row],[Column10]]), (deployment_raw[[#This Row],[Column10]] * deployment_raw[[#This Row],[Column5]]),"")</f>
        <v/>
      </c>
      <c r="K854" s="58" t="str">
        <f>IF(ISNUMBER(deployment_raw[[#This Row],[Column11]]), (deployment_raw[[#This Row],[Column11]] * deployment_raw[[#This Row],[Column5]])/1048576,"")</f>
        <v/>
      </c>
      <c r="L854" s="180" t="str">
        <f>IF(ISNUMBER(deployment_raw[[#This Row],[Column8]]),IF(deployment_raw[[#This Row],[Column5]] &lt;&gt; 0, MAX((deployment_raw[[#This Row],[Column12]] * deployment_raw[[#This Row],[Column5]]), ((deployment_raw[[#This Row],[Column8]] * deployment_raw[[#This Row],[Column5]]) * $L$2), ($H$2 * deployment_raw[[#This Row],[Column5]])), 0),"")</f>
        <v/>
      </c>
      <c r="M85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54" s="188" t="str">
        <f>IF(ISNUMBER(deployment_raw[[#This Row],[Column14]]), deployment_raw[[#This Row],[Column14]],"")</f>
        <v/>
      </c>
      <c r="O854" s="189" t="str">
        <f>IF(ISNUMBER(deployment_raw[[#This Row],[Column15]]), deployment_raw[[#This Row],[Column15]]/1048576,"")</f>
        <v/>
      </c>
      <c r="P854" s="190" t="str">
        <f>IF(ISNUMBER(deployment_raw[[#This Row],[Column12]]), (deployment_raw[[#This Row],[Column12]] * deployment_raw[[#This Row],[Column5]]),"")</f>
        <v/>
      </c>
      <c r="Q854" s="189" t="str">
        <f>IF(ISNUMBER(deployment_raw[[#This Row],[Column13]]), (deployment_raw[[#This Row],[Column13]] * deployment_raw[[#This Row],[Column5]])/1048576,"")</f>
        <v/>
      </c>
    </row>
    <row r="855" spans="1:17" ht="15.75" customHeight="1" x14ac:dyDescent="0.25">
      <c r="A855" s="37" t="str">
        <f>IF(ISNONTEXT(deployment_raw[[#This Row],[Column1]]), "", deployment_raw[[#This Row],[Column1]])</f>
        <v/>
      </c>
      <c r="B855" s="38" t="str">
        <f>IF(ISNONTEXT(deployment_raw[[#This Row],[Column2]]), "", deployment_raw[[#This Row],[Column2]])</f>
        <v/>
      </c>
      <c r="C855" s="38" t="str">
        <f>IF(ISNONTEXT(deployment_raw[[#This Row],[Column3]]), "", deployment_raw[[#This Row],[Column3]])</f>
        <v/>
      </c>
      <c r="D855" s="38" t="str">
        <f>IF(ISNONTEXT(deployment_raw[[#This Row],[Column4]]), "", deployment_raw[[#This Row],[Column4]])</f>
        <v/>
      </c>
      <c r="E855" s="39" t="str">
        <f>IF(ISNUMBER(deployment_raw[[#This Row],[Column5]]), deployment_raw[[#This Row],[Column5]],"")</f>
        <v/>
      </c>
      <c r="F855" s="174" t="str">
        <f>IF(ISNUMBER(deployment_raw[[#This Row],[Column6]]), (deployment_raw[[#This Row],[Column6]] * deployment_raw[[#This Row],[Column5]]),"")</f>
        <v/>
      </c>
      <c r="G855" s="175" t="str">
        <f>IF(ISNUMBER(deployment_raw[[#This Row],[Column7]]), (deployment_raw[[#This Row],[Column7]] * deployment_raw[[#This Row],[Column5]])/1048576,"")</f>
        <v/>
      </c>
      <c r="H855" s="175" t="str">
        <f>IF(ISNUMBER(deployment_raw[[#This Row],[Column8]]), (deployment_raw[[#This Row],[Column8]]  * deployment_raw[[#This Row],[Column5]]),"")</f>
        <v/>
      </c>
      <c r="I855" s="176" t="str">
        <f>IF(ISNUMBER(deployment_raw[[#This Row],[Column9]]), (deployment_raw[[#This Row],[Column9]] * deployment_raw[[#This Row],[Column5]])/1048576,"")</f>
        <v/>
      </c>
      <c r="J855" s="57" t="str">
        <f>IF(ISNUMBER(deployment_raw[[#This Row],[Column10]]), (deployment_raw[[#This Row],[Column10]] * deployment_raw[[#This Row],[Column5]]),"")</f>
        <v/>
      </c>
      <c r="K855" s="58" t="str">
        <f>IF(ISNUMBER(deployment_raw[[#This Row],[Column11]]), (deployment_raw[[#This Row],[Column11]] * deployment_raw[[#This Row],[Column5]])/1048576,"")</f>
        <v/>
      </c>
      <c r="L855" s="180" t="str">
        <f>IF(ISNUMBER(deployment_raw[[#This Row],[Column8]]),IF(deployment_raw[[#This Row],[Column5]] &lt;&gt; 0, MAX((deployment_raw[[#This Row],[Column12]] * deployment_raw[[#This Row],[Column5]]), ((deployment_raw[[#This Row],[Column8]] * deployment_raw[[#This Row],[Column5]]) * $L$2), ($H$2 * deployment_raw[[#This Row],[Column5]])), 0),"")</f>
        <v/>
      </c>
      <c r="M85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55" s="188" t="str">
        <f>IF(ISNUMBER(deployment_raw[[#This Row],[Column14]]), deployment_raw[[#This Row],[Column14]],"")</f>
        <v/>
      </c>
      <c r="O855" s="189" t="str">
        <f>IF(ISNUMBER(deployment_raw[[#This Row],[Column15]]), deployment_raw[[#This Row],[Column15]]/1048576,"")</f>
        <v/>
      </c>
      <c r="P855" s="190" t="str">
        <f>IF(ISNUMBER(deployment_raw[[#This Row],[Column12]]), (deployment_raw[[#This Row],[Column12]] * deployment_raw[[#This Row],[Column5]]),"")</f>
        <v/>
      </c>
      <c r="Q855" s="189" t="str">
        <f>IF(ISNUMBER(deployment_raw[[#This Row],[Column13]]), (deployment_raw[[#This Row],[Column13]] * deployment_raw[[#This Row],[Column5]])/1048576,"")</f>
        <v/>
      </c>
    </row>
    <row r="856" spans="1:17" ht="15.75" customHeight="1" x14ac:dyDescent="0.25">
      <c r="A856" s="37" t="str">
        <f>IF(ISNONTEXT(deployment_raw[[#This Row],[Column1]]), "", deployment_raw[[#This Row],[Column1]])</f>
        <v/>
      </c>
      <c r="B856" s="38" t="str">
        <f>IF(ISNONTEXT(deployment_raw[[#This Row],[Column2]]), "", deployment_raw[[#This Row],[Column2]])</f>
        <v/>
      </c>
      <c r="C856" s="38" t="str">
        <f>IF(ISNONTEXT(deployment_raw[[#This Row],[Column3]]), "", deployment_raw[[#This Row],[Column3]])</f>
        <v/>
      </c>
      <c r="D856" s="38" t="str">
        <f>IF(ISNONTEXT(deployment_raw[[#This Row],[Column4]]), "", deployment_raw[[#This Row],[Column4]])</f>
        <v/>
      </c>
      <c r="E856" s="39" t="str">
        <f>IF(ISNUMBER(deployment_raw[[#This Row],[Column5]]), deployment_raw[[#This Row],[Column5]],"")</f>
        <v/>
      </c>
      <c r="F856" s="174" t="str">
        <f>IF(ISNUMBER(deployment_raw[[#This Row],[Column6]]), (deployment_raw[[#This Row],[Column6]] * deployment_raw[[#This Row],[Column5]]),"")</f>
        <v/>
      </c>
      <c r="G856" s="175" t="str">
        <f>IF(ISNUMBER(deployment_raw[[#This Row],[Column7]]), (deployment_raw[[#This Row],[Column7]] * deployment_raw[[#This Row],[Column5]])/1048576,"")</f>
        <v/>
      </c>
      <c r="H856" s="175" t="str">
        <f>IF(ISNUMBER(deployment_raw[[#This Row],[Column8]]), (deployment_raw[[#This Row],[Column8]]  * deployment_raw[[#This Row],[Column5]]),"")</f>
        <v/>
      </c>
      <c r="I856" s="176" t="str">
        <f>IF(ISNUMBER(deployment_raw[[#This Row],[Column9]]), (deployment_raw[[#This Row],[Column9]] * deployment_raw[[#This Row],[Column5]])/1048576,"")</f>
        <v/>
      </c>
      <c r="J856" s="57" t="str">
        <f>IF(ISNUMBER(deployment_raw[[#This Row],[Column10]]), (deployment_raw[[#This Row],[Column10]] * deployment_raw[[#This Row],[Column5]]),"")</f>
        <v/>
      </c>
      <c r="K856" s="58" t="str">
        <f>IF(ISNUMBER(deployment_raw[[#This Row],[Column11]]), (deployment_raw[[#This Row],[Column11]] * deployment_raw[[#This Row],[Column5]])/1048576,"")</f>
        <v/>
      </c>
      <c r="L856" s="180" t="str">
        <f>IF(ISNUMBER(deployment_raw[[#This Row],[Column8]]),IF(deployment_raw[[#This Row],[Column5]] &lt;&gt; 0, MAX((deployment_raw[[#This Row],[Column12]] * deployment_raw[[#This Row],[Column5]]), ((deployment_raw[[#This Row],[Column8]] * deployment_raw[[#This Row],[Column5]]) * $L$2), ($H$2 * deployment_raw[[#This Row],[Column5]])), 0),"")</f>
        <v/>
      </c>
      <c r="M85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56" s="188" t="str">
        <f>IF(ISNUMBER(deployment_raw[[#This Row],[Column14]]), deployment_raw[[#This Row],[Column14]],"")</f>
        <v/>
      </c>
      <c r="O856" s="189" t="str">
        <f>IF(ISNUMBER(deployment_raw[[#This Row],[Column15]]), deployment_raw[[#This Row],[Column15]]/1048576,"")</f>
        <v/>
      </c>
      <c r="P856" s="190" t="str">
        <f>IF(ISNUMBER(deployment_raw[[#This Row],[Column12]]), (deployment_raw[[#This Row],[Column12]] * deployment_raw[[#This Row],[Column5]]),"")</f>
        <v/>
      </c>
      <c r="Q856" s="189" t="str">
        <f>IF(ISNUMBER(deployment_raw[[#This Row],[Column13]]), (deployment_raw[[#This Row],[Column13]] * deployment_raw[[#This Row],[Column5]])/1048576,"")</f>
        <v/>
      </c>
    </row>
    <row r="857" spans="1:17" ht="15.75" customHeight="1" x14ac:dyDescent="0.25">
      <c r="A857" s="37" t="str">
        <f>IF(ISNONTEXT(deployment_raw[[#This Row],[Column1]]), "", deployment_raw[[#This Row],[Column1]])</f>
        <v/>
      </c>
      <c r="B857" s="38" t="str">
        <f>IF(ISNONTEXT(deployment_raw[[#This Row],[Column2]]), "", deployment_raw[[#This Row],[Column2]])</f>
        <v/>
      </c>
      <c r="C857" s="38" t="str">
        <f>IF(ISNONTEXT(deployment_raw[[#This Row],[Column3]]), "", deployment_raw[[#This Row],[Column3]])</f>
        <v/>
      </c>
      <c r="D857" s="38" t="str">
        <f>IF(ISNONTEXT(deployment_raw[[#This Row],[Column4]]), "", deployment_raw[[#This Row],[Column4]])</f>
        <v/>
      </c>
      <c r="E857" s="39" t="str">
        <f>IF(ISNUMBER(deployment_raw[[#This Row],[Column5]]), deployment_raw[[#This Row],[Column5]],"")</f>
        <v/>
      </c>
      <c r="F857" s="174" t="str">
        <f>IF(ISNUMBER(deployment_raw[[#This Row],[Column6]]), (deployment_raw[[#This Row],[Column6]] * deployment_raw[[#This Row],[Column5]]),"")</f>
        <v/>
      </c>
      <c r="G857" s="175" t="str">
        <f>IF(ISNUMBER(deployment_raw[[#This Row],[Column7]]), (deployment_raw[[#This Row],[Column7]] * deployment_raw[[#This Row],[Column5]])/1048576,"")</f>
        <v/>
      </c>
      <c r="H857" s="175" t="str">
        <f>IF(ISNUMBER(deployment_raw[[#This Row],[Column8]]), (deployment_raw[[#This Row],[Column8]]  * deployment_raw[[#This Row],[Column5]]),"")</f>
        <v/>
      </c>
      <c r="I857" s="176" t="str">
        <f>IF(ISNUMBER(deployment_raw[[#This Row],[Column9]]), (deployment_raw[[#This Row],[Column9]] * deployment_raw[[#This Row],[Column5]])/1048576,"")</f>
        <v/>
      </c>
      <c r="J857" s="57" t="str">
        <f>IF(ISNUMBER(deployment_raw[[#This Row],[Column10]]), (deployment_raw[[#This Row],[Column10]] * deployment_raw[[#This Row],[Column5]]),"")</f>
        <v/>
      </c>
      <c r="K857" s="58" t="str">
        <f>IF(ISNUMBER(deployment_raw[[#This Row],[Column11]]), (deployment_raw[[#This Row],[Column11]] * deployment_raw[[#This Row],[Column5]])/1048576,"")</f>
        <v/>
      </c>
      <c r="L857" s="180" t="str">
        <f>IF(ISNUMBER(deployment_raw[[#This Row],[Column8]]),IF(deployment_raw[[#This Row],[Column5]] &lt;&gt; 0, MAX((deployment_raw[[#This Row],[Column12]] * deployment_raw[[#This Row],[Column5]]), ((deployment_raw[[#This Row],[Column8]] * deployment_raw[[#This Row],[Column5]]) * $L$2), ($H$2 * deployment_raw[[#This Row],[Column5]])), 0),"")</f>
        <v/>
      </c>
      <c r="M85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57" s="188" t="str">
        <f>IF(ISNUMBER(deployment_raw[[#This Row],[Column14]]), deployment_raw[[#This Row],[Column14]],"")</f>
        <v/>
      </c>
      <c r="O857" s="189" t="str">
        <f>IF(ISNUMBER(deployment_raw[[#This Row],[Column15]]), deployment_raw[[#This Row],[Column15]]/1048576,"")</f>
        <v/>
      </c>
      <c r="P857" s="190" t="str">
        <f>IF(ISNUMBER(deployment_raw[[#This Row],[Column12]]), (deployment_raw[[#This Row],[Column12]] * deployment_raw[[#This Row],[Column5]]),"")</f>
        <v/>
      </c>
      <c r="Q857" s="189" t="str">
        <f>IF(ISNUMBER(deployment_raw[[#This Row],[Column13]]), (deployment_raw[[#This Row],[Column13]] * deployment_raw[[#This Row],[Column5]])/1048576,"")</f>
        <v/>
      </c>
    </row>
    <row r="858" spans="1:17" ht="15.75" customHeight="1" x14ac:dyDescent="0.25">
      <c r="A858" s="37" t="str">
        <f>IF(ISNONTEXT(deployment_raw[[#This Row],[Column1]]), "", deployment_raw[[#This Row],[Column1]])</f>
        <v/>
      </c>
      <c r="B858" s="38" t="str">
        <f>IF(ISNONTEXT(deployment_raw[[#This Row],[Column2]]), "", deployment_raw[[#This Row],[Column2]])</f>
        <v/>
      </c>
      <c r="C858" s="38" t="str">
        <f>IF(ISNONTEXT(deployment_raw[[#This Row],[Column3]]), "", deployment_raw[[#This Row],[Column3]])</f>
        <v/>
      </c>
      <c r="D858" s="38" t="str">
        <f>IF(ISNONTEXT(deployment_raw[[#This Row],[Column4]]), "", deployment_raw[[#This Row],[Column4]])</f>
        <v/>
      </c>
      <c r="E858" s="39" t="str">
        <f>IF(ISNUMBER(deployment_raw[[#This Row],[Column5]]), deployment_raw[[#This Row],[Column5]],"")</f>
        <v/>
      </c>
      <c r="F858" s="174" t="str">
        <f>IF(ISNUMBER(deployment_raw[[#This Row],[Column6]]), (deployment_raw[[#This Row],[Column6]] * deployment_raw[[#This Row],[Column5]]),"")</f>
        <v/>
      </c>
      <c r="G858" s="175" t="str">
        <f>IF(ISNUMBER(deployment_raw[[#This Row],[Column7]]), (deployment_raw[[#This Row],[Column7]] * deployment_raw[[#This Row],[Column5]])/1048576,"")</f>
        <v/>
      </c>
      <c r="H858" s="175" t="str">
        <f>IF(ISNUMBER(deployment_raw[[#This Row],[Column8]]), (deployment_raw[[#This Row],[Column8]]  * deployment_raw[[#This Row],[Column5]]),"")</f>
        <v/>
      </c>
      <c r="I858" s="176" t="str">
        <f>IF(ISNUMBER(deployment_raw[[#This Row],[Column9]]), (deployment_raw[[#This Row],[Column9]] * deployment_raw[[#This Row],[Column5]])/1048576,"")</f>
        <v/>
      </c>
      <c r="J858" s="57" t="str">
        <f>IF(ISNUMBER(deployment_raw[[#This Row],[Column10]]), (deployment_raw[[#This Row],[Column10]] * deployment_raw[[#This Row],[Column5]]),"")</f>
        <v/>
      </c>
      <c r="K858" s="58" t="str">
        <f>IF(ISNUMBER(deployment_raw[[#This Row],[Column11]]), (deployment_raw[[#This Row],[Column11]] * deployment_raw[[#This Row],[Column5]])/1048576,"")</f>
        <v/>
      </c>
      <c r="L858" s="180" t="str">
        <f>IF(ISNUMBER(deployment_raw[[#This Row],[Column8]]),IF(deployment_raw[[#This Row],[Column5]] &lt;&gt; 0, MAX((deployment_raw[[#This Row],[Column12]] * deployment_raw[[#This Row],[Column5]]), ((deployment_raw[[#This Row],[Column8]] * deployment_raw[[#This Row],[Column5]]) * $L$2), ($H$2 * deployment_raw[[#This Row],[Column5]])), 0),"")</f>
        <v/>
      </c>
      <c r="M85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58" s="188" t="str">
        <f>IF(ISNUMBER(deployment_raw[[#This Row],[Column14]]), deployment_raw[[#This Row],[Column14]],"")</f>
        <v/>
      </c>
      <c r="O858" s="189" t="str">
        <f>IF(ISNUMBER(deployment_raw[[#This Row],[Column15]]), deployment_raw[[#This Row],[Column15]]/1048576,"")</f>
        <v/>
      </c>
      <c r="P858" s="190" t="str">
        <f>IF(ISNUMBER(deployment_raw[[#This Row],[Column12]]), (deployment_raw[[#This Row],[Column12]] * deployment_raw[[#This Row],[Column5]]),"")</f>
        <v/>
      </c>
      <c r="Q858" s="189" t="str">
        <f>IF(ISNUMBER(deployment_raw[[#This Row],[Column13]]), (deployment_raw[[#This Row],[Column13]] * deployment_raw[[#This Row],[Column5]])/1048576,"")</f>
        <v/>
      </c>
    </row>
    <row r="859" spans="1:17" ht="15.75" customHeight="1" x14ac:dyDescent="0.25">
      <c r="A859" s="37" t="str">
        <f>IF(ISNONTEXT(deployment_raw[[#This Row],[Column1]]), "", deployment_raw[[#This Row],[Column1]])</f>
        <v/>
      </c>
      <c r="B859" s="38" t="str">
        <f>IF(ISNONTEXT(deployment_raw[[#This Row],[Column2]]), "", deployment_raw[[#This Row],[Column2]])</f>
        <v/>
      </c>
      <c r="C859" s="38" t="str">
        <f>IF(ISNONTEXT(deployment_raw[[#This Row],[Column3]]), "", deployment_raw[[#This Row],[Column3]])</f>
        <v/>
      </c>
      <c r="D859" s="38" t="str">
        <f>IF(ISNONTEXT(deployment_raw[[#This Row],[Column4]]), "", deployment_raw[[#This Row],[Column4]])</f>
        <v/>
      </c>
      <c r="E859" s="39" t="str">
        <f>IF(ISNUMBER(deployment_raw[[#This Row],[Column5]]), deployment_raw[[#This Row],[Column5]],"")</f>
        <v/>
      </c>
      <c r="F859" s="174" t="str">
        <f>IF(ISNUMBER(deployment_raw[[#This Row],[Column6]]), (deployment_raw[[#This Row],[Column6]] * deployment_raw[[#This Row],[Column5]]),"")</f>
        <v/>
      </c>
      <c r="G859" s="175" t="str">
        <f>IF(ISNUMBER(deployment_raw[[#This Row],[Column7]]), (deployment_raw[[#This Row],[Column7]] * deployment_raw[[#This Row],[Column5]])/1048576,"")</f>
        <v/>
      </c>
      <c r="H859" s="175" t="str">
        <f>IF(ISNUMBER(deployment_raw[[#This Row],[Column8]]), (deployment_raw[[#This Row],[Column8]]  * deployment_raw[[#This Row],[Column5]]),"")</f>
        <v/>
      </c>
      <c r="I859" s="176" t="str">
        <f>IF(ISNUMBER(deployment_raw[[#This Row],[Column9]]), (deployment_raw[[#This Row],[Column9]] * deployment_raw[[#This Row],[Column5]])/1048576,"")</f>
        <v/>
      </c>
      <c r="J859" s="57" t="str">
        <f>IF(ISNUMBER(deployment_raw[[#This Row],[Column10]]), (deployment_raw[[#This Row],[Column10]] * deployment_raw[[#This Row],[Column5]]),"")</f>
        <v/>
      </c>
      <c r="K859" s="58" t="str">
        <f>IF(ISNUMBER(deployment_raw[[#This Row],[Column11]]), (deployment_raw[[#This Row],[Column11]] * deployment_raw[[#This Row],[Column5]])/1048576,"")</f>
        <v/>
      </c>
      <c r="L859" s="180" t="str">
        <f>IF(ISNUMBER(deployment_raw[[#This Row],[Column8]]),IF(deployment_raw[[#This Row],[Column5]] &lt;&gt; 0, MAX((deployment_raw[[#This Row],[Column12]] * deployment_raw[[#This Row],[Column5]]), ((deployment_raw[[#This Row],[Column8]] * deployment_raw[[#This Row],[Column5]]) * $L$2), ($H$2 * deployment_raw[[#This Row],[Column5]])), 0),"")</f>
        <v/>
      </c>
      <c r="M85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59" s="188" t="str">
        <f>IF(ISNUMBER(deployment_raw[[#This Row],[Column14]]), deployment_raw[[#This Row],[Column14]],"")</f>
        <v/>
      </c>
      <c r="O859" s="189" t="str">
        <f>IF(ISNUMBER(deployment_raw[[#This Row],[Column15]]), deployment_raw[[#This Row],[Column15]]/1048576,"")</f>
        <v/>
      </c>
      <c r="P859" s="190" t="str">
        <f>IF(ISNUMBER(deployment_raw[[#This Row],[Column12]]), (deployment_raw[[#This Row],[Column12]] * deployment_raw[[#This Row],[Column5]]),"")</f>
        <v/>
      </c>
      <c r="Q859" s="189" t="str">
        <f>IF(ISNUMBER(deployment_raw[[#This Row],[Column13]]), (deployment_raw[[#This Row],[Column13]] * deployment_raw[[#This Row],[Column5]])/1048576,"")</f>
        <v/>
      </c>
    </row>
    <row r="860" spans="1:17" ht="15.75" customHeight="1" x14ac:dyDescent="0.25">
      <c r="A860" s="37" t="str">
        <f>IF(ISNONTEXT(deployment_raw[[#This Row],[Column1]]), "", deployment_raw[[#This Row],[Column1]])</f>
        <v/>
      </c>
      <c r="B860" s="38" t="str">
        <f>IF(ISNONTEXT(deployment_raw[[#This Row],[Column2]]), "", deployment_raw[[#This Row],[Column2]])</f>
        <v/>
      </c>
      <c r="C860" s="38" t="str">
        <f>IF(ISNONTEXT(deployment_raw[[#This Row],[Column3]]), "", deployment_raw[[#This Row],[Column3]])</f>
        <v/>
      </c>
      <c r="D860" s="38" t="str">
        <f>IF(ISNONTEXT(deployment_raw[[#This Row],[Column4]]), "", deployment_raw[[#This Row],[Column4]])</f>
        <v/>
      </c>
      <c r="E860" s="39" t="str">
        <f>IF(ISNUMBER(deployment_raw[[#This Row],[Column5]]), deployment_raw[[#This Row],[Column5]],"")</f>
        <v/>
      </c>
      <c r="F860" s="174" t="str">
        <f>IF(ISNUMBER(deployment_raw[[#This Row],[Column6]]), (deployment_raw[[#This Row],[Column6]] * deployment_raw[[#This Row],[Column5]]),"")</f>
        <v/>
      </c>
      <c r="G860" s="175" t="str">
        <f>IF(ISNUMBER(deployment_raw[[#This Row],[Column7]]), (deployment_raw[[#This Row],[Column7]] * deployment_raw[[#This Row],[Column5]])/1048576,"")</f>
        <v/>
      </c>
      <c r="H860" s="175" t="str">
        <f>IF(ISNUMBER(deployment_raw[[#This Row],[Column8]]), (deployment_raw[[#This Row],[Column8]]  * deployment_raw[[#This Row],[Column5]]),"")</f>
        <v/>
      </c>
      <c r="I860" s="176" t="str">
        <f>IF(ISNUMBER(deployment_raw[[#This Row],[Column9]]), (deployment_raw[[#This Row],[Column9]] * deployment_raw[[#This Row],[Column5]])/1048576,"")</f>
        <v/>
      </c>
      <c r="J860" s="57" t="str">
        <f>IF(ISNUMBER(deployment_raw[[#This Row],[Column10]]), (deployment_raw[[#This Row],[Column10]] * deployment_raw[[#This Row],[Column5]]),"")</f>
        <v/>
      </c>
      <c r="K860" s="58" t="str">
        <f>IF(ISNUMBER(deployment_raw[[#This Row],[Column11]]), (deployment_raw[[#This Row],[Column11]] * deployment_raw[[#This Row],[Column5]])/1048576,"")</f>
        <v/>
      </c>
      <c r="L860" s="180" t="str">
        <f>IF(ISNUMBER(deployment_raw[[#This Row],[Column8]]),IF(deployment_raw[[#This Row],[Column5]] &lt;&gt; 0, MAX((deployment_raw[[#This Row],[Column12]] * deployment_raw[[#This Row],[Column5]]), ((deployment_raw[[#This Row],[Column8]] * deployment_raw[[#This Row],[Column5]]) * $L$2), ($H$2 * deployment_raw[[#This Row],[Column5]])), 0),"")</f>
        <v/>
      </c>
      <c r="M86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60" s="188" t="str">
        <f>IF(ISNUMBER(deployment_raw[[#This Row],[Column14]]), deployment_raw[[#This Row],[Column14]],"")</f>
        <v/>
      </c>
      <c r="O860" s="189" t="str">
        <f>IF(ISNUMBER(deployment_raw[[#This Row],[Column15]]), deployment_raw[[#This Row],[Column15]]/1048576,"")</f>
        <v/>
      </c>
      <c r="P860" s="190" t="str">
        <f>IF(ISNUMBER(deployment_raw[[#This Row],[Column12]]), (deployment_raw[[#This Row],[Column12]] * deployment_raw[[#This Row],[Column5]]),"")</f>
        <v/>
      </c>
      <c r="Q860" s="189" t="str">
        <f>IF(ISNUMBER(deployment_raw[[#This Row],[Column13]]), (deployment_raw[[#This Row],[Column13]] * deployment_raw[[#This Row],[Column5]])/1048576,"")</f>
        <v/>
      </c>
    </row>
    <row r="861" spans="1:17" ht="15.75" customHeight="1" x14ac:dyDescent="0.25">
      <c r="A861" s="37" t="str">
        <f>IF(ISNONTEXT(deployment_raw[[#This Row],[Column1]]), "", deployment_raw[[#This Row],[Column1]])</f>
        <v/>
      </c>
      <c r="B861" s="38" t="str">
        <f>IF(ISNONTEXT(deployment_raw[[#This Row],[Column2]]), "", deployment_raw[[#This Row],[Column2]])</f>
        <v/>
      </c>
      <c r="C861" s="38" t="str">
        <f>IF(ISNONTEXT(deployment_raw[[#This Row],[Column3]]), "", deployment_raw[[#This Row],[Column3]])</f>
        <v/>
      </c>
      <c r="D861" s="38" t="str">
        <f>IF(ISNONTEXT(deployment_raw[[#This Row],[Column4]]), "", deployment_raw[[#This Row],[Column4]])</f>
        <v/>
      </c>
      <c r="E861" s="39" t="str">
        <f>IF(ISNUMBER(deployment_raw[[#This Row],[Column5]]), deployment_raw[[#This Row],[Column5]],"")</f>
        <v/>
      </c>
      <c r="F861" s="174" t="str">
        <f>IF(ISNUMBER(deployment_raw[[#This Row],[Column6]]), (deployment_raw[[#This Row],[Column6]] * deployment_raw[[#This Row],[Column5]]),"")</f>
        <v/>
      </c>
      <c r="G861" s="175" t="str">
        <f>IF(ISNUMBER(deployment_raw[[#This Row],[Column7]]), (deployment_raw[[#This Row],[Column7]] * deployment_raw[[#This Row],[Column5]])/1048576,"")</f>
        <v/>
      </c>
      <c r="H861" s="175" t="str">
        <f>IF(ISNUMBER(deployment_raw[[#This Row],[Column8]]), (deployment_raw[[#This Row],[Column8]]  * deployment_raw[[#This Row],[Column5]]),"")</f>
        <v/>
      </c>
      <c r="I861" s="176" t="str">
        <f>IF(ISNUMBER(deployment_raw[[#This Row],[Column9]]), (deployment_raw[[#This Row],[Column9]] * deployment_raw[[#This Row],[Column5]])/1048576,"")</f>
        <v/>
      </c>
      <c r="J861" s="57" t="str">
        <f>IF(ISNUMBER(deployment_raw[[#This Row],[Column10]]), (deployment_raw[[#This Row],[Column10]] * deployment_raw[[#This Row],[Column5]]),"")</f>
        <v/>
      </c>
      <c r="K861" s="58" t="str">
        <f>IF(ISNUMBER(deployment_raw[[#This Row],[Column11]]), (deployment_raw[[#This Row],[Column11]] * deployment_raw[[#This Row],[Column5]])/1048576,"")</f>
        <v/>
      </c>
      <c r="L861" s="180" t="str">
        <f>IF(ISNUMBER(deployment_raw[[#This Row],[Column8]]),IF(deployment_raw[[#This Row],[Column5]] &lt;&gt; 0, MAX((deployment_raw[[#This Row],[Column12]] * deployment_raw[[#This Row],[Column5]]), ((deployment_raw[[#This Row],[Column8]] * deployment_raw[[#This Row],[Column5]]) * $L$2), ($H$2 * deployment_raw[[#This Row],[Column5]])), 0),"")</f>
        <v/>
      </c>
      <c r="M86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61" s="188" t="str">
        <f>IF(ISNUMBER(deployment_raw[[#This Row],[Column14]]), deployment_raw[[#This Row],[Column14]],"")</f>
        <v/>
      </c>
      <c r="O861" s="189" t="str">
        <f>IF(ISNUMBER(deployment_raw[[#This Row],[Column15]]), deployment_raw[[#This Row],[Column15]]/1048576,"")</f>
        <v/>
      </c>
      <c r="P861" s="190" t="str">
        <f>IF(ISNUMBER(deployment_raw[[#This Row],[Column12]]), (deployment_raw[[#This Row],[Column12]] * deployment_raw[[#This Row],[Column5]]),"")</f>
        <v/>
      </c>
      <c r="Q861" s="189" t="str">
        <f>IF(ISNUMBER(deployment_raw[[#This Row],[Column13]]), (deployment_raw[[#This Row],[Column13]] * deployment_raw[[#This Row],[Column5]])/1048576,"")</f>
        <v/>
      </c>
    </row>
    <row r="862" spans="1:17" ht="15.75" customHeight="1" x14ac:dyDescent="0.25">
      <c r="A862" s="37" t="str">
        <f>IF(ISNONTEXT(deployment_raw[[#This Row],[Column1]]), "", deployment_raw[[#This Row],[Column1]])</f>
        <v/>
      </c>
      <c r="B862" s="38" t="str">
        <f>IF(ISNONTEXT(deployment_raw[[#This Row],[Column2]]), "", deployment_raw[[#This Row],[Column2]])</f>
        <v/>
      </c>
      <c r="C862" s="38" t="str">
        <f>IF(ISNONTEXT(deployment_raw[[#This Row],[Column3]]), "", deployment_raw[[#This Row],[Column3]])</f>
        <v/>
      </c>
      <c r="D862" s="38" t="str">
        <f>IF(ISNONTEXT(deployment_raw[[#This Row],[Column4]]), "", deployment_raw[[#This Row],[Column4]])</f>
        <v/>
      </c>
      <c r="E862" s="39" t="str">
        <f>IF(ISNUMBER(deployment_raw[[#This Row],[Column5]]), deployment_raw[[#This Row],[Column5]],"")</f>
        <v/>
      </c>
      <c r="F862" s="174" t="str">
        <f>IF(ISNUMBER(deployment_raw[[#This Row],[Column6]]), (deployment_raw[[#This Row],[Column6]] * deployment_raw[[#This Row],[Column5]]),"")</f>
        <v/>
      </c>
      <c r="G862" s="175" t="str">
        <f>IF(ISNUMBER(deployment_raw[[#This Row],[Column7]]), (deployment_raw[[#This Row],[Column7]] * deployment_raw[[#This Row],[Column5]])/1048576,"")</f>
        <v/>
      </c>
      <c r="H862" s="175" t="str">
        <f>IF(ISNUMBER(deployment_raw[[#This Row],[Column8]]), (deployment_raw[[#This Row],[Column8]]  * deployment_raw[[#This Row],[Column5]]),"")</f>
        <v/>
      </c>
      <c r="I862" s="176" t="str">
        <f>IF(ISNUMBER(deployment_raw[[#This Row],[Column9]]), (deployment_raw[[#This Row],[Column9]] * deployment_raw[[#This Row],[Column5]])/1048576,"")</f>
        <v/>
      </c>
      <c r="J862" s="57" t="str">
        <f>IF(ISNUMBER(deployment_raw[[#This Row],[Column10]]), (deployment_raw[[#This Row],[Column10]] * deployment_raw[[#This Row],[Column5]]),"")</f>
        <v/>
      </c>
      <c r="K862" s="58" t="str">
        <f>IF(ISNUMBER(deployment_raw[[#This Row],[Column11]]), (deployment_raw[[#This Row],[Column11]] * deployment_raw[[#This Row],[Column5]])/1048576,"")</f>
        <v/>
      </c>
      <c r="L862" s="180" t="str">
        <f>IF(ISNUMBER(deployment_raw[[#This Row],[Column8]]),IF(deployment_raw[[#This Row],[Column5]] &lt;&gt; 0, MAX((deployment_raw[[#This Row],[Column12]] * deployment_raw[[#This Row],[Column5]]), ((deployment_raw[[#This Row],[Column8]] * deployment_raw[[#This Row],[Column5]]) * $L$2), ($H$2 * deployment_raw[[#This Row],[Column5]])), 0),"")</f>
        <v/>
      </c>
      <c r="M86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62" s="188" t="str">
        <f>IF(ISNUMBER(deployment_raw[[#This Row],[Column14]]), deployment_raw[[#This Row],[Column14]],"")</f>
        <v/>
      </c>
      <c r="O862" s="189" t="str">
        <f>IF(ISNUMBER(deployment_raw[[#This Row],[Column15]]), deployment_raw[[#This Row],[Column15]]/1048576,"")</f>
        <v/>
      </c>
      <c r="P862" s="190" t="str">
        <f>IF(ISNUMBER(deployment_raw[[#This Row],[Column12]]), (deployment_raw[[#This Row],[Column12]] * deployment_raw[[#This Row],[Column5]]),"")</f>
        <v/>
      </c>
      <c r="Q862" s="189" t="str">
        <f>IF(ISNUMBER(deployment_raw[[#This Row],[Column13]]), (deployment_raw[[#This Row],[Column13]] * deployment_raw[[#This Row],[Column5]])/1048576,"")</f>
        <v/>
      </c>
    </row>
    <row r="863" spans="1:17" ht="15.75" customHeight="1" x14ac:dyDescent="0.25">
      <c r="A863" s="37" t="str">
        <f>IF(ISNONTEXT(deployment_raw[[#This Row],[Column1]]), "", deployment_raw[[#This Row],[Column1]])</f>
        <v/>
      </c>
      <c r="B863" s="38" t="str">
        <f>IF(ISNONTEXT(deployment_raw[[#This Row],[Column2]]), "", deployment_raw[[#This Row],[Column2]])</f>
        <v/>
      </c>
      <c r="C863" s="38" t="str">
        <f>IF(ISNONTEXT(deployment_raw[[#This Row],[Column3]]), "", deployment_raw[[#This Row],[Column3]])</f>
        <v/>
      </c>
      <c r="D863" s="38" t="str">
        <f>IF(ISNONTEXT(deployment_raw[[#This Row],[Column4]]), "", deployment_raw[[#This Row],[Column4]])</f>
        <v/>
      </c>
      <c r="E863" s="39" t="str">
        <f>IF(ISNUMBER(deployment_raw[[#This Row],[Column5]]), deployment_raw[[#This Row],[Column5]],"")</f>
        <v/>
      </c>
      <c r="F863" s="174" t="str">
        <f>IF(ISNUMBER(deployment_raw[[#This Row],[Column6]]), (deployment_raw[[#This Row],[Column6]] * deployment_raw[[#This Row],[Column5]]),"")</f>
        <v/>
      </c>
      <c r="G863" s="175" t="str">
        <f>IF(ISNUMBER(deployment_raw[[#This Row],[Column7]]), (deployment_raw[[#This Row],[Column7]] * deployment_raw[[#This Row],[Column5]])/1048576,"")</f>
        <v/>
      </c>
      <c r="H863" s="175" t="str">
        <f>IF(ISNUMBER(deployment_raw[[#This Row],[Column8]]), (deployment_raw[[#This Row],[Column8]]  * deployment_raw[[#This Row],[Column5]]),"")</f>
        <v/>
      </c>
      <c r="I863" s="176" t="str">
        <f>IF(ISNUMBER(deployment_raw[[#This Row],[Column9]]), (deployment_raw[[#This Row],[Column9]] * deployment_raw[[#This Row],[Column5]])/1048576,"")</f>
        <v/>
      </c>
      <c r="J863" s="57" t="str">
        <f>IF(ISNUMBER(deployment_raw[[#This Row],[Column10]]), (deployment_raw[[#This Row],[Column10]] * deployment_raw[[#This Row],[Column5]]),"")</f>
        <v/>
      </c>
      <c r="K863" s="58" t="str">
        <f>IF(ISNUMBER(deployment_raw[[#This Row],[Column11]]), (deployment_raw[[#This Row],[Column11]] * deployment_raw[[#This Row],[Column5]])/1048576,"")</f>
        <v/>
      </c>
      <c r="L863" s="180" t="str">
        <f>IF(ISNUMBER(deployment_raw[[#This Row],[Column8]]),IF(deployment_raw[[#This Row],[Column5]] &lt;&gt; 0, MAX((deployment_raw[[#This Row],[Column12]] * deployment_raw[[#This Row],[Column5]]), ((deployment_raw[[#This Row],[Column8]] * deployment_raw[[#This Row],[Column5]]) * $L$2), ($H$2 * deployment_raw[[#This Row],[Column5]])), 0),"")</f>
        <v/>
      </c>
      <c r="M86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63" s="188" t="str">
        <f>IF(ISNUMBER(deployment_raw[[#This Row],[Column14]]), deployment_raw[[#This Row],[Column14]],"")</f>
        <v/>
      </c>
      <c r="O863" s="189" t="str">
        <f>IF(ISNUMBER(deployment_raw[[#This Row],[Column15]]), deployment_raw[[#This Row],[Column15]]/1048576,"")</f>
        <v/>
      </c>
      <c r="P863" s="190" t="str">
        <f>IF(ISNUMBER(deployment_raw[[#This Row],[Column12]]), (deployment_raw[[#This Row],[Column12]] * deployment_raw[[#This Row],[Column5]]),"")</f>
        <v/>
      </c>
      <c r="Q863" s="189" t="str">
        <f>IF(ISNUMBER(deployment_raw[[#This Row],[Column13]]), (deployment_raw[[#This Row],[Column13]] * deployment_raw[[#This Row],[Column5]])/1048576,"")</f>
        <v/>
      </c>
    </row>
    <row r="864" spans="1:17" ht="15.75" customHeight="1" x14ac:dyDescent="0.25">
      <c r="A864" s="37" t="str">
        <f>IF(ISNONTEXT(deployment_raw[[#This Row],[Column1]]), "", deployment_raw[[#This Row],[Column1]])</f>
        <v/>
      </c>
      <c r="B864" s="38" t="str">
        <f>IF(ISNONTEXT(deployment_raw[[#This Row],[Column2]]), "", deployment_raw[[#This Row],[Column2]])</f>
        <v/>
      </c>
      <c r="C864" s="38" t="str">
        <f>IF(ISNONTEXT(deployment_raw[[#This Row],[Column3]]), "", deployment_raw[[#This Row],[Column3]])</f>
        <v/>
      </c>
      <c r="D864" s="38" t="str">
        <f>IF(ISNONTEXT(deployment_raw[[#This Row],[Column4]]), "", deployment_raw[[#This Row],[Column4]])</f>
        <v/>
      </c>
      <c r="E864" s="39" t="str">
        <f>IF(ISNUMBER(deployment_raw[[#This Row],[Column5]]), deployment_raw[[#This Row],[Column5]],"")</f>
        <v/>
      </c>
      <c r="F864" s="174" t="str">
        <f>IF(ISNUMBER(deployment_raw[[#This Row],[Column6]]), (deployment_raw[[#This Row],[Column6]] * deployment_raw[[#This Row],[Column5]]),"")</f>
        <v/>
      </c>
      <c r="G864" s="175" t="str">
        <f>IF(ISNUMBER(deployment_raw[[#This Row],[Column7]]), (deployment_raw[[#This Row],[Column7]] * deployment_raw[[#This Row],[Column5]])/1048576,"")</f>
        <v/>
      </c>
      <c r="H864" s="175" t="str">
        <f>IF(ISNUMBER(deployment_raw[[#This Row],[Column8]]), (deployment_raw[[#This Row],[Column8]]  * deployment_raw[[#This Row],[Column5]]),"")</f>
        <v/>
      </c>
      <c r="I864" s="176" t="str">
        <f>IF(ISNUMBER(deployment_raw[[#This Row],[Column9]]), (deployment_raw[[#This Row],[Column9]] * deployment_raw[[#This Row],[Column5]])/1048576,"")</f>
        <v/>
      </c>
      <c r="J864" s="57" t="str">
        <f>IF(ISNUMBER(deployment_raw[[#This Row],[Column10]]), (deployment_raw[[#This Row],[Column10]] * deployment_raw[[#This Row],[Column5]]),"")</f>
        <v/>
      </c>
      <c r="K864" s="58" t="str">
        <f>IF(ISNUMBER(deployment_raw[[#This Row],[Column11]]), (deployment_raw[[#This Row],[Column11]] * deployment_raw[[#This Row],[Column5]])/1048576,"")</f>
        <v/>
      </c>
      <c r="L864" s="180" t="str">
        <f>IF(ISNUMBER(deployment_raw[[#This Row],[Column8]]),IF(deployment_raw[[#This Row],[Column5]] &lt;&gt; 0, MAX((deployment_raw[[#This Row],[Column12]] * deployment_raw[[#This Row],[Column5]]), ((deployment_raw[[#This Row],[Column8]] * deployment_raw[[#This Row],[Column5]]) * $L$2), ($H$2 * deployment_raw[[#This Row],[Column5]])), 0),"")</f>
        <v/>
      </c>
      <c r="M86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64" s="188" t="str">
        <f>IF(ISNUMBER(deployment_raw[[#This Row],[Column14]]), deployment_raw[[#This Row],[Column14]],"")</f>
        <v/>
      </c>
      <c r="O864" s="189" t="str">
        <f>IF(ISNUMBER(deployment_raw[[#This Row],[Column15]]), deployment_raw[[#This Row],[Column15]]/1048576,"")</f>
        <v/>
      </c>
      <c r="P864" s="190" t="str">
        <f>IF(ISNUMBER(deployment_raw[[#This Row],[Column12]]), (deployment_raw[[#This Row],[Column12]] * deployment_raw[[#This Row],[Column5]]),"")</f>
        <v/>
      </c>
      <c r="Q864" s="189" t="str">
        <f>IF(ISNUMBER(deployment_raw[[#This Row],[Column13]]), (deployment_raw[[#This Row],[Column13]] * deployment_raw[[#This Row],[Column5]])/1048576,"")</f>
        <v/>
      </c>
    </row>
    <row r="865" spans="1:17" ht="15.75" customHeight="1" x14ac:dyDescent="0.25">
      <c r="A865" s="37" t="str">
        <f>IF(ISNONTEXT(deployment_raw[[#This Row],[Column1]]), "", deployment_raw[[#This Row],[Column1]])</f>
        <v/>
      </c>
      <c r="B865" s="38" t="str">
        <f>IF(ISNONTEXT(deployment_raw[[#This Row],[Column2]]), "", deployment_raw[[#This Row],[Column2]])</f>
        <v/>
      </c>
      <c r="C865" s="38" t="str">
        <f>IF(ISNONTEXT(deployment_raw[[#This Row],[Column3]]), "", deployment_raw[[#This Row],[Column3]])</f>
        <v/>
      </c>
      <c r="D865" s="38" t="str">
        <f>IF(ISNONTEXT(deployment_raw[[#This Row],[Column4]]), "", deployment_raw[[#This Row],[Column4]])</f>
        <v/>
      </c>
      <c r="E865" s="39" t="str">
        <f>IF(ISNUMBER(deployment_raw[[#This Row],[Column5]]), deployment_raw[[#This Row],[Column5]],"")</f>
        <v/>
      </c>
      <c r="F865" s="174" t="str">
        <f>IF(ISNUMBER(deployment_raw[[#This Row],[Column6]]), (deployment_raw[[#This Row],[Column6]] * deployment_raw[[#This Row],[Column5]]),"")</f>
        <v/>
      </c>
      <c r="G865" s="175" t="str">
        <f>IF(ISNUMBER(deployment_raw[[#This Row],[Column7]]), (deployment_raw[[#This Row],[Column7]] * deployment_raw[[#This Row],[Column5]])/1048576,"")</f>
        <v/>
      </c>
      <c r="H865" s="175" t="str">
        <f>IF(ISNUMBER(deployment_raw[[#This Row],[Column8]]), (deployment_raw[[#This Row],[Column8]]  * deployment_raw[[#This Row],[Column5]]),"")</f>
        <v/>
      </c>
      <c r="I865" s="176" t="str">
        <f>IF(ISNUMBER(deployment_raw[[#This Row],[Column9]]), (deployment_raw[[#This Row],[Column9]] * deployment_raw[[#This Row],[Column5]])/1048576,"")</f>
        <v/>
      </c>
      <c r="J865" s="57" t="str">
        <f>IF(ISNUMBER(deployment_raw[[#This Row],[Column10]]), (deployment_raw[[#This Row],[Column10]] * deployment_raw[[#This Row],[Column5]]),"")</f>
        <v/>
      </c>
      <c r="K865" s="58" t="str">
        <f>IF(ISNUMBER(deployment_raw[[#This Row],[Column11]]), (deployment_raw[[#This Row],[Column11]] * deployment_raw[[#This Row],[Column5]])/1048576,"")</f>
        <v/>
      </c>
      <c r="L865" s="180" t="str">
        <f>IF(ISNUMBER(deployment_raw[[#This Row],[Column8]]),IF(deployment_raw[[#This Row],[Column5]] &lt;&gt; 0, MAX((deployment_raw[[#This Row],[Column12]] * deployment_raw[[#This Row],[Column5]]), ((deployment_raw[[#This Row],[Column8]] * deployment_raw[[#This Row],[Column5]]) * $L$2), ($H$2 * deployment_raw[[#This Row],[Column5]])), 0),"")</f>
        <v/>
      </c>
      <c r="M86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65" s="188" t="str">
        <f>IF(ISNUMBER(deployment_raw[[#This Row],[Column14]]), deployment_raw[[#This Row],[Column14]],"")</f>
        <v/>
      </c>
      <c r="O865" s="189" t="str">
        <f>IF(ISNUMBER(deployment_raw[[#This Row],[Column15]]), deployment_raw[[#This Row],[Column15]]/1048576,"")</f>
        <v/>
      </c>
      <c r="P865" s="190" t="str">
        <f>IF(ISNUMBER(deployment_raw[[#This Row],[Column12]]), (deployment_raw[[#This Row],[Column12]] * deployment_raw[[#This Row],[Column5]]),"")</f>
        <v/>
      </c>
      <c r="Q865" s="189" t="str">
        <f>IF(ISNUMBER(deployment_raw[[#This Row],[Column13]]), (deployment_raw[[#This Row],[Column13]] * deployment_raw[[#This Row],[Column5]])/1048576,"")</f>
        <v/>
      </c>
    </row>
    <row r="866" spans="1:17" ht="15.75" customHeight="1" x14ac:dyDescent="0.25">
      <c r="A866" s="37" t="str">
        <f>IF(ISNONTEXT(deployment_raw[[#This Row],[Column1]]), "", deployment_raw[[#This Row],[Column1]])</f>
        <v/>
      </c>
      <c r="B866" s="38" t="str">
        <f>IF(ISNONTEXT(deployment_raw[[#This Row],[Column2]]), "", deployment_raw[[#This Row],[Column2]])</f>
        <v/>
      </c>
      <c r="C866" s="38" t="str">
        <f>IF(ISNONTEXT(deployment_raw[[#This Row],[Column3]]), "", deployment_raw[[#This Row],[Column3]])</f>
        <v/>
      </c>
      <c r="D866" s="38" t="str">
        <f>IF(ISNONTEXT(deployment_raw[[#This Row],[Column4]]), "", deployment_raw[[#This Row],[Column4]])</f>
        <v/>
      </c>
      <c r="E866" s="39" t="str">
        <f>IF(ISNUMBER(deployment_raw[[#This Row],[Column5]]), deployment_raw[[#This Row],[Column5]],"")</f>
        <v/>
      </c>
      <c r="F866" s="174" t="str">
        <f>IF(ISNUMBER(deployment_raw[[#This Row],[Column6]]), (deployment_raw[[#This Row],[Column6]] * deployment_raw[[#This Row],[Column5]]),"")</f>
        <v/>
      </c>
      <c r="G866" s="175" t="str">
        <f>IF(ISNUMBER(deployment_raw[[#This Row],[Column7]]), (deployment_raw[[#This Row],[Column7]] * deployment_raw[[#This Row],[Column5]])/1048576,"")</f>
        <v/>
      </c>
      <c r="H866" s="175" t="str">
        <f>IF(ISNUMBER(deployment_raw[[#This Row],[Column8]]), (deployment_raw[[#This Row],[Column8]]  * deployment_raw[[#This Row],[Column5]]),"")</f>
        <v/>
      </c>
      <c r="I866" s="176" t="str">
        <f>IF(ISNUMBER(deployment_raw[[#This Row],[Column9]]), (deployment_raw[[#This Row],[Column9]] * deployment_raw[[#This Row],[Column5]])/1048576,"")</f>
        <v/>
      </c>
      <c r="J866" s="57" t="str">
        <f>IF(ISNUMBER(deployment_raw[[#This Row],[Column10]]), (deployment_raw[[#This Row],[Column10]] * deployment_raw[[#This Row],[Column5]]),"")</f>
        <v/>
      </c>
      <c r="K866" s="58" t="str">
        <f>IF(ISNUMBER(deployment_raw[[#This Row],[Column11]]), (deployment_raw[[#This Row],[Column11]] * deployment_raw[[#This Row],[Column5]])/1048576,"")</f>
        <v/>
      </c>
      <c r="L866" s="180" t="str">
        <f>IF(ISNUMBER(deployment_raw[[#This Row],[Column8]]),IF(deployment_raw[[#This Row],[Column5]] &lt;&gt; 0, MAX((deployment_raw[[#This Row],[Column12]] * deployment_raw[[#This Row],[Column5]]), ((deployment_raw[[#This Row],[Column8]] * deployment_raw[[#This Row],[Column5]]) * $L$2), ($H$2 * deployment_raw[[#This Row],[Column5]])), 0),"")</f>
        <v/>
      </c>
      <c r="M86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66" s="188" t="str">
        <f>IF(ISNUMBER(deployment_raw[[#This Row],[Column14]]), deployment_raw[[#This Row],[Column14]],"")</f>
        <v/>
      </c>
      <c r="O866" s="189" t="str">
        <f>IF(ISNUMBER(deployment_raw[[#This Row],[Column15]]), deployment_raw[[#This Row],[Column15]]/1048576,"")</f>
        <v/>
      </c>
      <c r="P866" s="190" t="str">
        <f>IF(ISNUMBER(deployment_raw[[#This Row],[Column12]]), (deployment_raw[[#This Row],[Column12]] * deployment_raw[[#This Row],[Column5]]),"")</f>
        <v/>
      </c>
      <c r="Q866" s="189" t="str">
        <f>IF(ISNUMBER(deployment_raw[[#This Row],[Column13]]), (deployment_raw[[#This Row],[Column13]] * deployment_raw[[#This Row],[Column5]])/1048576,"")</f>
        <v/>
      </c>
    </row>
    <row r="867" spans="1:17" ht="15.75" customHeight="1" x14ac:dyDescent="0.25">
      <c r="A867" s="37" t="str">
        <f>IF(ISNONTEXT(deployment_raw[[#This Row],[Column1]]), "", deployment_raw[[#This Row],[Column1]])</f>
        <v/>
      </c>
      <c r="B867" s="38" t="str">
        <f>IF(ISNONTEXT(deployment_raw[[#This Row],[Column2]]), "", deployment_raw[[#This Row],[Column2]])</f>
        <v/>
      </c>
      <c r="C867" s="38" t="str">
        <f>IF(ISNONTEXT(deployment_raw[[#This Row],[Column3]]), "", deployment_raw[[#This Row],[Column3]])</f>
        <v/>
      </c>
      <c r="D867" s="38" t="str">
        <f>IF(ISNONTEXT(deployment_raw[[#This Row],[Column4]]), "", deployment_raw[[#This Row],[Column4]])</f>
        <v/>
      </c>
      <c r="E867" s="39" t="str">
        <f>IF(ISNUMBER(deployment_raw[[#This Row],[Column5]]), deployment_raw[[#This Row],[Column5]],"")</f>
        <v/>
      </c>
      <c r="F867" s="174" t="str">
        <f>IF(ISNUMBER(deployment_raw[[#This Row],[Column6]]), (deployment_raw[[#This Row],[Column6]] * deployment_raw[[#This Row],[Column5]]),"")</f>
        <v/>
      </c>
      <c r="G867" s="175" t="str">
        <f>IF(ISNUMBER(deployment_raw[[#This Row],[Column7]]), (deployment_raw[[#This Row],[Column7]] * deployment_raw[[#This Row],[Column5]])/1048576,"")</f>
        <v/>
      </c>
      <c r="H867" s="175" t="str">
        <f>IF(ISNUMBER(deployment_raw[[#This Row],[Column8]]), (deployment_raw[[#This Row],[Column8]]  * deployment_raw[[#This Row],[Column5]]),"")</f>
        <v/>
      </c>
      <c r="I867" s="176" t="str">
        <f>IF(ISNUMBER(deployment_raw[[#This Row],[Column9]]), (deployment_raw[[#This Row],[Column9]] * deployment_raw[[#This Row],[Column5]])/1048576,"")</f>
        <v/>
      </c>
      <c r="J867" s="57" t="str">
        <f>IF(ISNUMBER(deployment_raw[[#This Row],[Column10]]), (deployment_raw[[#This Row],[Column10]] * deployment_raw[[#This Row],[Column5]]),"")</f>
        <v/>
      </c>
      <c r="K867" s="58" t="str">
        <f>IF(ISNUMBER(deployment_raw[[#This Row],[Column11]]), (deployment_raw[[#This Row],[Column11]] * deployment_raw[[#This Row],[Column5]])/1048576,"")</f>
        <v/>
      </c>
      <c r="L867" s="180" t="str">
        <f>IF(ISNUMBER(deployment_raw[[#This Row],[Column8]]),IF(deployment_raw[[#This Row],[Column5]] &lt;&gt; 0, MAX((deployment_raw[[#This Row],[Column12]] * deployment_raw[[#This Row],[Column5]]), ((deployment_raw[[#This Row],[Column8]] * deployment_raw[[#This Row],[Column5]]) * $L$2), ($H$2 * deployment_raw[[#This Row],[Column5]])), 0),"")</f>
        <v/>
      </c>
      <c r="M86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67" s="188" t="str">
        <f>IF(ISNUMBER(deployment_raw[[#This Row],[Column14]]), deployment_raw[[#This Row],[Column14]],"")</f>
        <v/>
      </c>
      <c r="O867" s="189" t="str">
        <f>IF(ISNUMBER(deployment_raw[[#This Row],[Column15]]), deployment_raw[[#This Row],[Column15]]/1048576,"")</f>
        <v/>
      </c>
      <c r="P867" s="190" t="str">
        <f>IF(ISNUMBER(deployment_raw[[#This Row],[Column12]]), (deployment_raw[[#This Row],[Column12]] * deployment_raw[[#This Row],[Column5]]),"")</f>
        <v/>
      </c>
      <c r="Q867" s="189" t="str">
        <f>IF(ISNUMBER(deployment_raw[[#This Row],[Column13]]), (deployment_raw[[#This Row],[Column13]] * deployment_raw[[#This Row],[Column5]])/1048576,"")</f>
        <v/>
      </c>
    </row>
    <row r="868" spans="1:17" ht="15.75" customHeight="1" x14ac:dyDescent="0.25">
      <c r="A868" s="37" t="str">
        <f>IF(ISNONTEXT(deployment_raw[[#This Row],[Column1]]), "", deployment_raw[[#This Row],[Column1]])</f>
        <v/>
      </c>
      <c r="B868" s="38" t="str">
        <f>IF(ISNONTEXT(deployment_raw[[#This Row],[Column2]]), "", deployment_raw[[#This Row],[Column2]])</f>
        <v/>
      </c>
      <c r="C868" s="38" t="str">
        <f>IF(ISNONTEXT(deployment_raw[[#This Row],[Column3]]), "", deployment_raw[[#This Row],[Column3]])</f>
        <v/>
      </c>
      <c r="D868" s="38" t="str">
        <f>IF(ISNONTEXT(deployment_raw[[#This Row],[Column4]]), "", deployment_raw[[#This Row],[Column4]])</f>
        <v/>
      </c>
      <c r="E868" s="39" t="str">
        <f>IF(ISNUMBER(deployment_raw[[#This Row],[Column5]]), deployment_raw[[#This Row],[Column5]],"")</f>
        <v/>
      </c>
      <c r="F868" s="174" t="str">
        <f>IF(ISNUMBER(deployment_raw[[#This Row],[Column6]]), (deployment_raw[[#This Row],[Column6]] * deployment_raw[[#This Row],[Column5]]),"")</f>
        <v/>
      </c>
      <c r="G868" s="175" t="str">
        <f>IF(ISNUMBER(deployment_raw[[#This Row],[Column7]]), (deployment_raw[[#This Row],[Column7]] * deployment_raw[[#This Row],[Column5]])/1048576,"")</f>
        <v/>
      </c>
      <c r="H868" s="175" t="str">
        <f>IF(ISNUMBER(deployment_raw[[#This Row],[Column8]]), (deployment_raw[[#This Row],[Column8]]  * deployment_raw[[#This Row],[Column5]]),"")</f>
        <v/>
      </c>
      <c r="I868" s="176" t="str">
        <f>IF(ISNUMBER(deployment_raw[[#This Row],[Column9]]), (deployment_raw[[#This Row],[Column9]] * deployment_raw[[#This Row],[Column5]])/1048576,"")</f>
        <v/>
      </c>
      <c r="J868" s="57" t="str">
        <f>IF(ISNUMBER(deployment_raw[[#This Row],[Column10]]), (deployment_raw[[#This Row],[Column10]] * deployment_raw[[#This Row],[Column5]]),"")</f>
        <v/>
      </c>
      <c r="K868" s="58" t="str">
        <f>IF(ISNUMBER(deployment_raw[[#This Row],[Column11]]), (deployment_raw[[#This Row],[Column11]] * deployment_raw[[#This Row],[Column5]])/1048576,"")</f>
        <v/>
      </c>
      <c r="L868" s="180" t="str">
        <f>IF(ISNUMBER(deployment_raw[[#This Row],[Column8]]),IF(deployment_raw[[#This Row],[Column5]] &lt;&gt; 0, MAX((deployment_raw[[#This Row],[Column12]] * deployment_raw[[#This Row],[Column5]]), ((deployment_raw[[#This Row],[Column8]] * deployment_raw[[#This Row],[Column5]]) * $L$2), ($H$2 * deployment_raw[[#This Row],[Column5]])), 0),"")</f>
        <v/>
      </c>
      <c r="M86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68" s="188" t="str">
        <f>IF(ISNUMBER(deployment_raw[[#This Row],[Column14]]), deployment_raw[[#This Row],[Column14]],"")</f>
        <v/>
      </c>
      <c r="O868" s="189" t="str">
        <f>IF(ISNUMBER(deployment_raw[[#This Row],[Column15]]), deployment_raw[[#This Row],[Column15]]/1048576,"")</f>
        <v/>
      </c>
      <c r="P868" s="190" t="str">
        <f>IF(ISNUMBER(deployment_raw[[#This Row],[Column12]]), (deployment_raw[[#This Row],[Column12]] * deployment_raw[[#This Row],[Column5]]),"")</f>
        <v/>
      </c>
      <c r="Q868" s="189" t="str">
        <f>IF(ISNUMBER(deployment_raw[[#This Row],[Column13]]), (deployment_raw[[#This Row],[Column13]] * deployment_raw[[#This Row],[Column5]])/1048576,"")</f>
        <v/>
      </c>
    </row>
    <row r="869" spans="1:17" ht="15" customHeight="1" x14ac:dyDescent="0.25">
      <c r="A869" s="37" t="str">
        <f>IF(ISNONTEXT(deployment_raw[[#This Row],[Column1]]), "", deployment_raw[[#This Row],[Column1]])</f>
        <v/>
      </c>
      <c r="B869" s="38" t="str">
        <f>IF(ISNONTEXT(deployment_raw[[#This Row],[Column2]]), "", deployment_raw[[#This Row],[Column2]])</f>
        <v/>
      </c>
      <c r="C869" s="38" t="str">
        <f>IF(ISNONTEXT(deployment_raw[[#This Row],[Column3]]), "", deployment_raw[[#This Row],[Column3]])</f>
        <v/>
      </c>
      <c r="D869" s="38" t="str">
        <f>IF(ISNONTEXT(deployment_raw[[#This Row],[Column4]]), "", deployment_raw[[#This Row],[Column4]])</f>
        <v/>
      </c>
      <c r="E869" s="39" t="str">
        <f>IF(ISNUMBER(deployment_raw[[#This Row],[Column5]]), deployment_raw[[#This Row],[Column5]],"")</f>
        <v/>
      </c>
      <c r="F869" s="174" t="str">
        <f>IF(ISNUMBER(deployment_raw[[#This Row],[Column6]]), (deployment_raw[[#This Row],[Column6]] * deployment_raw[[#This Row],[Column5]]),"")</f>
        <v/>
      </c>
      <c r="G869" s="175" t="str">
        <f>IF(ISNUMBER(deployment_raw[[#This Row],[Column7]]), (deployment_raw[[#This Row],[Column7]] * deployment_raw[[#This Row],[Column5]])/1048576,"")</f>
        <v/>
      </c>
      <c r="H869" s="175" t="str">
        <f>IF(ISNUMBER(deployment_raw[[#This Row],[Column8]]), (deployment_raw[[#This Row],[Column8]]  * deployment_raw[[#This Row],[Column5]]),"")</f>
        <v/>
      </c>
      <c r="I869" s="176" t="str">
        <f>IF(ISNUMBER(deployment_raw[[#This Row],[Column9]]), (deployment_raw[[#This Row],[Column9]] * deployment_raw[[#This Row],[Column5]])/1048576,"")</f>
        <v/>
      </c>
      <c r="J869" s="57" t="str">
        <f>IF(ISNUMBER(deployment_raw[[#This Row],[Column10]]), (deployment_raw[[#This Row],[Column10]] * deployment_raw[[#This Row],[Column5]]),"")</f>
        <v/>
      </c>
      <c r="K869" s="58" t="str">
        <f>IF(ISNUMBER(deployment_raw[[#This Row],[Column11]]), (deployment_raw[[#This Row],[Column11]] * deployment_raw[[#This Row],[Column5]])/1048576,"")</f>
        <v/>
      </c>
      <c r="L869" s="180" t="str">
        <f>IF(ISNUMBER(deployment_raw[[#This Row],[Column8]]),IF(deployment_raw[[#This Row],[Column5]] &lt;&gt; 0, MAX((deployment_raw[[#This Row],[Column12]] * deployment_raw[[#This Row],[Column5]]), ((deployment_raw[[#This Row],[Column8]] * deployment_raw[[#This Row],[Column5]]) * $L$2), ($H$2 * deployment_raw[[#This Row],[Column5]])), 0),"")</f>
        <v/>
      </c>
      <c r="M86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69" s="188" t="str">
        <f>IF(ISNUMBER(deployment_raw[[#This Row],[Column14]]), deployment_raw[[#This Row],[Column14]],"")</f>
        <v/>
      </c>
      <c r="O869" s="189" t="str">
        <f>IF(ISNUMBER(deployment_raw[[#This Row],[Column15]]), deployment_raw[[#This Row],[Column15]]/1048576,"")</f>
        <v/>
      </c>
      <c r="P869" s="190" t="str">
        <f>IF(ISNUMBER(deployment_raw[[#This Row],[Column12]]), (deployment_raw[[#This Row],[Column12]] * deployment_raw[[#This Row],[Column5]]),"")</f>
        <v/>
      </c>
      <c r="Q869" s="189" t="str">
        <f>IF(ISNUMBER(deployment_raw[[#This Row],[Column13]]), (deployment_raw[[#This Row],[Column13]] * deployment_raw[[#This Row],[Column5]])/1048576,"")</f>
        <v/>
      </c>
    </row>
    <row r="870" spans="1:17" ht="15" customHeight="1" x14ac:dyDescent="0.25">
      <c r="A870" s="37" t="str">
        <f>IF(ISNONTEXT(deployment_raw[[#This Row],[Column1]]), "", deployment_raw[[#This Row],[Column1]])</f>
        <v/>
      </c>
      <c r="B870" s="38" t="str">
        <f>IF(ISNONTEXT(deployment_raw[[#This Row],[Column2]]), "", deployment_raw[[#This Row],[Column2]])</f>
        <v/>
      </c>
      <c r="C870" s="38" t="str">
        <f>IF(ISNONTEXT(deployment_raw[[#This Row],[Column3]]), "", deployment_raw[[#This Row],[Column3]])</f>
        <v/>
      </c>
      <c r="D870" s="38" t="str">
        <f>IF(ISNONTEXT(deployment_raw[[#This Row],[Column4]]), "", deployment_raw[[#This Row],[Column4]])</f>
        <v/>
      </c>
      <c r="E870" s="39" t="str">
        <f>IF(ISNUMBER(deployment_raw[[#This Row],[Column5]]), deployment_raw[[#This Row],[Column5]],"")</f>
        <v/>
      </c>
      <c r="F870" s="174" t="str">
        <f>IF(ISNUMBER(deployment_raw[[#This Row],[Column6]]), (deployment_raw[[#This Row],[Column6]] * deployment_raw[[#This Row],[Column5]]),"")</f>
        <v/>
      </c>
      <c r="G870" s="175" t="str">
        <f>IF(ISNUMBER(deployment_raw[[#This Row],[Column7]]), (deployment_raw[[#This Row],[Column7]] * deployment_raw[[#This Row],[Column5]])/1048576,"")</f>
        <v/>
      </c>
      <c r="H870" s="175" t="str">
        <f>IF(ISNUMBER(deployment_raw[[#This Row],[Column8]]), (deployment_raw[[#This Row],[Column8]]  * deployment_raw[[#This Row],[Column5]]),"")</f>
        <v/>
      </c>
      <c r="I870" s="176" t="str">
        <f>IF(ISNUMBER(deployment_raw[[#This Row],[Column9]]), (deployment_raw[[#This Row],[Column9]] * deployment_raw[[#This Row],[Column5]])/1048576,"")</f>
        <v/>
      </c>
      <c r="J870" s="57" t="str">
        <f>IF(ISNUMBER(deployment_raw[[#This Row],[Column10]]), (deployment_raw[[#This Row],[Column10]] * deployment_raw[[#This Row],[Column5]]),"")</f>
        <v/>
      </c>
      <c r="K870" s="58" t="str">
        <f>IF(ISNUMBER(deployment_raw[[#This Row],[Column11]]), (deployment_raw[[#This Row],[Column11]] * deployment_raw[[#This Row],[Column5]])/1048576,"")</f>
        <v/>
      </c>
      <c r="L870" s="180" t="str">
        <f>IF(ISNUMBER(deployment_raw[[#This Row],[Column8]]),IF(deployment_raw[[#This Row],[Column5]] &lt;&gt; 0, MAX((deployment_raw[[#This Row],[Column12]] * deployment_raw[[#This Row],[Column5]]), ((deployment_raw[[#This Row],[Column8]] * deployment_raw[[#This Row],[Column5]]) * $L$2), ($H$2 * deployment_raw[[#This Row],[Column5]])), 0),"")</f>
        <v/>
      </c>
      <c r="M87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70" s="188" t="str">
        <f>IF(ISNUMBER(deployment_raw[[#This Row],[Column14]]), deployment_raw[[#This Row],[Column14]],"")</f>
        <v/>
      </c>
      <c r="O870" s="189" t="str">
        <f>IF(ISNUMBER(deployment_raw[[#This Row],[Column15]]), deployment_raw[[#This Row],[Column15]]/1048576,"")</f>
        <v/>
      </c>
      <c r="P870" s="190" t="str">
        <f>IF(ISNUMBER(deployment_raw[[#This Row],[Column12]]), (deployment_raw[[#This Row],[Column12]] * deployment_raw[[#This Row],[Column5]]),"")</f>
        <v/>
      </c>
      <c r="Q870" s="189" t="str">
        <f>IF(ISNUMBER(deployment_raw[[#This Row],[Column13]]), (deployment_raw[[#This Row],[Column13]] * deployment_raw[[#This Row],[Column5]])/1048576,"")</f>
        <v/>
      </c>
    </row>
    <row r="871" spans="1:17" ht="15" customHeight="1" x14ac:dyDescent="0.25">
      <c r="A871" s="37" t="str">
        <f>IF(ISNONTEXT(deployment_raw[[#This Row],[Column1]]), "", deployment_raw[[#This Row],[Column1]])</f>
        <v/>
      </c>
      <c r="B871" s="38" t="str">
        <f>IF(ISNONTEXT(deployment_raw[[#This Row],[Column2]]), "", deployment_raw[[#This Row],[Column2]])</f>
        <v/>
      </c>
      <c r="C871" s="38" t="str">
        <f>IF(ISNONTEXT(deployment_raw[[#This Row],[Column3]]), "", deployment_raw[[#This Row],[Column3]])</f>
        <v/>
      </c>
      <c r="D871" s="38" t="str">
        <f>IF(ISNONTEXT(deployment_raw[[#This Row],[Column4]]), "", deployment_raw[[#This Row],[Column4]])</f>
        <v/>
      </c>
      <c r="E871" s="39" t="str">
        <f>IF(ISNUMBER(deployment_raw[[#This Row],[Column5]]), deployment_raw[[#This Row],[Column5]],"")</f>
        <v/>
      </c>
      <c r="F871" s="174" t="str">
        <f>IF(ISNUMBER(deployment_raw[[#This Row],[Column6]]), (deployment_raw[[#This Row],[Column6]] * deployment_raw[[#This Row],[Column5]]),"")</f>
        <v/>
      </c>
      <c r="G871" s="175" t="str">
        <f>IF(ISNUMBER(deployment_raw[[#This Row],[Column7]]), (deployment_raw[[#This Row],[Column7]] * deployment_raw[[#This Row],[Column5]])/1048576,"")</f>
        <v/>
      </c>
      <c r="H871" s="175" t="str">
        <f>IF(ISNUMBER(deployment_raw[[#This Row],[Column8]]), (deployment_raw[[#This Row],[Column8]]  * deployment_raw[[#This Row],[Column5]]),"")</f>
        <v/>
      </c>
      <c r="I871" s="176" t="str">
        <f>IF(ISNUMBER(deployment_raw[[#This Row],[Column9]]), (deployment_raw[[#This Row],[Column9]] * deployment_raw[[#This Row],[Column5]])/1048576,"")</f>
        <v/>
      </c>
      <c r="J871" s="57" t="str">
        <f>IF(ISNUMBER(deployment_raw[[#This Row],[Column10]]), (deployment_raw[[#This Row],[Column10]] * deployment_raw[[#This Row],[Column5]]),"")</f>
        <v/>
      </c>
      <c r="K871" s="58" t="str">
        <f>IF(ISNUMBER(deployment_raw[[#This Row],[Column11]]), (deployment_raw[[#This Row],[Column11]] * deployment_raw[[#This Row],[Column5]])/1048576,"")</f>
        <v/>
      </c>
      <c r="L871" s="180" t="str">
        <f>IF(ISNUMBER(deployment_raw[[#This Row],[Column8]]),IF(deployment_raw[[#This Row],[Column5]] &lt;&gt; 0, MAX((deployment_raw[[#This Row],[Column12]] * deployment_raw[[#This Row],[Column5]]), ((deployment_raw[[#This Row],[Column8]] * deployment_raw[[#This Row],[Column5]]) * $L$2), ($H$2 * deployment_raw[[#This Row],[Column5]])), 0),"")</f>
        <v/>
      </c>
      <c r="M87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71" s="188" t="str">
        <f>IF(ISNUMBER(deployment_raw[[#This Row],[Column14]]), deployment_raw[[#This Row],[Column14]],"")</f>
        <v/>
      </c>
      <c r="O871" s="189" t="str">
        <f>IF(ISNUMBER(deployment_raw[[#This Row],[Column15]]), deployment_raw[[#This Row],[Column15]]/1048576,"")</f>
        <v/>
      </c>
      <c r="P871" s="190" t="str">
        <f>IF(ISNUMBER(deployment_raw[[#This Row],[Column12]]), (deployment_raw[[#This Row],[Column12]] * deployment_raw[[#This Row],[Column5]]),"")</f>
        <v/>
      </c>
      <c r="Q871" s="189" t="str">
        <f>IF(ISNUMBER(deployment_raw[[#This Row],[Column13]]), (deployment_raw[[#This Row],[Column13]] * deployment_raw[[#This Row],[Column5]])/1048576,"")</f>
        <v/>
      </c>
    </row>
    <row r="872" spans="1:17" ht="15" customHeight="1" x14ac:dyDescent="0.25">
      <c r="A872" s="37" t="str">
        <f>IF(ISNONTEXT(deployment_raw[[#This Row],[Column1]]), "", deployment_raw[[#This Row],[Column1]])</f>
        <v/>
      </c>
      <c r="B872" s="38" t="str">
        <f>IF(ISNONTEXT(deployment_raw[[#This Row],[Column2]]), "", deployment_raw[[#This Row],[Column2]])</f>
        <v/>
      </c>
      <c r="C872" s="38" t="str">
        <f>IF(ISNONTEXT(deployment_raw[[#This Row],[Column3]]), "", deployment_raw[[#This Row],[Column3]])</f>
        <v/>
      </c>
      <c r="D872" s="38" t="str">
        <f>IF(ISNONTEXT(deployment_raw[[#This Row],[Column4]]), "", deployment_raw[[#This Row],[Column4]])</f>
        <v/>
      </c>
      <c r="E872" s="39" t="str">
        <f>IF(ISNUMBER(deployment_raw[[#This Row],[Column5]]), deployment_raw[[#This Row],[Column5]],"")</f>
        <v/>
      </c>
      <c r="F872" s="174" t="str">
        <f>IF(ISNUMBER(deployment_raw[[#This Row],[Column6]]), (deployment_raw[[#This Row],[Column6]] * deployment_raw[[#This Row],[Column5]]),"")</f>
        <v/>
      </c>
      <c r="G872" s="175" t="str">
        <f>IF(ISNUMBER(deployment_raw[[#This Row],[Column7]]), (deployment_raw[[#This Row],[Column7]] * deployment_raw[[#This Row],[Column5]])/1048576,"")</f>
        <v/>
      </c>
      <c r="H872" s="175" t="str">
        <f>IF(ISNUMBER(deployment_raw[[#This Row],[Column8]]), (deployment_raw[[#This Row],[Column8]]  * deployment_raw[[#This Row],[Column5]]),"")</f>
        <v/>
      </c>
      <c r="I872" s="176" t="str">
        <f>IF(ISNUMBER(deployment_raw[[#This Row],[Column9]]), (deployment_raw[[#This Row],[Column9]] * deployment_raw[[#This Row],[Column5]])/1048576,"")</f>
        <v/>
      </c>
      <c r="J872" s="57" t="str">
        <f>IF(ISNUMBER(deployment_raw[[#This Row],[Column10]]), (deployment_raw[[#This Row],[Column10]] * deployment_raw[[#This Row],[Column5]]),"")</f>
        <v/>
      </c>
      <c r="K872" s="58" t="str">
        <f>IF(ISNUMBER(deployment_raw[[#This Row],[Column11]]), (deployment_raw[[#This Row],[Column11]] * deployment_raw[[#This Row],[Column5]])/1048576,"")</f>
        <v/>
      </c>
      <c r="L872" s="180" t="str">
        <f>IF(ISNUMBER(deployment_raw[[#This Row],[Column8]]),IF(deployment_raw[[#This Row],[Column5]] &lt;&gt; 0, MAX((deployment_raw[[#This Row],[Column12]] * deployment_raw[[#This Row],[Column5]]), ((deployment_raw[[#This Row],[Column8]] * deployment_raw[[#This Row],[Column5]]) * $L$2), ($H$2 * deployment_raw[[#This Row],[Column5]])), 0),"")</f>
        <v/>
      </c>
      <c r="M87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72" s="188" t="str">
        <f>IF(ISNUMBER(deployment_raw[[#This Row],[Column14]]), deployment_raw[[#This Row],[Column14]],"")</f>
        <v/>
      </c>
      <c r="O872" s="189" t="str">
        <f>IF(ISNUMBER(deployment_raw[[#This Row],[Column15]]), deployment_raw[[#This Row],[Column15]]/1048576,"")</f>
        <v/>
      </c>
      <c r="P872" s="190" t="str">
        <f>IF(ISNUMBER(deployment_raw[[#This Row],[Column12]]), (deployment_raw[[#This Row],[Column12]] * deployment_raw[[#This Row],[Column5]]),"")</f>
        <v/>
      </c>
      <c r="Q872" s="189" t="str">
        <f>IF(ISNUMBER(deployment_raw[[#This Row],[Column13]]), (deployment_raw[[#This Row],[Column13]] * deployment_raw[[#This Row],[Column5]])/1048576,"")</f>
        <v/>
      </c>
    </row>
    <row r="873" spans="1:17" ht="15" customHeight="1" x14ac:dyDescent="0.25">
      <c r="A873" s="37" t="str">
        <f>IF(ISNONTEXT(deployment_raw[[#This Row],[Column1]]), "", deployment_raw[[#This Row],[Column1]])</f>
        <v/>
      </c>
      <c r="B873" s="38" t="str">
        <f>IF(ISNONTEXT(deployment_raw[[#This Row],[Column2]]), "", deployment_raw[[#This Row],[Column2]])</f>
        <v/>
      </c>
      <c r="C873" s="38" t="str">
        <f>IF(ISNONTEXT(deployment_raw[[#This Row],[Column3]]), "", deployment_raw[[#This Row],[Column3]])</f>
        <v/>
      </c>
      <c r="D873" s="38" t="str">
        <f>IF(ISNONTEXT(deployment_raw[[#This Row],[Column4]]), "", deployment_raw[[#This Row],[Column4]])</f>
        <v/>
      </c>
      <c r="E873" s="39" t="str">
        <f>IF(ISNUMBER(deployment_raw[[#This Row],[Column5]]), deployment_raw[[#This Row],[Column5]],"")</f>
        <v/>
      </c>
      <c r="F873" s="174" t="str">
        <f>IF(ISNUMBER(deployment_raw[[#This Row],[Column6]]), (deployment_raw[[#This Row],[Column6]] * deployment_raw[[#This Row],[Column5]]),"")</f>
        <v/>
      </c>
      <c r="G873" s="175" t="str">
        <f>IF(ISNUMBER(deployment_raw[[#This Row],[Column7]]), (deployment_raw[[#This Row],[Column7]] * deployment_raw[[#This Row],[Column5]])/1048576,"")</f>
        <v/>
      </c>
      <c r="H873" s="175" t="str">
        <f>IF(ISNUMBER(deployment_raw[[#This Row],[Column8]]), (deployment_raw[[#This Row],[Column8]]  * deployment_raw[[#This Row],[Column5]]),"")</f>
        <v/>
      </c>
      <c r="I873" s="176" t="str">
        <f>IF(ISNUMBER(deployment_raw[[#This Row],[Column9]]), (deployment_raw[[#This Row],[Column9]] * deployment_raw[[#This Row],[Column5]])/1048576,"")</f>
        <v/>
      </c>
      <c r="J873" s="57" t="str">
        <f>IF(ISNUMBER(deployment_raw[[#This Row],[Column10]]), (deployment_raw[[#This Row],[Column10]] * deployment_raw[[#This Row],[Column5]]),"")</f>
        <v/>
      </c>
      <c r="K873" s="58" t="str">
        <f>IF(ISNUMBER(deployment_raw[[#This Row],[Column11]]), (deployment_raw[[#This Row],[Column11]] * deployment_raw[[#This Row],[Column5]])/1048576,"")</f>
        <v/>
      </c>
      <c r="L873" s="180" t="str">
        <f>IF(ISNUMBER(deployment_raw[[#This Row],[Column8]]),IF(deployment_raw[[#This Row],[Column5]] &lt;&gt; 0, MAX((deployment_raw[[#This Row],[Column12]] * deployment_raw[[#This Row],[Column5]]), ((deployment_raw[[#This Row],[Column8]] * deployment_raw[[#This Row],[Column5]]) * $L$2), ($H$2 * deployment_raw[[#This Row],[Column5]])), 0),"")</f>
        <v/>
      </c>
      <c r="M87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73" s="188" t="str">
        <f>IF(ISNUMBER(deployment_raw[[#This Row],[Column14]]), deployment_raw[[#This Row],[Column14]],"")</f>
        <v/>
      </c>
      <c r="O873" s="189" t="str">
        <f>IF(ISNUMBER(deployment_raw[[#This Row],[Column15]]), deployment_raw[[#This Row],[Column15]]/1048576,"")</f>
        <v/>
      </c>
      <c r="P873" s="190" t="str">
        <f>IF(ISNUMBER(deployment_raw[[#This Row],[Column12]]), (deployment_raw[[#This Row],[Column12]] * deployment_raw[[#This Row],[Column5]]),"")</f>
        <v/>
      </c>
      <c r="Q873" s="189" t="str">
        <f>IF(ISNUMBER(deployment_raw[[#This Row],[Column13]]), (deployment_raw[[#This Row],[Column13]] * deployment_raw[[#This Row],[Column5]])/1048576,"")</f>
        <v/>
      </c>
    </row>
    <row r="874" spans="1:17" ht="15" customHeight="1" x14ac:dyDescent="0.25">
      <c r="A874" s="37" t="str">
        <f>IF(ISNONTEXT(deployment_raw[[#This Row],[Column1]]), "", deployment_raw[[#This Row],[Column1]])</f>
        <v/>
      </c>
      <c r="B874" s="38" t="str">
        <f>IF(ISNONTEXT(deployment_raw[[#This Row],[Column2]]), "", deployment_raw[[#This Row],[Column2]])</f>
        <v/>
      </c>
      <c r="C874" s="38" t="str">
        <f>IF(ISNONTEXT(deployment_raw[[#This Row],[Column3]]), "", deployment_raw[[#This Row],[Column3]])</f>
        <v/>
      </c>
      <c r="D874" s="38" t="str">
        <f>IF(ISNONTEXT(deployment_raw[[#This Row],[Column4]]), "", deployment_raw[[#This Row],[Column4]])</f>
        <v/>
      </c>
      <c r="E874" s="39" t="str">
        <f>IF(ISNUMBER(deployment_raw[[#This Row],[Column5]]), deployment_raw[[#This Row],[Column5]],"")</f>
        <v/>
      </c>
      <c r="F874" s="174" t="str">
        <f>IF(ISNUMBER(deployment_raw[[#This Row],[Column6]]), (deployment_raw[[#This Row],[Column6]] * deployment_raw[[#This Row],[Column5]]),"")</f>
        <v/>
      </c>
      <c r="G874" s="175" t="str">
        <f>IF(ISNUMBER(deployment_raw[[#This Row],[Column7]]), (deployment_raw[[#This Row],[Column7]] * deployment_raw[[#This Row],[Column5]])/1048576,"")</f>
        <v/>
      </c>
      <c r="H874" s="175" t="str">
        <f>IF(ISNUMBER(deployment_raw[[#This Row],[Column8]]), (deployment_raw[[#This Row],[Column8]]  * deployment_raw[[#This Row],[Column5]]),"")</f>
        <v/>
      </c>
      <c r="I874" s="176" t="str">
        <f>IF(ISNUMBER(deployment_raw[[#This Row],[Column9]]), (deployment_raw[[#This Row],[Column9]] * deployment_raw[[#This Row],[Column5]])/1048576,"")</f>
        <v/>
      </c>
      <c r="J874" s="57" t="str">
        <f>IF(ISNUMBER(deployment_raw[[#This Row],[Column10]]), (deployment_raw[[#This Row],[Column10]] * deployment_raw[[#This Row],[Column5]]),"")</f>
        <v/>
      </c>
      <c r="K874" s="58" t="str">
        <f>IF(ISNUMBER(deployment_raw[[#This Row],[Column11]]), (deployment_raw[[#This Row],[Column11]] * deployment_raw[[#This Row],[Column5]])/1048576,"")</f>
        <v/>
      </c>
      <c r="L874" s="180" t="str">
        <f>IF(ISNUMBER(deployment_raw[[#This Row],[Column8]]),IF(deployment_raw[[#This Row],[Column5]] &lt;&gt; 0, MAX((deployment_raw[[#This Row],[Column12]] * deployment_raw[[#This Row],[Column5]]), ((deployment_raw[[#This Row],[Column8]] * deployment_raw[[#This Row],[Column5]]) * $L$2), ($H$2 * deployment_raw[[#This Row],[Column5]])), 0),"")</f>
        <v/>
      </c>
      <c r="M87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74" s="188" t="str">
        <f>IF(ISNUMBER(deployment_raw[[#This Row],[Column14]]), deployment_raw[[#This Row],[Column14]],"")</f>
        <v/>
      </c>
      <c r="O874" s="189" t="str">
        <f>IF(ISNUMBER(deployment_raw[[#This Row],[Column15]]), deployment_raw[[#This Row],[Column15]]/1048576,"")</f>
        <v/>
      </c>
      <c r="P874" s="190" t="str">
        <f>IF(ISNUMBER(deployment_raw[[#This Row],[Column12]]), (deployment_raw[[#This Row],[Column12]] * deployment_raw[[#This Row],[Column5]]),"")</f>
        <v/>
      </c>
      <c r="Q874" s="189" t="str">
        <f>IF(ISNUMBER(deployment_raw[[#This Row],[Column13]]), (deployment_raw[[#This Row],[Column13]] * deployment_raw[[#This Row],[Column5]])/1048576,"")</f>
        <v/>
      </c>
    </row>
    <row r="875" spans="1:17" ht="15" customHeight="1" x14ac:dyDescent="0.25">
      <c r="A875" s="37" t="str">
        <f>IF(ISNONTEXT(deployment_raw[[#This Row],[Column1]]), "", deployment_raw[[#This Row],[Column1]])</f>
        <v/>
      </c>
      <c r="B875" s="38" t="str">
        <f>IF(ISNONTEXT(deployment_raw[[#This Row],[Column2]]), "", deployment_raw[[#This Row],[Column2]])</f>
        <v/>
      </c>
      <c r="C875" s="38" t="str">
        <f>IF(ISNONTEXT(deployment_raw[[#This Row],[Column3]]), "", deployment_raw[[#This Row],[Column3]])</f>
        <v/>
      </c>
      <c r="D875" s="38" t="str">
        <f>IF(ISNONTEXT(deployment_raw[[#This Row],[Column4]]), "", deployment_raw[[#This Row],[Column4]])</f>
        <v/>
      </c>
      <c r="E875" s="39" t="str">
        <f>IF(ISNUMBER(deployment_raw[[#This Row],[Column5]]), deployment_raw[[#This Row],[Column5]],"")</f>
        <v/>
      </c>
      <c r="F875" s="174" t="str">
        <f>IF(ISNUMBER(deployment_raw[[#This Row],[Column6]]), (deployment_raw[[#This Row],[Column6]] * deployment_raw[[#This Row],[Column5]]),"")</f>
        <v/>
      </c>
      <c r="G875" s="175" t="str">
        <f>IF(ISNUMBER(deployment_raw[[#This Row],[Column7]]), (deployment_raw[[#This Row],[Column7]] * deployment_raw[[#This Row],[Column5]])/1048576,"")</f>
        <v/>
      </c>
      <c r="H875" s="175" t="str">
        <f>IF(ISNUMBER(deployment_raw[[#This Row],[Column8]]), (deployment_raw[[#This Row],[Column8]]  * deployment_raw[[#This Row],[Column5]]),"")</f>
        <v/>
      </c>
      <c r="I875" s="176" t="str">
        <f>IF(ISNUMBER(deployment_raw[[#This Row],[Column9]]), (deployment_raw[[#This Row],[Column9]] * deployment_raw[[#This Row],[Column5]])/1048576,"")</f>
        <v/>
      </c>
      <c r="J875" s="57" t="str">
        <f>IF(ISNUMBER(deployment_raw[[#This Row],[Column10]]), (deployment_raw[[#This Row],[Column10]] * deployment_raw[[#This Row],[Column5]]),"")</f>
        <v/>
      </c>
      <c r="K875" s="58" t="str">
        <f>IF(ISNUMBER(deployment_raw[[#This Row],[Column11]]), (deployment_raw[[#This Row],[Column11]] * deployment_raw[[#This Row],[Column5]])/1048576,"")</f>
        <v/>
      </c>
      <c r="L875" s="180" t="str">
        <f>IF(ISNUMBER(deployment_raw[[#This Row],[Column8]]),IF(deployment_raw[[#This Row],[Column5]] &lt;&gt; 0, MAX((deployment_raw[[#This Row],[Column12]] * deployment_raw[[#This Row],[Column5]]), ((deployment_raw[[#This Row],[Column8]] * deployment_raw[[#This Row],[Column5]]) * $L$2), ($H$2 * deployment_raw[[#This Row],[Column5]])), 0),"")</f>
        <v/>
      </c>
      <c r="M87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75" s="188" t="str">
        <f>IF(ISNUMBER(deployment_raw[[#This Row],[Column14]]), deployment_raw[[#This Row],[Column14]],"")</f>
        <v/>
      </c>
      <c r="O875" s="189" t="str">
        <f>IF(ISNUMBER(deployment_raw[[#This Row],[Column15]]), deployment_raw[[#This Row],[Column15]]/1048576,"")</f>
        <v/>
      </c>
      <c r="P875" s="190" t="str">
        <f>IF(ISNUMBER(deployment_raw[[#This Row],[Column12]]), (deployment_raw[[#This Row],[Column12]] * deployment_raw[[#This Row],[Column5]]),"")</f>
        <v/>
      </c>
      <c r="Q875" s="189" t="str">
        <f>IF(ISNUMBER(deployment_raw[[#This Row],[Column13]]), (deployment_raw[[#This Row],[Column13]] * deployment_raw[[#This Row],[Column5]])/1048576,"")</f>
        <v/>
      </c>
    </row>
    <row r="876" spans="1:17" ht="15" customHeight="1" x14ac:dyDescent="0.25">
      <c r="A876" s="37" t="str">
        <f>IF(ISNONTEXT(deployment_raw[[#This Row],[Column1]]), "", deployment_raw[[#This Row],[Column1]])</f>
        <v/>
      </c>
      <c r="B876" s="38" t="str">
        <f>IF(ISNONTEXT(deployment_raw[[#This Row],[Column2]]), "", deployment_raw[[#This Row],[Column2]])</f>
        <v/>
      </c>
      <c r="C876" s="38" t="str">
        <f>IF(ISNONTEXT(deployment_raw[[#This Row],[Column3]]), "", deployment_raw[[#This Row],[Column3]])</f>
        <v/>
      </c>
      <c r="D876" s="38" t="str">
        <f>IF(ISNONTEXT(deployment_raw[[#This Row],[Column4]]), "", deployment_raw[[#This Row],[Column4]])</f>
        <v/>
      </c>
      <c r="E876" s="39" t="str">
        <f>IF(ISNUMBER(deployment_raw[[#This Row],[Column5]]), deployment_raw[[#This Row],[Column5]],"")</f>
        <v/>
      </c>
      <c r="F876" s="174" t="str">
        <f>IF(ISNUMBER(deployment_raw[[#This Row],[Column6]]), (deployment_raw[[#This Row],[Column6]] * deployment_raw[[#This Row],[Column5]]),"")</f>
        <v/>
      </c>
      <c r="G876" s="175" t="str">
        <f>IF(ISNUMBER(deployment_raw[[#This Row],[Column7]]), (deployment_raw[[#This Row],[Column7]] * deployment_raw[[#This Row],[Column5]])/1048576,"")</f>
        <v/>
      </c>
      <c r="H876" s="175" t="str">
        <f>IF(ISNUMBER(deployment_raw[[#This Row],[Column8]]), (deployment_raw[[#This Row],[Column8]]  * deployment_raw[[#This Row],[Column5]]),"")</f>
        <v/>
      </c>
      <c r="I876" s="176" t="str">
        <f>IF(ISNUMBER(deployment_raw[[#This Row],[Column9]]), (deployment_raw[[#This Row],[Column9]] * deployment_raw[[#This Row],[Column5]])/1048576,"")</f>
        <v/>
      </c>
      <c r="J876" s="57" t="str">
        <f>IF(ISNUMBER(deployment_raw[[#This Row],[Column10]]), (deployment_raw[[#This Row],[Column10]] * deployment_raw[[#This Row],[Column5]]),"")</f>
        <v/>
      </c>
      <c r="K876" s="58" t="str">
        <f>IF(ISNUMBER(deployment_raw[[#This Row],[Column11]]), (deployment_raw[[#This Row],[Column11]] * deployment_raw[[#This Row],[Column5]])/1048576,"")</f>
        <v/>
      </c>
      <c r="L876" s="180" t="str">
        <f>IF(ISNUMBER(deployment_raw[[#This Row],[Column8]]),IF(deployment_raw[[#This Row],[Column5]] &lt;&gt; 0, MAX((deployment_raw[[#This Row],[Column12]] * deployment_raw[[#This Row],[Column5]]), ((deployment_raw[[#This Row],[Column8]] * deployment_raw[[#This Row],[Column5]]) * $L$2), ($H$2 * deployment_raw[[#This Row],[Column5]])), 0),"")</f>
        <v/>
      </c>
      <c r="M87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76" s="188" t="str">
        <f>IF(ISNUMBER(deployment_raw[[#This Row],[Column14]]), deployment_raw[[#This Row],[Column14]],"")</f>
        <v/>
      </c>
      <c r="O876" s="189" t="str">
        <f>IF(ISNUMBER(deployment_raw[[#This Row],[Column15]]), deployment_raw[[#This Row],[Column15]]/1048576,"")</f>
        <v/>
      </c>
      <c r="P876" s="190" t="str">
        <f>IF(ISNUMBER(deployment_raw[[#This Row],[Column12]]), (deployment_raw[[#This Row],[Column12]] * deployment_raw[[#This Row],[Column5]]),"")</f>
        <v/>
      </c>
      <c r="Q876" s="189" t="str">
        <f>IF(ISNUMBER(deployment_raw[[#This Row],[Column13]]), (deployment_raw[[#This Row],[Column13]] * deployment_raw[[#This Row],[Column5]])/1048576,"")</f>
        <v/>
      </c>
    </row>
    <row r="877" spans="1:17" ht="15" customHeight="1" x14ac:dyDescent="0.25">
      <c r="A877" s="37" t="str">
        <f>IF(ISNONTEXT(deployment_raw[[#This Row],[Column1]]), "", deployment_raw[[#This Row],[Column1]])</f>
        <v/>
      </c>
      <c r="B877" s="38" t="str">
        <f>IF(ISNONTEXT(deployment_raw[[#This Row],[Column2]]), "", deployment_raw[[#This Row],[Column2]])</f>
        <v/>
      </c>
      <c r="C877" s="38" t="str">
        <f>IF(ISNONTEXT(deployment_raw[[#This Row],[Column3]]), "", deployment_raw[[#This Row],[Column3]])</f>
        <v/>
      </c>
      <c r="D877" s="38" t="str">
        <f>IF(ISNONTEXT(deployment_raw[[#This Row],[Column4]]), "", deployment_raw[[#This Row],[Column4]])</f>
        <v/>
      </c>
      <c r="E877" s="39" t="str">
        <f>IF(ISNUMBER(deployment_raw[[#This Row],[Column5]]), deployment_raw[[#This Row],[Column5]],"")</f>
        <v/>
      </c>
      <c r="F877" s="174" t="str">
        <f>IF(ISNUMBER(deployment_raw[[#This Row],[Column6]]), (deployment_raw[[#This Row],[Column6]] * deployment_raw[[#This Row],[Column5]]),"")</f>
        <v/>
      </c>
      <c r="G877" s="175" t="str">
        <f>IF(ISNUMBER(deployment_raw[[#This Row],[Column7]]), (deployment_raw[[#This Row],[Column7]] * deployment_raw[[#This Row],[Column5]])/1048576,"")</f>
        <v/>
      </c>
      <c r="H877" s="175" t="str">
        <f>IF(ISNUMBER(deployment_raw[[#This Row],[Column8]]), (deployment_raw[[#This Row],[Column8]]  * deployment_raw[[#This Row],[Column5]]),"")</f>
        <v/>
      </c>
      <c r="I877" s="176" t="str">
        <f>IF(ISNUMBER(deployment_raw[[#This Row],[Column9]]), (deployment_raw[[#This Row],[Column9]] * deployment_raw[[#This Row],[Column5]])/1048576,"")</f>
        <v/>
      </c>
      <c r="J877" s="57" t="str">
        <f>IF(ISNUMBER(deployment_raw[[#This Row],[Column10]]), (deployment_raw[[#This Row],[Column10]] * deployment_raw[[#This Row],[Column5]]),"")</f>
        <v/>
      </c>
      <c r="K877" s="58" t="str">
        <f>IF(ISNUMBER(deployment_raw[[#This Row],[Column11]]), (deployment_raw[[#This Row],[Column11]] * deployment_raw[[#This Row],[Column5]])/1048576,"")</f>
        <v/>
      </c>
      <c r="L877" s="180" t="str">
        <f>IF(ISNUMBER(deployment_raw[[#This Row],[Column8]]),IF(deployment_raw[[#This Row],[Column5]] &lt;&gt; 0, MAX((deployment_raw[[#This Row],[Column12]] * deployment_raw[[#This Row],[Column5]]), ((deployment_raw[[#This Row],[Column8]] * deployment_raw[[#This Row],[Column5]]) * $L$2), ($H$2 * deployment_raw[[#This Row],[Column5]])), 0),"")</f>
        <v/>
      </c>
      <c r="M87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77" s="188" t="str">
        <f>IF(ISNUMBER(deployment_raw[[#This Row],[Column14]]), deployment_raw[[#This Row],[Column14]],"")</f>
        <v/>
      </c>
      <c r="O877" s="189" t="str">
        <f>IF(ISNUMBER(deployment_raw[[#This Row],[Column15]]), deployment_raw[[#This Row],[Column15]]/1048576,"")</f>
        <v/>
      </c>
      <c r="P877" s="190" t="str">
        <f>IF(ISNUMBER(deployment_raw[[#This Row],[Column12]]), (deployment_raw[[#This Row],[Column12]] * deployment_raw[[#This Row],[Column5]]),"")</f>
        <v/>
      </c>
      <c r="Q877" s="189" t="str">
        <f>IF(ISNUMBER(deployment_raw[[#This Row],[Column13]]), (deployment_raw[[#This Row],[Column13]] * deployment_raw[[#This Row],[Column5]])/1048576,"")</f>
        <v/>
      </c>
    </row>
    <row r="878" spans="1:17" ht="15" customHeight="1" x14ac:dyDescent="0.25">
      <c r="A878" s="37" t="str">
        <f>IF(ISNONTEXT(deployment_raw[[#This Row],[Column1]]), "", deployment_raw[[#This Row],[Column1]])</f>
        <v/>
      </c>
      <c r="B878" s="38" t="str">
        <f>IF(ISNONTEXT(deployment_raw[[#This Row],[Column2]]), "", deployment_raw[[#This Row],[Column2]])</f>
        <v/>
      </c>
      <c r="C878" s="38" t="str">
        <f>IF(ISNONTEXT(deployment_raw[[#This Row],[Column3]]), "", deployment_raw[[#This Row],[Column3]])</f>
        <v/>
      </c>
      <c r="D878" s="38" t="str">
        <f>IF(ISNONTEXT(deployment_raw[[#This Row],[Column4]]), "", deployment_raw[[#This Row],[Column4]])</f>
        <v/>
      </c>
      <c r="E878" s="39" t="str">
        <f>IF(ISNUMBER(deployment_raw[[#This Row],[Column5]]), deployment_raw[[#This Row],[Column5]],"")</f>
        <v/>
      </c>
      <c r="F878" s="174" t="str">
        <f>IF(ISNUMBER(deployment_raw[[#This Row],[Column6]]), (deployment_raw[[#This Row],[Column6]] * deployment_raw[[#This Row],[Column5]]),"")</f>
        <v/>
      </c>
      <c r="G878" s="175" t="str">
        <f>IF(ISNUMBER(deployment_raw[[#This Row],[Column7]]), (deployment_raw[[#This Row],[Column7]] * deployment_raw[[#This Row],[Column5]])/1048576,"")</f>
        <v/>
      </c>
      <c r="H878" s="175" t="str">
        <f>IF(ISNUMBER(deployment_raw[[#This Row],[Column8]]), (deployment_raw[[#This Row],[Column8]]  * deployment_raw[[#This Row],[Column5]]),"")</f>
        <v/>
      </c>
      <c r="I878" s="176" t="str">
        <f>IF(ISNUMBER(deployment_raw[[#This Row],[Column9]]), (deployment_raw[[#This Row],[Column9]] * deployment_raw[[#This Row],[Column5]])/1048576,"")</f>
        <v/>
      </c>
      <c r="J878" s="57" t="str">
        <f>IF(ISNUMBER(deployment_raw[[#This Row],[Column10]]), (deployment_raw[[#This Row],[Column10]] * deployment_raw[[#This Row],[Column5]]),"")</f>
        <v/>
      </c>
      <c r="K878" s="58" t="str">
        <f>IF(ISNUMBER(deployment_raw[[#This Row],[Column11]]), (deployment_raw[[#This Row],[Column11]] * deployment_raw[[#This Row],[Column5]])/1048576,"")</f>
        <v/>
      </c>
      <c r="L878" s="180" t="str">
        <f>IF(ISNUMBER(deployment_raw[[#This Row],[Column8]]),IF(deployment_raw[[#This Row],[Column5]] &lt;&gt; 0, MAX((deployment_raw[[#This Row],[Column12]] * deployment_raw[[#This Row],[Column5]]), ((deployment_raw[[#This Row],[Column8]] * deployment_raw[[#This Row],[Column5]]) * $L$2), ($H$2 * deployment_raw[[#This Row],[Column5]])), 0),"")</f>
        <v/>
      </c>
      <c r="M87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78" s="188" t="str">
        <f>IF(ISNUMBER(deployment_raw[[#This Row],[Column14]]), deployment_raw[[#This Row],[Column14]],"")</f>
        <v/>
      </c>
      <c r="O878" s="189" t="str">
        <f>IF(ISNUMBER(deployment_raw[[#This Row],[Column15]]), deployment_raw[[#This Row],[Column15]]/1048576,"")</f>
        <v/>
      </c>
      <c r="P878" s="190" t="str">
        <f>IF(ISNUMBER(deployment_raw[[#This Row],[Column12]]), (deployment_raw[[#This Row],[Column12]] * deployment_raw[[#This Row],[Column5]]),"")</f>
        <v/>
      </c>
      <c r="Q878" s="189" t="str">
        <f>IF(ISNUMBER(deployment_raw[[#This Row],[Column13]]), (deployment_raw[[#This Row],[Column13]] * deployment_raw[[#This Row],[Column5]])/1048576,"")</f>
        <v/>
      </c>
    </row>
    <row r="879" spans="1:17" ht="15" customHeight="1" x14ac:dyDescent="0.25">
      <c r="A879" s="37" t="str">
        <f>IF(ISNONTEXT(deployment_raw[[#This Row],[Column1]]), "", deployment_raw[[#This Row],[Column1]])</f>
        <v/>
      </c>
      <c r="B879" s="38" t="str">
        <f>IF(ISNONTEXT(deployment_raw[[#This Row],[Column2]]), "", deployment_raw[[#This Row],[Column2]])</f>
        <v/>
      </c>
      <c r="C879" s="38" t="str">
        <f>IF(ISNONTEXT(deployment_raw[[#This Row],[Column3]]), "", deployment_raw[[#This Row],[Column3]])</f>
        <v/>
      </c>
      <c r="D879" s="38" t="str">
        <f>IF(ISNONTEXT(deployment_raw[[#This Row],[Column4]]), "", deployment_raw[[#This Row],[Column4]])</f>
        <v/>
      </c>
      <c r="E879" s="39" t="str">
        <f>IF(ISNUMBER(deployment_raw[[#This Row],[Column5]]), deployment_raw[[#This Row],[Column5]],"")</f>
        <v/>
      </c>
      <c r="F879" s="174" t="str">
        <f>IF(ISNUMBER(deployment_raw[[#This Row],[Column6]]), (deployment_raw[[#This Row],[Column6]] * deployment_raw[[#This Row],[Column5]]),"")</f>
        <v/>
      </c>
      <c r="G879" s="175" t="str">
        <f>IF(ISNUMBER(deployment_raw[[#This Row],[Column7]]), (deployment_raw[[#This Row],[Column7]] * deployment_raw[[#This Row],[Column5]])/1048576,"")</f>
        <v/>
      </c>
      <c r="H879" s="175" t="str">
        <f>IF(ISNUMBER(deployment_raw[[#This Row],[Column8]]), (deployment_raw[[#This Row],[Column8]]  * deployment_raw[[#This Row],[Column5]]),"")</f>
        <v/>
      </c>
      <c r="I879" s="176" t="str">
        <f>IF(ISNUMBER(deployment_raw[[#This Row],[Column9]]), (deployment_raw[[#This Row],[Column9]] * deployment_raw[[#This Row],[Column5]])/1048576,"")</f>
        <v/>
      </c>
      <c r="J879" s="57" t="str">
        <f>IF(ISNUMBER(deployment_raw[[#This Row],[Column10]]), (deployment_raw[[#This Row],[Column10]] * deployment_raw[[#This Row],[Column5]]),"")</f>
        <v/>
      </c>
      <c r="K879" s="58" t="str">
        <f>IF(ISNUMBER(deployment_raw[[#This Row],[Column11]]), (deployment_raw[[#This Row],[Column11]] * deployment_raw[[#This Row],[Column5]])/1048576,"")</f>
        <v/>
      </c>
      <c r="L879" s="180" t="str">
        <f>IF(ISNUMBER(deployment_raw[[#This Row],[Column8]]),IF(deployment_raw[[#This Row],[Column5]] &lt;&gt; 0, MAX((deployment_raw[[#This Row],[Column12]] * deployment_raw[[#This Row],[Column5]]), ((deployment_raw[[#This Row],[Column8]] * deployment_raw[[#This Row],[Column5]]) * $L$2), ($H$2 * deployment_raw[[#This Row],[Column5]])), 0),"")</f>
        <v/>
      </c>
      <c r="M87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79" s="188" t="str">
        <f>IF(ISNUMBER(deployment_raw[[#This Row],[Column14]]), deployment_raw[[#This Row],[Column14]],"")</f>
        <v/>
      </c>
      <c r="O879" s="189" t="str">
        <f>IF(ISNUMBER(deployment_raw[[#This Row],[Column15]]), deployment_raw[[#This Row],[Column15]]/1048576,"")</f>
        <v/>
      </c>
      <c r="P879" s="190" t="str">
        <f>IF(ISNUMBER(deployment_raw[[#This Row],[Column12]]), (deployment_raw[[#This Row],[Column12]] * deployment_raw[[#This Row],[Column5]]),"")</f>
        <v/>
      </c>
      <c r="Q879" s="189" t="str">
        <f>IF(ISNUMBER(deployment_raw[[#This Row],[Column13]]), (deployment_raw[[#This Row],[Column13]] * deployment_raw[[#This Row],[Column5]])/1048576,"")</f>
        <v/>
      </c>
    </row>
    <row r="880" spans="1:17" ht="15" customHeight="1" x14ac:dyDescent="0.25">
      <c r="A880" s="37" t="str">
        <f>IF(ISNONTEXT(deployment_raw[[#This Row],[Column1]]), "", deployment_raw[[#This Row],[Column1]])</f>
        <v/>
      </c>
      <c r="B880" s="38" t="str">
        <f>IF(ISNONTEXT(deployment_raw[[#This Row],[Column2]]), "", deployment_raw[[#This Row],[Column2]])</f>
        <v/>
      </c>
      <c r="C880" s="38" t="str">
        <f>IF(ISNONTEXT(deployment_raw[[#This Row],[Column3]]), "", deployment_raw[[#This Row],[Column3]])</f>
        <v/>
      </c>
      <c r="D880" s="38" t="str">
        <f>IF(ISNONTEXT(deployment_raw[[#This Row],[Column4]]), "", deployment_raw[[#This Row],[Column4]])</f>
        <v/>
      </c>
      <c r="E880" s="39" t="str">
        <f>IF(ISNUMBER(deployment_raw[[#This Row],[Column5]]), deployment_raw[[#This Row],[Column5]],"")</f>
        <v/>
      </c>
      <c r="F880" s="174" t="str">
        <f>IF(ISNUMBER(deployment_raw[[#This Row],[Column6]]), (deployment_raw[[#This Row],[Column6]] * deployment_raw[[#This Row],[Column5]]),"")</f>
        <v/>
      </c>
      <c r="G880" s="175" t="str">
        <f>IF(ISNUMBER(deployment_raw[[#This Row],[Column7]]), (deployment_raw[[#This Row],[Column7]] * deployment_raw[[#This Row],[Column5]])/1048576,"")</f>
        <v/>
      </c>
      <c r="H880" s="175" t="str">
        <f>IF(ISNUMBER(deployment_raw[[#This Row],[Column8]]), (deployment_raw[[#This Row],[Column8]]  * deployment_raw[[#This Row],[Column5]]),"")</f>
        <v/>
      </c>
      <c r="I880" s="176" t="str">
        <f>IF(ISNUMBER(deployment_raw[[#This Row],[Column9]]), (deployment_raw[[#This Row],[Column9]] * deployment_raw[[#This Row],[Column5]])/1048576,"")</f>
        <v/>
      </c>
      <c r="J880" s="57" t="str">
        <f>IF(ISNUMBER(deployment_raw[[#This Row],[Column10]]), (deployment_raw[[#This Row],[Column10]] * deployment_raw[[#This Row],[Column5]]),"")</f>
        <v/>
      </c>
      <c r="K880" s="58" t="str">
        <f>IF(ISNUMBER(deployment_raw[[#This Row],[Column11]]), (deployment_raw[[#This Row],[Column11]] * deployment_raw[[#This Row],[Column5]])/1048576,"")</f>
        <v/>
      </c>
      <c r="L880" s="180" t="str">
        <f>IF(ISNUMBER(deployment_raw[[#This Row],[Column8]]),IF(deployment_raw[[#This Row],[Column5]] &lt;&gt; 0, MAX((deployment_raw[[#This Row],[Column12]] * deployment_raw[[#This Row],[Column5]]), ((deployment_raw[[#This Row],[Column8]] * deployment_raw[[#This Row],[Column5]]) * $L$2), ($H$2 * deployment_raw[[#This Row],[Column5]])), 0),"")</f>
        <v/>
      </c>
      <c r="M88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80" s="188" t="str">
        <f>IF(ISNUMBER(deployment_raw[[#This Row],[Column14]]), deployment_raw[[#This Row],[Column14]],"")</f>
        <v/>
      </c>
      <c r="O880" s="189" t="str">
        <f>IF(ISNUMBER(deployment_raw[[#This Row],[Column15]]), deployment_raw[[#This Row],[Column15]]/1048576,"")</f>
        <v/>
      </c>
      <c r="P880" s="190" t="str">
        <f>IF(ISNUMBER(deployment_raw[[#This Row],[Column12]]), (deployment_raw[[#This Row],[Column12]] * deployment_raw[[#This Row],[Column5]]),"")</f>
        <v/>
      </c>
      <c r="Q880" s="189" t="str">
        <f>IF(ISNUMBER(deployment_raw[[#This Row],[Column13]]), (deployment_raw[[#This Row],[Column13]] * deployment_raw[[#This Row],[Column5]])/1048576,"")</f>
        <v/>
      </c>
    </row>
    <row r="881" spans="1:17" ht="15" customHeight="1" x14ac:dyDescent="0.25">
      <c r="A881" s="37" t="str">
        <f>IF(ISNONTEXT(deployment_raw[[#This Row],[Column1]]), "", deployment_raw[[#This Row],[Column1]])</f>
        <v/>
      </c>
      <c r="B881" s="38" t="str">
        <f>IF(ISNONTEXT(deployment_raw[[#This Row],[Column2]]), "", deployment_raw[[#This Row],[Column2]])</f>
        <v/>
      </c>
      <c r="C881" s="38" t="str">
        <f>IF(ISNONTEXT(deployment_raw[[#This Row],[Column3]]), "", deployment_raw[[#This Row],[Column3]])</f>
        <v/>
      </c>
      <c r="D881" s="38" t="str">
        <f>IF(ISNONTEXT(deployment_raw[[#This Row],[Column4]]), "", deployment_raw[[#This Row],[Column4]])</f>
        <v/>
      </c>
      <c r="E881" s="39" t="str">
        <f>IF(ISNUMBER(deployment_raw[[#This Row],[Column5]]), deployment_raw[[#This Row],[Column5]],"")</f>
        <v/>
      </c>
      <c r="F881" s="174" t="str">
        <f>IF(ISNUMBER(deployment_raw[[#This Row],[Column6]]), (deployment_raw[[#This Row],[Column6]] * deployment_raw[[#This Row],[Column5]]),"")</f>
        <v/>
      </c>
      <c r="G881" s="175" t="str">
        <f>IF(ISNUMBER(deployment_raw[[#This Row],[Column7]]), (deployment_raw[[#This Row],[Column7]] * deployment_raw[[#This Row],[Column5]])/1048576,"")</f>
        <v/>
      </c>
      <c r="H881" s="175" t="str">
        <f>IF(ISNUMBER(deployment_raw[[#This Row],[Column8]]), (deployment_raw[[#This Row],[Column8]]  * deployment_raw[[#This Row],[Column5]]),"")</f>
        <v/>
      </c>
      <c r="I881" s="176" t="str">
        <f>IF(ISNUMBER(deployment_raw[[#This Row],[Column9]]), (deployment_raw[[#This Row],[Column9]] * deployment_raw[[#This Row],[Column5]])/1048576,"")</f>
        <v/>
      </c>
      <c r="J881" s="57" t="str">
        <f>IF(ISNUMBER(deployment_raw[[#This Row],[Column10]]), (deployment_raw[[#This Row],[Column10]] * deployment_raw[[#This Row],[Column5]]),"")</f>
        <v/>
      </c>
      <c r="K881" s="58" t="str">
        <f>IF(ISNUMBER(deployment_raw[[#This Row],[Column11]]), (deployment_raw[[#This Row],[Column11]] * deployment_raw[[#This Row],[Column5]])/1048576,"")</f>
        <v/>
      </c>
      <c r="L881" s="180" t="str">
        <f>IF(ISNUMBER(deployment_raw[[#This Row],[Column8]]),IF(deployment_raw[[#This Row],[Column5]] &lt;&gt; 0, MAX((deployment_raw[[#This Row],[Column12]] * deployment_raw[[#This Row],[Column5]]), ((deployment_raw[[#This Row],[Column8]] * deployment_raw[[#This Row],[Column5]]) * $L$2), ($H$2 * deployment_raw[[#This Row],[Column5]])), 0),"")</f>
        <v/>
      </c>
      <c r="M88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81" s="188" t="str">
        <f>IF(ISNUMBER(deployment_raw[[#This Row],[Column14]]), deployment_raw[[#This Row],[Column14]],"")</f>
        <v/>
      </c>
      <c r="O881" s="189" t="str">
        <f>IF(ISNUMBER(deployment_raw[[#This Row],[Column15]]), deployment_raw[[#This Row],[Column15]]/1048576,"")</f>
        <v/>
      </c>
      <c r="P881" s="190" t="str">
        <f>IF(ISNUMBER(deployment_raw[[#This Row],[Column12]]), (deployment_raw[[#This Row],[Column12]] * deployment_raw[[#This Row],[Column5]]),"")</f>
        <v/>
      </c>
      <c r="Q881" s="189" t="str">
        <f>IF(ISNUMBER(deployment_raw[[#This Row],[Column13]]), (deployment_raw[[#This Row],[Column13]] * deployment_raw[[#This Row],[Column5]])/1048576,"")</f>
        <v/>
      </c>
    </row>
    <row r="882" spans="1:17" ht="15" customHeight="1" x14ac:dyDescent="0.25">
      <c r="A882" s="37" t="str">
        <f>IF(ISNONTEXT(deployment_raw[[#This Row],[Column1]]), "", deployment_raw[[#This Row],[Column1]])</f>
        <v/>
      </c>
      <c r="B882" s="38" t="str">
        <f>IF(ISNONTEXT(deployment_raw[[#This Row],[Column2]]), "", deployment_raw[[#This Row],[Column2]])</f>
        <v/>
      </c>
      <c r="C882" s="38" t="str">
        <f>IF(ISNONTEXT(deployment_raw[[#This Row],[Column3]]), "", deployment_raw[[#This Row],[Column3]])</f>
        <v/>
      </c>
      <c r="D882" s="38" t="str">
        <f>IF(ISNONTEXT(deployment_raw[[#This Row],[Column4]]), "", deployment_raw[[#This Row],[Column4]])</f>
        <v/>
      </c>
      <c r="E882" s="39" t="str">
        <f>IF(ISNUMBER(deployment_raw[[#This Row],[Column5]]), deployment_raw[[#This Row],[Column5]],"")</f>
        <v/>
      </c>
      <c r="F882" s="174" t="str">
        <f>IF(ISNUMBER(deployment_raw[[#This Row],[Column6]]), (deployment_raw[[#This Row],[Column6]] * deployment_raw[[#This Row],[Column5]]),"")</f>
        <v/>
      </c>
      <c r="G882" s="175" t="str">
        <f>IF(ISNUMBER(deployment_raw[[#This Row],[Column7]]), (deployment_raw[[#This Row],[Column7]] * deployment_raw[[#This Row],[Column5]])/1048576,"")</f>
        <v/>
      </c>
      <c r="H882" s="175" t="str">
        <f>IF(ISNUMBER(deployment_raw[[#This Row],[Column8]]), (deployment_raw[[#This Row],[Column8]]  * deployment_raw[[#This Row],[Column5]]),"")</f>
        <v/>
      </c>
      <c r="I882" s="176" t="str">
        <f>IF(ISNUMBER(deployment_raw[[#This Row],[Column9]]), (deployment_raw[[#This Row],[Column9]] * deployment_raw[[#This Row],[Column5]])/1048576,"")</f>
        <v/>
      </c>
      <c r="J882" s="57" t="str">
        <f>IF(ISNUMBER(deployment_raw[[#This Row],[Column10]]), (deployment_raw[[#This Row],[Column10]] * deployment_raw[[#This Row],[Column5]]),"")</f>
        <v/>
      </c>
      <c r="K882" s="58" t="str">
        <f>IF(ISNUMBER(deployment_raw[[#This Row],[Column11]]), (deployment_raw[[#This Row],[Column11]] * deployment_raw[[#This Row],[Column5]])/1048576,"")</f>
        <v/>
      </c>
      <c r="L882" s="180" t="str">
        <f>IF(ISNUMBER(deployment_raw[[#This Row],[Column8]]),IF(deployment_raw[[#This Row],[Column5]] &lt;&gt; 0, MAX((deployment_raw[[#This Row],[Column12]] * deployment_raw[[#This Row],[Column5]]), ((deployment_raw[[#This Row],[Column8]] * deployment_raw[[#This Row],[Column5]]) * $L$2), ($H$2 * deployment_raw[[#This Row],[Column5]])), 0),"")</f>
        <v/>
      </c>
      <c r="M88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82" s="188" t="str">
        <f>IF(ISNUMBER(deployment_raw[[#This Row],[Column14]]), deployment_raw[[#This Row],[Column14]],"")</f>
        <v/>
      </c>
      <c r="O882" s="189" t="str">
        <f>IF(ISNUMBER(deployment_raw[[#This Row],[Column15]]), deployment_raw[[#This Row],[Column15]]/1048576,"")</f>
        <v/>
      </c>
      <c r="P882" s="190" t="str">
        <f>IF(ISNUMBER(deployment_raw[[#This Row],[Column12]]), (deployment_raw[[#This Row],[Column12]] * deployment_raw[[#This Row],[Column5]]),"")</f>
        <v/>
      </c>
      <c r="Q882" s="189" t="str">
        <f>IF(ISNUMBER(deployment_raw[[#This Row],[Column13]]), (deployment_raw[[#This Row],[Column13]] * deployment_raw[[#This Row],[Column5]])/1048576,"")</f>
        <v/>
      </c>
    </row>
    <row r="883" spans="1:17" ht="15" customHeight="1" x14ac:dyDescent="0.25">
      <c r="A883" s="37" t="str">
        <f>IF(ISNONTEXT(deployment_raw[[#This Row],[Column1]]), "", deployment_raw[[#This Row],[Column1]])</f>
        <v/>
      </c>
      <c r="B883" s="38" t="str">
        <f>IF(ISNONTEXT(deployment_raw[[#This Row],[Column2]]), "", deployment_raw[[#This Row],[Column2]])</f>
        <v/>
      </c>
      <c r="C883" s="38" t="str">
        <f>IF(ISNONTEXT(deployment_raw[[#This Row],[Column3]]), "", deployment_raw[[#This Row],[Column3]])</f>
        <v/>
      </c>
      <c r="D883" s="38" t="str">
        <f>IF(ISNONTEXT(deployment_raw[[#This Row],[Column4]]), "", deployment_raw[[#This Row],[Column4]])</f>
        <v/>
      </c>
      <c r="E883" s="39" t="str">
        <f>IF(ISNUMBER(deployment_raw[[#This Row],[Column5]]), deployment_raw[[#This Row],[Column5]],"")</f>
        <v/>
      </c>
      <c r="F883" s="174" t="str">
        <f>IF(ISNUMBER(deployment_raw[[#This Row],[Column6]]), (deployment_raw[[#This Row],[Column6]] * deployment_raw[[#This Row],[Column5]]),"")</f>
        <v/>
      </c>
      <c r="G883" s="175" t="str">
        <f>IF(ISNUMBER(deployment_raw[[#This Row],[Column7]]), (deployment_raw[[#This Row],[Column7]] * deployment_raw[[#This Row],[Column5]])/1048576,"")</f>
        <v/>
      </c>
      <c r="H883" s="175" t="str">
        <f>IF(ISNUMBER(deployment_raw[[#This Row],[Column8]]), (deployment_raw[[#This Row],[Column8]]  * deployment_raw[[#This Row],[Column5]]),"")</f>
        <v/>
      </c>
      <c r="I883" s="176" t="str">
        <f>IF(ISNUMBER(deployment_raw[[#This Row],[Column9]]), (deployment_raw[[#This Row],[Column9]] * deployment_raw[[#This Row],[Column5]])/1048576,"")</f>
        <v/>
      </c>
      <c r="J883" s="57" t="str">
        <f>IF(ISNUMBER(deployment_raw[[#This Row],[Column10]]), (deployment_raw[[#This Row],[Column10]] * deployment_raw[[#This Row],[Column5]]),"")</f>
        <v/>
      </c>
      <c r="K883" s="58" t="str">
        <f>IF(ISNUMBER(deployment_raw[[#This Row],[Column11]]), (deployment_raw[[#This Row],[Column11]] * deployment_raw[[#This Row],[Column5]])/1048576,"")</f>
        <v/>
      </c>
      <c r="L883" s="180" t="str">
        <f>IF(ISNUMBER(deployment_raw[[#This Row],[Column8]]),IF(deployment_raw[[#This Row],[Column5]] &lt;&gt; 0, MAX((deployment_raw[[#This Row],[Column12]] * deployment_raw[[#This Row],[Column5]]), ((deployment_raw[[#This Row],[Column8]] * deployment_raw[[#This Row],[Column5]]) * $L$2), ($H$2 * deployment_raw[[#This Row],[Column5]])), 0),"")</f>
        <v/>
      </c>
      <c r="M88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83" s="188" t="str">
        <f>IF(ISNUMBER(deployment_raw[[#This Row],[Column14]]), deployment_raw[[#This Row],[Column14]],"")</f>
        <v/>
      </c>
      <c r="O883" s="189" t="str">
        <f>IF(ISNUMBER(deployment_raw[[#This Row],[Column15]]), deployment_raw[[#This Row],[Column15]]/1048576,"")</f>
        <v/>
      </c>
      <c r="P883" s="190" t="str">
        <f>IF(ISNUMBER(deployment_raw[[#This Row],[Column12]]), (deployment_raw[[#This Row],[Column12]] * deployment_raw[[#This Row],[Column5]]),"")</f>
        <v/>
      </c>
      <c r="Q883" s="189" t="str">
        <f>IF(ISNUMBER(deployment_raw[[#This Row],[Column13]]), (deployment_raw[[#This Row],[Column13]] * deployment_raw[[#This Row],[Column5]])/1048576,"")</f>
        <v/>
      </c>
    </row>
    <row r="884" spans="1:17" ht="15" customHeight="1" x14ac:dyDescent="0.25">
      <c r="A884" s="37" t="str">
        <f>IF(ISNONTEXT(deployment_raw[[#This Row],[Column1]]), "", deployment_raw[[#This Row],[Column1]])</f>
        <v/>
      </c>
      <c r="B884" s="38" t="str">
        <f>IF(ISNONTEXT(deployment_raw[[#This Row],[Column2]]), "", deployment_raw[[#This Row],[Column2]])</f>
        <v/>
      </c>
      <c r="C884" s="38" t="str">
        <f>IF(ISNONTEXT(deployment_raw[[#This Row],[Column3]]), "", deployment_raw[[#This Row],[Column3]])</f>
        <v/>
      </c>
      <c r="D884" s="38" t="str">
        <f>IF(ISNONTEXT(deployment_raw[[#This Row],[Column4]]), "", deployment_raw[[#This Row],[Column4]])</f>
        <v/>
      </c>
      <c r="E884" s="39" t="str">
        <f>IF(ISNUMBER(deployment_raw[[#This Row],[Column5]]), deployment_raw[[#This Row],[Column5]],"")</f>
        <v/>
      </c>
      <c r="F884" s="174" t="str">
        <f>IF(ISNUMBER(deployment_raw[[#This Row],[Column6]]), (deployment_raw[[#This Row],[Column6]] * deployment_raw[[#This Row],[Column5]]),"")</f>
        <v/>
      </c>
      <c r="G884" s="175" t="str">
        <f>IF(ISNUMBER(deployment_raw[[#This Row],[Column7]]), (deployment_raw[[#This Row],[Column7]] * deployment_raw[[#This Row],[Column5]])/1048576,"")</f>
        <v/>
      </c>
      <c r="H884" s="175" t="str">
        <f>IF(ISNUMBER(deployment_raw[[#This Row],[Column8]]), (deployment_raw[[#This Row],[Column8]]  * deployment_raw[[#This Row],[Column5]]),"")</f>
        <v/>
      </c>
      <c r="I884" s="176" t="str">
        <f>IF(ISNUMBER(deployment_raw[[#This Row],[Column9]]), (deployment_raw[[#This Row],[Column9]] * deployment_raw[[#This Row],[Column5]])/1048576,"")</f>
        <v/>
      </c>
      <c r="J884" s="57" t="str">
        <f>IF(ISNUMBER(deployment_raw[[#This Row],[Column10]]), (deployment_raw[[#This Row],[Column10]] * deployment_raw[[#This Row],[Column5]]),"")</f>
        <v/>
      </c>
      <c r="K884" s="58" t="str">
        <f>IF(ISNUMBER(deployment_raw[[#This Row],[Column11]]), (deployment_raw[[#This Row],[Column11]] * deployment_raw[[#This Row],[Column5]])/1048576,"")</f>
        <v/>
      </c>
      <c r="L884" s="180" t="str">
        <f>IF(ISNUMBER(deployment_raw[[#This Row],[Column8]]),IF(deployment_raw[[#This Row],[Column5]] &lt;&gt; 0, MAX((deployment_raw[[#This Row],[Column12]] * deployment_raw[[#This Row],[Column5]]), ((deployment_raw[[#This Row],[Column8]] * deployment_raw[[#This Row],[Column5]]) * $L$2), ($H$2 * deployment_raw[[#This Row],[Column5]])), 0),"")</f>
        <v/>
      </c>
      <c r="M88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84" s="188" t="str">
        <f>IF(ISNUMBER(deployment_raw[[#This Row],[Column14]]), deployment_raw[[#This Row],[Column14]],"")</f>
        <v/>
      </c>
      <c r="O884" s="189" t="str">
        <f>IF(ISNUMBER(deployment_raw[[#This Row],[Column15]]), deployment_raw[[#This Row],[Column15]]/1048576,"")</f>
        <v/>
      </c>
      <c r="P884" s="190" t="str">
        <f>IF(ISNUMBER(deployment_raw[[#This Row],[Column12]]), (deployment_raw[[#This Row],[Column12]] * deployment_raw[[#This Row],[Column5]]),"")</f>
        <v/>
      </c>
      <c r="Q884" s="189" t="str">
        <f>IF(ISNUMBER(deployment_raw[[#This Row],[Column13]]), (deployment_raw[[#This Row],[Column13]] * deployment_raw[[#This Row],[Column5]])/1048576,"")</f>
        <v/>
      </c>
    </row>
    <row r="885" spans="1:17" ht="15" customHeight="1" x14ac:dyDescent="0.25">
      <c r="A885" s="37" t="str">
        <f>IF(ISNONTEXT(deployment_raw[[#This Row],[Column1]]), "", deployment_raw[[#This Row],[Column1]])</f>
        <v/>
      </c>
      <c r="B885" s="38" t="str">
        <f>IF(ISNONTEXT(deployment_raw[[#This Row],[Column2]]), "", deployment_raw[[#This Row],[Column2]])</f>
        <v/>
      </c>
      <c r="C885" s="38" t="str">
        <f>IF(ISNONTEXT(deployment_raw[[#This Row],[Column3]]), "", deployment_raw[[#This Row],[Column3]])</f>
        <v/>
      </c>
      <c r="D885" s="38" t="str">
        <f>IF(ISNONTEXT(deployment_raw[[#This Row],[Column4]]), "", deployment_raw[[#This Row],[Column4]])</f>
        <v/>
      </c>
      <c r="E885" s="39" t="str">
        <f>IF(ISNUMBER(deployment_raw[[#This Row],[Column5]]), deployment_raw[[#This Row],[Column5]],"")</f>
        <v/>
      </c>
      <c r="F885" s="174" t="str">
        <f>IF(ISNUMBER(deployment_raw[[#This Row],[Column6]]), (deployment_raw[[#This Row],[Column6]] * deployment_raw[[#This Row],[Column5]]),"")</f>
        <v/>
      </c>
      <c r="G885" s="175" t="str">
        <f>IF(ISNUMBER(deployment_raw[[#This Row],[Column7]]), (deployment_raw[[#This Row],[Column7]] * deployment_raw[[#This Row],[Column5]])/1048576,"")</f>
        <v/>
      </c>
      <c r="H885" s="175" t="str">
        <f>IF(ISNUMBER(deployment_raw[[#This Row],[Column8]]), (deployment_raw[[#This Row],[Column8]]  * deployment_raw[[#This Row],[Column5]]),"")</f>
        <v/>
      </c>
      <c r="I885" s="176" t="str">
        <f>IF(ISNUMBER(deployment_raw[[#This Row],[Column9]]), (deployment_raw[[#This Row],[Column9]] * deployment_raw[[#This Row],[Column5]])/1048576,"")</f>
        <v/>
      </c>
      <c r="J885" s="57" t="str">
        <f>IF(ISNUMBER(deployment_raw[[#This Row],[Column10]]), (deployment_raw[[#This Row],[Column10]] * deployment_raw[[#This Row],[Column5]]),"")</f>
        <v/>
      </c>
      <c r="K885" s="58" t="str">
        <f>IF(ISNUMBER(deployment_raw[[#This Row],[Column11]]), (deployment_raw[[#This Row],[Column11]] * deployment_raw[[#This Row],[Column5]])/1048576,"")</f>
        <v/>
      </c>
      <c r="L885" s="180" t="str">
        <f>IF(ISNUMBER(deployment_raw[[#This Row],[Column8]]),IF(deployment_raw[[#This Row],[Column5]] &lt;&gt; 0, MAX((deployment_raw[[#This Row],[Column12]] * deployment_raw[[#This Row],[Column5]]), ((deployment_raw[[#This Row],[Column8]] * deployment_raw[[#This Row],[Column5]]) * $L$2), ($H$2 * deployment_raw[[#This Row],[Column5]])), 0),"")</f>
        <v/>
      </c>
      <c r="M88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85" s="188" t="str">
        <f>IF(ISNUMBER(deployment_raw[[#This Row],[Column14]]), deployment_raw[[#This Row],[Column14]],"")</f>
        <v/>
      </c>
      <c r="O885" s="189" t="str">
        <f>IF(ISNUMBER(deployment_raw[[#This Row],[Column15]]), deployment_raw[[#This Row],[Column15]]/1048576,"")</f>
        <v/>
      </c>
      <c r="P885" s="190" t="str">
        <f>IF(ISNUMBER(deployment_raw[[#This Row],[Column12]]), (deployment_raw[[#This Row],[Column12]] * deployment_raw[[#This Row],[Column5]]),"")</f>
        <v/>
      </c>
      <c r="Q885" s="189" t="str">
        <f>IF(ISNUMBER(deployment_raw[[#This Row],[Column13]]), (deployment_raw[[#This Row],[Column13]] * deployment_raw[[#This Row],[Column5]])/1048576,"")</f>
        <v/>
      </c>
    </row>
    <row r="886" spans="1:17" ht="15" customHeight="1" x14ac:dyDescent="0.25">
      <c r="A886" s="37" t="str">
        <f>IF(ISNONTEXT(deployment_raw[[#This Row],[Column1]]), "", deployment_raw[[#This Row],[Column1]])</f>
        <v/>
      </c>
      <c r="B886" s="38" t="str">
        <f>IF(ISNONTEXT(deployment_raw[[#This Row],[Column2]]), "", deployment_raw[[#This Row],[Column2]])</f>
        <v/>
      </c>
      <c r="C886" s="38" t="str">
        <f>IF(ISNONTEXT(deployment_raw[[#This Row],[Column3]]), "", deployment_raw[[#This Row],[Column3]])</f>
        <v/>
      </c>
      <c r="D886" s="38" t="str">
        <f>IF(ISNONTEXT(deployment_raw[[#This Row],[Column4]]), "", deployment_raw[[#This Row],[Column4]])</f>
        <v/>
      </c>
      <c r="E886" s="39" t="str">
        <f>IF(ISNUMBER(deployment_raw[[#This Row],[Column5]]), deployment_raw[[#This Row],[Column5]],"")</f>
        <v/>
      </c>
      <c r="F886" s="174" t="str">
        <f>IF(ISNUMBER(deployment_raw[[#This Row],[Column6]]), (deployment_raw[[#This Row],[Column6]] * deployment_raw[[#This Row],[Column5]]),"")</f>
        <v/>
      </c>
      <c r="G886" s="175" t="str">
        <f>IF(ISNUMBER(deployment_raw[[#This Row],[Column7]]), (deployment_raw[[#This Row],[Column7]] * deployment_raw[[#This Row],[Column5]])/1048576,"")</f>
        <v/>
      </c>
      <c r="H886" s="175" t="str">
        <f>IF(ISNUMBER(deployment_raw[[#This Row],[Column8]]), (deployment_raw[[#This Row],[Column8]]  * deployment_raw[[#This Row],[Column5]]),"")</f>
        <v/>
      </c>
      <c r="I886" s="176" t="str">
        <f>IF(ISNUMBER(deployment_raw[[#This Row],[Column9]]), (deployment_raw[[#This Row],[Column9]] * deployment_raw[[#This Row],[Column5]])/1048576,"")</f>
        <v/>
      </c>
      <c r="J886" s="57" t="str">
        <f>IF(ISNUMBER(deployment_raw[[#This Row],[Column10]]), (deployment_raw[[#This Row],[Column10]] * deployment_raw[[#This Row],[Column5]]),"")</f>
        <v/>
      </c>
      <c r="K886" s="58" t="str">
        <f>IF(ISNUMBER(deployment_raw[[#This Row],[Column11]]), (deployment_raw[[#This Row],[Column11]] * deployment_raw[[#This Row],[Column5]])/1048576,"")</f>
        <v/>
      </c>
      <c r="L886" s="180" t="str">
        <f>IF(ISNUMBER(deployment_raw[[#This Row],[Column8]]),IF(deployment_raw[[#This Row],[Column5]] &lt;&gt; 0, MAX((deployment_raw[[#This Row],[Column12]] * deployment_raw[[#This Row],[Column5]]), ((deployment_raw[[#This Row],[Column8]] * deployment_raw[[#This Row],[Column5]]) * $L$2), ($H$2 * deployment_raw[[#This Row],[Column5]])), 0),"")</f>
        <v/>
      </c>
      <c r="M88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86" s="188" t="str">
        <f>IF(ISNUMBER(deployment_raw[[#This Row],[Column14]]), deployment_raw[[#This Row],[Column14]],"")</f>
        <v/>
      </c>
      <c r="O886" s="189" t="str">
        <f>IF(ISNUMBER(deployment_raw[[#This Row],[Column15]]), deployment_raw[[#This Row],[Column15]]/1048576,"")</f>
        <v/>
      </c>
      <c r="P886" s="190" t="str">
        <f>IF(ISNUMBER(deployment_raw[[#This Row],[Column12]]), (deployment_raw[[#This Row],[Column12]] * deployment_raw[[#This Row],[Column5]]),"")</f>
        <v/>
      </c>
      <c r="Q886" s="189" t="str">
        <f>IF(ISNUMBER(deployment_raw[[#This Row],[Column13]]), (deployment_raw[[#This Row],[Column13]] * deployment_raw[[#This Row],[Column5]])/1048576,"")</f>
        <v/>
      </c>
    </row>
    <row r="887" spans="1:17" ht="15" customHeight="1" x14ac:dyDescent="0.25">
      <c r="A887" s="37" t="str">
        <f>IF(ISNONTEXT(deployment_raw[[#This Row],[Column1]]), "", deployment_raw[[#This Row],[Column1]])</f>
        <v/>
      </c>
      <c r="B887" s="38" t="str">
        <f>IF(ISNONTEXT(deployment_raw[[#This Row],[Column2]]), "", deployment_raw[[#This Row],[Column2]])</f>
        <v/>
      </c>
      <c r="C887" s="38" t="str">
        <f>IF(ISNONTEXT(deployment_raw[[#This Row],[Column3]]), "", deployment_raw[[#This Row],[Column3]])</f>
        <v/>
      </c>
      <c r="D887" s="38" t="str">
        <f>IF(ISNONTEXT(deployment_raw[[#This Row],[Column4]]), "", deployment_raw[[#This Row],[Column4]])</f>
        <v/>
      </c>
      <c r="E887" s="39" t="str">
        <f>IF(ISNUMBER(deployment_raw[[#This Row],[Column5]]), deployment_raw[[#This Row],[Column5]],"")</f>
        <v/>
      </c>
      <c r="F887" s="174" t="str">
        <f>IF(ISNUMBER(deployment_raw[[#This Row],[Column6]]), (deployment_raw[[#This Row],[Column6]] * deployment_raw[[#This Row],[Column5]]),"")</f>
        <v/>
      </c>
      <c r="G887" s="175" t="str">
        <f>IF(ISNUMBER(deployment_raw[[#This Row],[Column7]]), (deployment_raw[[#This Row],[Column7]] * deployment_raw[[#This Row],[Column5]])/1048576,"")</f>
        <v/>
      </c>
      <c r="H887" s="175" t="str">
        <f>IF(ISNUMBER(deployment_raw[[#This Row],[Column8]]), (deployment_raw[[#This Row],[Column8]]  * deployment_raw[[#This Row],[Column5]]),"")</f>
        <v/>
      </c>
      <c r="I887" s="176" t="str">
        <f>IF(ISNUMBER(deployment_raw[[#This Row],[Column9]]), (deployment_raw[[#This Row],[Column9]] * deployment_raw[[#This Row],[Column5]])/1048576,"")</f>
        <v/>
      </c>
      <c r="J887" s="57" t="str">
        <f>IF(ISNUMBER(deployment_raw[[#This Row],[Column10]]), (deployment_raw[[#This Row],[Column10]] * deployment_raw[[#This Row],[Column5]]),"")</f>
        <v/>
      </c>
      <c r="K887" s="58" t="str">
        <f>IF(ISNUMBER(deployment_raw[[#This Row],[Column11]]), (deployment_raw[[#This Row],[Column11]] * deployment_raw[[#This Row],[Column5]])/1048576,"")</f>
        <v/>
      </c>
      <c r="L887" s="180" t="str">
        <f>IF(ISNUMBER(deployment_raw[[#This Row],[Column8]]),IF(deployment_raw[[#This Row],[Column5]] &lt;&gt; 0, MAX((deployment_raw[[#This Row],[Column12]] * deployment_raw[[#This Row],[Column5]]), ((deployment_raw[[#This Row],[Column8]] * deployment_raw[[#This Row],[Column5]]) * $L$2), ($H$2 * deployment_raw[[#This Row],[Column5]])), 0),"")</f>
        <v/>
      </c>
      <c r="M88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87" s="188" t="str">
        <f>IF(ISNUMBER(deployment_raw[[#This Row],[Column14]]), deployment_raw[[#This Row],[Column14]],"")</f>
        <v/>
      </c>
      <c r="O887" s="189" t="str">
        <f>IF(ISNUMBER(deployment_raw[[#This Row],[Column15]]), deployment_raw[[#This Row],[Column15]]/1048576,"")</f>
        <v/>
      </c>
      <c r="P887" s="190" t="str">
        <f>IF(ISNUMBER(deployment_raw[[#This Row],[Column12]]), (deployment_raw[[#This Row],[Column12]] * deployment_raw[[#This Row],[Column5]]),"")</f>
        <v/>
      </c>
      <c r="Q887" s="189" t="str">
        <f>IF(ISNUMBER(deployment_raw[[#This Row],[Column13]]), (deployment_raw[[#This Row],[Column13]] * deployment_raw[[#This Row],[Column5]])/1048576,"")</f>
        <v/>
      </c>
    </row>
    <row r="888" spans="1:17" ht="15" customHeight="1" x14ac:dyDescent="0.25">
      <c r="A888" s="37" t="str">
        <f>IF(ISNONTEXT(deployment_raw[[#This Row],[Column1]]), "", deployment_raw[[#This Row],[Column1]])</f>
        <v/>
      </c>
      <c r="B888" s="38" t="str">
        <f>IF(ISNONTEXT(deployment_raw[[#This Row],[Column2]]), "", deployment_raw[[#This Row],[Column2]])</f>
        <v/>
      </c>
      <c r="C888" s="38" t="str">
        <f>IF(ISNONTEXT(deployment_raw[[#This Row],[Column3]]), "", deployment_raw[[#This Row],[Column3]])</f>
        <v/>
      </c>
      <c r="D888" s="38" t="str">
        <f>IF(ISNONTEXT(deployment_raw[[#This Row],[Column4]]), "", deployment_raw[[#This Row],[Column4]])</f>
        <v/>
      </c>
      <c r="E888" s="39" t="str">
        <f>IF(ISNUMBER(deployment_raw[[#This Row],[Column5]]), deployment_raw[[#This Row],[Column5]],"")</f>
        <v/>
      </c>
      <c r="F888" s="174" t="str">
        <f>IF(ISNUMBER(deployment_raw[[#This Row],[Column6]]), (deployment_raw[[#This Row],[Column6]] * deployment_raw[[#This Row],[Column5]]),"")</f>
        <v/>
      </c>
      <c r="G888" s="175" t="str">
        <f>IF(ISNUMBER(deployment_raw[[#This Row],[Column7]]), (deployment_raw[[#This Row],[Column7]] * deployment_raw[[#This Row],[Column5]])/1048576,"")</f>
        <v/>
      </c>
      <c r="H888" s="175" t="str">
        <f>IF(ISNUMBER(deployment_raw[[#This Row],[Column8]]), (deployment_raw[[#This Row],[Column8]]  * deployment_raw[[#This Row],[Column5]]),"")</f>
        <v/>
      </c>
      <c r="I888" s="176" t="str">
        <f>IF(ISNUMBER(deployment_raw[[#This Row],[Column9]]), (deployment_raw[[#This Row],[Column9]] * deployment_raw[[#This Row],[Column5]])/1048576,"")</f>
        <v/>
      </c>
      <c r="J888" s="57" t="str">
        <f>IF(ISNUMBER(deployment_raw[[#This Row],[Column10]]), (deployment_raw[[#This Row],[Column10]] * deployment_raw[[#This Row],[Column5]]),"")</f>
        <v/>
      </c>
      <c r="K888" s="58" t="str">
        <f>IF(ISNUMBER(deployment_raw[[#This Row],[Column11]]), (deployment_raw[[#This Row],[Column11]] * deployment_raw[[#This Row],[Column5]])/1048576,"")</f>
        <v/>
      </c>
      <c r="L888" s="180" t="str">
        <f>IF(ISNUMBER(deployment_raw[[#This Row],[Column8]]),IF(deployment_raw[[#This Row],[Column5]] &lt;&gt; 0, MAX((deployment_raw[[#This Row],[Column12]] * deployment_raw[[#This Row],[Column5]]), ((deployment_raw[[#This Row],[Column8]] * deployment_raw[[#This Row],[Column5]]) * $L$2), ($H$2 * deployment_raw[[#This Row],[Column5]])), 0),"")</f>
        <v/>
      </c>
      <c r="M88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88" s="188" t="str">
        <f>IF(ISNUMBER(deployment_raw[[#This Row],[Column14]]), deployment_raw[[#This Row],[Column14]],"")</f>
        <v/>
      </c>
      <c r="O888" s="189" t="str">
        <f>IF(ISNUMBER(deployment_raw[[#This Row],[Column15]]), deployment_raw[[#This Row],[Column15]]/1048576,"")</f>
        <v/>
      </c>
      <c r="P888" s="190" t="str">
        <f>IF(ISNUMBER(deployment_raw[[#This Row],[Column12]]), (deployment_raw[[#This Row],[Column12]] * deployment_raw[[#This Row],[Column5]]),"")</f>
        <v/>
      </c>
      <c r="Q888" s="189" t="str">
        <f>IF(ISNUMBER(deployment_raw[[#This Row],[Column13]]), (deployment_raw[[#This Row],[Column13]] * deployment_raw[[#This Row],[Column5]])/1048576,"")</f>
        <v/>
      </c>
    </row>
    <row r="889" spans="1:17" ht="15" customHeight="1" x14ac:dyDescent="0.25">
      <c r="A889" s="37" t="str">
        <f>IF(ISNONTEXT(deployment_raw[[#This Row],[Column1]]), "", deployment_raw[[#This Row],[Column1]])</f>
        <v/>
      </c>
      <c r="B889" s="38" t="str">
        <f>IF(ISNONTEXT(deployment_raw[[#This Row],[Column2]]), "", deployment_raw[[#This Row],[Column2]])</f>
        <v/>
      </c>
      <c r="C889" s="38" t="str">
        <f>IF(ISNONTEXT(deployment_raw[[#This Row],[Column3]]), "", deployment_raw[[#This Row],[Column3]])</f>
        <v/>
      </c>
      <c r="D889" s="38" t="str">
        <f>IF(ISNONTEXT(deployment_raw[[#This Row],[Column4]]), "", deployment_raw[[#This Row],[Column4]])</f>
        <v/>
      </c>
      <c r="E889" s="39" t="str">
        <f>IF(ISNUMBER(deployment_raw[[#This Row],[Column5]]), deployment_raw[[#This Row],[Column5]],"")</f>
        <v/>
      </c>
      <c r="F889" s="174" t="str">
        <f>IF(ISNUMBER(deployment_raw[[#This Row],[Column6]]), (deployment_raw[[#This Row],[Column6]] * deployment_raw[[#This Row],[Column5]]),"")</f>
        <v/>
      </c>
      <c r="G889" s="175" t="str">
        <f>IF(ISNUMBER(deployment_raw[[#This Row],[Column7]]), (deployment_raw[[#This Row],[Column7]] * deployment_raw[[#This Row],[Column5]])/1048576,"")</f>
        <v/>
      </c>
      <c r="H889" s="175" t="str">
        <f>IF(ISNUMBER(deployment_raw[[#This Row],[Column8]]), (deployment_raw[[#This Row],[Column8]]  * deployment_raw[[#This Row],[Column5]]),"")</f>
        <v/>
      </c>
      <c r="I889" s="176" t="str">
        <f>IF(ISNUMBER(deployment_raw[[#This Row],[Column9]]), (deployment_raw[[#This Row],[Column9]] * deployment_raw[[#This Row],[Column5]])/1048576,"")</f>
        <v/>
      </c>
      <c r="J889" s="57" t="str">
        <f>IF(ISNUMBER(deployment_raw[[#This Row],[Column10]]), (deployment_raw[[#This Row],[Column10]] * deployment_raw[[#This Row],[Column5]]),"")</f>
        <v/>
      </c>
      <c r="K889" s="58" t="str">
        <f>IF(ISNUMBER(deployment_raw[[#This Row],[Column11]]), (deployment_raw[[#This Row],[Column11]] * deployment_raw[[#This Row],[Column5]])/1048576,"")</f>
        <v/>
      </c>
      <c r="L889" s="180" t="str">
        <f>IF(ISNUMBER(deployment_raw[[#This Row],[Column8]]),IF(deployment_raw[[#This Row],[Column5]] &lt;&gt; 0, MAX((deployment_raw[[#This Row],[Column12]] * deployment_raw[[#This Row],[Column5]]), ((deployment_raw[[#This Row],[Column8]] * deployment_raw[[#This Row],[Column5]]) * $L$2), ($H$2 * deployment_raw[[#This Row],[Column5]])), 0),"")</f>
        <v/>
      </c>
      <c r="M88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89" s="188" t="str">
        <f>IF(ISNUMBER(deployment_raw[[#This Row],[Column14]]), deployment_raw[[#This Row],[Column14]],"")</f>
        <v/>
      </c>
      <c r="O889" s="189" t="str">
        <f>IF(ISNUMBER(deployment_raw[[#This Row],[Column15]]), deployment_raw[[#This Row],[Column15]]/1048576,"")</f>
        <v/>
      </c>
      <c r="P889" s="190" t="str">
        <f>IF(ISNUMBER(deployment_raw[[#This Row],[Column12]]), (deployment_raw[[#This Row],[Column12]] * deployment_raw[[#This Row],[Column5]]),"")</f>
        <v/>
      </c>
      <c r="Q889" s="189" t="str">
        <f>IF(ISNUMBER(deployment_raw[[#This Row],[Column13]]), (deployment_raw[[#This Row],[Column13]] * deployment_raw[[#This Row],[Column5]])/1048576,"")</f>
        <v/>
      </c>
    </row>
    <row r="890" spans="1:17" ht="15" customHeight="1" x14ac:dyDescent="0.25">
      <c r="A890" s="37" t="str">
        <f>IF(ISNONTEXT(deployment_raw[[#This Row],[Column1]]), "", deployment_raw[[#This Row],[Column1]])</f>
        <v/>
      </c>
      <c r="B890" s="38" t="str">
        <f>IF(ISNONTEXT(deployment_raw[[#This Row],[Column2]]), "", deployment_raw[[#This Row],[Column2]])</f>
        <v/>
      </c>
      <c r="C890" s="38" t="str">
        <f>IF(ISNONTEXT(deployment_raw[[#This Row],[Column3]]), "", deployment_raw[[#This Row],[Column3]])</f>
        <v/>
      </c>
      <c r="D890" s="38" t="str">
        <f>IF(ISNONTEXT(deployment_raw[[#This Row],[Column4]]), "", deployment_raw[[#This Row],[Column4]])</f>
        <v/>
      </c>
      <c r="E890" s="39" t="str">
        <f>IF(ISNUMBER(deployment_raw[[#This Row],[Column5]]), deployment_raw[[#This Row],[Column5]],"")</f>
        <v/>
      </c>
      <c r="F890" s="174" t="str">
        <f>IF(ISNUMBER(deployment_raw[[#This Row],[Column6]]), (deployment_raw[[#This Row],[Column6]] * deployment_raw[[#This Row],[Column5]]),"")</f>
        <v/>
      </c>
      <c r="G890" s="175" t="str">
        <f>IF(ISNUMBER(deployment_raw[[#This Row],[Column7]]), (deployment_raw[[#This Row],[Column7]] * deployment_raw[[#This Row],[Column5]])/1048576,"")</f>
        <v/>
      </c>
      <c r="H890" s="175" t="str">
        <f>IF(ISNUMBER(deployment_raw[[#This Row],[Column8]]), (deployment_raw[[#This Row],[Column8]]  * deployment_raw[[#This Row],[Column5]]),"")</f>
        <v/>
      </c>
      <c r="I890" s="176" t="str">
        <f>IF(ISNUMBER(deployment_raw[[#This Row],[Column9]]), (deployment_raw[[#This Row],[Column9]] * deployment_raw[[#This Row],[Column5]])/1048576,"")</f>
        <v/>
      </c>
      <c r="J890" s="57" t="str">
        <f>IF(ISNUMBER(deployment_raw[[#This Row],[Column10]]), (deployment_raw[[#This Row],[Column10]] * deployment_raw[[#This Row],[Column5]]),"")</f>
        <v/>
      </c>
      <c r="K890" s="58" t="str">
        <f>IF(ISNUMBER(deployment_raw[[#This Row],[Column11]]), (deployment_raw[[#This Row],[Column11]] * deployment_raw[[#This Row],[Column5]])/1048576,"")</f>
        <v/>
      </c>
      <c r="L890" s="180" t="str">
        <f>IF(ISNUMBER(deployment_raw[[#This Row],[Column8]]),IF(deployment_raw[[#This Row],[Column5]] &lt;&gt; 0, MAX((deployment_raw[[#This Row],[Column12]] * deployment_raw[[#This Row],[Column5]]), ((deployment_raw[[#This Row],[Column8]] * deployment_raw[[#This Row],[Column5]]) * $L$2), ($H$2 * deployment_raw[[#This Row],[Column5]])), 0),"")</f>
        <v/>
      </c>
      <c r="M89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90" s="188" t="str">
        <f>IF(ISNUMBER(deployment_raw[[#This Row],[Column14]]), deployment_raw[[#This Row],[Column14]],"")</f>
        <v/>
      </c>
      <c r="O890" s="189" t="str">
        <f>IF(ISNUMBER(deployment_raw[[#This Row],[Column15]]), deployment_raw[[#This Row],[Column15]]/1048576,"")</f>
        <v/>
      </c>
      <c r="P890" s="190" t="str">
        <f>IF(ISNUMBER(deployment_raw[[#This Row],[Column12]]), (deployment_raw[[#This Row],[Column12]] * deployment_raw[[#This Row],[Column5]]),"")</f>
        <v/>
      </c>
      <c r="Q890" s="189" t="str">
        <f>IF(ISNUMBER(deployment_raw[[#This Row],[Column13]]), (deployment_raw[[#This Row],[Column13]] * deployment_raw[[#This Row],[Column5]])/1048576,"")</f>
        <v/>
      </c>
    </row>
    <row r="891" spans="1:17" ht="15" customHeight="1" x14ac:dyDescent="0.25">
      <c r="A891" s="37" t="str">
        <f>IF(ISNONTEXT(deployment_raw[[#This Row],[Column1]]), "", deployment_raw[[#This Row],[Column1]])</f>
        <v/>
      </c>
      <c r="B891" s="38" t="str">
        <f>IF(ISNONTEXT(deployment_raw[[#This Row],[Column2]]), "", deployment_raw[[#This Row],[Column2]])</f>
        <v/>
      </c>
      <c r="C891" s="38" t="str">
        <f>IF(ISNONTEXT(deployment_raw[[#This Row],[Column3]]), "", deployment_raw[[#This Row],[Column3]])</f>
        <v/>
      </c>
      <c r="D891" s="38" t="str">
        <f>IF(ISNONTEXT(deployment_raw[[#This Row],[Column4]]), "", deployment_raw[[#This Row],[Column4]])</f>
        <v/>
      </c>
      <c r="E891" s="39" t="str">
        <f>IF(ISNUMBER(deployment_raw[[#This Row],[Column5]]), deployment_raw[[#This Row],[Column5]],"")</f>
        <v/>
      </c>
      <c r="F891" s="174" t="str">
        <f>IF(ISNUMBER(deployment_raw[[#This Row],[Column6]]), (deployment_raw[[#This Row],[Column6]] * deployment_raw[[#This Row],[Column5]]),"")</f>
        <v/>
      </c>
      <c r="G891" s="175" t="str">
        <f>IF(ISNUMBER(deployment_raw[[#This Row],[Column7]]), (deployment_raw[[#This Row],[Column7]] * deployment_raw[[#This Row],[Column5]])/1048576,"")</f>
        <v/>
      </c>
      <c r="H891" s="175" t="str">
        <f>IF(ISNUMBER(deployment_raw[[#This Row],[Column8]]), (deployment_raw[[#This Row],[Column8]]  * deployment_raw[[#This Row],[Column5]]),"")</f>
        <v/>
      </c>
      <c r="I891" s="176" t="str">
        <f>IF(ISNUMBER(deployment_raw[[#This Row],[Column9]]), (deployment_raw[[#This Row],[Column9]] * deployment_raw[[#This Row],[Column5]])/1048576,"")</f>
        <v/>
      </c>
      <c r="J891" s="57" t="str">
        <f>IF(ISNUMBER(deployment_raw[[#This Row],[Column10]]), (deployment_raw[[#This Row],[Column10]] * deployment_raw[[#This Row],[Column5]]),"")</f>
        <v/>
      </c>
      <c r="K891" s="58" t="str">
        <f>IF(ISNUMBER(deployment_raw[[#This Row],[Column11]]), (deployment_raw[[#This Row],[Column11]] * deployment_raw[[#This Row],[Column5]])/1048576,"")</f>
        <v/>
      </c>
      <c r="L891" s="180" t="str">
        <f>IF(ISNUMBER(deployment_raw[[#This Row],[Column8]]),IF(deployment_raw[[#This Row],[Column5]] &lt;&gt; 0, MAX((deployment_raw[[#This Row],[Column12]] * deployment_raw[[#This Row],[Column5]]), ((deployment_raw[[#This Row],[Column8]] * deployment_raw[[#This Row],[Column5]]) * $L$2), ($H$2 * deployment_raw[[#This Row],[Column5]])), 0),"")</f>
        <v/>
      </c>
      <c r="M89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91" s="188" t="str">
        <f>IF(ISNUMBER(deployment_raw[[#This Row],[Column14]]), deployment_raw[[#This Row],[Column14]],"")</f>
        <v/>
      </c>
      <c r="O891" s="189" t="str">
        <f>IF(ISNUMBER(deployment_raw[[#This Row],[Column15]]), deployment_raw[[#This Row],[Column15]]/1048576,"")</f>
        <v/>
      </c>
      <c r="P891" s="190" t="str">
        <f>IF(ISNUMBER(deployment_raw[[#This Row],[Column12]]), (deployment_raw[[#This Row],[Column12]] * deployment_raw[[#This Row],[Column5]]),"")</f>
        <v/>
      </c>
      <c r="Q891" s="189" t="str">
        <f>IF(ISNUMBER(deployment_raw[[#This Row],[Column13]]), (deployment_raw[[#This Row],[Column13]] * deployment_raw[[#This Row],[Column5]])/1048576,"")</f>
        <v/>
      </c>
    </row>
    <row r="892" spans="1:17" ht="15" customHeight="1" x14ac:dyDescent="0.25">
      <c r="A892" s="37" t="str">
        <f>IF(ISNONTEXT(deployment_raw[[#This Row],[Column1]]), "", deployment_raw[[#This Row],[Column1]])</f>
        <v/>
      </c>
      <c r="B892" s="38" t="str">
        <f>IF(ISNONTEXT(deployment_raw[[#This Row],[Column2]]), "", deployment_raw[[#This Row],[Column2]])</f>
        <v/>
      </c>
      <c r="C892" s="38" t="str">
        <f>IF(ISNONTEXT(deployment_raw[[#This Row],[Column3]]), "", deployment_raw[[#This Row],[Column3]])</f>
        <v/>
      </c>
      <c r="D892" s="38" t="str">
        <f>IF(ISNONTEXT(deployment_raw[[#This Row],[Column4]]), "", deployment_raw[[#This Row],[Column4]])</f>
        <v/>
      </c>
      <c r="E892" s="39" t="str">
        <f>IF(ISNUMBER(deployment_raw[[#This Row],[Column5]]), deployment_raw[[#This Row],[Column5]],"")</f>
        <v/>
      </c>
      <c r="F892" s="174" t="str">
        <f>IF(ISNUMBER(deployment_raw[[#This Row],[Column6]]), (deployment_raw[[#This Row],[Column6]] * deployment_raw[[#This Row],[Column5]]),"")</f>
        <v/>
      </c>
      <c r="G892" s="175" t="str">
        <f>IF(ISNUMBER(deployment_raw[[#This Row],[Column7]]), (deployment_raw[[#This Row],[Column7]] * deployment_raw[[#This Row],[Column5]])/1048576,"")</f>
        <v/>
      </c>
      <c r="H892" s="175" t="str">
        <f>IF(ISNUMBER(deployment_raw[[#This Row],[Column8]]), (deployment_raw[[#This Row],[Column8]]  * deployment_raw[[#This Row],[Column5]]),"")</f>
        <v/>
      </c>
      <c r="I892" s="176" t="str">
        <f>IF(ISNUMBER(deployment_raw[[#This Row],[Column9]]), (deployment_raw[[#This Row],[Column9]] * deployment_raw[[#This Row],[Column5]])/1048576,"")</f>
        <v/>
      </c>
      <c r="J892" s="57" t="str">
        <f>IF(ISNUMBER(deployment_raw[[#This Row],[Column10]]), (deployment_raw[[#This Row],[Column10]] * deployment_raw[[#This Row],[Column5]]),"")</f>
        <v/>
      </c>
      <c r="K892" s="58" t="str">
        <f>IF(ISNUMBER(deployment_raw[[#This Row],[Column11]]), (deployment_raw[[#This Row],[Column11]] * deployment_raw[[#This Row],[Column5]])/1048576,"")</f>
        <v/>
      </c>
      <c r="L892" s="180" t="str">
        <f>IF(ISNUMBER(deployment_raw[[#This Row],[Column8]]),IF(deployment_raw[[#This Row],[Column5]] &lt;&gt; 0, MAX((deployment_raw[[#This Row],[Column12]] * deployment_raw[[#This Row],[Column5]]), ((deployment_raw[[#This Row],[Column8]] * deployment_raw[[#This Row],[Column5]]) * $L$2), ($H$2 * deployment_raw[[#This Row],[Column5]])), 0),"")</f>
        <v/>
      </c>
      <c r="M89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92" s="188" t="str">
        <f>IF(ISNUMBER(deployment_raw[[#This Row],[Column14]]), deployment_raw[[#This Row],[Column14]],"")</f>
        <v/>
      </c>
      <c r="O892" s="189" t="str">
        <f>IF(ISNUMBER(deployment_raw[[#This Row],[Column15]]), deployment_raw[[#This Row],[Column15]]/1048576,"")</f>
        <v/>
      </c>
      <c r="P892" s="190" t="str">
        <f>IF(ISNUMBER(deployment_raw[[#This Row],[Column12]]), (deployment_raw[[#This Row],[Column12]] * deployment_raw[[#This Row],[Column5]]),"")</f>
        <v/>
      </c>
      <c r="Q892" s="189" t="str">
        <f>IF(ISNUMBER(deployment_raw[[#This Row],[Column13]]), (deployment_raw[[#This Row],[Column13]] * deployment_raw[[#This Row],[Column5]])/1048576,"")</f>
        <v/>
      </c>
    </row>
    <row r="893" spans="1:17" ht="15" customHeight="1" x14ac:dyDescent="0.25">
      <c r="A893" s="37" t="str">
        <f>IF(ISNONTEXT(deployment_raw[[#This Row],[Column1]]), "", deployment_raw[[#This Row],[Column1]])</f>
        <v/>
      </c>
      <c r="B893" s="38" t="str">
        <f>IF(ISNONTEXT(deployment_raw[[#This Row],[Column2]]), "", deployment_raw[[#This Row],[Column2]])</f>
        <v/>
      </c>
      <c r="C893" s="38" t="str">
        <f>IF(ISNONTEXT(deployment_raw[[#This Row],[Column3]]), "", deployment_raw[[#This Row],[Column3]])</f>
        <v/>
      </c>
      <c r="D893" s="38" t="str">
        <f>IF(ISNONTEXT(deployment_raw[[#This Row],[Column4]]), "", deployment_raw[[#This Row],[Column4]])</f>
        <v/>
      </c>
      <c r="E893" s="39" t="str">
        <f>IF(ISNUMBER(deployment_raw[[#This Row],[Column5]]), deployment_raw[[#This Row],[Column5]],"")</f>
        <v/>
      </c>
      <c r="F893" s="174" t="str">
        <f>IF(ISNUMBER(deployment_raw[[#This Row],[Column6]]), (deployment_raw[[#This Row],[Column6]] * deployment_raw[[#This Row],[Column5]]),"")</f>
        <v/>
      </c>
      <c r="G893" s="175" t="str">
        <f>IF(ISNUMBER(deployment_raw[[#This Row],[Column7]]), (deployment_raw[[#This Row],[Column7]] * deployment_raw[[#This Row],[Column5]])/1048576,"")</f>
        <v/>
      </c>
      <c r="H893" s="175" t="str">
        <f>IF(ISNUMBER(deployment_raw[[#This Row],[Column8]]), (deployment_raw[[#This Row],[Column8]]  * deployment_raw[[#This Row],[Column5]]),"")</f>
        <v/>
      </c>
      <c r="I893" s="176" t="str">
        <f>IF(ISNUMBER(deployment_raw[[#This Row],[Column9]]), (deployment_raw[[#This Row],[Column9]] * deployment_raw[[#This Row],[Column5]])/1048576,"")</f>
        <v/>
      </c>
      <c r="J893" s="57" t="str">
        <f>IF(ISNUMBER(deployment_raw[[#This Row],[Column10]]), (deployment_raw[[#This Row],[Column10]] * deployment_raw[[#This Row],[Column5]]),"")</f>
        <v/>
      </c>
      <c r="K893" s="58" t="str">
        <f>IF(ISNUMBER(deployment_raw[[#This Row],[Column11]]), (deployment_raw[[#This Row],[Column11]] * deployment_raw[[#This Row],[Column5]])/1048576,"")</f>
        <v/>
      </c>
      <c r="L893" s="180" t="str">
        <f>IF(ISNUMBER(deployment_raw[[#This Row],[Column8]]),IF(deployment_raw[[#This Row],[Column5]] &lt;&gt; 0, MAX((deployment_raw[[#This Row],[Column12]] * deployment_raw[[#This Row],[Column5]]), ((deployment_raw[[#This Row],[Column8]] * deployment_raw[[#This Row],[Column5]]) * $L$2), ($H$2 * deployment_raw[[#This Row],[Column5]])), 0),"")</f>
        <v/>
      </c>
      <c r="M89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93" s="188" t="str">
        <f>IF(ISNUMBER(deployment_raw[[#This Row],[Column14]]), deployment_raw[[#This Row],[Column14]],"")</f>
        <v/>
      </c>
      <c r="O893" s="189" t="str">
        <f>IF(ISNUMBER(deployment_raw[[#This Row],[Column15]]), deployment_raw[[#This Row],[Column15]]/1048576,"")</f>
        <v/>
      </c>
      <c r="P893" s="190" t="str">
        <f>IF(ISNUMBER(deployment_raw[[#This Row],[Column12]]), (deployment_raw[[#This Row],[Column12]] * deployment_raw[[#This Row],[Column5]]),"")</f>
        <v/>
      </c>
      <c r="Q893" s="189" t="str">
        <f>IF(ISNUMBER(deployment_raw[[#This Row],[Column13]]), (deployment_raw[[#This Row],[Column13]] * deployment_raw[[#This Row],[Column5]])/1048576,"")</f>
        <v/>
      </c>
    </row>
    <row r="894" spans="1:17" ht="15" customHeight="1" x14ac:dyDescent="0.25">
      <c r="A894" s="37" t="str">
        <f>IF(ISNONTEXT(deployment_raw[[#This Row],[Column1]]), "", deployment_raw[[#This Row],[Column1]])</f>
        <v/>
      </c>
      <c r="B894" s="38" t="str">
        <f>IF(ISNONTEXT(deployment_raw[[#This Row],[Column2]]), "", deployment_raw[[#This Row],[Column2]])</f>
        <v/>
      </c>
      <c r="C894" s="38" t="str">
        <f>IF(ISNONTEXT(deployment_raw[[#This Row],[Column3]]), "", deployment_raw[[#This Row],[Column3]])</f>
        <v/>
      </c>
      <c r="D894" s="38" t="str">
        <f>IF(ISNONTEXT(deployment_raw[[#This Row],[Column4]]), "", deployment_raw[[#This Row],[Column4]])</f>
        <v/>
      </c>
      <c r="E894" s="39" t="str">
        <f>IF(ISNUMBER(deployment_raw[[#This Row],[Column5]]), deployment_raw[[#This Row],[Column5]],"")</f>
        <v/>
      </c>
      <c r="F894" s="174" t="str">
        <f>IF(ISNUMBER(deployment_raw[[#This Row],[Column6]]), (deployment_raw[[#This Row],[Column6]] * deployment_raw[[#This Row],[Column5]]),"")</f>
        <v/>
      </c>
      <c r="G894" s="175" t="str">
        <f>IF(ISNUMBER(deployment_raw[[#This Row],[Column7]]), (deployment_raw[[#This Row],[Column7]] * deployment_raw[[#This Row],[Column5]])/1048576,"")</f>
        <v/>
      </c>
      <c r="H894" s="175" t="str">
        <f>IF(ISNUMBER(deployment_raw[[#This Row],[Column8]]), (deployment_raw[[#This Row],[Column8]]  * deployment_raw[[#This Row],[Column5]]),"")</f>
        <v/>
      </c>
      <c r="I894" s="176" t="str">
        <f>IF(ISNUMBER(deployment_raw[[#This Row],[Column9]]), (deployment_raw[[#This Row],[Column9]] * deployment_raw[[#This Row],[Column5]])/1048576,"")</f>
        <v/>
      </c>
      <c r="J894" s="57" t="str">
        <f>IF(ISNUMBER(deployment_raw[[#This Row],[Column10]]), (deployment_raw[[#This Row],[Column10]] * deployment_raw[[#This Row],[Column5]]),"")</f>
        <v/>
      </c>
      <c r="K894" s="58" t="str">
        <f>IF(ISNUMBER(deployment_raw[[#This Row],[Column11]]), (deployment_raw[[#This Row],[Column11]] * deployment_raw[[#This Row],[Column5]])/1048576,"")</f>
        <v/>
      </c>
      <c r="L894" s="180" t="str">
        <f>IF(ISNUMBER(deployment_raw[[#This Row],[Column8]]),IF(deployment_raw[[#This Row],[Column5]] &lt;&gt; 0, MAX((deployment_raw[[#This Row],[Column12]] * deployment_raw[[#This Row],[Column5]]), ((deployment_raw[[#This Row],[Column8]] * deployment_raw[[#This Row],[Column5]]) * $L$2), ($H$2 * deployment_raw[[#This Row],[Column5]])), 0),"")</f>
        <v/>
      </c>
      <c r="M89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94" s="188" t="str">
        <f>IF(ISNUMBER(deployment_raw[[#This Row],[Column14]]), deployment_raw[[#This Row],[Column14]],"")</f>
        <v/>
      </c>
      <c r="O894" s="189" t="str">
        <f>IF(ISNUMBER(deployment_raw[[#This Row],[Column15]]), deployment_raw[[#This Row],[Column15]]/1048576,"")</f>
        <v/>
      </c>
      <c r="P894" s="190" t="str">
        <f>IF(ISNUMBER(deployment_raw[[#This Row],[Column12]]), (deployment_raw[[#This Row],[Column12]] * deployment_raw[[#This Row],[Column5]]),"")</f>
        <v/>
      </c>
      <c r="Q894" s="189" t="str">
        <f>IF(ISNUMBER(deployment_raw[[#This Row],[Column13]]), (deployment_raw[[#This Row],[Column13]] * deployment_raw[[#This Row],[Column5]])/1048576,"")</f>
        <v/>
      </c>
    </row>
    <row r="895" spans="1:17" ht="15" customHeight="1" x14ac:dyDescent="0.25">
      <c r="A895" s="37" t="str">
        <f>IF(ISNONTEXT(deployment_raw[[#This Row],[Column1]]), "", deployment_raw[[#This Row],[Column1]])</f>
        <v/>
      </c>
      <c r="B895" s="38" t="str">
        <f>IF(ISNONTEXT(deployment_raw[[#This Row],[Column2]]), "", deployment_raw[[#This Row],[Column2]])</f>
        <v/>
      </c>
      <c r="C895" s="38" t="str">
        <f>IF(ISNONTEXT(deployment_raw[[#This Row],[Column3]]), "", deployment_raw[[#This Row],[Column3]])</f>
        <v/>
      </c>
      <c r="D895" s="38" t="str">
        <f>IF(ISNONTEXT(deployment_raw[[#This Row],[Column4]]), "", deployment_raw[[#This Row],[Column4]])</f>
        <v/>
      </c>
      <c r="E895" s="39" t="str">
        <f>IF(ISNUMBER(deployment_raw[[#This Row],[Column5]]), deployment_raw[[#This Row],[Column5]],"")</f>
        <v/>
      </c>
      <c r="F895" s="174" t="str">
        <f>IF(ISNUMBER(deployment_raw[[#This Row],[Column6]]), (deployment_raw[[#This Row],[Column6]] * deployment_raw[[#This Row],[Column5]]),"")</f>
        <v/>
      </c>
      <c r="G895" s="175" t="str">
        <f>IF(ISNUMBER(deployment_raw[[#This Row],[Column7]]), (deployment_raw[[#This Row],[Column7]] * deployment_raw[[#This Row],[Column5]])/1048576,"")</f>
        <v/>
      </c>
      <c r="H895" s="175" t="str">
        <f>IF(ISNUMBER(deployment_raw[[#This Row],[Column8]]), (deployment_raw[[#This Row],[Column8]]  * deployment_raw[[#This Row],[Column5]]),"")</f>
        <v/>
      </c>
      <c r="I895" s="176" t="str">
        <f>IF(ISNUMBER(deployment_raw[[#This Row],[Column9]]), (deployment_raw[[#This Row],[Column9]] * deployment_raw[[#This Row],[Column5]])/1048576,"")</f>
        <v/>
      </c>
      <c r="J895" s="57" t="str">
        <f>IF(ISNUMBER(deployment_raw[[#This Row],[Column10]]), (deployment_raw[[#This Row],[Column10]] * deployment_raw[[#This Row],[Column5]]),"")</f>
        <v/>
      </c>
      <c r="K895" s="58" t="str">
        <f>IF(ISNUMBER(deployment_raw[[#This Row],[Column11]]), (deployment_raw[[#This Row],[Column11]] * deployment_raw[[#This Row],[Column5]])/1048576,"")</f>
        <v/>
      </c>
      <c r="L895" s="180" t="str">
        <f>IF(ISNUMBER(deployment_raw[[#This Row],[Column8]]),IF(deployment_raw[[#This Row],[Column5]] &lt;&gt; 0, MAX((deployment_raw[[#This Row],[Column12]] * deployment_raw[[#This Row],[Column5]]), ((deployment_raw[[#This Row],[Column8]] * deployment_raw[[#This Row],[Column5]]) * $L$2), ($H$2 * deployment_raw[[#This Row],[Column5]])), 0),"")</f>
        <v/>
      </c>
      <c r="M89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95" s="188" t="str">
        <f>IF(ISNUMBER(deployment_raw[[#This Row],[Column14]]), deployment_raw[[#This Row],[Column14]],"")</f>
        <v/>
      </c>
      <c r="O895" s="189" t="str">
        <f>IF(ISNUMBER(deployment_raw[[#This Row],[Column15]]), deployment_raw[[#This Row],[Column15]]/1048576,"")</f>
        <v/>
      </c>
      <c r="P895" s="190" t="str">
        <f>IF(ISNUMBER(deployment_raw[[#This Row],[Column12]]), (deployment_raw[[#This Row],[Column12]] * deployment_raw[[#This Row],[Column5]]),"")</f>
        <v/>
      </c>
      <c r="Q895" s="189" t="str">
        <f>IF(ISNUMBER(deployment_raw[[#This Row],[Column13]]), (deployment_raw[[#This Row],[Column13]] * deployment_raw[[#This Row],[Column5]])/1048576,"")</f>
        <v/>
      </c>
    </row>
    <row r="896" spans="1:17" ht="15" customHeight="1" x14ac:dyDescent="0.25">
      <c r="A896" s="37" t="str">
        <f>IF(ISNONTEXT(deployment_raw[[#This Row],[Column1]]), "", deployment_raw[[#This Row],[Column1]])</f>
        <v/>
      </c>
      <c r="B896" s="38" t="str">
        <f>IF(ISNONTEXT(deployment_raw[[#This Row],[Column2]]), "", deployment_raw[[#This Row],[Column2]])</f>
        <v/>
      </c>
      <c r="C896" s="38" t="str">
        <f>IF(ISNONTEXT(deployment_raw[[#This Row],[Column3]]), "", deployment_raw[[#This Row],[Column3]])</f>
        <v/>
      </c>
      <c r="D896" s="38" t="str">
        <f>IF(ISNONTEXT(deployment_raw[[#This Row],[Column4]]), "", deployment_raw[[#This Row],[Column4]])</f>
        <v/>
      </c>
      <c r="E896" s="39" t="str">
        <f>IF(ISNUMBER(deployment_raw[[#This Row],[Column5]]), deployment_raw[[#This Row],[Column5]],"")</f>
        <v/>
      </c>
      <c r="F896" s="174" t="str">
        <f>IF(ISNUMBER(deployment_raw[[#This Row],[Column6]]), (deployment_raw[[#This Row],[Column6]] * deployment_raw[[#This Row],[Column5]]),"")</f>
        <v/>
      </c>
      <c r="G896" s="175" t="str">
        <f>IF(ISNUMBER(deployment_raw[[#This Row],[Column7]]), (deployment_raw[[#This Row],[Column7]] * deployment_raw[[#This Row],[Column5]])/1048576,"")</f>
        <v/>
      </c>
      <c r="H896" s="175" t="str">
        <f>IF(ISNUMBER(deployment_raw[[#This Row],[Column8]]), (deployment_raw[[#This Row],[Column8]]  * deployment_raw[[#This Row],[Column5]]),"")</f>
        <v/>
      </c>
      <c r="I896" s="176" t="str">
        <f>IF(ISNUMBER(deployment_raw[[#This Row],[Column9]]), (deployment_raw[[#This Row],[Column9]] * deployment_raw[[#This Row],[Column5]])/1048576,"")</f>
        <v/>
      </c>
      <c r="J896" s="57" t="str">
        <f>IF(ISNUMBER(deployment_raw[[#This Row],[Column10]]), (deployment_raw[[#This Row],[Column10]] * deployment_raw[[#This Row],[Column5]]),"")</f>
        <v/>
      </c>
      <c r="K896" s="58" t="str">
        <f>IF(ISNUMBER(deployment_raw[[#This Row],[Column11]]), (deployment_raw[[#This Row],[Column11]] * deployment_raw[[#This Row],[Column5]])/1048576,"")</f>
        <v/>
      </c>
      <c r="L896" s="180" t="str">
        <f>IF(ISNUMBER(deployment_raw[[#This Row],[Column8]]),IF(deployment_raw[[#This Row],[Column5]] &lt;&gt; 0, MAX((deployment_raw[[#This Row],[Column12]] * deployment_raw[[#This Row],[Column5]]), ((deployment_raw[[#This Row],[Column8]] * deployment_raw[[#This Row],[Column5]]) * $L$2), ($H$2 * deployment_raw[[#This Row],[Column5]])), 0),"")</f>
        <v/>
      </c>
      <c r="M89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96" s="188" t="str">
        <f>IF(ISNUMBER(deployment_raw[[#This Row],[Column14]]), deployment_raw[[#This Row],[Column14]],"")</f>
        <v/>
      </c>
      <c r="O896" s="189" t="str">
        <f>IF(ISNUMBER(deployment_raw[[#This Row],[Column15]]), deployment_raw[[#This Row],[Column15]]/1048576,"")</f>
        <v/>
      </c>
      <c r="P896" s="190" t="str">
        <f>IF(ISNUMBER(deployment_raw[[#This Row],[Column12]]), (deployment_raw[[#This Row],[Column12]] * deployment_raw[[#This Row],[Column5]]),"")</f>
        <v/>
      </c>
      <c r="Q896" s="189" t="str">
        <f>IF(ISNUMBER(deployment_raw[[#This Row],[Column13]]), (deployment_raw[[#This Row],[Column13]] * deployment_raw[[#This Row],[Column5]])/1048576,"")</f>
        <v/>
      </c>
    </row>
    <row r="897" spans="1:17" ht="15" customHeight="1" x14ac:dyDescent="0.25">
      <c r="A897" s="37" t="str">
        <f>IF(ISNONTEXT(deployment_raw[[#This Row],[Column1]]), "", deployment_raw[[#This Row],[Column1]])</f>
        <v/>
      </c>
      <c r="B897" s="38" t="str">
        <f>IF(ISNONTEXT(deployment_raw[[#This Row],[Column2]]), "", deployment_raw[[#This Row],[Column2]])</f>
        <v/>
      </c>
      <c r="C897" s="38" t="str">
        <f>IF(ISNONTEXT(deployment_raw[[#This Row],[Column3]]), "", deployment_raw[[#This Row],[Column3]])</f>
        <v/>
      </c>
      <c r="D897" s="38" t="str">
        <f>IF(ISNONTEXT(deployment_raw[[#This Row],[Column4]]), "", deployment_raw[[#This Row],[Column4]])</f>
        <v/>
      </c>
      <c r="E897" s="39" t="str">
        <f>IF(ISNUMBER(deployment_raw[[#This Row],[Column5]]), deployment_raw[[#This Row],[Column5]],"")</f>
        <v/>
      </c>
      <c r="F897" s="174" t="str">
        <f>IF(ISNUMBER(deployment_raw[[#This Row],[Column6]]), (deployment_raw[[#This Row],[Column6]] * deployment_raw[[#This Row],[Column5]]),"")</f>
        <v/>
      </c>
      <c r="G897" s="175" t="str">
        <f>IF(ISNUMBER(deployment_raw[[#This Row],[Column7]]), (deployment_raw[[#This Row],[Column7]] * deployment_raw[[#This Row],[Column5]])/1048576,"")</f>
        <v/>
      </c>
      <c r="H897" s="175" t="str">
        <f>IF(ISNUMBER(deployment_raw[[#This Row],[Column8]]), (deployment_raw[[#This Row],[Column8]]  * deployment_raw[[#This Row],[Column5]]),"")</f>
        <v/>
      </c>
      <c r="I897" s="176" t="str">
        <f>IF(ISNUMBER(deployment_raw[[#This Row],[Column9]]), (deployment_raw[[#This Row],[Column9]] * deployment_raw[[#This Row],[Column5]])/1048576,"")</f>
        <v/>
      </c>
      <c r="J897" s="57" t="str">
        <f>IF(ISNUMBER(deployment_raw[[#This Row],[Column10]]), (deployment_raw[[#This Row],[Column10]] * deployment_raw[[#This Row],[Column5]]),"")</f>
        <v/>
      </c>
      <c r="K897" s="58" t="str">
        <f>IF(ISNUMBER(deployment_raw[[#This Row],[Column11]]), (deployment_raw[[#This Row],[Column11]] * deployment_raw[[#This Row],[Column5]])/1048576,"")</f>
        <v/>
      </c>
      <c r="L897" s="180" t="str">
        <f>IF(ISNUMBER(deployment_raw[[#This Row],[Column8]]),IF(deployment_raw[[#This Row],[Column5]] &lt;&gt; 0, MAX((deployment_raw[[#This Row],[Column12]] * deployment_raw[[#This Row],[Column5]]), ((deployment_raw[[#This Row],[Column8]] * deployment_raw[[#This Row],[Column5]]) * $L$2), ($H$2 * deployment_raw[[#This Row],[Column5]])), 0),"")</f>
        <v/>
      </c>
      <c r="M89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97" s="188" t="str">
        <f>IF(ISNUMBER(deployment_raw[[#This Row],[Column14]]), deployment_raw[[#This Row],[Column14]],"")</f>
        <v/>
      </c>
      <c r="O897" s="189" t="str">
        <f>IF(ISNUMBER(deployment_raw[[#This Row],[Column15]]), deployment_raw[[#This Row],[Column15]]/1048576,"")</f>
        <v/>
      </c>
      <c r="P897" s="190" t="str">
        <f>IF(ISNUMBER(deployment_raw[[#This Row],[Column12]]), (deployment_raw[[#This Row],[Column12]] * deployment_raw[[#This Row],[Column5]]),"")</f>
        <v/>
      </c>
      <c r="Q897" s="189" t="str">
        <f>IF(ISNUMBER(deployment_raw[[#This Row],[Column13]]), (deployment_raw[[#This Row],[Column13]] * deployment_raw[[#This Row],[Column5]])/1048576,"")</f>
        <v/>
      </c>
    </row>
    <row r="898" spans="1:17" ht="15" customHeight="1" x14ac:dyDescent="0.25">
      <c r="A898" s="37" t="str">
        <f>IF(ISNONTEXT(deployment_raw[[#This Row],[Column1]]), "", deployment_raw[[#This Row],[Column1]])</f>
        <v/>
      </c>
      <c r="B898" s="38" t="str">
        <f>IF(ISNONTEXT(deployment_raw[[#This Row],[Column2]]), "", deployment_raw[[#This Row],[Column2]])</f>
        <v/>
      </c>
      <c r="C898" s="38" t="str">
        <f>IF(ISNONTEXT(deployment_raw[[#This Row],[Column3]]), "", deployment_raw[[#This Row],[Column3]])</f>
        <v/>
      </c>
      <c r="D898" s="38" t="str">
        <f>IF(ISNONTEXT(deployment_raw[[#This Row],[Column4]]), "", deployment_raw[[#This Row],[Column4]])</f>
        <v/>
      </c>
      <c r="E898" s="39" t="str">
        <f>IF(ISNUMBER(deployment_raw[[#This Row],[Column5]]), deployment_raw[[#This Row],[Column5]],"")</f>
        <v/>
      </c>
      <c r="F898" s="174" t="str">
        <f>IF(ISNUMBER(deployment_raw[[#This Row],[Column6]]), (deployment_raw[[#This Row],[Column6]] * deployment_raw[[#This Row],[Column5]]),"")</f>
        <v/>
      </c>
      <c r="G898" s="175" t="str">
        <f>IF(ISNUMBER(deployment_raw[[#This Row],[Column7]]), (deployment_raw[[#This Row],[Column7]] * deployment_raw[[#This Row],[Column5]])/1048576,"")</f>
        <v/>
      </c>
      <c r="H898" s="175" t="str">
        <f>IF(ISNUMBER(deployment_raw[[#This Row],[Column8]]), (deployment_raw[[#This Row],[Column8]]  * deployment_raw[[#This Row],[Column5]]),"")</f>
        <v/>
      </c>
      <c r="I898" s="176" t="str">
        <f>IF(ISNUMBER(deployment_raw[[#This Row],[Column9]]), (deployment_raw[[#This Row],[Column9]] * deployment_raw[[#This Row],[Column5]])/1048576,"")</f>
        <v/>
      </c>
      <c r="J898" s="57" t="str">
        <f>IF(ISNUMBER(deployment_raw[[#This Row],[Column10]]), (deployment_raw[[#This Row],[Column10]] * deployment_raw[[#This Row],[Column5]]),"")</f>
        <v/>
      </c>
      <c r="K898" s="58" t="str">
        <f>IF(ISNUMBER(deployment_raw[[#This Row],[Column11]]), (deployment_raw[[#This Row],[Column11]] * deployment_raw[[#This Row],[Column5]])/1048576,"")</f>
        <v/>
      </c>
      <c r="L898" s="180" t="str">
        <f>IF(ISNUMBER(deployment_raw[[#This Row],[Column8]]),IF(deployment_raw[[#This Row],[Column5]] &lt;&gt; 0, MAX((deployment_raw[[#This Row],[Column12]] * deployment_raw[[#This Row],[Column5]]), ((deployment_raw[[#This Row],[Column8]] * deployment_raw[[#This Row],[Column5]]) * $L$2), ($H$2 * deployment_raw[[#This Row],[Column5]])), 0),"")</f>
        <v/>
      </c>
      <c r="M89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98" s="188" t="str">
        <f>IF(ISNUMBER(deployment_raw[[#This Row],[Column14]]), deployment_raw[[#This Row],[Column14]],"")</f>
        <v/>
      </c>
      <c r="O898" s="189" t="str">
        <f>IF(ISNUMBER(deployment_raw[[#This Row],[Column15]]), deployment_raw[[#This Row],[Column15]]/1048576,"")</f>
        <v/>
      </c>
      <c r="P898" s="190" t="str">
        <f>IF(ISNUMBER(deployment_raw[[#This Row],[Column12]]), (deployment_raw[[#This Row],[Column12]] * deployment_raw[[#This Row],[Column5]]),"")</f>
        <v/>
      </c>
      <c r="Q898" s="189" t="str">
        <f>IF(ISNUMBER(deployment_raw[[#This Row],[Column13]]), (deployment_raw[[#This Row],[Column13]] * deployment_raw[[#This Row],[Column5]])/1048576,"")</f>
        <v/>
      </c>
    </row>
    <row r="899" spans="1:17" ht="15" customHeight="1" x14ac:dyDescent="0.25">
      <c r="A899" s="37" t="str">
        <f>IF(ISNONTEXT(deployment_raw[[#This Row],[Column1]]), "", deployment_raw[[#This Row],[Column1]])</f>
        <v/>
      </c>
      <c r="B899" s="38" t="str">
        <f>IF(ISNONTEXT(deployment_raw[[#This Row],[Column2]]), "", deployment_raw[[#This Row],[Column2]])</f>
        <v/>
      </c>
      <c r="C899" s="38" t="str">
        <f>IF(ISNONTEXT(deployment_raw[[#This Row],[Column3]]), "", deployment_raw[[#This Row],[Column3]])</f>
        <v/>
      </c>
      <c r="D899" s="38" t="str">
        <f>IF(ISNONTEXT(deployment_raw[[#This Row],[Column4]]), "", deployment_raw[[#This Row],[Column4]])</f>
        <v/>
      </c>
      <c r="E899" s="39" t="str">
        <f>IF(ISNUMBER(deployment_raw[[#This Row],[Column5]]), deployment_raw[[#This Row],[Column5]],"")</f>
        <v/>
      </c>
      <c r="F899" s="174" t="str">
        <f>IF(ISNUMBER(deployment_raw[[#This Row],[Column6]]), (deployment_raw[[#This Row],[Column6]] * deployment_raw[[#This Row],[Column5]]),"")</f>
        <v/>
      </c>
      <c r="G899" s="175" t="str">
        <f>IF(ISNUMBER(deployment_raw[[#This Row],[Column7]]), (deployment_raw[[#This Row],[Column7]] * deployment_raw[[#This Row],[Column5]])/1048576,"")</f>
        <v/>
      </c>
      <c r="H899" s="175" t="str">
        <f>IF(ISNUMBER(deployment_raw[[#This Row],[Column8]]), (deployment_raw[[#This Row],[Column8]]  * deployment_raw[[#This Row],[Column5]]),"")</f>
        <v/>
      </c>
      <c r="I899" s="176" t="str">
        <f>IF(ISNUMBER(deployment_raw[[#This Row],[Column9]]), (deployment_raw[[#This Row],[Column9]] * deployment_raw[[#This Row],[Column5]])/1048576,"")</f>
        <v/>
      </c>
      <c r="J899" s="57" t="str">
        <f>IF(ISNUMBER(deployment_raw[[#This Row],[Column10]]), (deployment_raw[[#This Row],[Column10]] * deployment_raw[[#This Row],[Column5]]),"")</f>
        <v/>
      </c>
      <c r="K899" s="58" t="str">
        <f>IF(ISNUMBER(deployment_raw[[#This Row],[Column11]]), (deployment_raw[[#This Row],[Column11]] * deployment_raw[[#This Row],[Column5]])/1048576,"")</f>
        <v/>
      </c>
      <c r="L899" s="180" t="str">
        <f>IF(ISNUMBER(deployment_raw[[#This Row],[Column8]]),IF(deployment_raw[[#This Row],[Column5]] &lt;&gt; 0, MAX((deployment_raw[[#This Row],[Column12]] * deployment_raw[[#This Row],[Column5]]), ((deployment_raw[[#This Row],[Column8]] * deployment_raw[[#This Row],[Column5]]) * $L$2), ($H$2 * deployment_raw[[#This Row],[Column5]])), 0),"")</f>
        <v/>
      </c>
      <c r="M89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899" s="188" t="str">
        <f>IF(ISNUMBER(deployment_raw[[#This Row],[Column14]]), deployment_raw[[#This Row],[Column14]],"")</f>
        <v/>
      </c>
      <c r="O899" s="189" t="str">
        <f>IF(ISNUMBER(deployment_raw[[#This Row],[Column15]]), deployment_raw[[#This Row],[Column15]]/1048576,"")</f>
        <v/>
      </c>
      <c r="P899" s="190" t="str">
        <f>IF(ISNUMBER(deployment_raw[[#This Row],[Column12]]), (deployment_raw[[#This Row],[Column12]] * deployment_raw[[#This Row],[Column5]]),"")</f>
        <v/>
      </c>
      <c r="Q899" s="189" t="str">
        <f>IF(ISNUMBER(deployment_raw[[#This Row],[Column13]]), (deployment_raw[[#This Row],[Column13]] * deployment_raw[[#This Row],[Column5]])/1048576,"")</f>
        <v/>
      </c>
    </row>
    <row r="900" spans="1:17" ht="15" customHeight="1" x14ac:dyDescent="0.25">
      <c r="A900" s="37" t="str">
        <f>IF(ISNONTEXT(deployment_raw[[#This Row],[Column1]]), "", deployment_raw[[#This Row],[Column1]])</f>
        <v/>
      </c>
      <c r="B900" s="38" t="str">
        <f>IF(ISNONTEXT(deployment_raw[[#This Row],[Column2]]), "", deployment_raw[[#This Row],[Column2]])</f>
        <v/>
      </c>
      <c r="C900" s="38" t="str">
        <f>IF(ISNONTEXT(deployment_raw[[#This Row],[Column3]]), "", deployment_raw[[#This Row],[Column3]])</f>
        <v/>
      </c>
      <c r="D900" s="38" t="str">
        <f>IF(ISNONTEXT(deployment_raw[[#This Row],[Column4]]), "", deployment_raw[[#This Row],[Column4]])</f>
        <v/>
      </c>
      <c r="E900" s="39" t="str">
        <f>IF(ISNUMBER(deployment_raw[[#This Row],[Column5]]), deployment_raw[[#This Row],[Column5]],"")</f>
        <v/>
      </c>
      <c r="F900" s="174" t="str">
        <f>IF(ISNUMBER(deployment_raw[[#This Row],[Column6]]), (deployment_raw[[#This Row],[Column6]] * deployment_raw[[#This Row],[Column5]]),"")</f>
        <v/>
      </c>
      <c r="G900" s="175" t="str">
        <f>IF(ISNUMBER(deployment_raw[[#This Row],[Column7]]), (deployment_raw[[#This Row],[Column7]] * deployment_raw[[#This Row],[Column5]])/1048576,"")</f>
        <v/>
      </c>
      <c r="H900" s="175" t="str">
        <f>IF(ISNUMBER(deployment_raw[[#This Row],[Column8]]), (deployment_raw[[#This Row],[Column8]]  * deployment_raw[[#This Row],[Column5]]),"")</f>
        <v/>
      </c>
      <c r="I900" s="176" t="str">
        <f>IF(ISNUMBER(deployment_raw[[#This Row],[Column9]]), (deployment_raw[[#This Row],[Column9]] * deployment_raw[[#This Row],[Column5]])/1048576,"")</f>
        <v/>
      </c>
      <c r="J900" s="57" t="str">
        <f>IF(ISNUMBER(deployment_raw[[#This Row],[Column10]]), (deployment_raw[[#This Row],[Column10]] * deployment_raw[[#This Row],[Column5]]),"")</f>
        <v/>
      </c>
      <c r="K900" s="58" t="str">
        <f>IF(ISNUMBER(deployment_raw[[#This Row],[Column11]]), (deployment_raw[[#This Row],[Column11]] * deployment_raw[[#This Row],[Column5]])/1048576,"")</f>
        <v/>
      </c>
      <c r="L900" s="180" t="str">
        <f>IF(ISNUMBER(deployment_raw[[#This Row],[Column8]]),IF(deployment_raw[[#This Row],[Column5]] &lt;&gt; 0, MAX((deployment_raw[[#This Row],[Column12]] * deployment_raw[[#This Row],[Column5]]), ((deployment_raw[[#This Row],[Column8]] * deployment_raw[[#This Row],[Column5]]) * $L$2), ($H$2 * deployment_raw[[#This Row],[Column5]])), 0),"")</f>
        <v/>
      </c>
      <c r="M90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00" s="188" t="str">
        <f>IF(ISNUMBER(deployment_raw[[#This Row],[Column14]]), deployment_raw[[#This Row],[Column14]],"")</f>
        <v/>
      </c>
      <c r="O900" s="189" t="str">
        <f>IF(ISNUMBER(deployment_raw[[#This Row],[Column15]]), deployment_raw[[#This Row],[Column15]]/1048576,"")</f>
        <v/>
      </c>
      <c r="P900" s="190" t="str">
        <f>IF(ISNUMBER(deployment_raw[[#This Row],[Column12]]), (deployment_raw[[#This Row],[Column12]] * deployment_raw[[#This Row],[Column5]]),"")</f>
        <v/>
      </c>
      <c r="Q900" s="189" t="str">
        <f>IF(ISNUMBER(deployment_raw[[#This Row],[Column13]]), (deployment_raw[[#This Row],[Column13]] * deployment_raw[[#This Row],[Column5]])/1048576,"")</f>
        <v/>
      </c>
    </row>
    <row r="901" spans="1:17" ht="15" customHeight="1" x14ac:dyDescent="0.25">
      <c r="A901" s="37" t="str">
        <f>IF(ISNONTEXT(deployment_raw[[#This Row],[Column1]]), "", deployment_raw[[#This Row],[Column1]])</f>
        <v/>
      </c>
      <c r="B901" s="38" t="str">
        <f>IF(ISNONTEXT(deployment_raw[[#This Row],[Column2]]), "", deployment_raw[[#This Row],[Column2]])</f>
        <v/>
      </c>
      <c r="C901" s="38" t="str">
        <f>IF(ISNONTEXT(deployment_raw[[#This Row],[Column3]]), "", deployment_raw[[#This Row],[Column3]])</f>
        <v/>
      </c>
      <c r="D901" s="38" t="str">
        <f>IF(ISNONTEXT(deployment_raw[[#This Row],[Column4]]), "", deployment_raw[[#This Row],[Column4]])</f>
        <v/>
      </c>
      <c r="E901" s="39" t="str">
        <f>IF(ISNUMBER(deployment_raw[[#This Row],[Column5]]), deployment_raw[[#This Row],[Column5]],"")</f>
        <v/>
      </c>
      <c r="F901" s="174" t="str">
        <f>IF(ISNUMBER(deployment_raw[[#This Row],[Column6]]), (deployment_raw[[#This Row],[Column6]] * deployment_raw[[#This Row],[Column5]]),"")</f>
        <v/>
      </c>
      <c r="G901" s="175" t="str">
        <f>IF(ISNUMBER(deployment_raw[[#This Row],[Column7]]), (deployment_raw[[#This Row],[Column7]] * deployment_raw[[#This Row],[Column5]])/1048576,"")</f>
        <v/>
      </c>
      <c r="H901" s="175" t="str">
        <f>IF(ISNUMBER(deployment_raw[[#This Row],[Column8]]), (deployment_raw[[#This Row],[Column8]]  * deployment_raw[[#This Row],[Column5]]),"")</f>
        <v/>
      </c>
      <c r="I901" s="176" t="str">
        <f>IF(ISNUMBER(deployment_raw[[#This Row],[Column9]]), (deployment_raw[[#This Row],[Column9]] * deployment_raw[[#This Row],[Column5]])/1048576,"")</f>
        <v/>
      </c>
      <c r="J901" s="57" t="str">
        <f>IF(ISNUMBER(deployment_raw[[#This Row],[Column10]]), (deployment_raw[[#This Row],[Column10]] * deployment_raw[[#This Row],[Column5]]),"")</f>
        <v/>
      </c>
      <c r="K901" s="58" t="str">
        <f>IF(ISNUMBER(deployment_raw[[#This Row],[Column11]]), (deployment_raw[[#This Row],[Column11]] * deployment_raw[[#This Row],[Column5]])/1048576,"")</f>
        <v/>
      </c>
      <c r="L901" s="180" t="str">
        <f>IF(ISNUMBER(deployment_raw[[#This Row],[Column8]]),IF(deployment_raw[[#This Row],[Column5]] &lt;&gt; 0, MAX((deployment_raw[[#This Row],[Column12]] * deployment_raw[[#This Row],[Column5]]), ((deployment_raw[[#This Row],[Column8]] * deployment_raw[[#This Row],[Column5]]) * $L$2), ($H$2 * deployment_raw[[#This Row],[Column5]])), 0),"")</f>
        <v/>
      </c>
      <c r="M90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01" s="188" t="str">
        <f>IF(ISNUMBER(deployment_raw[[#This Row],[Column14]]), deployment_raw[[#This Row],[Column14]],"")</f>
        <v/>
      </c>
      <c r="O901" s="189" t="str">
        <f>IF(ISNUMBER(deployment_raw[[#This Row],[Column15]]), deployment_raw[[#This Row],[Column15]]/1048576,"")</f>
        <v/>
      </c>
      <c r="P901" s="190" t="str">
        <f>IF(ISNUMBER(deployment_raw[[#This Row],[Column12]]), (deployment_raw[[#This Row],[Column12]] * deployment_raw[[#This Row],[Column5]]),"")</f>
        <v/>
      </c>
      <c r="Q901" s="189" t="str">
        <f>IF(ISNUMBER(deployment_raw[[#This Row],[Column13]]), (deployment_raw[[#This Row],[Column13]] * deployment_raw[[#This Row],[Column5]])/1048576,"")</f>
        <v/>
      </c>
    </row>
    <row r="902" spans="1:17" ht="15" customHeight="1" x14ac:dyDescent="0.25">
      <c r="A902" s="37" t="str">
        <f>IF(ISNONTEXT(deployment_raw[[#This Row],[Column1]]), "", deployment_raw[[#This Row],[Column1]])</f>
        <v/>
      </c>
      <c r="B902" s="38" t="str">
        <f>IF(ISNONTEXT(deployment_raw[[#This Row],[Column2]]), "", deployment_raw[[#This Row],[Column2]])</f>
        <v/>
      </c>
      <c r="C902" s="38" t="str">
        <f>IF(ISNONTEXT(deployment_raw[[#This Row],[Column3]]), "", deployment_raw[[#This Row],[Column3]])</f>
        <v/>
      </c>
      <c r="D902" s="38" t="str">
        <f>IF(ISNONTEXT(deployment_raw[[#This Row],[Column4]]), "", deployment_raw[[#This Row],[Column4]])</f>
        <v/>
      </c>
      <c r="E902" s="39" t="str">
        <f>IF(ISNUMBER(deployment_raw[[#This Row],[Column5]]), deployment_raw[[#This Row],[Column5]],"")</f>
        <v/>
      </c>
      <c r="F902" s="174" t="str">
        <f>IF(ISNUMBER(deployment_raw[[#This Row],[Column6]]), (deployment_raw[[#This Row],[Column6]] * deployment_raw[[#This Row],[Column5]]),"")</f>
        <v/>
      </c>
      <c r="G902" s="175" t="str">
        <f>IF(ISNUMBER(deployment_raw[[#This Row],[Column7]]), (deployment_raw[[#This Row],[Column7]] * deployment_raw[[#This Row],[Column5]])/1048576,"")</f>
        <v/>
      </c>
      <c r="H902" s="175" t="str">
        <f>IF(ISNUMBER(deployment_raw[[#This Row],[Column8]]), (deployment_raw[[#This Row],[Column8]]  * deployment_raw[[#This Row],[Column5]]),"")</f>
        <v/>
      </c>
      <c r="I902" s="176" t="str">
        <f>IF(ISNUMBER(deployment_raw[[#This Row],[Column9]]), (deployment_raw[[#This Row],[Column9]] * deployment_raw[[#This Row],[Column5]])/1048576,"")</f>
        <v/>
      </c>
      <c r="J902" s="57" t="str">
        <f>IF(ISNUMBER(deployment_raw[[#This Row],[Column10]]), (deployment_raw[[#This Row],[Column10]] * deployment_raw[[#This Row],[Column5]]),"")</f>
        <v/>
      </c>
      <c r="K902" s="58" t="str">
        <f>IF(ISNUMBER(deployment_raw[[#This Row],[Column11]]), (deployment_raw[[#This Row],[Column11]] * deployment_raw[[#This Row],[Column5]])/1048576,"")</f>
        <v/>
      </c>
      <c r="L902" s="180" t="str">
        <f>IF(ISNUMBER(deployment_raw[[#This Row],[Column8]]),IF(deployment_raw[[#This Row],[Column5]] &lt;&gt; 0, MAX((deployment_raw[[#This Row],[Column12]] * deployment_raw[[#This Row],[Column5]]), ((deployment_raw[[#This Row],[Column8]] * deployment_raw[[#This Row],[Column5]]) * $L$2), ($H$2 * deployment_raw[[#This Row],[Column5]])), 0),"")</f>
        <v/>
      </c>
      <c r="M90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02" s="188" t="str">
        <f>IF(ISNUMBER(deployment_raw[[#This Row],[Column14]]), deployment_raw[[#This Row],[Column14]],"")</f>
        <v/>
      </c>
      <c r="O902" s="189" t="str">
        <f>IF(ISNUMBER(deployment_raw[[#This Row],[Column15]]), deployment_raw[[#This Row],[Column15]]/1048576,"")</f>
        <v/>
      </c>
      <c r="P902" s="190" t="str">
        <f>IF(ISNUMBER(deployment_raw[[#This Row],[Column12]]), (deployment_raw[[#This Row],[Column12]] * deployment_raw[[#This Row],[Column5]]),"")</f>
        <v/>
      </c>
      <c r="Q902" s="189" t="str">
        <f>IF(ISNUMBER(deployment_raw[[#This Row],[Column13]]), (deployment_raw[[#This Row],[Column13]] * deployment_raw[[#This Row],[Column5]])/1048576,"")</f>
        <v/>
      </c>
    </row>
    <row r="903" spans="1:17" ht="15" customHeight="1" x14ac:dyDescent="0.25">
      <c r="A903" s="37" t="str">
        <f>IF(ISNONTEXT(deployment_raw[[#This Row],[Column1]]), "", deployment_raw[[#This Row],[Column1]])</f>
        <v/>
      </c>
      <c r="B903" s="38" t="str">
        <f>IF(ISNONTEXT(deployment_raw[[#This Row],[Column2]]), "", deployment_raw[[#This Row],[Column2]])</f>
        <v/>
      </c>
      <c r="C903" s="38" t="str">
        <f>IF(ISNONTEXT(deployment_raw[[#This Row],[Column3]]), "", deployment_raw[[#This Row],[Column3]])</f>
        <v/>
      </c>
      <c r="D903" s="38" t="str">
        <f>IF(ISNONTEXT(deployment_raw[[#This Row],[Column4]]), "", deployment_raw[[#This Row],[Column4]])</f>
        <v/>
      </c>
      <c r="E903" s="39" t="str">
        <f>IF(ISNUMBER(deployment_raw[[#This Row],[Column5]]), deployment_raw[[#This Row],[Column5]],"")</f>
        <v/>
      </c>
      <c r="F903" s="174" t="str">
        <f>IF(ISNUMBER(deployment_raw[[#This Row],[Column6]]), (deployment_raw[[#This Row],[Column6]] * deployment_raw[[#This Row],[Column5]]),"")</f>
        <v/>
      </c>
      <c r="G903" s="175" t="str">
        <f>IF(ISNUMBER(deployment_raw[[#This Row],[Column7]]), (deployment_raw[[#This Row],[Column7]] * deployment_raw[[#This Row],[Column5]])/1048576,"")</f>
        <v/>
      </c>
      <c r="H903" s="175" t="str">
        <f>IF(ISNUMBER(deployment_raw[[#This Row],[Column8]]), (deployment_raw[[#This Row],[Column8]]  * deployment_raw[[#This Row],[Column5]]),"")</f>
        <v/>
      </c>
      <c r="I903" s="176" t="str">
        <f>IF(ISNUMBER(deployment_raw[[#This Row],[Column9]]), (deployment_raw[[#This Row],[Column9]] * deployment_raw[[#This Row],[Column5]])/1048576,"")</f>
        <v/>
      </c>
      <c r="J903" s="57" t="str">
        <f>IF(ISNUMBER(deployment_raw[[#This Row],[Column10]]), (deployment_raw[[#This Row],[Column10]] * deployment_raw[[#This Row],[Column5]]),"")</f>
        <v/>
      </c>
      <c r="K903" s="58" t="str">
        <f>IF(ISNUMBER(deployment_raw[[#This Row],[Column11]]), (deployment_raw[[#This Row],[Column11]] * deployment_raw[[#This Row],[Column5]])/1048576,"")</f>
        <v/>
      </c>
      <c r="L903" s="180" t="str">
        <f>IF(ISNUMBER(deployment_raw[[#This Row],[Column8]]),IF(deployment_raw[[#This Row],[Column5]] &lt;&gt; 0, MAX((deployment_raw[[#This Row],[Column12]] * deployment_raw[[#This Row],[Column5]]), ((deployment_raw[[#This Row],[Column8]] * deployment_raw[[#This Row],[Column5]]) * $L$2), ($H$2 * deployment_raw[[#This Row],[Column5]])), 0),"")</f>
        <v/>
      </c>
      <c r="M90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03" s="188" t="str">
        <f>IF(ISNUMBER(deployment_raw[[#This Row],[Column14]]), deployment_raw[[#This Row],[Column14]],"")</f>
        <v/>
      </c>
      <c r="O903" s="189" t="str">
        <f>IF(ISNUMBER(deployment_raw[[#This Row],[Column15]]), deployment_raw[[#This Row],[Column15]]/1048576,"")</f>
        <v/>
      </c>
      <c r="P903" s="190" t="str">
        <f>IF(ISNUMBER(deployment_raw[[#This Row],[Column12]]), (deployment_raw[[#This Row],[Column12]] * deployment_raw[[#This Row],[Column5]]),"")</f>
        <v/>
      </c>
      <c r="Q903" s="189" t="str">
        <f>IF(ISNUMBER(deployment_raw[[#This Row],[Column13]]), (deployment_raw[[#This Row],[Column13]] * deployment_raw[[#This Row],[Column5]])/1048576,"")</f>
        <v/>
      </c>
    </row>
    <row r="904" spans="1:17" ht="15" customHeight="1" x14ac:dyDescent="0.25">
      <c r="A904" s="37" t="str">
        <f>IF(ISNONTEXT(deployment_raw[[#This Row],[Column1]]), "", deployment_raw[[#This Row],[Column1]])</f>
        <v/>
      </c>
      <c r="B904" s="38" t="str">
        <f>IF(ISNONTEXT(deployment_raw[[#This Row],[Column2]]), "", deployment_raw[[#This Row],[Column2]])</f>
        <v/>
      </c>
      <c r="C904" s="38" t="str">
        <f>IF(ISNONTEXT(deployment_raw[[#This Row],[Column3]]), "", deployment_raw[[#This Row],[Column3]])</f>
        <v/>
      </c>
      <c r="D904" s="38" t="str">
        <f>IF(ISNONTEXT(deployment_raw[[#This Row],[Column4]]), "", deployment_raw[[#This Row],[Column4]])</f>
        <v/>
      </c>
      <c r="E904" s="39" t="str">
        <f>IF(ISNUMBER(deployment_raw[[#This Row],[Column5]]), deployment_raw[[#This Row],[Column5]],"")</f>
        <v/>
      </c>
      <c r="F904" s="174" t="str">
        <f>IF(ISNUMBER(deployment_raw[[#This Row],[Column6]]), (deployment_raw[[#This Row],[Column6]] * deployment_raw[[#This Row],[Column5]]),"")</f>
        <v/>
      </c>
      <c r="G904" s="175" t="str">
        <f>IF(ISNUMBER(deployment_raw[[#This Row],[Column7]]), (deployment_raw[[#This Row],[Column7]] * deployment_raw[[#This Row],[Column5]])/1048576,"")</f>
        <v/>
      </c>
      <c r="H904" s="175" t="str">
        <f>IF(ISNUMBER(deployment_raw[[#This Row],[Column8]]), (deployment_raw[[#This Row],[Column8]]  * deployment_raw[[#This Row],[Column5]]),"")</f>
        <v/>
      </c>
      <c r="I904" s="176" t="str">
        <f>IF(ISNUMBER(deployment_raw[[#This Row],[Column9]]), (deployment_raw[[#This Row],[Column9]] * deployment_raw[[#This Row],[Column5]])/1048576,"")</f>
        <v/>
      </c>
      <c r="J904" s="57" t="str">
        <f>IF(ISNUMBER(deployment_raw[[#This Row],[Column10]]), (deployment_raw[[#This Row],[Column10]] * deployment_raw[[#This Row],[Column5]]),"")</f>
        <v/>
      </c>
      <c r="K904" s="58" t="str">
        <f>IF(ISNUMBER(deployment_raw[[#This Row],[Column11]]), (deployment_raw[[#This Row],[Column11]] * deployment_raw[[#This Row],[Column5]])/1048576,"")</f>
        <v/>
      </c>
      <c r="L904" s="180" t="str">
        <f>IF(ISNUMBER(deployment_raw[[#This Row],[Column8]]),IF(deployment_raw[[#This Row],[Column5]] &lt;&gt; 0, MAX((deployment_raw[[#This Row],[Column12]] * deployment_raw[[#This Row],[Column5]]), ((deployment_raw[[#This Row],[Column8]] * deployment_raw[[#This Row],[Column5]]) * $L$2), ($H$2 * deployment_raw[[#This Row],[Column5]])), 0),"")</f>
        <v/>
      </c>
      <c r="M90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04" s="188" t="str">
        <f>IF(ISNUMBER(deployment_raw[[#This Row],[Column14]]), deployment_raw[[#This Row],[Column14]],"")</f>
        <v/>
      </c>
      <c r="O904" s="189" t="str">
        <f>IF(ISNUMBER(deployment_raw[[#This Row],[Column15]]), deployment_raw[[#This Row],[Column15]]/1048576,"")</f>
        <v/>
      </c>
      <c r="P904" s="190" t="str">
        <f>IF(ISNUMBER(deployment_raw[[#This Row],[Column12]]), (deployment_raw[[#This Row],[Column12]] * deployment_raw[[#This Row],[Column5]]),"")</f>
        <v/>
      </c>
      <c r="Q904" s="189" t="str">
        <f>IF(ISNUMBER(deployment_raw[[#This Row],[Column13]]), (deployment_raw[[#This Row],[Column13]] * deployment_raw[[#This Row],[Column5]])/1048576,"")</f>
        <v/>
      </c>
    </row>
    <row r="905" spans="1:17" ht="15" customHeight="1" x14ac:dyDescent="0.25">
      <c r="A905" s="37" t="str">
        <f>IF(ISNONTEXT(deployment_raw[[#This Row],[Column1]]), "", deployment_raw[[#This Row],[Column1]])</f>
        <v/>
      </c>
      <c r="B905" s="38" t="str">
        <f>IF(ISNONTEXT(deployment_raw[[#This Row],[Column2]]), "", deployment_raw[[#This Row],[Column2]])</f>
        <v/>
      </c>
      <c r="C905" s="38" t="str">
        <f>IF(ISNONTEXT(deployment_raw[[#This Row],[Column3]]), "", deployment_raw[[#This Row],[Column3]])</f>
        <v/>
      </c>
      <c r="D905" s="38" t="str">
        <f>IF(ISNONTEXT(deployment_raw[[#This Row],[Column4]]), "", deployment_raw[[#This Row],[Column4]])</f>
        <v/>
      </c>
      <c r="E905" s="39" t="str">
        <f>IF(ISNUMBER(deployment_raw[[#This Row],[Column5]]), deployment_raw[[#This Row],[Column5]],"")</f>
        <v/>
      </c>
      <c r="F905" s="174" t="str">
        <f>IF(ISNUMBER(deployment_raw[[#This Row],[Column6]]), (deployment_raw[[#This Row],[Column6]] * deployment_raw[[#This Row],[Column5]]),"")</f>
        <v/>
      </c>
      <c r="G905" s="175" t="str">
        <f>IF(ISNUMBER(deployment_raw[[#This Row],[Column7]]), (deployment_raw[[#This Row],[Column7]] * deployment_raw[[#This Row],[Column5]])/1048576,"")</f>
        <v/>
      </c>
      <c r="H905" s="175" t="str">
        <f>IF(ISNUMBER(deployment_raw[[#This Row],[Column8]]), (deployment_raw[[#This Row],[Column8]]  * deployment_raw[[#This Row],[Column5]]),"")</f>
        <v/>
      </c>
      <c r="I905" s="176" t="str">
        <f>IF(ISNUMBER(deployment_raw[[#This Row],[Column9]]), (deployment_raw[[#This Row],[Column9]] * deployment_raw[[#This Row],[Column5]])/1048576,"")</f>
        <v/>
      </c>
      <c r="J905" s="57" t="str">
        <f>IF(ISNUMBER(deployment_raw[[#This Row],[Column10]]), (deployment_raw[[#This Row],[Column10]] * deployment_raw[[#This Row],[Column5]]),"")</f>
        <v/>
      </c>
      <c r="K905" s="58" t="str">
        <f>IF(ISNUMBER(deployment_raw[[#This Row],[Column11]]), (deployment_raw[[#This Row],[Column11]] * deployment_raw[[#This Row],[Column5]])/1048576,"")</f>
        <v/>
      </c>
      <c r="L905" s="180" t="str">
        <f>IF(ISNUMBER(deployment_raw[[#This Row],[Column8]]),IF(deployment_raw[[#This Row],[Column5]] &lt;&gt; 0, MAX((deployment_raw[[#This Row],[Column12]] * deployment_raw[[#This Row],[Column5]]), ((deployment_raw[[#This Row],[Column8]] * deployment_raw[[#This Row],[Column5]]) * $L$2), ($H$2 * deployment_raw[[#This Row],[Column5]])), 0),"")</f>
        <v/>
      </c>
      <c r="M90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05" s="188" t="str">
        <f>IF(ISNUMBER(deployment_raw[[#This Row],[Column14]]), deployment_raw[[#This Row],[Column14]],"")</f>
        <v/>
      </c>
      <c r="O905" s="189" t="str">
        <f>IF(ISNUMBER(deployment_raw[[#This Row],[Column15]]), deployment_raw[[#This Row],[Column15]]/1048576,"")</f>
        <v/>
      </c>
      <c r="P905" s="190" t="str">
        <f>IF(ISNUMBER(deployment_raw[[#This Row],[Column12]]), (deployment_raw[[#This Row],[Column12]] * deployment_raw[[#This Row],[Column5]]),"")</f>
        <v/>
      </c>
      <c r="Q905" s="189" t="str">
        <f>IF(ISNUMBER(deployment_raw[[#This Row],[Column13]]), (deployment_raw[[#This Row],[Column13]] * deployment_raw[[#This Row],[Column5]])/1048576,"")</f>
        <v/>
      </c>
    </row>
    <row r="906" spans="1:17" ht="15" customHeight="1" x14ac:dyDescent="0.25">
      <c r="A906" s="37" t="str">
        <f>IF(ISNONTEXT(deployment_raw[[#This Row],[Column1]]), "", deployment_raw[[#This Row],[Column1]])</f>
        <v/>
      </c>
      <c r="B906" s="38" t="str">
        <f>IF(ISNONTEXT(deployment_raw[[#This Row],[Column2]]), "", deployment_raw[[#This Row],[Column2]])</f>
        <v/>
      </c>
      <c r="C906" s="38" t="str">
        <f>IF(ISNONTEXT(deployment_raw[[#This Row],[Column3]]), "", deployment_raw[[#This Row],[Column3]])</f>
        <v/>
      </c>
      <c r="D906" s="38" t="str">
        <f>IF(ISNONTEXT(deployment_raw[[#This Row],[Column4]]), "", deployment_raw[[#This Row],[Column4]])</f>
        <v/>
      </c>
      <c r="E906" s="39" t="str">
        <f>IF(ISNUMBER(deployment_raw[[#This Row],[Column5]]), deployment_raw[[#This Row],[Column5]],"")</f>
        <v/>
      </c>
      <c r="F906" s="174" t="str">
        <f>IF(ISNUMBER(deployment_raw[[#This Row],[Column6]]), (deployment_raw[[#This Row],[Column6]] * deployment_raw[[#This Row],[Column5]]),"")</f>
        <v/>
      </c>
      <c r="G906" s="175" t="str">
        <f>IF(ISNUMBER(deployment_raw[[#This Row],[Column7]]), (deployment_raw[[#This Row],[Column7]] * deployment_raw[[#This Row],[Column5]])/1048576,"")</f>
        <v/>
      </c>
      <c r="H906" s="175" t="str">
        <f>IF(ISNUMBER(deployment_raw[[#This Row],[Column8]]), (deployment_raw[[#This Row],[Column8]]  * deployment_raw[[#This Row],[Column5]]),"")</f>
        <v/>
      </c>
      <c r="I906" s="176" t="str">
        <f>IF(ISNUMBER(deployment_raw[[#This Row],[Column9]]), (deployment_raw[[#This Row],[Column9]] * deployment_raw[[#This Row],[Column5]])/1048576,"")</f>
        <v/>
      </c>
      <c r="J906" s="57" t="str">
        <f>IF(ISNUMBER(deployment_raw[[#This Row],[Column10]]), (deployment_raw[[#This Row],[Column10]] * deployment_raw[[#This Row],[Column5]]),"")</f>
        <v/>
      </c>
      <c r="K906" s="58" t="str">
        <f>IF(ISNUMBER(deployment_raw[[#This Row],[Column11]]), (deployment_raw[[#This Row],[Column11]] * deployment_raw[[#This Row],[Column5]])/1048576,"")</f>
        <v/>
      </c>
      <c r="L906" s="180" t="str">
        <f>IF(ISNUMBER(deployment_raw[[#This Row],[Column8]]),IF(deployment_raw[[#This Row],[Column5]] &lt;&gt; 0, MAX((deployment_raw[[#This Row],[Column12]] * deployment_raw[[#This Row],[Column5]]), ((deployment_raw[[#This Row],[Column8]] * deployment_raw[[#This Row],[Column5]]) * $L$2), ($H$2 * deployment_raw[[#This Row],[Column5]])), 0),"")</f>
        <v/>
      </c>
      <c r="M90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06" s="188" t="str">
        <f>IF(ISNUMBER(deployment_raw[[#This Row],[Column14]]), deployment_raw[[#This Row],[Column14]],"")</f>
        <v/>
      </c>
      <c r="O906" s="189" t="str">
        <f>IF(ISNUMBER(deployment_raw[[#This Row],[Column15]]), deployment_raw[[#This Row],[Column15]]/1048576,"")</f>
        <v/>
      </c>
      <c r="P906" s="190" t="str">
        <f>IF(ISNUMBER(deployment_raw[[#This Row],[Column12]]), (deployment_raw[[#This Row],[Column12]] * deployment_raw[[#This Row],[Column5]]),"")</f>
        <v/>
      </c>
      <c r="Q906" s="189" t="str">
        <f>IF(ISNUMBER(deployment_raw[[#This Row],[Column13]]), (deployment_raw[[#This Row],[Column13]] * deployment_raw[[#This Row],[Column5]])/1048576,"")</f>
        <v/>
      </c>
    </row>
    <row r="907" spans="1:17" ht="15" customHeight="1" x14ac:dyDescent="0.25">
      <c r="A907" s="37" t="str">
        <f>IF(ISNONTEXT(deployment_raw[[#This Row],[Column1]]), "", deployment_raw[[#This Row],[Column1]])</f>
        <v/>
      </c>
      <c r="B907" s="38" t="str">
        <f>IF(ISNONTEXT(deployment_raw[[#This Row],[Column2]]), "", deployment_raw[[#This Row],[Column2]])</f>
        <v/>
      </c>
      <c r="C907" s="38" t="str">
        <f>IF(ISNONTEXT(deployment_raw[[#This Row],[Column3]]), "", deployment_raw[[#This Row],[Column3]])</f>
        <v/>
      </c>
      <c r="D907" s="38" t="str">
        <f>IF(ISNONTEXT(deployment_raw[[#This Row],[Column4]]), "", deployment_raw[[#This Row],[Column4]])</f>
        <v/>
      </c>
      <c r="E907" s="39" t="str">
        <f>IF(ISNUMBER(deployment_raw[[#This Row],[Column5]]), deployment_raw[[#This Row],[Column5]],"")</f>
        <v/>
      </c>
      <c r="F907" s="174" t="str">
        <f>IF(ISNUMBER(deployment_raw[[#This Row],[Column6]]), (deployment_raw[[#This Row],[Column6]] * deployment_raw[[#This Row],[Column5]]),"")</f>
        <v/>
      </c>
      <c r="G907" s="175" t="str">
        <f>IF(ISNUMBER(deployment_raw[[#This Row],[Column7]]), (deployment_raw[[#This Row],[Column7]] * deployment_raw[[#This Row],[Column5]])/1048576,"")</f>
        <v/>
      </c>
      <c r="H907" s="175" t="str">
        <f>IF(ISNUMBER(deployment_raw[[#This Row],[Column8]]), (deployment_raw[[#This Row],[Column8]]  * deployment_raw[[#This Row],[Column5]]),"")</f>
        <v/>
      </c>
      <c r="I907" s="176" t="str">
        <f>IF(ISNUMBER(deployment_raw[[#This Row],[Column9]]), (deployment_raw[[#This Row],[Column9]] * deployment_raw[[#This Row],[Column5]])/1048576,"")</f>
        <v/>
      </c>
      <c r="J907" s="57" t="str">
        <f>IF(ISNUMBER(deployment_raw[[#This Row],[Column10]]), (deployment_raw[[#This Row],[Column10]] * deployment_raw[[#This Row],[Column5]]),"")</f>
        <v/>
      </c>
      <c r="K907" s="58" t="str">
        <f>IF(ISNUMBER(deployment_raw[[#This Row],[Column11]]), (deployment_raw[[#This Row],[Column11]] * deployment_raw[[#This Row],[Column5]])/1048576,"")</f>
        <v/>
      </c>
      <c r="L907" s="180" t="str">
        <f>IF(ISNUMBER(deployment_raw[[#This Row],[Column8]]),IF(deployment_raw[[#This Row],[Column5]] &lt;&gt; 0, MAX((deployment_raw[[#This Row],[Column12]] * deployment_raw[[#This Row],[Column5]]), ((deployment_raw[[#This Row],[Column8]] * deployment_raw[[#This Row],[Column5]]) * $L$2), ($H$2 * deployment_raw[[#This Row],[Column5]])), 0),"")</f>
        <v/>
      </c>
      <c r="M90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07" s="188" t="str">
        <f>IF(ISNUMBER(deployment_raw[[#This Row],[Column14]]), deployment_raw[[#This Row],[Column14]],"")</f>
        <v/>
      </c>
      <c r="O907" s="189" t="str">
        <f>IF(ISNUMBER(deployment_raw[[#This Row],[Column15]]), deployment_raw[[#This Row],[Column15]]/1048576,"")</f>
        <v/>
      </c>
      <c r="P907" s="190" t="str">
        <f>IF(ISNUMBER(deployment_raw[[#This Row],[Column12]]), (deployment_raw[[#This Row],[Column12]] * deployment_raw[[#This Row],[Column5]]),"")</f>
        <v/>
      </c>
      <c r="Q907" s="189" t="str">
        <f>IF(ISNUMBER(deployment_raw[[#This Row],[Column13]]), (deployment_raw[[#This Row],[Column13]] * deployment_raw[[#This Row],[Column5]])/1048576,"")</f>
        <v/>
      </c>
    </row>
    <row r="908" spans="1:17" ht="15" customHeight="1" x14ac:dyDescent="0.25">
      <c r="A908" s="37" t="str">
        <f>IF(ISNONTEXT(deployment_raw[[#This Row],[Column1]]), "", deployment_raw[[#This Row],[Column1]])</f>
        <v/>
      </c>
      <c r="B908" s="38" t="str">
        <f>IF(ISNONTEXT(deployment_raw[[#This Row],[Column2]]), "", deployment_raw[[#This Row],[Column2]])</f>
        <v/>
      </c>
      <c r="C908" s="38" t="str">
        <f>IF(ISNONTEXT(deployment_raw[[#This Row],[Column3]]), "", deployment_raw[[#This Row],[Column3]])</f>
        <v/>
      </c>
      <c r="D908" s="38" t="str">
        <f>IF(ISNONTEXT(deployment_raw[[#This Row],[Column4]]), "", deployment_raw[[#This Row],[Column4]])</f>
        <v/>
      </c>
      <c r="E908" s="39" t="str">
        <f>IF(ISNUMBER(deployment_raw[[#This Row],[Column5]]), deployment_raw[[#This Row],[Column5]],"")</f>
        <v/>
      </c>
      <c r="F908" s="174" t="str">
        <f>IF(ISNUMBER(deployment_raw[[#This Row],[Column6]]), (deployment_raw[[#This Row],[Column6]] * deployment_raw[[#This Row],[Column5]]),"")</f>
        <v/>
      </c>
      <c r="G908" s="175" t="str">
        <f>IF(ISNUMBER(deployment_raw[[#This Row],[Column7]]), (deployment_raw[[#This Row],[Column7]] * deployment_raw[[#This Row],[Column5]])/1048576,"")</f>
        <v/>
      </c>
      <c r="H908" s="175" t="str">
        <f>IF(ISNUMBER(deployment_raw[[#This Row],[Column8]]), (deployment_raw[[#This Row],[Column8]]  * deployment_raw[[#This Row],[Column5]]),"")</f>
        <v/>
      </c>
      <c r="I908" s="176" t="str">
        <f>IF(ISNUMBER(deployment_raw[[#This Row],[Column9]]), (deployment_raw[[#This Row],[Column9]] * deployment_raw[[#This Row],[Column5]])/1048576,"")</f>
        <v/>
      </c>
      <c r="J908" s="57" t="str">
        <f>IF(ISNUMBER(deployment_raw[[#This Row],[Column10]]), (deployment_raw[[#This Row],[Column10]] * deployment_raw[[#This Row],[Column5]]),"")</f>
        <v/>
      </c>
      <c r="K908" s="58" t="str">
        <f>IF(ISNUMBER(deployment_raw[[#This Row],[Column11]]), (deployment_raw[[#This Row],[Column11]] * deployment_raw[[#This Row],[Column5]])/1048576,"")</f>
        <v/>
      </c>
      <c r="L908" s="180" t="str">
        <f>IF(ISNUMBER(deployment_raw[[#This Row],[Column8]]),IF(deployment_raw[[#This Row],[Column5]] &lt;&gt; 0, MAX((deployment_raw[[#This Row],[Column12]] * deployment_raw[[#This Row],[Column5]]), ((deployment_raw[[#This Row],[Column8]] * deployment_raw[[#This Row],[Column5]]) * $L$2), ($H$2 * deployment_raw[[#This Row],[Column5]])), 0),"")</f>
        <v/>
      </c>
      <c r="M90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08" s="188" t="str">
        <f>IF(ISNUMBER(deployment_raw[[#This Row],[Column14]]), deployment_raw[[#This Row],[Column14]],"")</f>
        <v/>
      </c>
      <c r="O908" s="189" t="str">
        <f>IF(ISNUMBER(deployment_raw[[#This Row],[Column15]]), deployment_raw[[#This Row],[Column15]]/1048576,"")</f>
        <v/>
      </c>
      <c r="P908" s="190" t="str">
        <f>IF(ISNUMBER(deployment_raw[[#This Row],[Column12]]), (deployment_raw[[#This Row],[Column12]] * deployment_raw[[#This Row],[Column5]]),"")</f>
        <v/>
      </c>
      <c r="Q908" s="189" t="str">
        <f>IF(ISNUMBER(deployment_raw[[#This Row],[Column13]]), (deployment_raw[[#This Row],[Column13]] * deployment_raw[[#This Row],[Column5]])/1048576,"")</f>
        <v/>
      </c>
    </row>
    <row r="909" spans="1:17" ht="15" customHeight="1" x14ac:dyDescent="0.25">
      <c r="A909" s="37" t="str">
        <f>IF(ISNONTEXT(deployment_raw[[#This Row],[Column1]]), "", deployment_raw[[#This Row],[Column1]])</f>
        <v/>
      </c>
      <c r="B909" s="38" t="str">
        <f>IF(ISNONTEXT(deployment_raw[[#This Row],[Column2]]), "", deployment_raw[[#This Row],[Column2]])</f>
        <v/>
      </c>
      <c r="C909" s="38" t="str">
        <f>IF(ISNONTEXT(deployment_raw[[#This Row],[Column3]]), "", deployment_raw[[#This Row],[Column3]])</f>
        <v/>
      </c>
      <c r="D909" s="38" t="str">
        <f>IF(ISNONTEXT(deployment_raw[[#This Row],[Column4]]), "", deployment_raw[[#This Row],[Column4]])</f>
        <v/>
      </c>
      <c r="E909" s="39" t="str">
        <f>IF(ISNUMBER(deployment_raw[[#This Row],[Column5]]), deployment_raw[[#This Row],[Column5]],"")</f>
        <v/>
      </c>
      <c r="F909" s="174" t="str">
        <f>IF(ISNUMBER(deployment_raw[[#This Row],[Column6]]), (deployment_raw[[#This Row],[Column6]] * deployment_raw[[#This Row],[Column5]]),"")</f>
        <v/>
      </c>
      <c r="G909" s="175" t="str">
        <f>IF(ISNUMBER(deployment_raw[[#This Row],[Column7]]), (deployment_raw[[#This Row],[Column7]] * deployment_raw[[#This Row],[Column5]])/1048576,"")</f>
        <v/>
      </c>
      <c r="H909" s="175" t="str">
        <f>IF(ISNUMBER(deployment_raw[[#This Row],[Column8]]), (deployment_raw[[#This Row],[Column8]]  * deployment_raw[[#This Row],[Column5]]),"")</f>
        <v/>
      </c>
      <c r="I909" s="176" t="str">
        <f>IF(ISNUMBER(deployment_raw[[#This Row],[Column9]]), (deployment_raw[[#This Row],[Column9]] * deployment_raw[[#This Row],[Column5]])/1048576,"")</f>
        <v/>
      </c>
      <c r="J909" s="57" t="str">
        <f>IF(ISNUMBER(deployment_raw[[#This Row],[Column10]]), (deployment_raw[[#This Row],[Column10]] * deployment_raw[[#This Row],[Column5]]),"")</f>
        <v/>
      </c>
      <c r="K909" s="58" t="str">
        <f>IF(ISNUMBER(deployment_raw[[#This Row],[Column11]]), (deployment_raw[[#This Row],[Column11]] * deployment_raw[[#This Row],[Column5]])/1048576,"")</f>
        <v/>
      </c>
      <c r="L909" s="180" t="str">
        <f>IF(ISNUMBER(deployment_raw[[#This Row],[Column8]]),IF(deployment_raw[[#This Row],[Column5]] &lt;&gt; 0, MAX((deployment_raw[[#This Row],[Column12]] * deployment_raw[[#This Row],[Column5]]), ((deployment_raw[[#This Row],[Column8]] * deployment_raw[[#This Row],[Column5]]) * $L$2), ($H$2 * deployment_raw[[#This Row],[Column5]])), 0),"")</f>
        <v/>
      </c>
      <c r="M90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09" s="188" t="str">
        <f>IF(ISNUMBER(deployment_raw[[#This Row],[Column14]]), deployment_raw[[#This Row],[Column14]],"")</f>
        <v/>
      </c>
      <c r="O909" s="189" t="str">
        <f>IF(ISNUMBER(deployment_raw[[#This Row],[Column15]]), deployment_raw[[#This Row],[Column15]]/1048576,"")</f>
        <v/>
      </c>
      <c r="P909" s="190" t="str">
        <f>IF(ISNUMBER(deployment_raw[[#This Row],[Column12]]), (deployment_raw[[#This Row],[Column12]] * deployment_raw[[#This Row],[Column5]]),"")</f>
        <v/>
      </c>
      <c r="Q909" s="189" t="str">
        <f>IF(ISNUMBER(deployment_raw[[#This Row],[Column13]]), (deployment_raw[[#This Row],[Column13]] * deployment_raw[[#This Row],[Column5]])/1048576,"")</f>
        <v/>
      </c>
    </row>
    <row r="910" spans="1:17" ht="15" customHeight="1" x14ac:dyDescent="0.25">
      <c r="A910" s="37" t="str">
        <f>IF(ISNONTEXT(deployment_raw[[#This Row],[Column1]]), "", deployment_raw[[#This Row],[Column1]])</f>
        <v/>
      </c>
      <c r="B910" s="38" t="str">
        <f>IF(ISNONTEXT(deployment_raw[[#This Row],[Column2]]), "", deployment_raw[[#This Row],[Column2]])</f>
        <v/>
      </c>
      <c r="C910" s="38" t="str">
        <f>IF(ISNONTEXT(deployment_raw[[#This Row],[Column3]]), "", deployment_raw[[#This Row],[Column3]])</f>
        <v/>
      </c>
      <c r="D910" s="38" t="str">
        <f>IF(ISNONTEXT(deployment_raw[[#This Row],[Column4]]), "", deployment_raw[[#This Row],[Column4]])</f>
        <v/>
      </c>
      <c r="E910" s="39" t="str">
        <f>IF(ISNUMBER(deployment_raw[[#This Row],[Column5]]), deployment_raw[[#This Row],[Column5]],"")</f>
        <v/>
      </c>
      <c r="F910" s="174" t="str">
        <f>IF(ISNUMBER(deployment_raw[[#This Row],[Column6]]), (deployment_raw[[#This Row],[Column6]] * deployment_raw[[#This Row],[Column5]]),"")</f>
        <v/>
      </c>
      <c r="G910" s="175" t="str">
        <f>IF(ISNUMBER(deployment_raw[[#This Row],[Column7]]), (deployment_raw[[#This Row],[Column7]] * deployment_raw[[#This Row],[Column5]])/1048576,"")</f>
        <v/>
      </c>
      <c r="H910" s="175" t="str">
        <f>IF(ISNUMBER(deployment_raw[[#This Row],[Column8]]), (deployment_raw[[#This Row],[Column8]]  * deployment_raw[[#This Row],[Column5]]),"")</f>
        <v/>
      </c>
      <c r="I910" s="176" t="str">
        <f>IF(ISNUMBER(deployment_raw[[#This Row],[Column9]]), (deployment_raw[[#This Row],[Column9]] * deployment_raw[[#This Row],[Column5]])/1048576,"")</f>
        <v/>
      </c>
      <c r="J910" s="57" t="str">
        <f>IF(ISNUMBER(deployment_raw[[#This Row],[Column10]]), (deployment_raw[[#This Row],[Column10]] * deployment_raw[[#This Row],[Column5]]),"")</f>
        <v/>
      </c>
      <c r="K910" s="58" t="str">
        <f>IF(ISNUMBER(deployment_raw[[#This Row],[Column11]]), (deployment_raw[[#This Row],[Column11]] * deployment_raw[[#This Row],[Column5]])/1048576,"")</f>
        <v/>
      </c>
      <c r="L910" s="180" t="str">
        <f>IF(ISNUMBER(deployment_raw[[#This Row],[Column8]]),IF(deployment_raw[[#This Row],[Column5]] &lt;&gt; 0, MAX((deployment_raw[[#This Row],[Column12]] * deployment_raw[[#This Row],[Column5]]), ((deployment_raw[[#This Row],[Column8]] * deployment_raw[[#This Row],[Column5]]) * $L$2), ($H$2 * deployment_raw[[#This Row],[Column5]])), 0),"")</f>
        <v/>
      </c>
      <c r="M91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10" s="188" t="str">
        <f>IF(ISNUMBER(deployment_raw[[#This Row],[Column14]]), deployment_raw[[#This Row],[Column14]],"")</f>
        <v/>
      </c>
      <c r="O910" s="189" t="str">
        <f>IF(ISNUMBER(deployment_raw[[#This Row],[Column15]]), deployment_raw[[#This Row],[Column15]]/1048576,"")</f>
        <v/>
      </c>
      <c r="P910" s="190" t="str">
        <f>IF(ISNUMBER(deployment_raw[[#This Row],[Column12]]), (deployment_raw[[#This Row],[Column12]] * deployment_raw[[#This Row],[Column5]]),"")</f>
        <v/>
      </c>
      <c r="Q910" s="189" t="str">
        <f>IF(ISNUMBER(deployment_raw[[#This Row],[Column13]]), (deployment_raw[[#This Row],[Column13]] * deployment_raw[[#This Row],[Column5]])/1048576,"")</f>
        <v/>
      </c>
    </row>
    <row r="911" spans="1:17" ht="15" customHeight="1" x14ac:dyDescent="0.25">
      <c r="A911" s="37" t="str">
        <f>IF(ISNONTEXT(deployment_raw[[#This Row],[Column1]]), "", deployment_raw[[#This Row],[Column1]])</f>
        <v/>
      </c>
      <c r="B911" s="38" t="str">
        <f>IF(ISNONTEXT(deployment_raw[[#This Row],[Column2]]), "", deployment_raw[[#This Row],[Column2]])</f>
        <v/>
      </c>
      <c r="C911" s="38" t="str">
        <f>IF(ISNONTEXT(deployment_raw[[#This Row],[Column3]]), "", deployment_raw[[#This Row],[Column3]])</f>
        <v/>
      </c>
      <c r="D911" s="38" t="str">
        <f>IF(ISNONTEXT(deployment_raw[[#This Row],[Column4]]), "", deployment_raw[[#This Row],[Column4]])</f>
        <v/>
      </c>
      <c r="E911" s="39" t="str">
        <f>IF(ISNUMBER(deployment_raw[[#This Row],[Column5]]), deployment_raw[[#This Row],[Column5]],"")</f>
        <v/>
      </c>
      <c r="F911" s="174" t="str">
        <f>IF(ISNUMBER(deployment_raw[[#This Row],[Column6]]), (deployment_raw[[#This Row],[Column6]] * deployment_raw[[#This Row],[Column5]]),"")</f>
        <v/>
      </c>
      <c r="G911" s="175" t="str">
        <f>IF(ISNUMBER(deployment_raw[[#This Row],[Column7]]), (deployment_raw[[#This Row],[Column7]] * deployment_raw[[#This Row],[Column5]])/1048576,"")</f>
        <v/>
      </c>
      <c r="H911" s="175" t="str">
        <f>IF(ISNUMBER(deployment_raw[[#This Row],[Column8]]), (deployment_raw[[#This Row],[Column8]]  * deployment_raw[[#This Row],[Column5]]),"")</f>
        <v/>
      </c>
      <c r="I911" s="176" t="str">
        <f>IF(ISNUMBER(deployment_raw[[#This Row],[Column9]]), (deployment_raw[[#This Row],[Column9]] * deployment_raw[[#This Row],[Column5]])/1048576,"")</f>
        <v/>
      </c>
      <c r="J911" s="57" t="str">
        <f>IF(ISNUMBER(deployment_raw[[#This Row],[Column10]]), (deployment_raw[[#This Row],[Column10]] * deployment_raw[[#This Row],[Column5]]),"")</f>
        <v/>
      </c>
      <c r="K911" s="58" t="str">
        <f>IF(ISNUMBER(deployment_raw[[#This Row],[Column11]]), (deployment_raw[[#This Row],[Column11]] * deployment_raw[[#This Row],[Column5]])/1048576,"")</f>
        <v/>
      </c>
      <c r="L911" s="180" t="str">
        <f>IF(ISNUMBER(deployment_raw[[#This Row],[Column8]]),IF(deployment_raw[[#This Row],[Column5]] &lt;&gt; 0, MAX((deployment_raw[[#This Row],[Column12]] * deployment_raw[[#This Row],[Column5]]), ((deployment_raw[[#This Row],[Column8]] * deployment_raw[[#This Row],[Column5]]) * $L$2), ($H$2 * deployment_raw[[#This Row],[Column5]])), 0),"")</f>
        <v/>
      </c>
      <c r="M91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11" s="188" t="str">
        <f>IF(ISNUMBER(deployment_raw[[#This Row],[Column14]]), deployment_raw[[#This Row],[Column14]],"")</f>
        <v/>
      </c>
      <c r="O911" s="189" t="str">
        <f>IF(ISNUMBER(deployment_raw[[#This Row],[Column15]]), deployment_raw[[#This Row],[Column15]]/1048576,"")</f>
        <v/>
      </c>
      <c r="P911" s="190" t="str">
        <f>IF(ISNUMBER(deployment_raw[[#This Row],[Column12]]), (deployment_raw[[#This Row],[Column12]] * deployment_raw[[#This Row],[Column5]]),"")</f>
        <v/>
      </c>
      <c r="Q911" s="189" t="str">
        <f>IF(ISNUMBER(deployment_raw[[#This Row],[Column13]]), (deployment_raw[[#This Row],[Column13]] * deployment_raw[[#This Row],[Column5]])/1048576,"")</f>
        <v/>
      </c>
    </row>
    <row r="912" spans="1:17" ht="15" customHeight="1" x14ac:dyDescent="0.25">
      <c r="A912" s="37" t="str">
        <f>IF(ISNONTEXT(deployment_raw[[#This Row],[Column1]]), "", deployment_raw[[#This Row],[Column1]])</f>
        <v/>
      </c>
      <c r="B912" s="38" t="str">
        <f>IF(ISNONTEXT(deployment_raw[[#This Row],[Column2]]), "", deployment_raw[[#This Row],[Column2]])</f>
        <v/>
      </c>
      <c r="C912" s="38" t="str">
        <f>IF(ISNONTEXT(deployment_raw[[#This Row],[Column3]]), "", deployment_raw[[#This Row],[Column3]])</f>
        <v/>
      </c>
      <c r="D912" s="38" t="str">
        <f>IF(ISNONTEXT(deployment_raw[[#This Row],[Column4]]), "", deployment_raw[[#This Row],[Column4]])</f>
        <v/>
      </c>
      <c r="E912" s="39" t="str">
        <f>IF(ISNUMBER(deployment_raw[[#This Row],[Column5]]), deployment_raw[[#This Row],[Column5]],"")</f>
        <v/>
      </c>
      <c r="F912" s="174" t="str">
        <f>IF(ISNUMBER(deployment_raw[[#This Row],[Column6]]), (deployment_raw[[#This Row],[Column6]] * deployment_raw[[#This Row],[Column5]]),"")</f>
        <v/>
      </c>
      <c r="G912" s="175" t="str">
        <f>IF(ISNUMBER(deployment_raw[[#This Row],[Column7]]), (deployment_raw[[#This Row],[Column7]] * deployment_raw[[#This Row],[Column5]])/1048576,"")</f>
        <v/>
      </c>
      <c r="H912" s="175" t="str">
        <f>IF(ISNUMBER(deployment_raw[[#This Row],[Column8]]), (deployment_raw[[#This Row],[Column8]]  * deployment_raw[[#This Row],[Column5]]),"")</f>
        <v/>
      </c>
      <c r="I912" s="176" t="str">
        <f>IF(ISNUMBER(deployment_raw[[#This Row],[Column9]]), (deployment_raw[[#This Row],[Column9]] * deployment_raw[[#This Row],[Column5]])/1048576,"")</f>
        <v/>
      </c>
      <c r="J912" s="57" t="str">
        <f>IF(ISNUMBER(deployment_raw[[#This Row],[Column10]]), (deployment_raw[[#This Row],[Column10]] * deployment_raw[[#This Row],[Column5]]),"")</f>
        <v/>
      </c>
      <c r="K912" s="58" t="str">
        <f>IF(ISNUMBER(deployment_raw[[#This Row],[Column11]]), (deployment_raw[[#This Row],[Column11]] * deployment_raw[[#This Row],[Column5]])/1048576,"")</f>
        <v/>
      </c>
      <c r="L912" s="180" t="str">
        <f>IF(ISNUMBER(deployment_raw[[#This Row],[Column8]]),IF(deployment_raw[[#This Row],[Column5]] &lt;&gt; 0, MAX((deployment_raw[[#This Row],[Column12]] * deployment_raw[[#This Row],[Column5]]), ((deployment_raw[[#This Row],[Column8]] * deployment_raw[[#This Row],[Column5]]) * $L$2), ($H$2 * deployment_raw[[#This Row],[Column5]])), 0),"")</f>
        <v/>
      </c>
      <c r="M91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12" s="188" t="str">
        <f>IF(ISNUMBER(deployment_raw[[#This Row],[Column14]]), deployment_raw[[#This Row],[Column14]],"")</f>
        <v/>
      </c>
      <c r="O912" s="189" t="str">
        <f>IF(ISNUMBER(deployment_raw[[#This Row],[Column15]]), deployment_raw[[#This Row],[Column15]]/1048576,"")</f>
        <v/>
      </c>
      <c r="P912" s="190" t="str">
        <f>IF(ISNUMBER(deployment_raw[[#This Row],[Column12]]), (deployment_raw[[#This Row],[Column12]] * deployment_raw[[#This Row],[Column5]]),"")</f>
        <v/>
      </c>
      <c r="Q912" s="189" t="str">
        <f>IF(ISNUMBER(deployment_raw[[#This Row],[Column13]]), (deployment_raw[[#This Row],[Column13]] * deployment_raw[[#This Row],[Column5]])/1048576,"")</f>
        <v/>
      </c>
    </row>
    <row r="913" spans="1:17" ht="15" customHeight="1" x14ac:dyDescent="0.25">
      <c r="A913" s="37" t="str">
        <f>IF(ISNONTEXT(deployment_raw[[#This Row],[Column1]]), "", deployment_raw[[#This Row],[Column1]])</f>
        <v/>
      </c>
      <c r="B913" s="38" t="str">
        <f>IF(ISNONTEXT(deployment_raw[[#This Row],[Column2]]), "", deployment_raw[[#This Row],[Column2]])</f>
        <v/>
      </c>
      <c r="C913" s="38" t="str">
        <f>IF(ISNONTEXT(deployment_raw[[#This Row],[Column3]]), "", deployment_raw[[#This Row],[Column3]])</f>
        <v/>
      </c>
      <c r="D913" s="38" t="str">
        <f>IF(ISNONTEXT(deployment_raw[[#This Row],[Column4]]), "", deployment_raw[[#This Row],[Column4]])</f>
        <v/>
      </c>
      <c r="E913" s="39" t="str">
        <f>IF(ISNUMBER(deployment_raw[[#This Row],[Column5]]), deployment_raw[[#This Row],[Column5]],"")</f>
        <v/>
      </c>
      <c r="F913" s="174" t="str">
        <f>IF(ISNUMBER(deployment_raw[[#This Row],[Column6]]), (deployment_raw[[#This Row],[Column6]] * deployment_raw[[#This Row],[Column5]]),"")</f>
        <v/>
      </c>
      <c r="G913" s="175" t="str">
        <f>IF(ISNUMBER(deployment_raw[[#This Row],[Column7]]), (deployment_raw[[#This Row],[Column7]] * deployment_raw[[#This Row],[Column5]])/1048576,"")</f>
        <v/>
      </c>
      <c r="H913" s="175" t="str">
        <f>IF(ISNUMBER(deployment_raw[[#This Row],[Column8]]), (deployment_raw[[#This Row],[Column8]]  * deployment_raw[[#This Row],[Column5]]),"")</f>
        <v/>
      </c>
      <c r="I913" s="176" t="str">
        <f>IF(ISNUMBER(deployment_raw[[#This Row],[Column9]]), (deployment_raw[[#This Row],[Column9]] * deployment_raw[[#This Row],[Column5]])/1048576,"")</f>
        <v/>
      </c>
      <c r="J913" s="57" t="str">
        <f>IF(ISNUMBER(deployment_raw[[#This Row],[Column10]]), (deployment_raw[[#This Row],[Column10]] * deployment_raw[[#This Row],[Column5]]),"")</f>
        <v/>
      </c>
      <c r="K913" s="58" t="str">
        <f>IF(ISNUMBER(deployment_raw[[#This Row],[Column11]]), (deployment_raw[[#This Row],[Column11]] * deployment_raw[[#This Row],[Column5]])/1048576,"")</f>
        <v/>
      </c>
      <c r="L913" s="180" t="str">
        <f>IF(ISNUMBER(deployment_raw[[#This Row],[Column8]]),IF(deployment_raw[[#This Row],[Column5]] &lt;&gt; 0, MAX((deployment_raw[[#This Row],[Column12]] * deployment_raw[[#This Row],[Column5]]), ((deployment_raw[[#This Row],[Column8]] * deployment_raw[[#This Row],[Column5]]) * $L$2), ($H$2 * deployment_raw[[#This Row],[Column5]])), 0),"")</f>
        <v/>
      </c>
      <c r="M91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13" s="188" t="str">
        <f>IF(ISNUMBER(deployment_raw[[#This Row],[Column14]]), deployment_raw[[#This Row],[Column14]],"")</f>
        <v/>
      </c>
      <c r="O913" s="189" t="str">
        <f>IF(ISNUMBER(deployment_raw[[#This Row],[Column15]]), deployment_raw[[#This Row],[Column15]]/1048576,"")</f>
        <v/>
      </c>
      <c r="P913" s="190" t="str">
        <f>IF(ISNUMBER(deployment_raw[[#This Row],[Column12]]), (deployment_raw[[#This Row],[Column12]] * deployment_raw[[#This Row],[Column5]]),"")</f>
        <v/>
      </c>
      <c r="Q913" s="189" t="str">
        <f>IF(ISNUMBER(deployment_raw[[#This Row],[Column13]]), (deployment_raw[[#This Row],[Column13]] * deployment_raw[[#This Row],[Column5]])/1048576,"")</f>
        <v/>
      </c>
    </row>
    <row r="914" spans="1:17" ht="15" customHeight="1" x14ac:dyDescent="0.25">
      <c r="A914" s="37" t="str">
        <f>IF(ISNONTEXT(deployment_raw[[#This Row],[Column1]]), "", deployment_raw[[#This Row],[Column1]])</f>
        <v/>
      </c>
      <c r="B914" s="38" t="str">
        <f>IF(ISNONTEXT(deployment_raw[[#This Row],[Column2]]), "", deployment_raw[[#This Row],[Column2]])</f>
        <v/>
      </c>
      <c r="C914" s="38" t="str">
        <f>IF(ISNONTEXT(deployment_raw[[#This Row],[Column3]]), "", deployment_raw[[#This Row],[Column3]])</f>
        <v/>
      </c>
      <c r="D914" s="38" t="str">
        <f>IF(ISNONTEXT(deployment_raw[[#This Row],[Column4]]), "", deployment_raw[[#This Row],[Column4]])</f>
        <v/>
      </c>
      <c r="E914" s="39" t="str">
        <f>IF(ISNUMBER(deployment_raw[[#This Row],[Column5]]), deployment_raw[[#This Row],[Column5]],"")</f>
        <v/>
      </c>
      <c r="F914" s="174" t="str">
        <f>IF(ISNUMBER(deployment_raw[[#This Row],[Column6]]), (deployment_raw[[#This Row],[Column6]] * deployment_raw[[#This Row],[Column5]]),"")</f>
        <v/>
      </c>
      <c r="G914" s="175" t="str">
        <f>IF(ISNUMBER(deployment_raw[[#This Row],[Column7]]), (deployment_raw[[#This Row],[Column7]] * deployment_raw[[#This Row],[Column5]])/1048576,"")</f>
        <v/>
      </c>
      <c r="H914" s="175" t="str">
        <f>IF(ISNUMBER(deployment_raw[[#This Row],[Column8]]), (deployment_raw[[#This Row],[Column8]]  * deployment_raw[[#This Row],[Column5]]),"")</f>
        <v/>
      </c>
      <c r="I914" s="176" t="str">
        <f>IF(ISNUMBER(deployment_raw[[#This Row],[Column9]]), (deployment_raw[[#This Row],[Column9]] * deployment_raw[[#This Row],[Column5]])/1048576,"")</f>
        <v/>
      </c>
      <c r="J914" s="57" t="str">
        <f>IF(ISNUMBER(deployment_raw[[#This Row],[Column10]]), (deployment_raw[[#This Row],[Column10]] * deployment_raw[[#This Row],[Column5]]),"")</f>
        <v/>
      </c>
      <c r="K914" s="58" t="str">
        <f>IF(ISNUMBER(deployment_raw[[#This Row],[Column11]]), (deployment_raw[[#This Row],[Column11]] * deployment_raw[[#This Row],[Column5]])/1048576,"")</f>
        <v/>
      </c>
      <c r="L914" s="180" t="str">
        <f>IF(ISNUMBER(deployment_raw[[#This Row],[Column8]]),IF(deployment_raw[[#This Row],[Column5]] &lt;&gt; 0, MAX((deployment_raw[[#This Row],[Column12]] * deployment_raw[[#This Row],[Column5]]), ((deployment_raw[[#This Row],[Column8]] * deployment_raw[[#This Row],[Column5]]) * $L$2), ($H$2 * deployment_raw[[#This Row],[Column5]])), 0),"")</f>
        <v/>
      </c>
      <c r="M91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14" s="188" t="str">
        <f>IF(ISNUMBER(deployment_raw[[#This Row],[Column14]]), deployment_raw[[#This Row],[Column14]],"")</f>
        <v/>
      </c>
      <c r="O914" s="189" t="str">
        <f>IF(ISNUMBER(deployment_raw[[#This Row],[Column15]]), deployment_raw[[#This Row],[Column15]]/1048576,"")</f>
        <v/>
      </c>
      <c r="P914" s="190" t="str">
        <f>IF(ISNUMBER(deployment_raw[[#This Row],[Column12]]), (deployment_raw[[#This Row],[Column12]] * deployment_raw[[#This Row],[Column5]]),"")</f>
        <v/>
      </c>
      <c r="Q914" s="189" t="str">
        <f>IF(ISNUMBER(deployment_raw[[#This Row],[Column13]]), (deployment_raw[[#This Row],[Column13]] * deployment_raw[[#This Row],[Column5]])/1048576,"")</f>
        <v/>
      </c>
    </row>
    <row r="915" spans="1:17" ht="15" customHeight="1" x14ac:dyDescent="0.25">
      <c r="A915" s="37" t="str">
        <f>IF(ISNONTEXT(deployment_raw[[#This Row],[Column1]]), "", deployment_raw[[#This Row],[Column1]])</f>
        <v/>
      </c>
      <c r="B915" s="38" t="str">
        <f>IF(ISNONTEXT(deployment_raw[[#This Row],[Column2]]), "", deployment_raw[[#This Row],[Column2]])</f>
        <v/>
      </c>
      <c r="C915" s="38" t="str">
        <f>IF(ISNONTEXT(deployment_raw[[#This Row],[Column3]]), "", deployment_raw[[#This Row],[Column3]])</f>
        <v/>
      </c>
      <c r="D915" s="38" t="str">
        <f>IF(ISNONTEXT(deployment_raw[[#This Row],[Column4]]), "", deployment_raw[[#This Row],[Column4]])</f>
        <v/>
      </c>
      <c r="E915" s="39" t="str">
        <f>IF(ISNUMBER(deployment_raw[[#This Row],[Column5]]), deployment_raw[[#This Row],[Column5]],"")</f>
        <v/>
      </c>
      <c r="F915" s="174" t="str">
        <f>IF(ISNUMBER(deployment_raw[[#This Row],[Column6]]), (deployment_raw[[#This Row],[Column6]] * deployment_raw[[#This Row],[Column5]]),"")</f>
        <v/>
      </c>
      <c r="G915" s="175" t="str">
        <f>IF(ISNUMBER(deployment_raw[[#This Row],[Column7]]), (deployment_raw[[#This Row],[Column7]] * deployment_raw[[#This Row],[Column5]])/1048576,"")</f>
        <v/>
      </c>
      <c r="H915" s="175" t="str">
        <f>IF(ISNUMBER(deployment_raw[[#This Row],[Column8]]), (deployment_raw[[#This Row],[Column8]]  * deployment_raw[[#This Row],[Column5]]),"")</f>
        <v/>
      </c>
      <c r="I915" s="176" t="str">
        <f>IF(ISNUMBER(deployment_raw[[#This Row],[Column9]]), (deployment_raw[[#This Row],[Column9]] * deployment_raw[[#This Row],[Column5]])/1048576,"")</f>
        <v/>
      </c>
      <c r="J915" s="57" t="str">
        <f>IF(ISNUMBER(deployment_raw[[#This Row],[Column10]]), (deployment_raw[[#This Row],[Column10]] * deployment_raw[[#This Row],[Column5]]),"")</f>
        <v/>
      </c>
      <c r="K915" s="58" t="str">
        <f>IF(ISNUMBER(deployment_raw[[#This Row],[Column11]]), (deployment_raw[[#This Row],[Column11]] * deployment_raw[[#This Row],[Column5]])/1048576,"")</f>
        <v/>
      </c>
      <c r="L915" s="180" t="str">
        <f>IF(ISNUMBER(deployment_raw[[#This Row],[Column8]]),IF(deployment_raw[[#This Row],[Column5]] &lt;&gt; 0, MAX((deployment_raw[[#This Row],[Column12]] * deployment_raw[[#This Row],[Column5]]), ((deployment_raw[[#This Row],[Column8]] * deployment_raw[[#This Row],[Column5]]) * $L$2), ($H$2 * deployment_raw[[#This Row],[Column5]])), 0),"")</f>
        <v/>
      </c>
      <c r="M91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15" s="188" t="str">
        <f>IF(ISNUMBER(deployment_raw[[#This Row],[Column14]]), deployment_raw[[#This Row],[Column14]],"")</f>
        <v/>
      </c>
      <c r="O915" s="189" t="str">
        <f>IF(ISNUMBER(deployment_raw[[#This Row],[Column15]]), deployment_raw[[#This Row],[Column15]]/1048576,"")</f>
        <v/>
      </c>
      <c r="P915" s="190" t="str">
        <f>IF(ISNUMBER(deployment_raw[[#This Row],[Column12]]), (deployment_raw[[#This Row],[Column12]] * deployment_raw[[#This Row],[Column5]]),"")</f>
        <v/>
      </c>
      <c r="Q915" s="189" t="str">
        <f>IF(ISNUMBER(deployment_raw[[#This Row],[Column13]]), (deployment_raw[[#This Row],[Column13]] * deployment_raw[[#This Row],[Column5]])/1048576,"")</f>
        <v/>
      </c>
    </row>
    <row r="916" spans="1:17" ht="15" customHeight="1" x14ac:dyDescent="0.25">
      <c r="A916" s="37" t="str">
        <f>IF(ISNONTEXT(deployment_raw[[#This Row],[Column1]]), "", deployment_raw[[#This Row],[Column1]])</f>
        <v/>
      </c>
      <c r="B916" s="38" t="str">
        <f>IF(ISNONTEXT(deployment_raw[[#This Row],[Column2]]), "", deployment_raw[[#This Row],[Column2]])</f>
        <v/>
      </c>
      <c r="C916" s="38" t="str">
        <f>IF(ISNONTEXT(deployment_raw[[#This Row],[Column3]]), "", deployment_raw[[#This Row],[Column3]])</f>
        <v/>
      </c>
      <c r="D916" s="38" t="str">
        <f>IF(ISNONTEXT(deployment_raw[[#This Row],[Column4]]), "", deployment_raw[[#This Row],[Column4]])</f>
        <v/>
      </c>
      <c r="E916" s="39" t="str">
        <f>IF(ISNUMBER(deployment_raw[[#This Row],[Column5]]), deployment_raw[[#This Row],[Column5]],"")</f>
        <v/>
      </c>
      <c r="F916" s="174" t="str">
        <f>IF(ISNUMBER(deployment_raw[[#This Row],[Column6]]), (deployment_raw[[#This Row],[Column6]] * deployment_raw[[#This Row],[Column5]]),"")</f>
        <v/>
      </c>
      <c r="G916" s="175" t="str">
        <f>IF(ISNUMBER(deployment_raw[[#This Row],[Column7]]), (deployment_raw[[#This Row],[Column7]] * deployment_raw[[#This Row],[Column5]])/1048576,"")</f>
        <v/>
      </c>
      <c r="H916" s="175" t="str">
        <f>IF(ISNUMBER(deployment_raw[[#This Row],[Column8]]), (deployment_raw[[#This Row],[Column8]]  * deployment_raw[[#This Row],[Column5]]),"")</f>
        <v/>
      </c>
      <c r="I916" s="176" t="str">
        <f>IF(ISNUMBER(deployment_raw[[#This Row],[Column9]]), (deployment_raw[[#This Row],[Column9]] * deployment_raw[[#This Row],[Column5]])/1048576,"")</f>
        <v/>
      </c>
      <c r="J916" s="57" t="str">
        <f>IF(ISNUMBER(deployment_raw[[#This Row],[Column10]]), (deployment_raw[[#This Row],[Column10]] * deployment_raw[[#This Row],[Column5]]),"")</f>
        <v/>
      </c>
      <c r="K916" s="58" t="str">
        <f>IF(ISNUMBER(deployment_raw[[#This Row],[Column11]]), (deployment_raw[[#This Row],[Column11]] * deployment_raw[[#This Row],[Column5]])/1048576,"")</f>
        <v/>
      </c>
      <c r="L916" s="180" t="str">
        <f>IF(ISNUMBER(deployment_raw[[#This Row],[Column8]]),IF(deployment_raw[[#This Row],[Column5]] &lt;&gt; 0, MAX((deployment_raw[[#This Row],[Column12]] * deployment_raw[[#This Row],[Column5]]), ((deployment_raw[[#This Row],[Column8]] * deployment_raw[[#This Row],[Column5]]) * $L$2), ($H$2 * deployment_raw[[#This Row],[Column5]])), 0),"")</f>
        <v/>
      </c>
      <c r="M91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16" s="188" t="str">
        <f>IF(ISNUMBER(deployment_raw[[#This Row],[Column14]]), deployment_raw[[#This Row],[Column14]],"")</f>
        <v/>
      </c>
      <c r="O916" s="189" t="str">
        <f>IF(ISNUMBER(deployment_raw[[#This Row],[Column15]]), deployment_raw[[#This Row],[Column15]]/1048576,"")</f>
        <v/>
      </c>
      <c r="P916" s="190" t="str">
        <f>IF(ISNUMBER(deployment_raw[[#This Row],[Column12]]), (deployment_raw[[#This Row],[Column12]] * deployment_raw[[#This Row],[Column5]]),"")</f>
        <v/>
      </c>
      <c r="Q916" s="189" t="str">
        <f>IF(ISNUMBER(deployment_raw[[#This Row],[Column13]]), (deployment_raw[[#This Row],[Column13]] * deployment_raw[[#This Row],[Column5]])/1048576,"")</f>
        <v/>
      </c>
    </row>
    <row r="917" spans="1:17" ht="15" customHeight="1" x14ac:dyDescent="0.25">
      <c r="A917" s="37" t="str">
        <f>IF(ISNONTEXT(deployment_raw[[#This Row],[Column1]]), "", deployment_raw[[#This Row],[Column1]])</f>
        <v/>
      </c>
      <c r="B917" s="38" t="str">
        <f>IF(ISNONTEXT(deployment_raw[[#This Row],[Column2]]), "", deployment_raw[[#This Row],[Column2]])</f>
        <v/>
      </c>
      <c r="C917" s="38" t="str">
        <f>IF(ISNONTEXT(deployment_raw[[#This Row],[Column3]]), "", deployment_raw[[#This Row],[Column3]])</f>
        <v/>
      </c>
      <c r="D917" s="38" t="str">
        <f>IF(ISNONTEXT(deployment_raw[[#This Row],[Column4]]), "", deployment_raw[[#This Row],[Column4]])</f>
        <v/>
      </c>
      <c r="E917" s="39" t="str">
        <f>IF(ISNUMBER(deployment_raw[[#This Row],[Column5]]), deployment_raw[[#This Row],[Column5]],"")</f>
        <v/>
      </c>
      <c r="F917" s="174" t="str">
        <f>IF(ISNUMBER(deployment_raw[[#This Row],[Column6]]), (deployment_raw[[#This Row],[Column6]] * deployment_raw[[#This Row],[Column5]]),"")</f>
        <v/>
      </c>
      <c r="G917" s="175" t="str">
        <f>IF(ISNUMBER(deployment_raw[[#This Row],[Column7]]), (deployment_raw[[#This Row],[Column7]] * deployment_raw[[#This Row],[Column5]])/1048576,"")</f>
        <v/>
      </c>
      <c r="H917" s="175" t="str">
        <f>IF(ISNUMBER(deployment_raw[[#This Row],[Column8]]), (deployment_raw[[#This Row],[Column8]]  * deployment_raw[[#This Row],[Column5]]),"")</f>
        <v/>
      </c>
      <c r="I917" s="176" t="str">
        <f>IF(ISNUMBER(deployment_raw[[#This Row],[Column9]]), (deployment_raw[[#This Row],[Column9]] * deployment_raw[[#This Row],[Column5]])/1048576,"")</f>
        <v/>
      </c>
      <c r="J917" s="57" t="str">
        <f>IF(ISNUMBER(deployment_raw[[#This Row],[Column10]]), (deployment_raw[[#This Row],[Column10]] * deployment_raw[[#This Row],[Column5]]),"")</f>
        <v/>
      </c>
      <c r="K917" s="58" t="str">
        <f>IF(ISNUMBER(deployment_raw[[#This Row],[Column11]]), (deployment_raw[[#This Row],[Column11]] * deployment_raw[[#This Row],[Column5]])/1048576,"")</f>
        <v/>
      </c>
      <c r="L917" s="180" t="str">
        <f>IF(ISNUMBER(deployment_raw[[#This Row],[Column8]]),IF(deployment_raw[[#This Row],[Column5]] &lt;&gt; 0, MAX((deployment_raw[[#This Row],[Column12]] * deployment_raw[[#This Row],[Column5]]), ((deployment_raw[[#This Row],[Column8]] * deployment_raw[[#This Row],[Column5]]) * $L$2), ($H$2 * deployment_raw[[#This Row],[Column5]])), 0),"")</f>
        <v/>
      </c>
      <c r="M91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17" s="188" t="str">
        <f>IF(ISNUMBER(deployment_raw[[#This Row],[Column14]]), deployment_raw[[#This Row],[Column14]],"")</f>
        <v/>
      </c>
      <c r="O917" s="189" t="str">
        <f>IF(ISNUMBER(deployment_raw[[#This Row],[Column15]]), deployment_raw[[#This Row],[Column15]]/1048576,"")</f>
        <v/>
      </c>
      <c r="P917" s="190" t="str">
        <f>IF(ISNUMBER(deployment_raw[[#This Row],[Column12]]), (deployment_raw[[#This Row],[Column12]] * deployment_raw[[#This Row],[Column5]]),"")</f>
        <v/>
      </c>
      <c r="Q917" s="189" t="str">
        <f>IF(ISNUMBER(deployment_raw[[#This Row],[Column13]]), (deployment_raw[[#This Row],[Column13]] * deployment_raw[[#This Row],[Column5]])/1048576,"")</f>
        <v/>
      </c>
    </row>
    <row r="918" spans="1:17" ht="15" customHeight="1" x14ac:dyDescent="0.25">
      <c r="A918" s="37" t="str">
        <f>IF(ISNONTEXT(deployment_raw[[#This Row],[Column1]]), "", deployment_raw[[#This Row],[Column1]])</f>
        <v/>
      </c>
      <c r="B918" s="38" t="str">
        <f>IF(ISNONTEXT(deployment_raw[[#This Row],[Column2]]), "", deployment_raw[[#This Row],[Column2]])</f>
        <v/>
      </c>
      <c r="C918" s="38" t="str">
        <f>IF(ISNONTEXT(deployment_raw[[#This Row],[Column3]]), "", deployment_raw[[#This Row],[Column3]])</f>
        <v/>
      </c>
      <c r="D918" s="38" t="str">
        <f>IF(ISNONTEXT(deployment_raw[[#This Row],[Column4]]), "", deployment_raw[[#This Row],[Column4]])</f>
        <v/>
      </c>
      <c r="E918" s="39" t="str">
        <f>IF(ISNUMBER(deployment_raw[[#This Row],[Column5]]), deployment_raw[[#This Row],[Column5]],"")</f>
        <v/>
      </c>
      <c r="F918" s="174" t="str">
        <f>IF(ISNUMBER(deployment_raw[[#This Row],[Column6]]), (deployment_raw[[#This Row],[Column6]] * deployment_raw[[#This Row],[Column5]]),"")</f>
        <v/>
      </c>
      <c r="G918" s="175" t="str">
        <f>IF(ISNUMBER(deployment_raw[[#This Row],[Column7]]), (deployment_raw[[#This Row],[Column7]] * deployment_raw[[#This Row],[Column5]])/1048576,"")</f>
        <v/>
      </c>
      <c r="H918" s="175" t="str">
        <f>IF(ISNUMBER(deployment_raw[[#This Row],[Column8]]), (deployment_raw[[#This Row],[Column8]]  * deployment_raw[[#This Row],[Column5]]),"")</f>
        <v/>
      </c>
      <c r="I918" s="176" t="str">
        <f>IF(ISNUMBER(deployment_raw[[#This Row],[Column9]]), (deployment_raw[[#This Row],[Column9]] * deployment_raw[[#This Row],[Column5]])/1048576,"")</f>
        <v/>
      </c>
      <c r="J918" s="57" t="str">
        <f>IF(ISNUMBER(deployment_raw[[#This Row],[Column10]]), (deployment_raw[[#This Row],[Column10]] * deployment_raw[[#This Row],[Column5]]),"")</f>
        <v/>
      </c>
      <c r="K918" s="58" t="str">
        <f>IF(ISNUMBER(deployment_raw[[#This Row],[Column11]]), (deployment_raw[[#This Row],[Column11]] * deployment_raw[[#This Row],[Column5]])/1048576,"")</f>
        <v/>
      </c>
      <c r="L918" s="180" t="str">
        <f>IF(ISNUMBER(deployment_raw[[#This Row],[Column8]]),IF(deployment_raw[[#This Row],[Column5]] &lt;&gt; 0, MAX((deployment_raw[[#This Row],[Column12]] * deployment_raw[[#This Row],[Column5]]), ((deployment_raw[[#This Row],[Column8]] * deployment_raw[[#This Row],[Column5]]) * $L$2), ($H$2 * deployment_raw[[#This Row],[Column5]])), 0),"")</f>
        <v/>
      </c>
      <c r="M91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18" s="188" t="str">
        <f>IF(ISNUMBER(deployment_raw[[#This Row],[Column14]]), deployment_raw[[#This Row],[Column14]],"")</f>
        <v/>
      </c>
      <c r="O918" s="189" t="str">
        <f>IF(ISNUMBER(deployment_raw[[#This Row],[Column15]]), deployment_raw[[#This Row],[Column15]]/1048576,"")</f>
        <v/>
      </c>
      <c r="P918" s="190" t="str">
        <f>IF(ISNUMBER(deployment_raw[[#This Row],[Column12]]), (deployment_raw[[#This Row],[Column12]] * deployment_raw[[#This Row],[Column5]]),"")</f>
        <v/>
      </c>
      <c r="Q918" s="189" t="str">
        <f>IF(ISNUMBER(deployment_raw[[#This Row],[Column13]]), (deployment_raw[[#This Row],[Column13]] * deployment_raw[[#This Row],[Column5]])/1048576,"")</f>
        <v/>
      </c>
    </row>
    <row r="919" spans="1:17" ht="15" customHeight="1" x14ac:dyDescent="0.25">
      <c r="A919" s="37" t="str">
        <f>IF(ISNONTEXT(deployment_raw[[#This Row],[Column1]]), "", deployment_raw[[#This Row],[Column1]])</f>
        <v/>
      </c>
      <c r="B919" s="38" t="str">
        <f>IF(ISNONTEXT(deployment_raw[[#This Row],[Column2]]), "", deployment_raw[[#This Row],[Column2]])</f>
        <v/>
      </c>
      <c r="C919" s="38" t="str">
        <f>IF(ISNONTEXT(deployment_raw[[#This Row],[Column3]]), "", deployment_raw[[#This Row],[Column3]])</f>
        <v/>
      </c>
      <c r="D919" s="38" t="str">
        <f>IF(ISNONTEXT(deployment_raw[[#This Row],[Column4]]), "", deployment_raw[[#This Row],[Column4]])</f>
        <v/>
      </c>
      <c r="E919" s="39" t="str">
        <f>IF(ISNUMBER(deployment_raw[[#This Row],[Column5]]), deployment_raw[[#This Row],[Column5]],"")</f>
        <v/>
      </c>
      <c r="F919" s="174" t="str">
        <f>IF(ISNUMBER(deployment_raw[[#This Row],[Column6]]), (deployment_raw[[#This Row],[Column6]] * deployment_raw[[#This Row],[Column5]]),"")</f>
        <v/>
      </c>
      <c r="G919" s="175" t="str">
        <f>IF(ISNUMBER(deployment_raw[[#This Row],[Column7]]), (deployment_raw[[#This Row],[Column7]] * deployment_raw[[#This Row],[Column5]])/1048576,"")</f>
        <v/>
      </c>
      <c r="H919" s="175" t="str">
        <f>IF(ISNUMBER(deployment_raw[[#This Row],[Column8]]), (deployment_raw[[#This Row],[Column8]]  * deployment_raw[[#This Row],[Column5]]),"")</f>
        <v/>
      </c>
      <c r="I919" s="176" t="str">
        <f>IF(ISNUMBER(deployment_raw[[#This Row],[Column9]]), (deployment_raw[[#This Row],[Column9]] * deployment_raw[[#This Row],[Column5]])/1048576,"")</f>
        <v/>
      </c>
      <c r="J919" s="57" t="str">
        <f>IF(ISNUMBER(deployment_raw[[#This Row],[Column10]]), (deployment_raw[[#This Row],[Column10]] * deployment_raw[[#This Row],[Column5]]),"")</f>
        <v/>
      </c>
      <c r="K919" s="58" t="str">
        <f>IF(ISNUMBER(deployment_raw[[#This Row],[Column11]]), (deployment_raw[[#This Row],[Column11]] * deployment_raw[[#This Row],[Column5]])/1048576,"")</f>
        <v/>
      </c>
      <c r="L919" s="180" t="str">
        <f>IF(ISNUMBER(deployment_raw[[#This Row],[Column8]]),IF(deployment_raw[[#This Row],[Column5]] &lt;&gt; 0, MAX((deployment_raw[[#This Row],[Column12]] * deployment_raw[[#This Row],[Column5]]), ((deployment_raw[[#This Row],[Column8]] * deployment_raw[[#This Row],[Column5]]) * $L$2), ($H$2 * deployment_raw[[#This Row],[Column5]])), 0),"")</f>
        <v/>
      </c>
      <c r="M91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19" s="188" t="str">
        <f>IF(ISNUMBER(deployment_raw[[#This Row],[Column14]]), deployment_raw[[#This Row],[Column14]],"")</f>
        <v/>
      </c>
      <c r="O919" s="189" t="str">
        <f>IF(ISNUMBER(deployment_raw[[#This Row],[Column15]]), deployment_raw[[#This Row],[Column15]]/1048576,"")</f>
        <v/>
      </c>
      <c r="P919" s="190" t="str">
        <f>IF(ISNUMBER(deployment_raw[[#This Row],[Column12]]), (deployment_raw[[#This Row],[Column12]] * deployment_raw[[#This Row],[Column5]]),"")</f>
        <v/>
      </c>
      <c r="Q919" s="189" t="str">
        <f>IF(ISNUMBER(deployment_raw[[#This Row],[Column13]]), (deployment_raw[[#This Row],[Column13]] * deployment_raw[[#This Row],[Column5]])/1048576,"")</f>
        <v/>
      </c>
    </row>
    <row r="920" spans="1:17" ht="15" customHeight="1" x14ac:dyDescent="0.25">
      <c r="A920" s="37" t="str">
        <f>IF(ISNONTEXT(deployment_raw[[#This Row],[Column1]]), "", deployment_raw[[#This Row],[Column1]])</f>
        <v/>
      </c>
      <c r="B920" s="38" t="str">
        <f>IF(ISNONTEXT(deployment_raw[[#This Row],[Column2]]), "", deployment_raw[[#This Row],[Column2]])</f>
        <v/>
      </c>
      <c r="C920" s="38" t="str">
        <f>IF(ISNONTEXT(deployment_raw[[#This Row],[Column3]]), "", deployment_raw[[#This Row],[Column3]])</f>
        <v/>
      </c>
      <c r="D920" s="38" t="str">
        <f>IF(ISNONTEXT(deployment_raw[[#This Row],[Column4]]), "", deployment_raw[[#This Row],[Column4]])</f>
        <v/>
      </c>
      <c r="E920" s="39" t="str">
        <f>IF(ISNUMBER(deployment_raw[[#This Row],[Column5]]), deployment_raw[[#This Row],[Column5]],"")</f>
        <v/>
      </c>
      <c r="F920" s="174" t="str">
        <f>IF(ISNUMBER(deployment_raw[[#This Row],[Column6]]), (deployment_raw[[#This Row],[Column6]] * deployment_raw[[#This Row],[Column5]]),"")</f>
        <v/>
      </c>
      <c r="G920" s="175" t="str">
        <f>IF(ISNUMBER(deployment_raw[[#This Row],[Column7]]), (deployment_raw[[#This Row],[Column7]] * deployment_raw[[#This Row],[Column5]])/1048576,"")</f>
        <v/>
      </c>
      <c r="H920" s="175" t="str">
        <f>IF(ISNUMBER(deployment_raw[[#This Row],[Column8]]), (deployment_raw[[#This Row],[Column8]]  * deployment_raw[[#This Row],[Column5]]),"")</f>
        <v/>
      </c>
      <c r="I920" s="176" t="str">
        <f>IF(ISNUMBER(deployment_raw[[#This Row],[Column9]]), (deployment_raw[[#This Row],[Column9]] * deployment_raw[[#This Row],[Column5]])/1048576,"")</f>
        <v/>
      </c>
      <c r="J920" s="57" t="str">
        <f>IF(ISNUMBER(deployment_raw[[#This Row],[Column10]]), (deployment_raw[[#This Row],[Column10]] * deployment_raw[[#This Row],[Column5]]),"")</f>
        <v/>
      </c>
      <c r="K920" s="58" t="str">
        <f>IF(ISNUMBER(deployment_raw[[#This Row],[Column11]]), (deployment_raw[[#This Row],[Column11]] * deployment_raw[[#This Row],[Column5]])/1048576,"")</f>
        <v/>
      </c>
      <c r="L920" s="180" t="str">
        <f>IF(ISNUMBER(deployment_raw[[#This Row],[Column8]]),IF(deployment_raw[[#This Row],[Column5]] &lt;&gt; 0, MAX((deployment_raw[[#This Row],[Column12]] * deployment_raw[[#This Row],[Column5]]), ((deployment_raw[[#This Row],[Column8]] * deployment_raw[[#This Row],[Column5]]) * $L$2), ($H$2 * deployment_raw[[#This Row],[Column5]])), 0),"")</f>
        <v/>
      </c>
      <c r="M92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20" s="188" t="str">
        <f>IF(ISNUMBER(deployment_raw[[#This Row],[Column14]]), deployment_raw[[#This Row],[Column14]],"")</f>
        <v/>
      </c>
      <c r="O920" s="189" t="str">
        <f>IF(ISNUMBER(deployment_raw[[#This Row],[Column15]]), deployment_raw[[#This Row],[Column15]]/1048576,"")</f>
        <v/>
      </c>
      <c r="P920" s="190" t="str">
        <f>IF(ISNUMBER(deployment_raw[[#This Row],[Column12]]), (deployment_raw[[#This Row],[Column12]] * deployment_raw[[#This Row],[Column5]]),"")</f>
        <v/>
      </c>
      <c r="Q920" s="189" t="str">
        <f>IF(ISNUMBER(deployment_raw[[#This Row],[Column13]]), (deployment_raw[[#This Row],[Column13]] * deployment_raw[[#This Row],[Column5]])/1048576,"")</f>
        <v/>
      </c>
    </row>
    <row r="921" spans="1:17" ht="15" customHeight="1" x14ac:dyDescent="0.25">
      <c r="A921" s="37" t="str">
        <f>IF(ISNONTEXT(deployment_raw[[#This Row],[Column1]]), "", deployment_raw[[#This Row],[Column1]])</f>
        <v/>
      </c>
      <c r="B921" s="38" t="str">
        <f>IF(ISNONTEXT(deployment_raw[[#This Row],[Column2]]), "", deployment_raw[[#This Row],[Column2]])</f>
        <v/>
      </c>
      <c r="C921" s="38" t="str">
        <f>IF(ISNONTEXT(deployment_raw[[#This Row],[Column3]]), "", deployment_raw[[#This Row],[Column3]])</f>
        <v/>
      </c>
      <c r="D921" s="38" t="str">
        <f>IF(ISNONTEXT(deployment_raw[[#This Row],[Column4]]), "", deployment_raw[[#This Row],[Column4]])</f>
        <v/>
      </c>
      <c r="E921" s="39" t="str">
        <f>IF(ISNUMBER(deployment_raw[[#This Row],[Column5]]), deployment_raw[[#This Row],[Column5]],"")</f>
        <v/>
      </c>
      <c r="F921" s="174" t="str">
        <f>IF(ISNUMBER(deployment_raw[[#This Row],[Column6]]), (deployment_raw[[#This Row],[Column6]] * deployment_raw[[#This Row],[Column5]]),"")</f>
        <v/>
      </c>
      <c r="G921" s="175" t="str">
        <f>IF(ISNUMBER(deployment_raw[[#This Row],[Column7]]), (deployment_raw[[#This Row],[Column7]] * deployment_raw[[#This Row],[Column5]])/1048576,"")</f>
        <v/>
      </c>
      <c r="H921" s="175" t="str">
        <f>IF(ISNUMBER(deployment_raw[[#This Row],[Column8]]), (deployment_raw[[#This Row],[Column8]]  * deployment_raw[[#This Row],[Column5]]),"")</f>
        <v/>
      </c>
      <c r="I921" s="176" t="str">
        <f>IF(ISNUMBER(deployment_raw[[#This Row],[Column9]]), (deployment_raw[[#This Row],[Column9]] * deployment_raw[[#This Row],[Column5]])/1048576,"")</f>
        <v/>
      </c>
      <c r="J921" s="57" t="str">
        <f>IF(ISNUMBER(deployment_raw[[#This Row],[Column10]]), (deployment_raw[[#This Row],[Column10]] * deployment_raw[[#This Row],[Column5]]),"")</f>
        <v/>
      </c>
      <c r="K921" s="58" t="str">
        <f>IF(ISNUMBER(deployment_raw[[#This Row],[Column11]]), (deployment_raw[[#This Row],[Column11]] * deployment_raw[[#This Row],[Column5]])/1048576,"")</f>
        <v/>
      </c>
      <c r="L921" s="180" t="str">
        <f>IF(ISNUMBER(deployment_raw[[#This Row],[Column8]]),IF(deployment_raw[[#This Row],[Column5]] &lt;&gt; 0, MAX((deployment_raw[[#This Row],[Column12]] * deployment_raw[[#This Row],[Column5]]), ((deployment_raw[[#This Row],[Column8]] * deployment_raw[[#This Row],[Column5]]) * $L$2), ($H$2 * deployment_raw[[#This Row],[Column5]])), 0),"")</f>
        <v/>
      </c>
      <c r="M92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21" s="188" t="str">
        <f>IF(ISNUMBER(deployment_raw[[#This Row],[Column14]]), deployment_raw[[#This Row],[Column14]],"")</f>
        <v/>
      </c>
      <c r="O921" s="189" t="str">
        <f>IF(ISNUMBER(deployment_raw[[#This Row],[Column15]]), deployment_raw[[#This Row],[Column15]]/1048576,"")</f>
        <v/>
      </c>
      <c r="P921" s="190" t="str">
        <f>IF(ISNUMBER(deployment_raw[[#This Row],[Column12]]), (deployment_raw[[#This Row],[Column12]] * deployment_raw[[#This Row],[Column5]]),"")</f>
        <v/>
      </c>
      <c r="Q921" s="189" t="str">
        <f>IF(ISNUMBER(deployment_raw[[#This Row],[Column13]]), (deployment_raw[[#This Row],[Column13]] * deployment_raw[[#This Row],[Column5]])/1048576,"")</f>
        <v/>
      </c>
    </row>
    <row r="922" spans="1:17" ht="15" customHeight="1" x14ac:dyDescent="0.25">
      <c r="A922" s="37" t="str">
        <f>IF(ISNONTEXT(deployment_raw[[#This Row],[Column1]]), "", deployment_raw[[#This Row],[Column1]])</f>
        <v/>
      </c>
      <c r="B922" s="38" t="str">
        <f>IF(ISNONTEXT(deployment_raw[[#This Row],[Column2]]), "", deployment_raw[[#This Row],[Column2]])</f>
        <v/>
      </c>
      <c r="C922" s="38" t="str">
        <f>IF(ISNONTEXT(deployment_raw[[#This Row],[Column3]]), "", deployment_raw[[#This Row],[Column3]])</f>
        <v/>
      </c>
      <c r="D922" s="38" t="str">
        <f>IF(ISNONTEXT(deployment_raw[[#This Row],[Column4]]), "", deployment_raw[[#This Row],[Column4]])</f>
        <v/>
      </c>
      <c r="E922" s="39" t="str">
        <f>IF(ISNUMBER(deployment_raw[[#This Row],[Column5]]), deployment_raw[[#This Row],[Column5]],"")</f>
        <v/>
      </c>
      <c r="F922" s="174" t="str">
        <f>IF(ISNUMBER(deployment_raw[[#This Row],[Column6]]), (deployment_raw[[#This Row],[Column6]] * deployment_raw[[#This Row],[Column5]]),"")</f>
        <v/>
      </c>
      <c r="G922" s="175" t="str">
        <f>IF(ISNUMBER(deployment_raw[[#This Row],[Column7]]), (deployment_raw[[#This Row],[Column7]] * deployment_raw[[#This Row],[Column5]])/1048576,"")</f>
        <v/>
      </c>
      <c r="H922" s="175" t="str">
        <f>IF(ISNUMBER(deployment_raw[[#This Row],[Column8]]), (deployment_raw[[#This Row],[Column8]]  * deployment_raw[[#This Row],[Column5]]),"")</f>
        <v/>
      </c>
      <c r="I922" s="176" t="str">
        <f>IF(ISNUMBER(deployment_raw[[#This Row],[Column9]]), (deployment_raw[[#This Row],[Column9]] * deployment_raw[[#This Row],[Column5]])/1048576,"")</f>
        <v/>
      </c>
      <c r="J922" s="57" t="str">
        <f>IF(ISNUMBER(deployment_raw[[#This Row],[Column10]]), (deployment_raw[[#This Row],[Column10]] * deployment_raw[[#This Row],[Column5]]),"")</f>
        <v/>
      </c>
      <c r="K922" s="58" t="str">
        <f>IF(ISNUMBER(deployment_raw[[#This Row],[Column11]]), (deployment_raw[[#This Row],[Column11]] * deployment_raw[[#This Row],[Column5]])/1048576,"")</f>
        <v/>
      </c>
      <c r="L922" s="180" t="str">
        <f>IF(ISNUMBER(deployment_raw[[#This Row],[Column8]]),IF(deployment_raw[[#This Row],[Column5]] &lt;&gt; 0, MAX((deployment_raw[[#This Row],[Column12]] * deployment_raw[[#This Row],[Column5]]), ((deployment_raw[[#This Row],[Column8]] * deployment_raw[[#This Row],[Column5]]) * $L$2), ($H$2 * deployment_raw[[#This Row],[Column5]])), 0),"")</f>
        <v/>
      </c>
      <c r="M92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22" s="188" t="str">
        <f>IF(ISNUMBER(deployment_raw[[#This Row],[Column14]]), deployment_raw[[#This Row],[Column14]],"")</f>
        <v/>
      </c>
      <c r="O922" s="189" t="str">
        <f>IF(ISNUMBER(deployment_raw[[#This Row],[Column15]]), deployment_raw[[#This Row],[Column15]]/1048576,"")</f>
        <v/>
      </c>
      <c r="P922" s="190" t="str">
        <f>IF(ISNUMBER(deployment_raw[[#This Row],[Column12]]), (deployment_raw[[#This Row],[Column12]] * deployment_raw[[#This Row],[Column5]]),"")</f>
        <v/>
      </c>
      <c r="Q922" s="189" t="str">
        <f>IF(ISNUMBER(deployment_raw[[#This Row],[Column13]]), (deployment_raw[[#This Row],[Column13]] * deployment_raw[[#This Row],[Column5]])/1048576,"")</f>
        <v/>
      </c>
    </row>
    <row r="923" spans="1:17" ht="15" customHeight="1" x14ac:dyDescent="0.25">
      <c r="A923" s="37" t="str">
        <f>IF(ISNONTEXT(deployment_raw[[#This Row],[Column1]]), "", deployment_raw[[#This Row],[Column1]])</f>
        <v/>
      </c>
      <c r="B923" s="38" t="str">
        <f>IF(ISNONTEXT(deployment_raw[[#This Row],[Column2]]), "", deployment_raw[[#This Row],[Column2]])</f>
        <v/>
      </c>
      <c r="C923" s="38" t="str">
        <f>IF(ISNONTEXT(deployment_raw[[#This Row],[Column3]]), "", deployment_raw[[#This Row],[Column3]])</f>
        <v/>
      </c>
      <c r="D923" s="38" t="str">
        <f>IF(ISNONTEXT(deployment_raw[[#This Row],[Column4]]), "", deployment_raw[[#This Row],[Column4]])</f>
        <v/>
      </c>
      <c r="E923" s="39" t="str">
        <f>IF(ISNUMBER(deployment_raw[[#This Row],[Column5]]), deployment_raw[[#This Row],[Column5]],"")</f>
        <v/>
      </c>
      <c r="F923" s="174" t="str">
        <f>IF(ISNUMBER(deployment_raw[[#This Row],[Column6]]), (deployment_raw[[#This Row],[Column6]] * deployment_raw[[#This Row],[Column5]]),"")</f>
        <v/>
      </c>
      <c r="G923" s="175" t="str">
        <f>IF(ISNUMBER(deployment_raw[[#This Row],[Column7]]), (deployment_raw[[#This Row],[Column7]] * deployment_raw[[#This Row],[Column5]])/1048576,"")</f>
        <v/>
      </c>
      <c r="H923" s="175" t="str">
        <f>IF(ISNUMBER(deployment_raw[[#This Row],[Column8]]), (deployment_raw[[#This Row],[Column8]]  * deployment_raw[[#This Row],[Column5]]),"")</f>
        <v/>
      </c>
      <c r="I923" s="176" t="str">
        <f>IF(ISNUMBER(deployment_raw[[#This Row],[Column9]]), (deployment_raw[[#This Row],[Column9]] * deployment_raw[[#This Row],[Column5]])/1048576,"")</f>
        <v/>
      </c>
      <c r="J923" s="57" t="str">
        <f>IF(ISNUMBER(deployment_raw[[#This Row],[Column10]]), (deployment_raw[[#This Row],[Column10]] * deployment_raw[[#This Row],[Column5]]),"")</f>
        <v/>
      </c>
      <c r="K923" s="58" t="str">
        <f>IF(ISNUMBER(deployment_raw[[#This Row],[Column11]]), (deployment_raw[[#This Row],[Column11]] * deployment_raw[[#This Row],[Column5]])/1048576,"")</f>
        <v/>
      </c>
      <c r="L923" s="180" t="str">
        <f>IF(ISNUMBER(deployment_raw[[#This Row],[Column8]]),IF(deployment_raw[[#This Row],[Column5]] &lt;&gt; 0, MAX((deployment_raw[[#This Row],[Column12]] * deployment_raw[[#This Row],[Column5]]), ((deployment_raw[[#This Row],[Column8]] * deployment_raw[[#This Row],[Column5]]) * $L$2), ($H$2 * deployment_raw[[#This Row],[Column5]])), 0),"")</f>
        <v/>
      </c>
      <c r="M92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23" s="188" t="str">
        <f>IF(ISNUMBER(deployment_raw[[#This Row],[Column14]]), deployment_raw[[#This Row],[Column14]],"")</f>
        <v/>
      </c>
      <c r="O923" s="189" t="str">
        <f>IF(ISNUMBER(deployment_raw[[#This Row],[Column15]]), deployment_raw[[#This Row],[Column15]]/1048576,"")</f>
        <v/>
      </c>
      <c r="P923" s="190" t="str">
        <f>IF(ISNUMBER(deployment_raw[[#This Row],[Column12]]), (deployment_raw[[#This Row],[Column12]] * deployment_raw[[#This Row],[Column5]]),"")</f>
        <v/>
      </c>
      <c r="Q923" s="189" t="str">
        <f>IF(ISNUMBER(deployment_raw[[#This Row],[Column13]]), (deployment_raw[[#This Row],[Column13]] * deployment_raw[[#This Row],[Column5]])/1048576,"")</f>
        <v/>
      </c>
    </row>
    <row r="924" spans="1:17" ht="15" customHeight="1" x14ac:dyDescent="0.25">
      <c r="A924" s="37" t="str">
        <f>IF(ISNONTEXT(deployment_raw[[#This Row],[Column1]]), "", deployment_raw[[#This Row],[Column1]])</f>
        <v/>
      </c>
      <c r="B924" s="38" t="str">
        <f>IF(ISNONTEXT(deployment_raw[[#This Row],[Column2]]), "", deployment_raw[[#This Row],[Column2]])</f>
        <v/>
      </c>
      <c r="C924" s="38" t="str">
        <f>IF(ISNONTEXT(deployment_raw[[#This Row],[Column3]]), "", deployment_raw[[#This Row],[Column3]])</f>
        <v/>
      </c>
      <c r="D924" s="38" t="str">
        <f>IF(ISNONTEXT(deployment_raw[[#This Row],[Column4]]), "", deployment_raw[[#This Row],[Column4]])</f>
        <v/>
      </c>
      <c r="E924" s="39" t="str">
        <f>IF(ISNUMBER(deployment_raw[[#This Row],[Column5]]), deployment_raw[[#This Row],[Column5]],"")</f>
        <v/>
      </c>
      <c r="F924" s="174" t="str">
        <f>IF(ISNUMBER(deployment_raw[[#This Row],[Column6]]), (deployment_raw[[#This Row],[Column6]] * deployment_raw[[#This Row],[Column5]]),"")</f>
        <v/>
      </c>
      <c r="G924" s="175" t="str">
        <f>IF(ISNUMBER(deployment_raw[[#This Row],[Column7]]), (deployment_raw[[#This Row],[Column7]] * deployment_raw[[#This Row],[Column5]])/1048576,"")</f>
        <v/>
      </c>
      <c r="H924" s="175" t="str">
        <f>IF(ISNUMBER(deployment_raw[[#This Row],[Column8]]), (deployment_raw[[#This Row],[Column8]]  * deployment_raw[[#This Row],[Column5]]),"")</f>
        <v/>
      </c>
      <c r="I924" s="176" t="str">
        <f>IF(ISNUMBER(deployment_raw[[#This Row],[Column9]]), (deployment_raw[[#This Row],[Column9]] * deployment_raw[[#This Row],[Column5]])/1048576,"")</f>
        <v/>
      </c>
      <c r="J924" s="57" t="str">
        <f>IF(ISNUMBER(deployment_raw[[#This Row],[Column10]]), (deployment_raw[[#This Row],[Column10]] * deployment_raw[[#This Row],[Column5]]),"")</f>
        <v/>
      </c>
      <c r="K924" s="58" t="str">
        <f>IF(ISNUMBER(deployment_raw[[#This Row],[Column11]]), (deployment_raw[[#This Row],[Column11]] * deployment_raw[[#This Row],[Column5]])/1048576,"")</f>
        <v/>
      </c>
      <c r="L924" s="180" t="str">
        <f>IF(ISNUMBER(deployment_raw[[#This Row],[Column8]]),IF(deployment_raw[[#This Row],[Column5]] &lt;&gt; 0, MAX((deployment_raw[[#This Row],[Column12]] * deployment_raw[[#This Row],[Column5]]), ((deployment_raw[[#This Row],[Column8]] * deployment_raw[[#This Row],[Column5]]) * $L$2), ($H$2 * deployment_raw[[#This Row],[Column5]])), 0),"")</f>
        <v/>
      </c>
      <c r="M92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24" s="188" t="str">
        <f>IF(ISNUMBER(deployment_raw[[#This Row],[Column14]]), deployment_raw[[#This Row],[Column14]],"")</f>
        <v/>
      </c>
      <c r="O924" s="189" t="str">
        <f>IF(ISNUMBER(deployment_raw[[#This Row],[Column15]]), deployment_raw[[#This Row],[Column15]]/1048576,"")</f>
        <v/>
      </c>
      <c r="P924" s="190" t="str">
        <f>IF(ISNUMBER(deployment_raw[[#This Row],[Column12]]), (deployment_raw[[#This Row],[Column12]] * deployment_raw[[#This Row],[Column5]]),"")</f>
        <v/>
      </c>
      <c r="Q924" s="189" t="str">
        <f>IF(ISNUMBER(deployment_raw[[#This Row],[Column13]]), (deployment_raw[[#This Row],[Column13]] * deployment_raw[[#This Row],[Column5]])/1048576,"")</f>
        <v/>
      </c>
    </row>
    <row r="925" spans="1:17" ht="15" customHeight="1" x14ac:dyDescent="0.25">
      <c r="A925" s="37" t="str">
        <f>IF(ISNONTEXT(deployment_raw[[#This Row],[Column1]]), "", deployment_raw[[#This Row],[Column1]])</f>
        <v/>
      </c>
      <c r="B925" s="38" t="str">
        <f>IF(ISNONTEXT(deployment_raw[[#This Row],[Column2]]), "", deployment_raw[[#This Row],[Column2]])</f>
        <v/>
      </c>
      <c r="C925" s="38" t="str">
        <f>IF(ISNONTEXT(deployment_raw[[#This Row],[Column3]]), "", deployment_raw[[#This Row],[Column3]])</f>
        <v/>
      </c>
      <c r="D925" s="38" t="str">
        <f>IF(ISNONTEXT(deployment_raw[[#This Row],[Column4]]), "", deployment_raw[[#This Row],[Column4]])</f>
        <v/>
      </c>
      <c r="E925" s="39" t="str">
        <f>IF(ISNUMBER(deployment_raw[[#This Row],[Column5]]), deployment_raw[[#This Row],[Column5]],"")</f>
        <v/>
      </c>
      <c r="F925" s="174" t="str">
        <f>IF(ISNUMBER(deployment_raw[[#This Row],[Column6]]), (deployment_raw[[#This Row],[Column6]] * deployment_raw[[#This Row],[Column5]]),"")</f>
        <v/>
      </c>
      <c r="G925" s="175" t="str">
        <f>IF(ISNUMBER(deployment_raw[[#This Row],[Column7]]), (deployment_raw[[#This Row],[Column7]] * deployment_raw[[#This Row],[Column5]])/1048576,"")</f>
        <v/>
      </c>
      <c r="H925" s="175" t="str">
        <f>IF(ISNUMBER(deployment_raw[[#This Row],[Column8]]), (deployment_raw[[#This Row],[Column8]]  * deployment_raw[[#This Row],[Column5]]),"")</f>
        <v/>
      </c>
      <c r="I925" s="176" t="str">
        <f>IF(ISNUMBER(deployment_raw[[#This Row],[Column9]]), (deployment_raw[[#This Row],[Column9]] * deployment_raw[[#This Row],[Column5]])/1048576,"")</f>
        <v/>
      </c>
      <c r="J925" s="57" t="str">
        <f>IF(ISNUMBER(deployment_raw[[#This Row],[Column10]]), (deployment_raw[[#This Row],[Column10]] * deployment_raw[[#This Row],[Column5]]),"")</f>
        <v/>
      </c>
      <c r="K925" s="58" t="str">
        <f>IF(ISNUMBER(deployment_raw[[#This Row],[Column11]]), (deployment_raw[[#This Row],[Column11]] * deployment_raw[[#This Row],[Column5]])/1048576,"")</f>
        <v/>
      </c>
      <c r="L925" s="180" t="str">
        <f>IF(ISNUMBER(deployment_raw[[#This Row],[Column8]]),IF(deployment_raw[[#This Row],[Column5]] &lt;&gt; 0, MAX((deployment_raw[[#This Row],[Column12]] * deployment_raw[[#This Row],[Column5]]), ((deployment_raw[[#This Row],[Column8]] * deployment_raw[[#This Row],[Column5]]) * $L$2), ($H$2 * deployment_raw[[#This Row],[Column5]])), 0),"")</f>
        <v/>
      </c>
      <c r="M92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25" s="188" t="str">
        <f>IF(ISNUMBER(deployment_raw[[#This Row],[Column14]]), deployment_raw[[#This Row],[Column14]],"")</f>
        <v/>
      </c>
      <c r="O925" s="189" t="str">
        <f>IF(ISNUMBER(deployment_raw[[#This Row],[Column15]]), deployment_raw[[#This Row],[Column15]]/1048576,"")</f>
        <v/>
      </c>
      <c r="P925" s="190" t="str">
        <f>IF(ISNUMBER(deployment_raw[[#This Row],[Column12]]), (deployment_raw[[#This Row],[Column12]] * deployment_raw[[#This Row],[Column5]]),"")</f>
        <v/>
      </c>
      <c r="Q925" s="189" t="str">
        <f>IF(ISNUMBER(deployment_raw[[#This Row],[Column13]]), (deployment_raw[[#This Row],[Column13]] * deployment_raw[[#This Row],[Column5]])/1048576,"")</f>
        <v/>
      </c>
    </row>
    <row r="926" spans="1:17" ht="15" customHeight="1" x14ac:dyDescent="0.25">
      <c r="A926" s="37" t="str">
        <f>IF(ISNONTEXT(deployment_raw[[#This Row],[Column1]]), "", deployment_raw[[#This Row],[Column1]])</f>
        <v/>
      </c>
      <c r="B926" s="38" t="str">
        <f>IF(ISNONTEXT(deployment_raw[[#This Row],[Column2]]), "", deployment_raw[[#This Row],[Column2]])</f>
        <v/>
      </c>
      <c r="C926" s="38" t="str">
        <f>IF(ISNONTEXT(deployment_raw[[#This Row],[Column3]]), "", deployment_raw[[#This Row],[Column3]])</f>
        <v/>
      </c>
      <c r="D926" s="38" t="str">
        <f>IF(ISNONTEXT(deployment_raw[[#This Row],[Column4]]), "", deployment_raw[[#This Row],[Column4]])</f>
        <v/>
      </c>
      <c r="E926" s="39" t="str">
        <f>IF(ISNUMBER(deployment_raw[[#This Row],[Column5]]), deployment_raw[[#This Row],[Column5]],"")</f>
        <v/>
      </c>
      <c r="F926" s="174" t="str">
        <f>IF(ISNUMBER(deployment_raw[[#This Row],[Column6]]), (deployment_raw[[#This Row],[Column6]] * deployment_raw[[#This Row],[Column5]]),"")</f>
        <v/>
      </c>
      <c r="G926" s="175" t="str">
        <f>IF(ISNUMBER(deployment_raw[[#This Row],[Column7]]), (deployment_raw[[#This Row],[Column7]] * deployment_raw[[#This Row],[Column5]])/1048576,"")</f>
        <v/>
      </c>
      <c r="H926" s="175" t="str">
        <f>IF(ISNUMBER(deployment_raw[[#This Row],[Column8]]), (deployment_raw[[#This Row],[Column8]]  * deployment_raw[[#This Row],[Column5]]),"")</f>
        <v/>
      </c>
      <c r="I926" s="176" t="str">
        <f>IF(ISNUMBER(deployment_raw[[#This Row],[Column9]]), (deployment_raw[[#This Row],[Column9]] * deployment_raw[[#This Row],[Column5]])/1048576,"")</f>
        <v/>
      </c>
      <c r="J926" s="57" t="str">
        <f>IF(ISNUMBER(deployment_raw[[#This Row],[Column10]]), (deployment_raw[[#This Row],[Column10]] * deployment_raw[[#This Row],[Column5]]),"")</f>
        <v/>
      </c>
      <c r="K926" s="58" t="str">
        <f>IF(ISNUMBER(deployment_raw[[#This Row],[Column11]]), (deployment_raw[[#This Row],[Column11]] * deployment_raw[[#This Row],[Column5]])/1048576,"")</f>
        <v/>
      </c>
      <c r="L926" s="180" t="str">
        <f>IF(ISNUMBER(deployment_raw[[#This Row],[Column8]]),IF(deployment_raw[[#This Row],[Column5]] &lt;&gt; 0, MAX((deployment_raw[[#This Row],[Column12]] * deployment_raw[[#This Row],[Column5]]), ((deployment_raw[[#This Row],[Column8]] * deployment_raw[[#This Row],[Column5]]) * $L$2), ($H$2 * deployment_raw[[#This Row],[Column5]])), 0),"")</f>
        <v/>
      </c>
      <c r="M92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26" s="188" t="str">
        <f>IF(ISNUMBER(deployment_raw[[#This Row],[Column14]]), deployment_raw[[#This Row],[Column14]],"")</f>
        <v/>
      </c>
      <c r="O926" s="189" t="str">
        <f>IF(ISNUMBER(deployment_raw[[#This Row],[Column15]]), deployment_raw[[#This Row],[Column15]]/1048576,"")</f>
        <v/>
      </c>
      <c r="P926" s="190" t="str">
        <f>IF(ISNUMBER(deployment_raw[[#This Row],[Column12]]), (deployment_raw[[#This Row],[Column12]] * deployment_raw[[#This Row],[Column5]]),"")</f>
        <v/>
      </c>
      <c r="Q926" s="189" t="str">
        <f>IF(ISNUMBER(deployment_raw[[#This Row],[Column13]]), (deployment_raw[[#This Row],[Column13]] * deployment_raw[[#This Row],[Column5]])/1048576,"")</f>
        <v/>
      </c>
    </row>
    <row r="927" spans="1:17" ht="15" customHeight="1" x14ac:dyDescent="0.25">
      <c r="A927" s="37" t="str">
        <f>IF(ISNONTEXT(deployment_raw[[#This Row],[Column1]]), "", deployment_raw[[#This Row],[Column1]])</f>
        <v/>
      </c>
      <c r="B927" s="38" t="str">
        <f>IF(ISNONTEXT(deployment_raw[[#This Row],[Column2]]), "", deployment_raw[[#This Row],[Column2]])</f>
        <v/>
      </c>
      <c r="C927" s="38" t="str">
        <f>IF(ISNONTEXT(deployment_raw[[#This Row],[Column3]]), "", deployment_raw[[#This Row],[Column3]])</f>
        <v/>
      </c>
      <c r="D927" s="38" t="str">
        <f>IF(ISNONTEXT(deployment_raw[[#This Row],[Column4]]), "", deployment_raw[[#This Row],[Column4]])</f>
        <v/>
      </c>
      <c r="E927" s="39" t="str">
        <f>IF(ISNUMBER(deployment_raw[[#This Row],[Column5]]), deployment_raw[[#This Row],[Column5]],"")</f>
        <v/>
      </c>
      <c r="F927" s="174" t="str">
        <f>IF(ISNUMBER(deployment_raw[[#This Row],[Column6]]), (deployment_raw[[#This Row],[Column6]] * deployment_raw[[#This Row],[Column5]]),"")</f>
        <v/>
      </c>
      <c r="G927" s="175" t="str">
        <f>IF(ISNUMBER(deployment_raw[[#This Row],[Column7]]), (deployment_raw[[#This Row],[Column7]] * deployment_raw[[#This Row],[Column5]])/1048576,"")</f>
        <v/>
      </c>
      <c r="H927" s="175" t="str">
        <f>IF(ISNUMBER(deployment_raw[[#This Row],[Column8]]), (deployment_raw[[#This Row],[Column8]]  * deployment_raw[[#This Row],[Column5]]),"")</f>
        <v/>
      </c>
      <c r="I927" s="176" t="str">
        <f>IF(ISNUMBER(deployment_raw[[#This Row],[Column9]]), (deployment_raw[[#This Row],[Column9]] * deployment_raw[[#This Row],[Column5]])/1048576,"")</f>
        <v/>
      </c>
      <c r="J927" s="57" t="str">
        <f>IF(ISNUMBER(deployment_raw[[#This Row],[Column10]]), (deployment_raw[[#This Row],[Column10]] * deployment_raw[[#This Row],[Column5]]),"")</f>
        <v/>
      </c>
      <c r="K927" s="58" t="str">
        <f>IF(ISNUMBER(deployment_raw[[#This Row],[Column11]]), (deployment_raw[[#This Row],[Column11]] * deployment_raw[[#This Row],[Column5]])/1048576,"")</f>
        <v/>
      </c>
      <c r="L927" s="180" t="str">
        <f>IF(ISNUMBER(deployment_raw[[#This Row],[Column8]]),IF(deployment_raw[[#This Row],[Column5]] &lt;&gt; 0, MAX((deployment_raw[[#This Row],[Column12]] * deployment_raw[[#This Row],[Column5]]), ((deployment_raw[[#This Row],[Column8]] * deployment_raw[[#This Row],[Column5]]) * $L$2), ($H$2 * deployment_raw[[#This Row],[Column5]])), 0),"")</f>
        <v/>
      </c>
      <c r="M92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27" s="188" t="str">
        <f>IF(ISNUMBER(deployment_raw[[#This Row],[Column14]]), deployment_raw[[#This Row],[Column14]],"")</f>
        <v/>
      </c>
      <c r="O927" s="189" t="str">
        <f>IF(ISNUMBER(deployment_raw[[#This Row],[Column15]]), deployment_raw[[#This Row],[Column15]]/1048576,"")</f>
        <v/>
      </c>
      <c r="P927" s="190" t="str">
        <f>IF(ISNUMBER(deployment_raw[[#This Row],[Column12]]), (deployment_raw[[#This Row],[Column12]] * deployment_raw[[#This Row],[Column5]]),"")</f>
        <v/>
      </c>
      <c r="Q927" s="189" t="str">
        <f>IF(ISNUMBER(deployment_raw[[#This Row],[Column13]]), (deployment_raw[[#This Row],[Column13]] * deployment_raw[[#This Row],[Column5]])/1048576,"")</f>
        <v/>
      </c>
    </row>
    <row r="928" spans="1:17" ht="15" customHeight="1" x14ac:dyDescent="0.25">
      <c r="A928" s="37" t="str">
        <f>IF(ISNONTEXT(deployment_raw[[#This Row],[Column1]]), "", deployment_raw[[#This Row],[Column1]])</f>
        <v/>
      </c>
      <c r="B928" s="38" t="str">
        <f>IF(ISNONTEXT(deployment_raw[[#This Row],[Column2]]), "", deployment_raw[[#This Row],[Column2]])</f>
        <v/>
      </c>
      <c r="C928" s="38" t="str">
        <f>IF(ISNONTEXT(deployment_raw[[#This Row],[Column3]]), "", deployment_raw[[#This Row],[Column3]])</f>
        <v/>
      </c>
      <c r="D928" s="38" t="str">
        <f>IF(ISNONTEXT(deployment_raw[[#This Row],[Column4]]), "", deployment_raw[[#This Row],[Column4]])</f>
        <v/>
      </c>
      <c r="E928" s="39" t="str">
        <f>IF(ISNUMBER(deployment_raw[[#This Row],[Column5]]), deployment_raw[[#This Row],[Column5]],"")</f>
        <v/>
      </c>
      <c r="F928" s="174" t="str">
        <f>IF(ISNUMBER(deployment_raw[[#This Row],[Column6]]), (deployment_raw[[#This Row],[Column6]] * deployment_raw[[#This Row],[Column5]]),"")</f>
        <v/>
      </c>
      <c r="G928" s="175" t="str">
        <f>IF(ISNUMBER(deployment_raw[[#This Row],[Column7]]), (deployment_raw[[#This Row],[Column7]] * deployment_raw[[#This Row],[Column5]])/1048576,"")</f>
        <v/>
      </c>
      <c r="H928" s="175" t="str">
        <f>IF(ISNUMBER(deployment_raw[[#This Row],[Column8]]), (deployment_raw[[#This Row],[Column8]]  * deployment_raw[[#This Row],[Column5]]),"")</f>
        <v/>
      </c>
      <c r="I928" s="176" t="str">
        <f>IF(ISNUMBER(deployment_raw[[#This Row],[Column9]]), (deployment_raw[[#This Row],[Column9]] * deployment_raw[[#This Row],[Column5]])/1048576,"")</f>
        <v/>
      </c>
      <c r="J928" s="57" t="str">
        <f>IF(ISNUMBER(deployment_raw[[#This Row],[Column10]]), (deployment_raw[[#This Row],[Column10]] * deployment_raw[[#This Row],[Column5]]),"")</f>
        <v/>
      </c>
      <c r="K928" s="58" t="str">
        <f>IF(ISNUMBER(deployment_raw[[#This Row],[Column11]]), (deployment_raw[[#This Row],[Column11]] * deployment_raw[[#This Row],[Column5]])/1048576,"")</f>
        <v/>
      </c>
      <c r="L928" s="180" t="str">
        <f>IF(ISNUMBER(deployment_raw[[#This Row],[Column8]]),IF(deployment_raw[[#This Row],[Column5]] &lt;&gt; 0, MAX((deployment_raw[[#This Row],[Column12]] * deployment_raw[[#This Row],[Column5]]), ((deployment_raw[[#This Row],[Column8]] * deployment_raw[[#This Row],[Column5]]) * $L$2), ($H$2 * deployment_raw[[#This Row],[Column5]])), 0),"")</f>
        <v/>
      </c>
      <c r="M92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28" s="188" t="str">
        <f>IF(ISNUMBER(deployment_raw[[#This Row],[Column14]]), deployment_raw[[#This Row],[Column14]],"")</f>
        <v/>
      </c>
      <c r="O928" s="189" t="str">
        <f>IF(ISNUMBER(deployment_raw[[#This Row],[Column15]]), deployment_raw[[#This Row],[Column15]]/1048576,"")</f>
        <v/>
      </c>
      <c r="P928" s="190" t="str">
        <f>IF(ISNUMBER(deployment_raw[[#This Row],[Column12]]), (deployment_raw[[#This Row],[Column12]] * deployment_raw[[#This Row],[Column5]]),"")</f>
        <v/>
      </c>
      <c r="Q928" s="189" t="str">
        <f>IF(ISNUMBER(deployment_raw[[#This Row],[Column13]]), (deployment_raw[[#This Row],[Column13]] * deployment_raw[[#This Row],[Column5]])/1048576,"")</f>
        <v/>
      </c>
    </row>
    <row r="929" spans="1:17" ht="15" customHeight="1" x14ac:dyDescent="0.25">
      <c r="A929" s="37" t="str">
        <f>IF(ISNONTEXT(deployment_raw[[#This Row],[Column1]]), "", deployment_raw[[#This Row],[Column1]])</f>
        <v/>
      </c>
      <c r="B929" s="38" t="str">
        <f>IF(ISNONTEXT(deployment_raw[[#This Row],[Column2]]), "", deployment_raw[[#This Row],[Column2]])</f>
        <v/>
      </c>
      <c r="C929" s="38" t="str">
        <f>IF(ISNONTEXT(deployment_raw[[#This Row],[Column3]]), "", deployment_raw[[#This Row],[Column3]])</f>
        <v/>
      </c>
      <c r="D929" s="38" t="str">
        <f>IF(ISNONTEXT(deployment_raw[[#This Row],[Column4]]), "", deployment_raw[[#This Row],[Column4]])</f>
        <v/>
      </c>
      <c r="E929" s="39" t="str">
        <f>IF(ISNUMBER(deployment_raw[[#This Row],[Column5]]), deployment_raw[[#This Row],[Column5]],"")</f>
        <v/>
      </c>
      <c r="F929" s="174" t="str">
        <f>IF(ISNUMBER(deployment_raw[[#This Row],[Column6]]), (deployment_raw[[#This Row],[Column6]] * deployment_raw[[#This Row],[Column5]]),"")</f>
        <v/>
      </c>
      <c r="G929" s="175" t="str">
        <f>IF(ISNUMBER(deployment_raw[[#This Row],[Column7]]), (deployment_raw[[#This Row],[Column7]] * deployment_raw[[#This Row],[Column5]])/1048576,"")</f>
        <v/>
      </c>
      <c r="H929" s="175" t="str">
        <f>IF(ISNUMBER(deployment_raw[[#This Row],[Column8]]), (deployment_raw[[#This Row],[Column8]]  * deployment_raw[[#This Row],[Column5]]),"")</f>
        <v/>
      </c>
      <c r="I929" s="176" t="str">
        <f>IF(ISNUMBER(deployment_raw[[#This Row],[Column9]]), (deployment_raw[[#This Row],[Column9]] * deployment_raw[[#This Row],[Column5]])/1048576,"")</f>
        <v/>
      </c>
      <c r="J929" s="57" t="str">
        <f>IF(ISNUMBER(deployment_raw[[#This Row],[Column10]]), (deployment_raw[[#This Row],[Column10]] * deployment_raw[[#This Row],[Column5]]),"")</f>
        <v/>
      </c>
      <c r="K929" s="58" t="str">
        <f>IF(ISNUMBER(deployment_raw[[#This Row],[Column11]]), (deployment_raw[[#This Row],[Column11]] * deployment_raw[[#This Row],[Column5]])/1048576,"")</f>
        <v/>
      </c>
      <c r="L929" s="180" t="str">
        <f>IF(ISNUMBER(deployment_raw[[#This Row],[Column8]]),IF(deployment_raw[[#This Row],[Column5]] &lt;&gt; 0, MAX((deployment_raw[[#This Row],[Column12]] * deployment_raw[[#This Row],[Column5]]), ((deployment_raw[[#This Row],[Column8]] * deployment_raw[[#This Row],[Column5]]) * $L$2), ($H$2 * deployment_raw[[#This Row],[Column5]])), 0),"")</f>
        <v/>
      </c>
      <c r="M92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29" s="188" t="str">
        <f>IF(ISNUMBER(deployment_raw[[#This Row],[Column14]]), deployment_raw[[#This Row],[Column14]],"")</f>
        <v/>
      </c>
      <c r="O929" s="189" t="str">
        <f>IF(ISNUMBER(deployment_raw[[#This Row],[Column15]]), deployment_raw[[#This Row],[Column15]]/1048576,"")</f>
        <v/>
      </c>
      <c r="P929" s="190" t="str">
        <f>IF(ISNUMBER(deployment_raw[[#This Row],[Column12]]), (deployment_raw[[#This Row],[Column12]] * deployment_raw[[#This Row],[Column5]]),"")</f>
        <v/>
      </c>
      <c r="Q929" s="189" t="str">
        <f>IF(ISNUMBER(deployment_raw[[#This Row],[Column13]]), (deployment_raw[[#This Row],[Column13]] * deployment_raw[[#This Row],[Column5]])/1048576,"")</f>
        <v/>
      </c>
    </row>
    <row r="930" spans="1:17" ht="15" customHeight="1" x14ac:dyDescent="0.25">
      <c r="A930" s="37" t="str">
        <f>IF(ISNONTEXT(deployment_raw[[#This Row],[Column1]]), "", deployment_raw[[#This Row],[Column1]])</f>
        <v/>
      </c>
      <c r="B930" s="38" t="str">
        <f>IF(ISNONTEXT(deployment_raw[[#This Row],[Column2]]), "", deployment_raw[[#This Row],[Column2]])</f>
        <v/>
      </c>
      <c r="C930" s="38" t="str">
        <f>IF(ISNONTEXT(deployment_raw[[#This Row],[Column3]]), "", deployment_raw[[#This Row],[Column3]])</f>
        <v/>
      </c>
      <c r="D930" s="38" t="str">
        <f>IF(ISNONTEXT(deployment_raw[[#This Row],[Column4]]), "", deployment_raw[[#This Row],[Column4]])</f>
        <v/>
      </c>
      <c r="E930" s="39" t="str">
        <f>IF(ISNUMBER(deployment_raw[[#This Row],[Column5]]), deployment_raw[[#This Row],[Column5]],"")</f>
        <v/>
      </c>
      <c r="F930" s="174" t="str">
        <f>IF(ISNUMBER(deployment_raw[[#This Row],[Column6]]), (deployment_raw[[#This Row],[Column6]] * deployment_raw[[#This Row],[Column5]]),"")</f>
        <v/>
      </c>
      <c r="G930" s="175" t="str">
        <f>IF(ISNUMBER(deployment_raw[[#This Row],[Column7]]), (deployment_raw[[#This Row],[Column7]] * deployment_raw[[#This Row],[Column5]])/1048576,"")</f>
        <v/>
      </c>
      <c r="H930" s="175" t="str">
        <f>IF(ISNUMBER(deployment_raw[[#This Row],[Column8]]), (deployment_raw[[#This Row],[Column8]]  * deployment_raw[[#This Row],[Column5]]),"")</f>
        <v/>
      </c>
      <c r="I930" s="176" t="str">
        <f>IF(ISNUMBER(deployment_raw[[#This Row],[Column9]]), (deployment_raw[[#This Row],[Column9]] * deployment_raw[[#This Row],[Column5]])/1048576,"")</f>
        <v/>
      </c>
      <c r="J930" s="57" t="str">
        <f>IF(ISNUMBER(deployment_raw[[#This Row],[Column10]]), (deployment_raw[[#This Row],[Column10]] * deployment_raw[[#This Row],[Column5]]),"")</f>
        <v/>
      </c>
      <c r="K930" s="58" t="str">
        <f>IF(ISNUMBER(deployment_raw[[#This Row],[Column11]]), (deployment_raw[[#This Row],[Column11]] * deployment_raw[[#This Row],[Column5]])/1048576,"")</f>
        <v/>
      </c>
      <c r="L930" s="180" t="str">
        <f>IF(ISNUMBER(deployment_raw[[#This Row],[Column8]]),IF(deployment_raw[[#This Row],[Column5]] &lt;&gt; 0, MAX((deployment_raw[[#This Row],[Column12]] * deployment_raw[[#This Row],[Column5]]), ((deployment_raw[[#This Row],[Column8]] * deployment_raw[[#This Row],[Column5]]) * $L$2), ($H$2 * deployment_raw[[#This Row],[Column5]])), 0),"")</f>
        <v/>
      </c>
      <c r="M93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30" s="188" t="str">
        <f>IF(ISNUMBER(deployment_raw[[#This Row],[Column14]]), deployment_raw[[#This Row],[Column14]],"")</f>
        <v/>
      </c>
      <c r="O930" s="189" t="str">
        <f>IF(ISNUMBER(deployment_raw[[#This Row],[Column15]]), deployment_raw[[#This Row],[Column15]]/1048576,"")</f>
        <v/>
      </c>
      <c r="P930" s="190" t="str">
        <f>IF(ISNUMBER(deployment_raw[[#This Row],[Column12]]), (deployment_raw[[#This Row],[Column12]] * deployment_raw[[#This Row],[Column5]]),"")</f>
        <v/>
      </c>
      <c r="Q930" s="189" t="str">
        <f>IF(ISNUMBER(deployment_raw[[#This Row],[Column13]]), (deployment_raw[[#This Row],[Column13]] * deployment_raw[[#This Row],[Column5]])/1048576,"")</f>
        <v/>
      </c>
    </row>
    <row r="931" spans="1:17" ht="15" customHeight="1" x14ac:dyDescent="0.25">
      <c r="A931" s="37" t="str">
        <f>IF(ISNONTEXT(deployment_raw[[#This Row],[Column1]]), "", deployment_raw[[#This Row],[Column1]])</f>
        <v/>
      </c>
      <c r="B931" s="38" t="str">
        <f>IF(ISNONTEXT(deployment_raw[[#This Row],[Column2]]), "", deployment_raw[[#This Row],[Column2]])</f>
        <v/>
      </c>
      <c r="C931" s="38" t="str">
        <f>IF(ISNONTEXT(deployment_raw[[#This Row],[Column3]]), "", deployment_raw[[#This Row],[Column3]])</f>
        <v/>
      </c>
      <c r="D931" s="38" t="str">
        <f>IF(ISNONTEXT(deployment_raw[[#This Row],[Column4]]), "", deployment_raw[[#This Row],[Column4]])</f>
        <v/>
      </c>
      <c r="E931" s="39" t="str">
        <f>IF(ISNUMBER(deployment_raw[[#This Row],[Column5]]), deployment_raw[[#This Row],[Column5]],"")</f>
        <v/>
      </c>
      <c r="F931" s="174" t="str">
        <f>IF(ISNUMBER(deployment_raw[[#This Row],[Column6]]), (deployment_raw[[#This Row],[Column6]] * deployment_raw[[#This Row],[Column5]]),"")</f>
        <v/>
      </c>
      <c r="G931" s="175" t="str">
        <f>IF(ISNUMBER(deployment_raw[[#This Row],[Column7]]), (deployment_raw[[#This Row],[Column7]] * deployment_raw[[#This Row],[Column5]])/1048576,"")</f>
        <v/>
      </c>
      <c r="H931" s="175" t="str">
        <f>IF(ISNUMBER(deployment_raw[[#This Row],[Column8]]), (deployment_raw[[#This Row],[Column8]]  * deployment_raw[[#This Row],[Column5]]),"")</f>
        <v/>
      </c>
      <c r="I931" s="176" t="str">
        <f>IF(ISNUMBER(deployment_raw[[#This Row],[Column9]]), (deployment_raw[[#This Row],[Column9]] * deployment_raw[[#This Row],[Column5]])/1048576,"")</f>
        <v/>
      </c>
      <c r="J931" s="57" t="str">
        <f>IF(ISNUMBER(deployment_raw[[#This Row],[Column10]]), (deployment_raw[[#This Row],[Column10]] * deployment_raw[[#This Row],[Column5]]),"")</f>
        <v/>
      </c>
      <c r="K931" s="58" t="str">
        <f>IF(ISNUMBER(deployment_raw[[#This Row],[Column11]]), (deployment_raw[[#This Row],[Column11]] * deployment_raw[[#This Row],[Column5]])/1048576,"")</f>
        <v/>
      </c>
      <c r="L931" s="180" t="str">
        <f>IF(ISNUMBER(deployment_raw[[#This Row],[Column8]]),IF(deployment_raw[[#This Row],[Column5]] &lt;&gt; 0, MAX((deployment_raw[[#This Row],[Column12]] * deployment_raw[[#This Row],[Column5]]), ((deployment_raw[[#This Row],[Column8]] * deployment_raw[[#This Row],[Column5]]) * $L$2), ($H$2 * deployment_raw[[#This Row],[Column5]])), 0),"")</f>
        <v/>
      </c>
      <c r="M93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31" s="188" t="str">
        <f>IF(ISNUMBER(deployment_raw[[#This Row],[Column14]]), deployment_raw[[#This Row],[Column14]],"")</f>
        <v/>
      </c>
      <c r="O931" s="189" t="str">
        <f>IF(ISNUMBER(deployment_raw[[#This Row],[Column15]]), deployment_raw[[#This Row],[Column15]]/1048576,"")</f>
        <v/>
      </c>
      <c r="P931" s="190" t="str">
        <f>IF(ISNUMBER(deployment_raw[[#This Row],[Column12]]), (deployment_raw[[#This Row],[Column12]] * deployment_raw[[#This Row],[Column5]]),"")</f>
        <v/>
      </c>
      <c r="Q931" s="189" t="str">
        <f>IF(ISNUMBER(deployment_raw[[#This Row],[Column13]]), (deployment_raw[[#This Row],[Column13]] * deployment_raw[[#This Row],[Column5]])/1048576,"")</f>
        <v/>
      </c>
    </row>
    <row r="932" spans="1:17" ht="15" customHeight="1" x14ac:dyDescent="0.25">
      <c r="A932" s="37" t="str">
        <f>IF(ISNONTEXT(deployment_raw[[#This Row],[Column1]]), "", deployment_raw[[#This Row],[Column1]])</f>
        <v/>
      </c>
      <c r="B932" s="38" t="str">
        <f>IF(ISNONTEXT(deployment_raw[[#This Row],[Column2]]), "", deployment_raw[[#This Row],[Column2]])</f>
        <v/>
      </c>
      <c r="C932" s="38" t="str">
        <f>IF(ISNONTEXT(deployment_raw[[#This Row],[Column3]]), "", deployment_raw[[#This Row],[Column3]])</f>
        <v/>
      </c>
      <c r="D932" s="38" t="str">
        <f>IF(ISNONTEXT(deployment_raw[[#This Row],[Column4]]), "", deployment_raw[[#This Row],[Column4]])</f>
        <v/>
      </c>
      <c r="E932" s="39" t="str">
        <f>IF(ISNUMBER(deployment_raw[[#This Row],[Column5]]), deployment_raw[[#This Row],[Column5]],"")</f>
        <v/>
      </c>
      <c r="F932" s="174" t="str">
        <f>IF(ISNUMBER(deployment_raw[[#This Row],[Column6]]), (deployment_raw[[#This Row],[Column6]] * deployment_raw[[#This Row],[Column5]]),"")</f>
        <v/>
      </c>
      <c r="G932" s="175" t="str">
        <f>IF(ISNUMBER(deployment_raw[[#This Row],[Column7]]), (deployment_raw[[#This Row],[Column7]] * deployment_raw[[#This Row],[Column5]])/1048576,"")</f>
        <v/>
      </c>
      <c r="H932" s="175" t="str">
        <f>IF(ISNUMBER(deployment_raw[[#This Row],[Column8]]), (deployment_raw[[#This Row],[Column8]]  * deployment_raw[[#This Row],[Column5]]),"")</f>
        <v/>
      </c>
      <c r="I932" s="176" t="str">
        <f>IF(ISNUMBER(deployment_raw[[#This Row],[Column9]]), (deployment_raw[[#This Row],[Column9]] * deployment_raw[[#This Row],[Column5]])/1048576,"")</f>
        <v/>
      </c>
      <c r="J932" s="57" t="str">
        <f>IF(ISNUMBER(deployment_raw[[#This Row],[Column10]]), (deployment_raw[[#This Row],[Column10]] * deployment_raw[[#This Row],[Column5]]),"")</f>
        <v/>
      </c>
      <c r="K932" s="58" t="str">
        <f>IF(ISNUMBER(deployment_raw[[#This Row],[Column11]]), (deployment_raw[[#This Row],[Column11]] * deployment_raw[[#This Row],[Column5]])/1048576,"")</f>
        <v/>
      </c>
      <c r="L932" s="180" t="str">
        <f>IF(ISNUMBER(deployment_raw[[#This Row],[Column8]]),IF(deployment_raw[[#This Row],[Column5]] &lt;&gt; 0, MAX((deployment_raw[[#This Row],[Column12]] * deployment_raw[[#This Row],[Column5]]), ((deployment_raw[[#This Row],[Column8]] * deployment_raw[[#This Row],[Column5]]) * $L$2), ($H$2 * deployment_raw[[#This Row],[Column5]])), 0),"")</f>
        <v/>
      </c>
      <c r="M93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32" s="188" t="str">
        <f>IF(ISNUMBER(deployment_raw[[#This Row],[Column14]]), deployment_raw[[#This Row],[Column14]],"")</f>
        <v/>
      </c>
      <c r="O932" s="189" t="str">
        <f>IF(ISNUMBER(deployment_raw[[#This Row],[Column15]]), deployment_raw[[#This Row],[Column15]]/1048576,"")</f>
        <v/>
      </c>
      <c r="P932" s="190" t="str">
        <f>IF(ISNUMBER(deployment_raw[[#This Row],[Column12]]), (deployment_raw[[#This Row],[Column12]] * deployment_raw[[#This Row],[Column5]]),"")</f>
        <v/>
      </c>
      <c r="Q932" s="189" t="str">
        <f>IF(ISNUMBER(deployment_raw[[#This Row],[Column13]]), (deployment_raw[[#This Row],[Column13]] * deployment_raw[[#This Row],[Column5]])/1048576,"")</f>
        <v/>
      </c>
    </row>
    <row r="933" spans="1:17" ht="15" customHeight="1" x14ac:dyDescent="0.25">
      <c r="A933" s="37" t="str">
        <f>IF(ISNONTEXT(deployment_raw[[#This Row],[Column1]]), "", deployment_raw[[#This Row],[Column1]])</f>
        <v/>
      </c>
      <c r="B933" s="38" t="str">
        <f>IF(ISNONTEXT(deployment_raw[[#This Row],[Column2]]), "", deployment_raw[[#This Row],[Column2]])</f>
        <v/>
      </c>
      <c r="C933" s="38" t="str">
        <f>IF(ISNONTEXT(deployment_raw[[#This Row],[Column3]]), "", deployment_raw[[#This Row],[Column3]])</f>
        <v/>
      </c>
      <c r="D933" s="38" t="str">
        <f>IF(ISNONTEXT(deployment_raw[[#This Row],[Column4]]), "", deployment_raw[[#This Row],[Column4]])</f>
        <v/>
      </c>
      <c r="E933" s="39" t="str">
        <f>IF(ISNUMBER(deployment_raw[[#This Row],[Column5]]), deployment_raw[[#This Row],[Column5]],"")</f>
        <v/>
      </c>
      <c r="F933" s="174" t="str">
        <f>IF(ISNUMBER(deployment_raw[[#This Row],[Column6]]), (deployment_raw[[#This Row],[Column6]] * deployment_raw[[#This Row],[Column5]]),"")</f>
        <v/>
      </c>
      <c r="G933" s="175" t="str">
        <f>IF(ISNUMBER(deployment_raw[[#This Row],[Column7]]), (deployment_raw[[#This Row],[Column7]] * deployment_raw[[#This Row],[Column5]])/1048576,"")</f>
        <v/>
      </c>
      <c r="H933" s="175" t="str">
        <f>IF(ISNUMBER(deployment_raw[[#This Row],[Column8]]), (deployment_raw[[#This Row],[Column8]]  * deployment_raw[[#This Row],[Column5]]),"")</f>
        <v/>
      </c>
      <c r="I933" s="176" t="str">
        <f>IF(ISNUMBER(deployment_raw[[#This Row],[Column9]]), (deployment_raw[[#This Row],[Column9]] * deployment_raw[[#This Row],[Column5]])/1048576,"")</f>
        <v/>
      </c>
      <c r="J933" s="57" t="str">
        <f>IF(ISNUMBER(deployment_raw[[#This Row],[Column10]]), (deployment_raw[[#This Row],[Column10]] * deployment_raw[[#This Row],[Column5]]),"")</f>
        <v/>
      </c>
      <c r="K933" s="58" t="str">
        <f>IF(ISNUMBER(deployment_raw[[#This Row],[Column11]]), (deployment_raw[[#This Row],[Column11]] * deployment_raw[[#This Row],[Column5]])/1048576,"")</f>
        <v/>
      </c>
      <c r="L933" s="180" t="str">
        <f>IF(ISNUMBER(deployment_raw[[#This Row],[Column8]]),IF(deployment_raw[[#This Row],[Column5]] &lt;&gt; 0, MAX((deployment_raw[[#This Row],[Column12]] * deployment_raw[[#This Row],[Column5]]), ((deployment_raw[[#This Row],[Column8]] * deployment_raw[[#This Row],[Column5]]) * $L$2), ($H$2 * deployment_raw[[#This Row],[Column5]])), 0),"")</f>
        <v/>
      </c>
      <c r="M93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33" s="188" t="str">
        <f>IF(ISNUMBER(deployment_raw[[#This Row],[Column14]]), deployment_raw[[#This Row],[Column14]],"")</f>
        <v/>
      </c>
      <c r="O933" s="189" t="str">
        <f>IF(ISNUMBER(deployment_raw[[#This Row],[Column15]]), deployment_raw[[#This Row],[Column15]]/1048576,"")</f>
        <v/>
      </c>
      <c r="P933" s="190" t="str">
        <f>IF(ISNUMBER(deployment_raw[[#This Row],[Column12]]), (deployment_raw[[#This Row],[Column12]] * deployment_raw[[#This Row],[Column5]]),"")</f>
        <v/>
      </c>
      <c r="Q933" s="189" t="str">
        <f>IF(ISNUMBER(deployment_raw[[#This Row],[Column13]]), (deployment_raw[[#This Row],[Column13]] * deployment_raw[[#This Row],[Column5]])/1048576,"")</f>
        <v/>
      </c>
    </row>
    <row r="934" spans="1:17" ht="15" customHeight="1" x14ac:dyDescent="0.25">
      <c r="A934" s="37" t="str">
        <f>IF(ISNONTEXT(deployment_raw[[#This Row],[Column1]]), "", deployment_raw[[#This Row],[Column1]])</f>
        <v/>
      </c>
      <c r="B934" s="38" t="str">
        <f>IF(ISNONTEXT(deployment_raw[[#This Row],[Column2]]), "", deployment_raw[[#This Row],[Column2]])</f>
        <v/>
      </c>
      <c r="C934" s="38" t="str">
        <f>IF(ISNONTEXT(deployment_raw[[#This Row],[Column3]]), "", deployment_raw[[#This Row],[Column3]])</f>
        <v/>
      </c>
      <c r="D934" s="38" t="str">
        <f>IF(ISNONTEXT(deployment_raw[[#This Row],[Column4]]), "", deployment_raw[[#This Row],[Column4]])</f>
        <v/>
      </c>
      <c r="E934" s="39" t="str">
        <f>IF(ISNUMBER(deployment_raw[[#This Row],[Column5]]), deployment_raw[[#This Row],[Column5]],"")</f>
        <v/>
      </c>
      <c r="F934" s="174" t="str">
        <f>IF(ISNUMBER(deployment_raw[[#This Row],[Column6]]), (deployment_raw[[#This Row],[Column6]] * deployment_raw[[#This Row],[Column5]]),"")</f>
        <v/>
      </c>
      <c r="G934" s="175" t="str">
        <f>IF(ISNUMBER(deployment_raw[[#This Row],[Column7]]), (deployment_raw[[#This Row],[Column7]] * deployment_raw[[#This Row],[Column5]])/1048576,"")</f>
        <v/>
      </c>
      <c r="H934" s="175" t="str">
        <f>IF(ISNUMBER(deployment_raw[[#This Row],[Column8]]), (deployment_raw[[#This Row],[Column8]]  * deployment_raw[[#This Row],[Column5]]),"")</f>
        <v/>
      </c>
      <c r="I934" s="176" t="str">
        <f>IF(ISNUMBER(deployment_raw[[#This Row],[Column9]]), (deployment_raw[[#This Row],[Column9]] * deployment_raw[[#This Row],[Column5]])/1048576,"")</f>
        <v/>
      </c>
      <c r="J934" s="57" t="str">
        <f>IF(ISNUMBER(deployment_raw[[#This Row],[Column10]]), (deployment_raw[[#This Row],[Column10]] * deployment_raw[[#This Row],[Column5]]),"")</f>
        <v/>
      </c>
      <c r="K934" s="58" t="str">
        <f>IF(ISNUMBER(deployment_raw[[#This Row],[Column11]]), (deployment_raw[[#This Row],[Column11]] * deployment_raw[[#This Row],[Column5]])/1048576,"")</f>
        <v/>
      </c>
      <c r="L934" s="180" t="str">
        <f>IF(ISNUMBER(deployment_raw[[#This Row],[Column8]]),IF(deployment_raw[[#This Row],[Column5]] &lt;&gt; 0, MAX((deployment_raw[[#This Row],[Column12]] * deployment_raw[[#This Row],[Column5]]), ((deployment_raw[[#This Row],[Column8]] * deployment_raw[[#This Row],[Column5]]) * $L$2), ($H$2 * deployment_raw[[#This Row],[Column5]])), 0),"")</f>
        <v/>
      </c>
      <c r="M93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34" s="188" t="str">
        <f>IF(ISNUMBER(deployment_raw[[#This Row],[Column14]]), deployment_raw[[#This Row],[Column14]],"")</f>
        <v/>
      </c>
      <c r="O934" s="189" t="str">
        <f>IF(ISNUMBER(deployment_raw[[#This Row],[Column15]]), deployment_raw[[#This Row],[Column15]]/1048576,"")</f>
        <v/>
      </c>
      <c r="P934" s="190" t="str">
        <f>IF(ISNUMBER(deployment_raw[[#This Row],[Column12]]), (deployment_raw[[#This Row],[Column12]] * deployment_raw[[#This Row],[Column5]]),"")</f>
        <v/>
      </c>
      <c r="Q934" s="189" t="str">
        <f>IF(ISNUMBER(deployment_raw[[#This Row],[Column13]]), (deployment_raw[[#This Row],[Column13]] * deployment_raw[[#This Row],[Column5]])/1048576,"")</f>
        <v/>
      </c>
    </row>
    <row r="935" spans="1:17" ht="15" customHeight="1" x14ac:dyDescent="0.25">
      <c r="A935" s="37" t="str">
        <f>IF(ISNONTEXT(deployment_raw[[#This Row],[Column1]]), "", deployment_raw[[#This Row],[Column1]])</f>
        <v/>
      </c>
      <c r="B935" s="38" t="str">
        <f>IF(ISNONTEXT(deployment_raw[[#This Row],[Column2]]), "", deployment_raw[[#This Row],[Column2]])</f>
        <v/>
      </c>
      <c r="C935" s="38" t="str">
        <f>IF(ISNONTEXT(deployment_raw[[#This Row],[Column3]]), "", deployment_raw[[#This Row],[Column3]])</f>
        <v/>
      </c>
      <c r="D935" s="38" t="str">
        <f>IF(ISNONTEXT(deployment_raw[[#This Row],[Column4]]), "", deployment_raw[[#This Row],[Column4]])</f>
        <v/>
      </c>
      <c r="E935" s="39" t="str">
        <f>IF(ISNUMBER(deployment_raw[[#This Row],[Column5]]), deployment_raw[[#This Row],[Column5]],"")</f>
        <v/>
      </c>
      <c r="F935" s="174" t="str">
        <f>IF(ISNUMBER(deployment_raw[[#This Row],[Column6]]), (deployment_raw[[#This Row],[Column6]] * deployment_raw[[#This Row],[Column5]]),"")</f>
        <v/>
      </c>
      <c r="G935" s="175" t="str">
        <f>IF(ISNUMBER(deployment_raw[[#This Row],[Column7]]), (deployment_raw[[#This Row],[Column7]] * deployment_raw[[#This Row],[Column5]])/1048576,"")</f>
        <v/>
      </c>
      <c r="H935" s="175" t="str">
        <f>IF(ISNUMBER(deployment_raw[[#This Row],[Column8]]), (deployment_raw[[#This Row],[Column8]]  * deployment_raw[[#This Row],[Column5]]),"")</f>
        <v/>
      </c>
      <c r="I935" s="176" t="str">
        <f>IF(ISNUMBER(deployment_raw[[#This Row],[Column9]]), (deployment_raw[[#This Row],[Column9]] * deployment_raw[[#This Row],[Column5]])/1048576,"")</f>
        <v/>
      </c>
      <c r="J935" s="57" t="str">
        <f>IF(ISNUMBER(deployment_raw[[#This Row],[Column10]]), (deployment_raw[[#This Row],[Column10]] * deployment_raw[[#This Row],[Column5]]),"")</f>
        <v/>
      </c>
      <c r="K935" s="58" t="str">
        <f>IF(ISNUMBER(deployment_raw[[#This Row],[Column11]]), (deployment_raw[[#This Row],[Column11]] * deployment_raw[[#This Row],[Column5]])/1048576,"")</f>
        <v/>
      </c>
      <c r="L935" s="180" t="str">
        <f>IF(ISNUMBER(deployment_raw[[#This Row],[Column8]]),IF(deployment_raw[[#This Row],[Column5]] &lt;&gt; 0, MAX((deployment_raw[[#This Row],[Column12]] * deployment_raw[[#This Row],[Column5]]), ((deployment_raw[[#This Row],[Column8]] * deployment_raw[[#This Row],[Column5]]) * $L$2), ($H$2 * deployment_raw[[#This Row],[Column5]])), 0),"")</f>
        <v/>
      </c>
      <c r="M93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35" s="188" t="str">
        <f>IF(ISNUMBER(deployment_raw[[#This Row],[Column14]]), deployment_raw[[#This Row],[Column14]],"")</f>
        <v/>
      </c>
      <c r="O935" s="189" t="str">
        <f>IF(ISNUMBER(deployment_raw[[#This Row],[Column15]]), deployment_raw[[#This Row],[Column15]]/1048576,"")</f>
        <v/>
      </c>
      <c r="P935" s="190" t="str">
        <f>IF(ISNUMBER(deployment_raw[[#This Row],[Column12]]), (deployment_raw[[#This Row],[Column12]] * deployment_raw[[#This Row],[Column5]]),"")</f>
        <v/>
      </c>
      <c r="Q935" s="189" t="str">
        <f>IF(ISNUMBER(deployment_raw[[#This Row],[Column13]]), (deployment_raw[[#This Row],[Column13]] * deployment_raw[[#This Row],[Column5]])/1048576,"")</f>
        <v/>
      </c>
    </row>
    <row r="936" spans="1:17" ht="15" customHeight="1" x14ac:dyDescent="0.25">
      <c r="A936" s="37" t="str">
        <f>IF(ISNONTEXT(deployment_raw[[#This Row],[Column1]]), "", deployment_raw[[#This Row],[Column1]])</f>
        <v/>
      </c>
      <c r="B936" s="38" t="str">
        <f>IF(ISNONTEXT(deployment_raw[[#This Row],[Column2]]), "", deployment_raw[[#This Row],[Column2]])</f>
        <v/>
      </c>
      <c r="C936" s="38" t="str">
        <f>IF(ISNONTEXT(deployment_raw[[#This Row],[Column3]]), "", deployment_raw[[#This Row],[Column3]])</f>
        <v/>
      </c>
      <c r="D936" s="38" t="str">
        <f>IF(ISNONTEXT(deployment_raw[[#This Row],[Column4]]), "", deployment_raw[[#This Row],[Column4]])</f>
        <v/>
      </c>
      <c r="E936" s="39" t="str">
        <f>IF(ISNUMBER(deployment_raw[[#This Row],[Column5]]), deployment_raw[[#This Row],[Column5]],"")</f>
        <v/>
      </c>
      <c r="F936" s="174" t="str">
        <f>IF(ISNUMBER(deployment_raw[[#This Row],[Column6]]), (deployment_raw[[#This Row],[Column6]] * deployment_raw[[#This Row],[Column5]]),"")</f>
        <v/>
      </c>
      <c r="G936" s="175" t="str">
        <f>IF(ISNUMBER(deployment_raw[[#This Row],[Column7]]), (deployment_raw[[#This Row],[Column7]] * deployment_raw[[#This Row],[Column5]])/1048576,"")</f>
        <v/>
      </c>
      <c r="H936" s="175" t="str">
        <f>IF(ISNUMBER(deployment_raw[[#This Row],[Column8]]), (deployment_raw[[#This Row],[Column8]]  * deployment_raw[[#This Row],[Column5]]),"")</f>
        <v/>
      </c>
      <c r="I936" s="176" t="str">
        <f>IF(ISNUMBER(deployment_raw[[#This Row],[Column9]]), (deployment_raw[[#This Row],[Column9]] * deployment_raw[[#This Row],[Column5]])/1048576,"")</f>
        <v/>
      </c>
      <c r="J936" s="57" t="str">
        <f>IF(ISNUMBER(deployment_raw[[#This Row],[Column10]]), (deployment_raw[[#This Row],[Column10]] * deployment_raw[[#This Row],[Column5]]),"")</f>
        <v/>
      </c>
      <c r="K936" s="58" t="str">
        <f>IF(ISNUMBER(deployment_raw[[#This Row],[Column11]]), (deployment_raw[[#This Row],[Column11]] * deployment_raw[[#This Row],[Column5]])/1048576,"")</f>
        <v/>
      </c>
      <c r="L936" s="180" t="str">
        <f>IF(ISNUMBER(deployment_raw[[#This Row],[Column8]]),IF(deployment_raw[[#This Row],[Column5]] &lt;&gt; 0, MAX((deployment_raw[[#This Row],[Column12]] * deployment_raw[[#This Row],[Column5]]), ((deployment_raw[[#This Row],[Column8]] * deployment_raw[[#This Row],[Column5]]) * $L$2), ($H$2 * deployment_raw[[#This Row],[Column5]])), 0),"")</f>
        <v/>
      </c>
      <c r="M93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36" s="188" t="str">
        <f>IF(ISNUMBER(deployment_raw[[#This Row],[Column14]]), deployment_raw[[#This Row],[Column14]],"")</f>
        <v/>
      </c>
      <c r="O936" s="189" t="str">
        <f>IF(ISNUMBER(deployment_raw[[#This Row],[Column15]]), deployment_raw[[#This Row],[Column15]]/1048576,"")</f>
        <v/>
      </c>
      <c r="P936" s="190" t="str">
        <f>IF(ISNUMBER(deployment_raw[[#This Row],[Column12]]), (deployment_raw[[#This Row],[Column12]] * deployment_raw[[#This Row],[Column5]]),"")</f>
        <v/>
      </c>
      <c r="Q936" s="189" t="str">
        <f>IF(ISNUMBER(deployment_raw[[#This Row],[Column13]]), (deployment_raw[[#This Row],[Column13]] * deployment_raw[[#This Row],[Column5]])/1048576,"")</f>
        <v/>
      </c>
    </row>
    <row r="937" spans="1:17" ht="15" customHeight="1" x14ac:dyDescent="0.25">
      <c r="A937" s="37" t="str">
        <f>IF(ISNONTEXT(deployment_raw[[#This Row],[Column1]]), "", deployment_raw[[#This Row],[Column1]])</f>
        <v/>
      </c>
      <c r="B937" s="38" t="str">
        <f>IF(ISNONTEXT(deployment_raw[[#This Row],[Column2]]), "", deployment_raw[[#This Row],[Column2]])</f>
        <v/>
      </c>
      <c r="C937" s="38" t="str">
        <f>IF(ISNONTEXT(deployment_raw[[#This Row],[Column3]]), "", deployment_raw[[#This Row],[Column3]])</f>
        <v/>
      </c>
      <c r="D937" s="38" t="str">
        <f>IF(ISNONTEXT(deployment_raw[[#This Row],[Column4]]), "", deployment_raw[[#This Row],[Column4]])</f>
        <v/>
      </c>
      <c r="E937" s="39" t="str">
        <f>IF(ISNUMBER(deployment_raw[[#This Row],[Column5]]), deployment_raw[[#This Row],[Column5]],"")</f>
        <v/>
      </c>
      <c r="F937" s="174" t="str">
        <f>IF(ISNUMBER(deployment_raw[[#This Row],[Column6]]), (deployment_raw[[#This Row],[Column6]] * deployment_raw[[#This Row],[Column5]]),"")</f>
        <v/>
      </c>
      <c r="G937" s="175" t="str">
        <f>IF(ISNUMBER(deployment_raw[[#This Row],[Column7]]), (deployment_raw[[#This Row],[Column7]] * deployment_raw[[#This Row],[Column5]])/1048576,"")</f>
        <v/>
      </c>
      <c r="H937" s="175" t="str">
        <f>IF(ISNUMBER(deployment_raw[[#This Row],[Column8]]), (deployment_raw[[#This Row],[Column8]]  * deployment_raw[[#This Row],[Column5]]),"")</f>
        <v/>
      </c>
      <c r="I937" s="176" t="str">
        <f>IF(ISNUMBER(deployment_raw[[#This Row],[Column9]]), (deployment_raw[[#This Row],[Column9]] * deployment_raw[[#This Row],[Column5]])/1048576,"")</f>
        <v/>
      </c>
      <c r="J937" s="57" t="str">
        <f>IF(ISNUMBER(deployment_raw[[#This Row],[Column10]]), (deployment_raw[[#This Row],[Column10]] * deployment_raw[[#This Row],[Column5]]),"")</f>
        <v/>
      </c>
      <c r="K937" s="58" t="str">
        <f>IF(ISNUMBER(deployment_raw[[#This Row],[Column11]]), (deployment_raw[[#This Row],[Column11]] * deployment_raw[[#This Row],[Column5]])/1048576,"")</f>
        <v/>
      </c>
      <c r="L937" s="180" t="str">
        <f>IF(ISNUMBER(deployment_raw[[#This Row],[Column8]]),IF(deployment_raw[[#This Row],[Column5]] &lt;&gt; 0, MAX((deployment_raw[[#This Row],[Column12]] * deployment_raw[[#This Row],[Column5]]), ((deployment_raw[[#This Row],[Column8]] * deployment_raw[[#This Row],[Column5]]) * $L$2), ($H$2 * deployment_raw[[#This Row],[Column5]])), 0),"")</f>
        <v/>
      </c>
      <c r="M93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37" s="188" t="str">
        <f>IF(ISNUMBER(deployment_raw[[#This Row],[Column14]]), deployment_raw[[#This Row],[Column14]],"")</f>
        <v/>
      </c>
      <c r="O937" s="189" t="str">
        <f>IF(ISNUMBER(deployment_raw[[#This Row],[Column15]]), deployment_raw[[#This Row],[Column15]]/1048576,"")</f>
        <v/>
      </c>
      <c r="P937" s="190" t="str">
        <f>IF(ISNUMBER(deployment_raw[[#This Row],[Column12]]), (deployment_raw[[#This Row],[Column12]] * deployment_raw[[#This Row],[Column5]]),"")</f>
        <v/>
      </c>
      <c r="Q937" s="189" t="str">
        <f>IF(ISNUMBER(deployment_raw[[#This Row],[Column13]]), (deployment_raw[[#This Row],[Column13]] * deployment_raw[[#This Row],[Column5]])/1048576,"")</f>
        <v/>
      </c>
    </row>
    <row r="938" spans="1:17" ht="15" customHeight="1" x14ac:dyDescent="0.25">
      <c r="A938" s="37" t="str">
        <f>IF(ISNONTEXT(deployment_raw[[#This Row],[Column1]]), "", deployment_raw[[#This Row],[Column1]])</f>
        <v/>
      </c>
      <c r="B938" s="38" t="str">
        <f>IF(ISNONTEXT(deployment_raw[[#This Row],[Column2]]), "", deployment_raw[[#This Row],[Column2]])</f>
        <v/>
      </c>
      <c r="C938" s="38" t="str">
        <f>IF(ISNONTEXT(deployment_raw[[#This Row],[Column3]]), "", deployment_raw[[#This Row],[Column3]])</f>
        <v/>
      </c>
      <c r="D938" s="38" t="str">
        <f>IF(ISNONTEXT(deployment_raw[[#This Row],[Column4]]), "", deployment_raw[[#This Row],[Column4]])</f>
        <v/>
      </c>
      <c r="E938" s="39" t="str">
        <f>IF(ISNUMBER(deployment_raw[[#This Row],[Column5]]), deployment_raw[[#This Row],[Column5]],"")</f>
        <v/>
      </c>
      <c r="F938" s="174" t="str">
        <f>IF(ISNUMBER(deployment_raw[[#This Row],[Column6]]), (deployment_raw[[#This Row],[Column6]] * deployment_raw[[#This Row],[Column5]]),"")</f>
        <v/>
      </c>
      <c r="G938" s="175" t="str">
        <f>IF(ISNUMBER(deployment_raw[[#This Row],[Column7]]), (deployment_raw[[#This Row],[Column7]] * deployment_raw[[#This Row],[Column5]])/1048576,"")</f>
        <v/>
      </c>
      <c r="H938" s="175" t="str">
        <f>IF(ISNUMBER(deployment_raw[[#This Row],[Column8]]), (deployment_raw[[#This Row],[Column8]]  * deployment_raw[[#This Row],[Column5]]),"")</f>
        <v/>
      </c>
      <c r="I938" s="176" t="str">
        <f>IF(ISNUMBER(deployment_raw[[#This Row],[Column9]]), (deployment_raw[[#This Row],[Column9]] * deployment_raw[[#This Row],[Column5]])/1048576,"")</f>
        <v/>
      </c>
      <c r="J938" s="57" t="str">
        <f>IF(ISNUMBER(deployment_raw[[#This Row],[Column10]]), (deployment_raw[[#This Row],[Column10]] * deployment_raw[[#This Row],[Column5]]),"")</f>
        <v/>
      </c>
      <c r="K938" s="58" t="str">
        <f>IF(ISNUMBER(deployment_raw[[#This Row],[Column11]]), (deployment_raw[[#This Row],[Column11]] * deployment_raw[[#This Row],[Column5]])/1048576,"")</f>
        <v/>
      </c>
      <c r="L938" s="180" t="str">
        <f>IF(ISNUMBER(deployment_raw[[#This Row],[Column8]]),IF(deployment_raw[[#This Row],[Column5]] &lt;&gt; 0, MAX((deployment_raw[[#This Row],[Column12]] * deployment_raw[[#This Row],[Column5]]), ((deployment_raw[[#This Row],[Column8]] * deployment_raw[[#This Row],[Column5]]) * $L$2), ($H$2 * deployment_raw[[#This Row],[Column5]])), 0),"")</f>
        <v/>
      </c>
      <c r="M93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38" s="188" t="str">
        <f>IF(ISNUMBER(deployment_raw[[#This Row],[Column14]]), deployment_raw[[#This Row],[Column14]],"")</f>
        <v/>
      </c>
      <c r="O938" s="189" t="str">
        <f>IF(ISNUMBER(deployment_raw[[#This Row],[Column15]]), deployment_raw[[#This Row],[Column15]]/1048576,"")</f>
        <v/>
      </c>
      <c r="P938" s="190" t="str">
        <f>IF(ISNUMBER(deployment_raw[[#This Row],[Column12]]), (deployment_raw[[#This Row],[Column12]] * deployment_raw[[#This Row],[Column5]]),"")</f>
        <v/>
      </c>
      <c r="Q938" s="189" t="str">
        <f>IF(ISNUMBER(deployment_raw[[#This Row],[Column13]]), (deployment_raw[[#This Row],[Column13]] * deployment_raw[[#This Row],[Column5]])/1048576,"")</f>
        <v/>
      </c>
    </row>
    <row r="939" spans="1:17" ht="15" customHeight="1" x14ac:dyDescent="0.25">
      <c r="A939" s="37" t="str">
        <f>IF(ISNONTEXT(deployment_raw[[#This Row],[Column1]]), "", deployment_raw[[#This Row],[Column1]])</f>
        <v/>
      </c>
      <c r="B939" s="38" t="str">
        <f>IF(ISNONTEXT(deployment_raw[[#This Row],[Column2]]), "", deployment_raw[[#This Row],[Column2]])</f>
        <v/>
      </c>
      <c r="C939" s="38" t="str">
        <f>IF(ISNONTEXT(deployment_raw[[#This Row],[Column3]]), "", deployment_raw[[#This Row],[Column3]])</f>
        <v/>
      </c>
      <c r="D939" s="38" t="str">
        <f>IF(ISNONTEXT(deployment_raw[[#This Row],[Column4]]), "", deployment_raw[[#This Row],[Column4]])</f>
        <v/>
      </c>
      <c r="E939" s="39" t="str">
        <f>IF(ISNUMBER(deployment_raw[[#This Row],[Column5]]), deployment_raw[[#This Row],[Column5]],"")</f>
        <v/>
      </c>
      <c r="F939" s="174" t="str">
        <f>IF(ISNUMBER(deployment_raw[[#This Row],[Column6]]), (deployment_raw[[#This Row],[Column6]] * deployment_raw[[#This Row],[Column5]]),"")</f>
        <v/>
      </c>
      <c r="G939" s="175" t="str">
        <f>IF(ISNUMBER(deployment_raw[[#This Row],[Column7]]), (deployment_raw[[#This Row],[Column7]] * deployment_raw[[#This Row],[Column5]])/1048576,"")</f>
        <v/>
      </c>
      <c r="H939" s="175" t="str">
        <f>IF(ISNUMBER(deployment_raw[[#This Row],[Column8]]), (deployment_raw[[#This Row],[Column8]]  * deployment_raw[[#This Row],[Column5]]),"")</f>
        <v/>
      </c>
      <c r="I939" s="176" t="str">
        <f>IF(ISNUMBER(deployment_raw[[#This Row],[Column9]]), (deployment_raw[[#This Row],[Column9]] * deployment_raw[[#This Row],[Column5]])/1048576,"")</f>
        <v/>
      </c>
      <c r="J939" s="57" t="str">
        <f>IF(ISNUMBER(deployment_raw[[#This Row],[Column10]]), (deployment_raw[[#This Row],[Column10]] * deployment_raw[[#This Row],[Column5]]),"")</f>
        <v/>
      </c>
      <c r="K939" s="58" t="str">
        <f>IF(ISNUMBER(deployment_raw[[#This Row],[Column11]]), (deployment_raw[[#This Row],[Column11]] * deployment_raw[[#This Row],[Column5]])/1048576,"")</f>
        <v/>
      </c>
      <c r="L939" s="180" t="str">
        <f>IF(ISNUMBER(deployment_raw[[#This Row],[Column8]]),IF(deployment_raw[[#This Row],[Column5]] &lt;&gt; 0, MAX((deployment_raw[[#This Row],[Column12]] * deployment_raw[[#This Row],[Column5]]), ((deployment_raw[[#This Row],[Column8]] * deployment_raw[[#This Row],[Column5]]) * $L$2), ($H$2 * deployment_raw[[#This Row],[Column5]])), 0),"")</f>
        <v/>
      </c>
      <c r="M93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39" s="188" t="str">
        <f>IF(ISNUMBER(deployment_raw[[#This Row],[Column14]]), deployment_raw[[#This Row],[Column14]],"")</f>
        <v/>
      </c>
      <c r="O939" s="189" t="str">
        <f>IF(ISNUMBER(deployment_raw[[#This Row],[Column15]]), deployment_raw[[#This Row],[Column15]]/1048576,"")</f>
        <v/>
      </c>
      <c r="P939" s="190" t="str">
        <f>IF(ISNUMBER(deployment_raw[[#This Row],[Column12]]), (deployment_raw[[#This Row],[Column12]] * deployment_raw[[#This Row],[Column5]]),"")</f>
        <v/>
      </c>
      <c r="Q939" s="189" t="str">
        <f>IF(ISNUMBER(deployment_raw[[#This Row],[Column13]]), (deployment_raw[[#This Row],[Column13]] * deployment_raw[[#This Row],[Column5]])/1048576,"")</f>
        <v/>
      </c>
    </row>
    <row r="940" spans="1:17" ht="15" customHeight="1" x14ac:dyDescent="0.25">
      <c r="A940" s="37" t="str">
        <f>IF(ISNONTEXT(deployment_raw[[#This Row],[Column1]]), "", deployment_raw[[#This Row],[Column1]])</f>
        <v/>
      </c>
      <c r="B940" s="38" t="str">
        <f>IF(ISNONTEXT(deployment_raw[[#This Row],[Column2]]), "", deployment_raw[[#This Row],[Column2]])</f>
        <v/>
      </c>
      <c r="C940" s="38" t="str">
        <f>IF(ISNONTEXT(deployment_raw[[#This Row],[Column3]]), "", deployment_raw[[#This Row],[Column3]])</f>
        <v/>
      </c>
      <c r="D940" s="38" t="str">
        <f>IF(ISNONTEXT(deployment_raw[[#This Row],[Column4]]), "", deployment_raw[[#This Row],[Column4]])</f>
        <v/>
      </c>
      <c r="E940" s="39" t="str">
        <f>IF(ISNUMBER(deployment_raw[[#This Row],[Column5]]), deployment_raw[[#This Row],[Column5]],"")</f>
        <v/>
      </c>
      <c r="F940" s="174" t="str">
        <f>IF(ISNUMBER(deployment_raw[[#This Row],[Column6]]), (deployment_raw[[#This Row],[Column6]] * deployment_raw[[#This Row],[Column5]]),"")</f>
        <v/>
      </c>
      <c r="G940" s="175" t="str">
        <f>IF(ISNUMBER(deployment_raw[[#This Row],[Column7]]), (deployment_raw[[#This Row],[Column7]] * deployment_raw[[#This Row],[Column5]])/1048576,"")</f>
        <v/>
      </c>
      <c r="H940" s="175" t="str">
        <f>IF(ISNUMBER(deployment_raw[[#This Row],[Column8]]), (deployment_raw[[#This Row],[Column8]]  * deployment_raw[[#This Row],[Column5]]),"")</f>
        <v/>
      </c>
      <c r="I940" s="176" t="str">
        <f>IF(ISNUMBER(deployment_raw[[#This Row],[Column9]]), (deployment_raw[[#This Row],[Column9]] * deployment_raw[[#This Row],[Column5]])/1048576,"")</f>
        <v/>
      </c>
      <c r="J940" s="57" t="str">
        <f>IF(ISNUMBER(deployment_raw[[#This Row],[Column10]]), (deployment_raw[[#This Row],[Column10]] * deployment_raw[[#This Row],[Column5]]),"")</f>
        <v/>
      </c>
      <c r="K940" s="58" t="str">
        <f>IF(ISNUMBER(deployment_raw[[#This Row],[Column11]]), (deployment_raw[[#This Row],[Column11]] * deployment_raw[[#This Row],[Column5]])/1048576,"")</f>
        <v/>
      </c>
      <c r="L940" s="180" t="str">
        <f>IF(ISNUMBER(deployment_raw[[#This Row],[Column8]]),IF(deployment_raw[[#This Row],[Column5]] &lt;&gt; 0, MAX((deployment_raw[[#This Row],[Column12]] * deployment_raw[[#This Row],[Column5]]), ((deployment_raw[[#This Row],[Column8]] * deployment_raw[[#This Row],[Column5]]) * $L$2), ($H$2 * deployment_raw[[#This Row],[Column5]])), 0),"")</f>
        <v/>
      </c>
      <c r="M94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40" s="188" t="str">
        <f>IF(ISNUMBER(deployment_raw[[#This Row],[Column14]]), deployment_raw[[#This Row],[Column14]],"")</f>
        <v/>
      </c>
      <c r="O940" s="189" t="str">
        <f>IF(ISNUMBER(deployment_raw[[#This Row],[Column15]]), deployment_raw[[#This Row],[Column15]]/1048576,"")</f>
        <v/>
      </c>
      <c r="P940" s="190" t="str">
        <f>IF(ISNUMBER(deployment_raw[[#This Row],[Column12]]), (deployment_raw[[#This Row],[Column12]] * deployment_raw[[#This Row],[Column5]]),"")</f>
        <v/>
      </c>
      <c r="Q940" s="189" t="str">
        <f>IF(ISNUMBER(deployment_raw[[#This Row],[Column13]]), (deployment_raw[[#This Row],[Column13]] * deployment_raw[[#This Row],[Column5]])/1048576,"")</f>
        <v/>
      </c>
    </row>
    <row r="941" spans="1:17" ht="15" customHeight="1" x14ac:dyDescent="0.25">
      <c r="A941" s="37" t="str">
        <f>IF(ISNONTEXT(deployment_raw[[#This Row],[Column1]]), "", deployment_raw[[#This Row],[Column1]])</f>
        <v/>
      </c>
      <c r="B941" s="38" t="str">
        <f>IF(ISNONTEXT(deployment_raw[[#This Row],[Column2]]), "", deployment_raw[[#This Row],[Column2]])</f>
        <v/>
      </c>
      <c r="C941" s="38" t="str">
        <f>IF(ISNONTEXT(deployment_raw[[#This Row],[Column3]]), "", deployment_raw[[#This Row],[Column3]])</f>
        <v/>
      </c>
      <c r="D941" s="38" t="str">
        <f>IF(ISNONTEXT(deployment_raw[[#This Row],[Column4]]), "", deployment_raw[[#This Row],[Column4]])</f>
        <v/>
      </c>
      <c r="E941" s="39" t="str">
        <f>IF(ISNUMBER(deployment_raw[[#This Row],[Column5]]), deployment_raw[[#This Row],[Column5]],"")</f>
        <v/>
      </c>
      <c r="F941" s="174" t="str">
        <f>IF(ISNUMBER(deployment_raw[[#This Row],[Column6]]), (deployment_raw[[#This Row],[Column6]] * deployment_raw[[#This Row],[Column5]]),"")</f>
        <v/>
      </c>
      <c r="G941" s="175" t="str">
        <f>IF(ISNUMBER(deployment_raw[[#This Row],[Column7]]), (deployment_raw[[#This Row],[Column7]] * deployment_raw[[#This Row],[Column5]])/1048576,"")</f>
        <v/>
      </c>
      <c r="H941" s="175" t="str">
        <f>IF(ISNUMBER(deployment_raw[[#This Row],[Column8]]), (deployment_raw[[#This Row],[Column8]]  * deployment_raw[[#This Row],[Column5]]),"")</f>
        <v/>
      </c>
      <c r="I941" s="176" t="str">
        <f>IF(ISNUMBER(deployment_raw[[#This Row],[Column9]]), (deployment_raw[[#This Row],[Column9]] * deployment_raw[[#This Row],[Column5]])/1048576,"")</f>
        <v/>
      </c>
      <c r="J941" s="57" t="str">
        <f>IF(ISNUMBER(deployment_raw[[#This Row],[Column10]]), (deployment_raw[[#This Row],[Column10]] * deployment_raw[[#This Row],[Column5]]),"")</f>
        <v/>
      </c>
      <c r="K941" s="58" t="str">
        <f>IF(ISNUMBER(deployment_raw[[#This Row],[Column11]]), (deployment_raw[[#This Row],[Column11]] * deployment_raw[[#This Row],[Column5]])/1048576,"")</f>
        <v/>
      </c>
      <c r="L941" s="180" t="str">
        <f>IF(ISNUMBER(deployment_raw[[#This Row],[Column8]]),IF(deployment_raw[[#This Row],[Column5]] &lt;&gt; 0, MAX((deployment_raw[[#This Row],[Column12]] * deployment_raw[[#This Row],[Column5]]), ((deployment_raw[[#This Row],[Column8]] * deployment_raw[[#This Row],[Column5]]) * $L$2), ($H$2 * deployment_raw[[#This Row],[Column5]])), 0),"")</f>
        <v/>
      </c>
      <c r="M94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41" s="188" t="str">
        <f>IF(ISNUMBER(deployment_raw[[#This Row],[Column14]]), deployment_raw[[#This Row],[Column14]],"")</f>
        <v/>
      </c>
      <c r="O941" s="189" t="str">
        <f>IF(ISNUMBER(deployment_raw[[#This Row],[Column15]]), deployment_raw[[#This Row],[Column15]]/1048576,"")</f>
        <v/>
      </c>
      <c r="P941" s="190" t="str">
        <f>IF(ISNUMBER(deployment_raw[[#This Row],[Column12]]), (deployment_raw[[#This Row],[Column12]] * deployment_raw[[#This Row],[Column5]]),"")</f>
        <v/>
      </c>
      <c r="Q941" s="189" t="str">
        <f>IF(ISNUMBER(deployment_raw[[#This Row],[Column13]]), (deployment_raw[[#This Row],[Column13]] * deployment_raw[[#This Row],[Column5]])/1048576,"")</f>
        <v/>
      </c>
    </row>
    <row r="942" spans="1:17" ht="15" customHeight="1" x14ac:dyDescent="0.25">
      <c r="A942" s="37" t="str">
        <f>IF(ISNONTEXT(deployment_raw[[#This Row],[Column1]]), "", deployment_raw[[#This Row],[Column1]])</f>
        <v/>
      </c>
      <c r="B942" s="38" t="str">
        <f>IF(ISNONTEXT(deployment_raw[[#This Row],[Column2]]), "", deployment_raw[[#This Row],[Column2]])</f>
        <v/>
      </c>
      <c r="C942" s="38" t="str">
        <f>IF(ISNONTEXT(deployment_raw[[#This Row],[Column3]]), "", deployment_raw[[#This Row],[Column3]])</f>
        <v/>
      </c>
      <c r="D942" s="38" t="str">
        <f>IF(ISNONTEXT(deployment_raw[[#This Row],[Column4]]), "", deployment_raw[[#This Row],[Column4]])</f>
        <v/>
      </c>
      <c r="E942" s="39" t="str">
        <f>IF(ISNUMBER(deployment_raw[[#This Row],[Column5]]), deployment_raw[[#This Row],[Column5]],"")</f>
        <v/>
      </c>
      <c r="F942" s="174" t="str">
        <f>IF(ISNUMBER(deployment_raw[[#This Row],[Column6]]), (deployment_raw[[#This Row],[Column6]] * deployment_raw[[#This Row],[Column5]]),"")</f>
        <v/>
      </c>
      <c r="G942" s="175" t="str">
        <f>IF(ISNUMBER(deployment_raw[[#This Row],[Column7]]), (deployment_raw[[#This Row],[Column7]] * deployment_raw[[#This Row],[Column5]])/1048576,"")</f>
        <v/>
      </c>
      <c r="H942" s="175" t="str">
        <f>IF(ISNUMBER(deployment_raw[[#This Row],[Column8]]), (deployment_raw[[#This Row],[Column8]]  * deployment_raw[[#This Row],[Column5]]),"")</f>
        <v/>
      </c>
      <c r="I942" s="176" t="str">
        <f>IF(ISNUMBER(deployment_raw[[#This Row],[Column9]]), (deployment_raw[[#This Row],[Column9]] * deployment_raw[[#This Row],[Column5]])/1048576,"")</f>
        <v/>
      </c>
      <c r="J942" s="57" t="str">
        <f>IF(ISNUMBER(deployment_raw[[#This Row],[Column10]]), (deployment_raw[[#This Row],[Column10]] * deployment_raw[[#This Row],[Column5]]),"")</f>
        <v/>
      </c>
      <c r="K942" s="58" t="str">
        <f>IF(ISNUMBER(deployment_raw[[#This Row],[Column11]]), (deployment_raw[[#This Row],[Column11]] * deployment_raw[[#This Row],[Column5]])/1048576,"")</f>
        <v/>
      </c>
      <c r="L942" s="180" t="str">
        <f>IF(ISNUMBER(deployment_raw[[#This Row],[Column8]]),IF(deployment_raw[[#This Row],[Column5]] &lt;&gt; 0, MAX((deployment_raw[[#This Row],[Column12]] * deployment_raw[[#This Row],[Column5]]), ((deployment_raw[[#This Row],[Column8]] * deployment_raw[[#This Row],[Column5]]) * $L$2), ($H$2 * deployment_raw[[#This Row],[Column5]])), 0),"")</f>
        <v/>
      </c>
      <c r="M94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42" s="188" t="str">
        <f>IF(ISNUMBER(deployment_raw[[#This Row],[Column14]]), deployment_raw[[#This Row],[Column14]],"")</f>
        <v/>
      </c>
      <c r="O942" s="189" t="str">
        <f>IF(ISNUMBER(deployment_raw[[#This Row],[Column15]]), deployment_raw[[#This Row],[Column15]]/1048576,"")</f>
        <v/>
      </c>
      <c r="P942" s="190" t="str">
        <f>IF(ISNUMBER(deployment_raw[[#This Row],[Column12]]), (deployment_raw[[#This Row],[Column12]] * deployment_raw[[#This Row],[Column5]]),"")</f>
        <v/>
      </c>
      <c r="Q942" s="189" t="str">
        <f>IF(ISNUMBER(deployment_raw[[#This Row],[Column13]]), (deployment_raw[[#This Row],[Column13]] * deployment_raw[[#This Row],[Column5]])/1048576,"")</f>
        <v/>
      </c>
    </row>
    <row r="943" spans="1:17" ht="15" customHeight="1" x14ac:dyDescent="0.25">
      <c r="A943" s="37" t="str">
        <f>IF(ISNONTEXT(deployment_raw[[#This Row],[Column1]]), "", deployment_raw[[#This Row],[Column1]])</f>
        <v/>
      </c>
      <c r="B943" s="38" t="str">
        <f>IF(ISNONTEXT(deployment_raw[[#This Row],[Column2]]), "", deployment_raw[[#This Row],[Column2]])</f>
        <v/>
      </c>
      <c r="C943" s="38" t="str">
        <f>IF(ISNONTEXT(deployment_raw[[#This Row],[Column3]]), "", deployment_raw[[#This Row],[Column3]])</f>
        <v/>
      </c>
      <c r="D943" s="38" t="str">
        <f>IF(ISNONTEXT(deployment_raw[[#This Row],[Column4]]), "", deployment_raw[[#This Row],[Column4]])</f>
        <v/>
      </c>
      <c r="E943" s="39" t="str">
        <f>IF(ISNUMBER(deployment_raw[[#This Row],[Column5]]), deployment_raw[[#This Row],[Column5]],"")</f>
        <v/>
      </c>
      <c r="F943" s="174" t="str">
        <f>IF(ISNUMBER(deployment_raw[[#This Row],[Column6]]), (deployment_raw[[#This Row],[Column6]] * deployment_raw[[#This Row],[Column5]]),"")</f>
        <v/>
      </c>
      <c r="G943" s="175" t="str">
        <f>IF(ISNUMBER(deployment_raw[[#This Row],[Column7]]), (deployment_raw[[#This Row],[Column7]] * deployment_raw[[#This Row],[Column5]])/1048576,"")</f>
        <v/>
      </c>
      <c r="H943" s="175" t="str">
        <f>IF(ISNUMBER(deployment_raw[[#This Row],[Column8]]), (deployment_raw[[#This Row],[Column8]]  * deployment_raw[[#This Row],[Column5]]),"")</f>
        <v/>
      </c>
      <c r="I943" s="176" t="str">
        <f>IF(ISNUMBER(deployment_raw[[#This Row],[Column9]]), (deployment_raw[[#This Row],[Column9]] * deployment_raw[[#This Row],[Column5]])/1048576,"")</f>
        <v/>
      </c>
      <c r="J943" s="57" t="str">
        <f>IF(ISNUMBER(deployment_raw[[#This Row],[Column10]]), (deployment_raw[[#This Row],[Column10]] * deployment_raw[[#This Row],[Column5]]),"")</f>
        <v/>
      </c>
      <c r="K943" s="58" t="str">
        <f>IF(ISNUMBER(deployment_raw[[#This Row],[Column11]]), (deployment_raw[[#This Row],[Column11]] * deployment_raw[[#This Row],[Column5]])/1048576,"")</f>
        <v/>
      </c>
      <c r="L943" s="180" t="str">
        <f>IF(ISNUMBER(deployment_raw[[#This Row],[Column8]]),IF(deployment_raw[[#This Row],[Column5]] &lt;&gt; 0, MAX((deployment_raw[[#This Row],[Column12]] * deployment_raw[[#This Row],[Column5]]), ((deployment_raw[[#This Row],[Column8]] * deployment_raw[[#This Row],[Column5]]) * $L$2), ($H$2 * deployment_raw[[#This Row],[Column5]])), 0),"")</f>
        <v/>
      </c>
      <c r="M94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43" s="188" t="str">
        <f>IF(ISNUMBER(deployment_raw[[#This Row],[Column14]]), deployment_raw[[#This Row],[Column14]],"")</f>
        <v/>
      </c>
      <c r="O943" s="189" t="str">
        <f>IF(ISNUMBER(deployment_raw[[#This Row],[Column15]]), deployment_raw[[#This Row],[Column15]]/1048576,"")</f>
        <v/>
      </c>
      <c r="P943" s="190" t="str">
        <f>IF(ISNUMBER(deployment_raw[[#This Row],[Column12]]), (deployment_raw[[#This Row],[Column12]] * deployment_raw[[#This Row],[Column5]]),"")</f>
        <v/>
      </c>
      <c r="Q943" s="189" t="str">
        <f>IF(ISNUMBER(deployment_raw[[#This Row],[Column13]]), (deployment_raw[[#This Row],[Column13]] * deployment_raw[[#This Row],[Column5]])/1048576,"")</f>
        <v/>
      </c>
    </row>
    <row r="944" spans="1:17" ht="15" customHeight="1" x14ac:dyDescent="0.25">
      <c r="A944" s="37" t="str">
        <f>IF(ISNONTEXT(deployment_raw[[#This Row],[Column1]]), "", deployment_raw[[#This Row],[Column1]])</f>
        <v/>
      </c>
      <c r="B944" s="38" t="str">
        <f>IF(ISNONTEXT(deployment_raw[[#This Row],[Column2]]), "", deployment_raw[[#This Row],[Column2]])</f>
        <v/>
      </c>
      <c r="C944" s="38" t="str">
        <f>IF(ISNONTEXT(deployment_raw[[#This Row],[Column3]]), "", deployment_raw[[#This Row],[Column3]])</f>
        <v/>
      </c>
      <c r="D944" s="38" t="str">
        <f>IF(ISNONTEXT(deployment_raw[[#This Row],[Column4]]), "", deployment_raw[[#This Row],[Column4]])</f>
        <v/>
      </c>
      <c r="E944" s="39" t="str">
        <f>IF(ISNUMBER(deployment_raw[[#This Row],[Column5]]), deployment_raw[[#This Row],[Column5]],"")</f>
        <v/>
      </c>
      <c r="F944" s="174" t="str">
        <f>IF(ISNUMBER(deployment_raw[[#This Row],[Column6]]), (deployment_raw[[#This Row],[Column6]] * deployment_raw[[#This Row],[Column5]]),"")</f>
        <v/>
      </c>
      <c r="G944" s="175" t="str">
        <f>IF(ISNUMBER(deployment_raw[[#This Row],[Column7]]), (deployment_raw[[#This Row],[Column7]] * deployment_raw[[#This Row],[Column5]])/1048576,"")</f>
        <v/>
      </c>
      <c r="H944" s="175" t="str">
        <f>IF(ISNUMBER(deployment_raw[[#This Row],[Column8]]), (deployment_raw[[#This Row],[Column8]]  * deployment_raw[[#This Row],[Column5]]),"")</f>
        <v/>
      </c>
      <c r="I944" s="176" t="str">
        <f>IF(ISNUMBER(deployment_raw[[#This Row],[Column9]]), (deployment_raw[[#This Row],[Column9]] * deployment_raw[[#This Row],[Column5]])/1048576,"")</f>
        <v/>
      </c>
      <c r="J944" s="57" t="str">
        <f>IF(ISNUMBER(deployment_raw[[#This Row],[Column10]]), (deployment_raw[[#This Row],[Column10]] * deployment_raw[[#This Row],[Column5]]),"")</f>
        <v/>
      </c>
      <c r="K944" s="58" t="str">
        <f>IF(ISNUMBER(deployment_raw[[#This Row],[Column11]]), (deployment_raw[[#This Row],[Column11]] * deployment_raw[[#This Row],[Column5]])/1048576,"")</f>
        <v/>
      </c>
      <c r="L944" s="180" t="str">
        <f>IF(ISNUMBER(deployment_raw[[#This Row],[Column8]]),IF(deployment_raw[[#This Row],[Column5]] &lt;&gt; 0, MAX((deployment_raw[[#This Row],[Column12]] * deployment_raw[[#This Row],[Column5]]), ((deployment_raw[[#This Row],[Column8]] * deployment_raw[[#This Row],[Column5]]) * $L$2), ($H$2 * deployment_raw[[#This Row],[Column5]])), 0),"")</f>
        <v/>
      </c>
      <c r="M94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44" s="188" t="str">
        <f>IF(ISNUMBER(deployment_raw[[#This Row],[Column14]]), deployment_raw[[#This Row],[Column14]],"")</f>
        <v/>
      </c>
      <c r="O944" s="189" t="str">
        <f>IF(ISNUMBER(deployment_raw[[#This Row],[Column15]]), deployment_raw[[#This Row],[Column15]]/1048576,"")</f>
        <v/>
      </c>
      <c r="P944" s="190" t="str">
        <f>IF(ISNUMBER(deployment_raw[[#This Row],[Column12]]), (deployment_raw[[#This Row],[Column12]] * deployment_raw[[#This Row],[Column5]]),"")</f>
        <v/>
      </c>
      <c r="Q944" s="189" t="str">
        <f>IF(ISNUMBER(deployment_raw[[#This Row],[Column13]]), (deployment_raw[[#This Row],[Column13]] * deployment_raw[[#This Row],[Column5]])/1048576,"")</f>
        <v/>
      </c>
    </row>
    <row r="945" spans="1:17" ht="15" customHeight="1" x14ac:dyDescent="0.25">
      <c r="A945" s="37" t="str">
        <f>IF(ISNONTEXT(deployment_raw[[#This Row],[Column1]]), "", deployment_raw[[#This Row],[Column1]])</f>
        <v/>
      </c>
      <c r="B945" s="38" t="str">
        <f>IF(ISNONTEXT(deployment_raw[[#This Row],[Column2]]), "", deployment_raw[[#This Row],[Column2]])</f>
        <v/>
      </c>
      <c r="C945" s="38" t="str">
        <f>IF(ISNONTEXT(deployment_raw[[#This Row],[Column3]]), "", deployment_raw[[#This Row],[Column3]])</f>
        <v/>
      </c>
      <c r="D945" s="38" t="str">
        <f>IF(ISNONTEXT(deployment_raw[[#This Row],[Column4]]), "", deployment_raw[[#This Row],[Column4]])</f>
        <v/>
      </c>
      <c r="E945" s="39" t="str">
        <f>IF(ISNUMBER(deployment_raw[[#This Row],[Column5]]), deployment_raw[[#This Row],[Column5]],"")</f>
        <v/>
      </c>
      <c r="F945" s="174" t="str">
        <f>IF(ISNUMBER(deployment_raw[[#This Row],[Column6]]), (deployment_raw[[#This Row],[Column6]] * deployment_raw[[#This Row],[Column5]]),"")</f>
        <v/>
      </c>
      <c r="G945" s="175" t="str">
        <f>IF(ISNUMBER(deployment_raw[[#This Row],[Column7]]), (deployment_raw[[#This Row],[Column7]] * deployment_raw[[#This Row],[Column5]])/1048576,"")</f>
        <v/>
      </c>
      <c r="H945" s="175" t="str">
        <f>IF(ISNUMBER(deployment_raw[[#This Row],[Column8]]), (deployment_raw[[#This Row],[Column8]]  * deployment_raw[[#This Row],[Column5]]),"")</f>
        <v/>
      </c>
      <c r="I945" s="176" t="str">
        <f>IF(ISNUMBER(deployment_raw[[#This Row],[Column9]]), (deployment_raw[[#This Row],[Column9]] * deployment_raw[[#This Row],[Column5]])/1048576,"")</f>
        <v/>
      </c>
      <c r="J945" s="57" t="str">
        <f>IF(ISNUMBER(deployment_raw[[#This Row],[Column10]]), (deployment_raw[[#This Row],[Column10]] * deployment_raw[[#This Row],[Column5]]),"")</f>
        <v/>
      </c>
      <c r="K945" s="58" t="str">
        <f>IF(ISNUMBER(deployment_raw[[#This Row],[Column11]]), (deployment_raw[[#This Row],[Column11]] * deployment_raw[[#This Row],[Column5]])/1048576,"")</f>
        <v/>
      </c>
      <c r="L945" s="180" t="str">
        <f>IF(ISNUMBER(deployment_raw[[#This Row],[Column8]]),IF(deployment_raw[[#This Row],[Column5]] &lt;&gt; 0, MAX((deployment_raw[[#This Row],[Column12]] * deployment_raw[[#This Row],[Column5]]), ((deployment_raw[[#This Row],[Column8]] * deployment_raw[[#This Row],[Column5]]) * $L$2), ($H$2 * deployment_raw[[#This Row],[Column5]])), 0),"")</f>
        <v/>
      </c>
      <c r="M94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45" s="188" t="str">
        <f>IF(ISNUMBER(deployment_raw[[#This Row],[Column14]]), deployment_raw[[#This Row],[Column14]],"")</f>
        <v/>
      </c>
      <c r="O945" s="189" t="str">
        <f>IF(ISNUMBER(deployment_raw[[#This Row],[Column15]]), deployment_raw[[#This Row],[Column15]]/1048576,"")</f>
        <v/>
      </c>
      <c r="P945" s="190" t="str">
        <f>IF(ISNUMBER(deployment_raw[[#This Row],[Column12]]), (deployment_raw[[#This Row],[Column12]] * deployment_raw[[#This Row],[Column5]]),"")</f>
        <v/>
      </c>
      <c r="Q945" s="189" t="str">
        <f>IF(ISNUMBER(deployment_raw[[#This Row],[Column13]]), (deployment_raw[[#This Row],[Column13]] * deployment_raw[[#This Row],[Column5]])/1048576,"")</f>
        <v/>
      </c>
    </row>
    <row r="946" spans="1:17" ht="15" customHeight="1" x14ac:dyDescent="0.25">
      <c r="A946" s="37" t="str">
        <f>IF(ISNONTEXT(deployment_raw[[#This Row],[Column1]]), "", deployment_raw[[#This Row],[Column1]])</f>
        <v/>
      </c>
      <c r="B946" s="38" t="str">
        <f>IF(ISNONTEXT(deployment_raw[[#This Row],[Column2]]), "", deployment_raw[[#This Row],[Column2]])</f>
        <v/>
      </c>
      <c r="C946" s="38" t="str">
        <f>IF(ISNONTEXT(deployment_raw[[#This Row],[Column3]]), "", deployment_raw[[#This Row],[Column3]])</f>
        <v/>
      </c>
      <c r="D946" s="38" t="str">
        <f>IF(ISNONTEXT(deployment_raw[[#This Row],[Column4]]), "", deployment_raw[[#This Row],[Column4]])</f>
        <v/>
      </c>
      <c r="E946" s="39" t="str">
        <f>IF(ISNUMBER(deployment_raw[[#This Row],[Column5]]), deployment_raw[[#This Row],[Column5]],"")</f>
        <v/>
      </c>
      <c r="F946" s="174" t="str">
        <f>IF(ISNUMBER(deployment_raw[[#This Row],[Column6]]), (deployment_raw[[#This Row],[Column6]] * deployment_raw[[#This Row],[Column5]]),"")</f>
        <v/>
      </c>
      <c r="G946" s="175" t="str">
        <f>IF(ISNUMBER(deployment_raw[[#This Row],[Column7]]), (deployment_raw[[#This Row],[Column7]] * deployment_raw[[#This Row],[Column5]])/1048576,"")</f>
        <v/>
      </c>
      <c r="H946" s="175" t="str">
        <f>IF(ISNUMBER(deployment_raw[[#This Row],[Column8]]), (deployment_raw[[#This Row],[Column8]]  * deployment_raw[[#This Row],[Column5]]),"")</f>
        <v/>
      </c>
      <c r="I946" s="176" t="str">
        <f>IF(ISNUMBER(deployment_raw[[#This Row],[Column9]]), (deployment_raw[[#This Row],[Column9]] * deployment_raw[[#This Row],[Column5]])/1048576,"")</f>
        <v/>
      </c>
      <c r="J946" s="57" t="str">
        <f>IF(ISNUMBER(deployment_raw[[#This Row],[Column10]]), (deployment_raw[[#This Row],[Column10]] * deployment_raw[[#This Row],[Column5]]),"")</f>
        <v/>
      </c>
      <c r="K946" s="58" t="str">
        <f>IF(ISNUMBER(deployment_raw[[#This Row],[Column11]]), (deployment_raw[[#This Row],[Column11]] * deployment_raw[[#This Row],[Column5]])/1048576,"")</f>
        <v/>
      </c>
      <c r="L946" s="180" t="str">
        <f>IF(ISNUMBER(deployment_raw[[#This Row],[Column8]]),IF(deployment_raw[[#This Row],[Column5]] &lt;&gt; 0, MAX((deployment_raw[[#This Row],[Column12]] * deployment_raw[[#This Row],[Column5]]), ((deployment_raw[[#This Row],[Column8]] * deployment_raw[[#This Row],[Column5]]) * $L$2), ($H$2 * deployment_raw[[#This Row],[Column5]])), 0),"")</f>
        <v/>
      </c>
      <c r="M94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46" s="188" t="str">
        <f>IF(ISNUMBER(deployment_raw[[#This Row],[Column14]]), deployment_raw[[#This Row],[Column14]],"")</f>
        <v/>
      </c>
      <c r="O946" s="189" t="str">
        <f>IF(ISNUMBER(deployment_raw[[#This Row],[Column15]]), deployment_raw[[#This Row],[Column15]]/1048576,"")</f>
        <v/>
      </c>
      <c r="P946" s="190" t="str">
        <f>IF(ISNUMBER(deployment_raw[[#This Row],[Column12]]), (deployment_raw[[#This Row],[Column12]] * deployment_raw[[#This Row],[Column5]]),"")</f>
        <v/>
      </c>
      <c r="Q946" s="189" t="str">
        <f>IF(ISNUMBER(deployment_raw[[#This Row],[Column13]]), (deployment_raw[[#This Row],[Column13]] * deployment_raw[[#This Row],[Column5]])/1048576,"")</f>
        <v/>
      </c>
    </row>
    <row r="947" spans="1:17" ht="15" customHeight="1" x14ac:dyDescent="0.25">
      <c r="A947" s="37" t="str">
        <f>IF(ISNONTEXT(deployment_raw[[#This Row],[Column1]]), "", deployment_raw[[#This Row],[Column1]])</f>
        <v/>
      </c>
      <c r="B947" s="38" t="str">
        <f>IF(ISNONTEXT(deployment_raw[[#This Row],[Column2]]), "", deployment_raw[[#This Row],[Column2]])</f>
        <v/>
      </c>
      <c r="C947" s="38" t="str">
        <f>IF(ISNONTEXT(deployment_raw[[#This Row],[Column3]]), "", deployment_raw[[#This Row],[Column3]])</f>
        <v/>
      </c>
      <c r="D947" s="38" t="str">
        <f>IF(ISNONTEXT(deployment_raw[[#This Row],[Column4]]), "", deployment_raw[[#This Row],[Column4]])</f>
        <v/>
      </c>
      <c r="E947" s="39" t="str">
        <f>IF(ISNUMBER(deployment_raw[[#This Row],[Column5]]), deployment_raw[[#This Row],[Column5]],"")</f>
        <v/>
      </c>
      <c r="F947" s="174" t="str">
        <f>IF(ISNUMBER(deployment_raw[[#This Row],[Column6]]), (deployment_raw[[#This Row],[Column6]] * deployment_raw[[#This Row],[Column5]]),"")</f>
        <v/>
      </c>
      <c r="G947" s="175" t="str">
        <f>IF(ISNUMBER(deployment_raw[[#This Row],[Column7]]), (deployment_raw[[#This Row],[Column7]] * deployment_raw[[#This Row],[Column5]])/1048576,"")</f>
        <v/>
      </c>
      <c r="H947" s="175" t="str">
        <f>IF(ISNUMBER(deployment_raw[[#This Row],[Column8]]), (deployment_raw[[#This Row],[Column8]]  * deployment_raw[[#This Row],[Column5]]),"")</f>
        <v/>
      </c>
      <c r="I947" s="176" t="str">
        <f>IF(ISNUMBER(deployment_raw[[#This Row],[Column9]]), (deployment_raw[[#This Row],[Column9]] * deployment_raw[[#This Row],[Column5]])/1048576,"")</f>
        <v/>
      </c>
      <c r="J947" s="57" t="str">
        <f>IF(ISNUMBER(deployment_raw[[#This Row],[Column10]]), (deployment_raw[[#This Row],[Column10]] * deployment_raw[[#This Row],[Column5]]),"")</f>
        <v/>
      </c>
      <c r="K947" s="58" t="str">
        <f>IF(ISNUMBER(deployment_raw[[#This Row],[Column11]]), (deployment_raw[[#This Row],[Column11]] * deployment_raw[[#This Row],[Column5]])/1048576,"")</f>
        <v/>
      </c>
      <c r="L947" s="180" t="str">
        <f>IF(ISNUMBER(deployment_raw[[#This Row],[Column8]]),IF(deployment_raw[[#This Row],[Column5]] &lt;&gt; 0, MAX((deployment_raw[[#This Row],[Column12]] * deployment_raw[[#This Row],[Column5]]), ((deployment_raw[[#This Row],[Column8]] * deployment_raw[[#This Row],[Column5]]) * $L$2), ($H$2 * deployment_raw[[#This Row],[Column5]])), 0),"")</f>
        <v/>
      </c>
      <c r="M94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47" s="188" t="str">
        <f>IF(ISNUMBER(deployment_raw[[#This Row],[Column14]]), deployment_raw[[#This Row],[Column14]],"")</f>
        <v/>
      </c>
      <c r="O947" s="189" t="str">
        <f>IF(ISNUMBER(deployment_raw[[#This Row],[Column15]]), deployment_raw[[#This Row],[Column15]]/1048576,"")</f>
        <v/>
      </c>
      <c r="P947" s="190" t="str">
        <f>IF(ISNUMBER(deployment_raw[[#This Row],[Column12]]), (deployment_raw[[#This Row],[Column12]] * deployment_raw[[#This Row],[Column5]]),"")</f>
        <v/>
      </c>
      <c r="Q947" s="189" t="str">
        <f>IF(ISNUMBER(deployment_raw[[#This Row],[Column13]]), (deployment_raw[[#This Row],[Column13]] * deployment_raw[[#This Row],[Column5]])/1048576,"")</f>
        <v/>
      </c>
    </row>
    <row r="948" spans="1:17" ht="15" customHeight="1" x14ac:dyDescent="0.25">
      <c r="A948" s="37" t="str">
        <f>IF(ISNONTEXT(deployment_raw[[#This Row],[Column1]]), "", deployment_raw[[#This Row],[Column1]])</f>
        <v/>
      </c>
      <c r="B948" s="38" t="str">
        <f>IF(ISNONTEXT(deployment_raw[[#This Row],[Column2]]), "", deployment_raw[[#This Row],[Column2]])</f>
        <v/>
      </c>
      <c r="C948" s="38" t="str">
        <f>IF(ISNONTEXT(deployment_raw[[#This Row],[Column3]]), "", deployment_raw[[#This Row],[Column3]])</f>
        <v/>
      </c>
      <c r="D948" s="38" t="str">
        <f>IF(ISNONTEXT(deployment_raw[[#This Row],[Column4]]), "", deployment_raw[[#This Row],[Column4]])</f>
        <v/>
      </c>
      <c r="E948" s="39" t="str">
        <f>IF(ISNUMBER(deployment_raw[[#This Row],[Column5]]), deployment_raw[[#This Row],[Column5]],"")</f>
        <v/>
      </c>
      <c r="F948" s="174" t="str">
        <f>IF(ISNUMBER(deployment_raw[[#This Row],[Column6]]), (deployment_raw[[#This Row],[Column6]] * deployment_raw[[#This Row],[Column5]]),"")</f>
        <v/>
      </c>
      <c r="G948" s="175" t="str">
        <f>IF(ISNUMBER(deployment_raw[[#This Row],[Column7]]), (deployment_raw[[#This Row],[Column7]] * deployment_raw[[#This Row],[Column5]])/1048576,"")</f>
        <v/>
      </c>
      <c r="H948" s="175" t="str">
        <f>IF(ISNUMBER(deployment_raw[[#This Row],[Column8]]), (deployment_raw[[#This Row],[Column8]]  * deployment_raw[[#This Row],[Column5]]),"")</f>
        <v/>
      </c>
      <c r="I948" s="176" t="str">
        <f>IF(ISNUMBER(deployment_raw[[#This Row],[Column9]]), (deployment_raw[[#This Row],[Column9]] * deployment_raw[[#This Row],[Column5]])/1048576,"")</f>
        <v/>
      </c>
      <c r="J948" s="57" t="str">
        <f>IF(ISNUMBER(deployment_raw[[#This Row],[Column10]]), (deployment_raw[[#This Row],[Column10]] * deployment_raw[[#This Row],[Column5]]),"")</f>
        <v/>
      </c>
      <c r="K948" s="58" t="str">
        <f>IF(ISNUMBER(deployment_raw[[#This Row],[Column11]]), (deployment_raw[[#This Row],[Column11]] * deployment_raw[[#This Row],[Column5]])/1048576,"")</f>
        <v/>
      </c>
      <c r="L948" s="180" t="str">
        <f>IF(ISNUMBER(deployment_raw[[#This Row],[Column8]]),IF(deployment_raw[[#This Row],[Column5]] &lt;&gt; 0, MAX((deployment_raw[[#This Row],[Column12]] * deployment_raw[[#This Row],[Column5]]), ((deployment_raw[[#This Row],[Column8]] * deployment_raw[[#This Row],[Column5]]) * $L$2), ($H$2 * deployment_raw[[#This Row],[Column5]])), 0),"")</f>
        <v/>
      </c>
      <c r="M94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48" s="188" t="str">
        <f>IF(ISNUMBER(deployment_raw[[#This Row],[Column14]]), deployment_raw[[#This Row],[Column14]],"")</f>
        <v/>
      </c>
      <c r="O948" s="189" t="str">
        <f>IF(ISNUMBER(deployment_raw[[#This Row],[Column15]]), deployment_raw[[#This Row],[Column15]]/1048576,"")</f>
        <v/>
      </c>
      <c r="P948" s="190" t="str">
        <f>IF(ISNUMBER(deployment_raw[[#This Row],[Column12]]), (deployment_raw[[#This Row],[Column12]] * deployment_raw[[#This Row],[Column5]]),"")</f>
        <v/>
      </c>
      <c r="Q948" s="189" t="str">
        <f>IF(ISNUMBER(deployment_raw[[#This Row],[Column13]]), (deployment_raw[[#This Row],[Column13]] * deployment_raw[[#This Row],[Column5]])/1048576,"")</f>
        <v/>
      </c>
    </row>
    <row r="949" spans="1:17" ht="15" customHeight="1" x14ac:dyDescent="0.25">
      <c r="A949" s="37" t="str">
        <f>IF(ISNONTEXT(deployment_raw[[#This Row],[Column1]]), "", deployment_raw[[#This Row],[Column1]])</f>
        <v/>
      </c>
      <c r="B949" s="38" t="str">
        <f>IF(ISNONTEXT(deployment_raw[[#This Row],[Column2]]), "", deployment_raw[[#This Row],[Column2]])</f>
        <v/>
      </c>
      <c r="C949" s="38" t="str">
        <f>IF(ISNONTEXT(deployment_raw[[#This Row],[Column3]]), "", deployment_raw[[#This Row],[Column3]])</f>
        <v/>
      </c>
      <c r="D949" s="38" t="str">
        <f>IF(ISNONTEXT(deployment_raw[[#This Row],[Column4]]), "", deployment_raw[[#This Row],[Column4]])</f>
        <v/>
      </c>
      <c r="E949" s="39" t="str">
        <f>IF(ISNUMBER(deployment_raw[[#This Row],[Column5]]), deployment_raw[[#This Row],[Column5]],"")</f>
        <v/>
      </c>
      <c r="F949" s="174" t="str">
        <f>IF(ISNUMBER(deployment_raw[[#This Row],[Column6]]), (deployment_raw[[#This Row],[Column6]] * deployment_raw[[#This Row],[Column5]]),"")</f>
        <v/>
      </c>
      <c r="G949" s="175" t="str">
        <f>IF(ISNUMBER(deployment_raw[[#This Row],[Column7]]), (deployment_raw[[#This Row],[Column7]] * deployment_raw[[#This Row],[Column5]])/1048576,"")</f>
        <v/>
      </c>
      <c r="H949" s="175" t="str">
        <f>IF(ISNUMBER(deployment_raw[[#This Row],[Column8]]), (deployment_raw[[#This Row],[Column8]]  * deployment_raw[[#This Row],[Column5]]),"")</f>
        <v/>
      </c>
      <c r="I949" s="176" t="str">
        <f>IF(ISNUMBER(deployment_raw[[#This Row],[Column9]]), (deployment_raw[[#This Row],[Column9]] * deployment_raw[[#This Row],[Column5]])/1048576,"")</f>
        <v/>
      </c>
      <c r="J949" s="57" t="str">
        <f>IF(ISNUMBER(deployment_raw[[#This Row],[Column10]]), (deployment_raw[[#This Row],[Column10]] * deployment_raw[[#This Row],[Column5]]),"")</f>
        <v/>
      </c>
      <c r="K949" s="58" t="str">
        <f>IF(ISNUMBER(deployment_raw[[#This Row],[Column11]]), (deployment_raw[[#This Row],[Column11]] * deployment_raw[[#This Row],[Column5]])/1048576,"")</f>
        <v/>
      </c>
      <c r="L949" s="180" t="str">
        <f>IF(ISNUMBER(deployment_raw[[#This Row],[Column8]]),IF(deployment_raw[[#This Row],[Column5]] &lt;&gt; 0, MAX((deployment_raw[[#This Row],[Column12]] * deployment_raw[[#This Row],[Column5]]), ((deployment_raw[[#This Row],[Column8]] * deployment_raw[[#This Row],[Column5]]) * $L$2), ($H$2 * deployment_raw[[#This Row],[Column5]])), 0),"")</f>
        <v/>
      </c>
      <c r="M94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49" s="188" t="str">
        <f>IF(ISNUMBER(deployment_raw[[#This Row],[Column14]]), deployment_raw[[#This Row],[Column14]],"")</f>
        <v/>
      </c>
      <c r="O949" s="189" t="str">
        <f>IF(ISNUMBER(deployment_raw[[#This Row],[Column15]]), deployment_raw[[#This Row],[Column15]]/1048576,"")</f>
        <v/>
      </c>
      <c r="P949" s="190" t="str">
        <f>IF(ISNUMBER(deployment_raw[[#This Row],[Column12]]), (deployment_raw[[#This Row],[Column12]] * deployment_raw[[#This Row],[Column5]]),"")</f>
        <v/>
      </c>
      <c r="Q949" s="189" t="str">
        <f>IF(ISNUMBER(deployment_raw[[#This Row],[Column13]]), (deployment_raw[[#This Row],[Column13]] * deployment_raw[[#This Row],[Column5]])/1048576,"")</f>
        <v/>
      </c>
    </row>
    <row r="950" spans="1:17" ht="15" customHeight="1" x14ac:dyDescent="0.25">
      <c r="A950" s="37" t="str">
        <f>IF(ISNONTEXT(deployment_raw[[#This Row],[Column1]]), "", deployment_raw[[#This Row],[Column1]])</f>
        <v/>
      </c>
      <c r="B950" s="38" t="str">
        <f>IF(ISNONTEXT(deployment_raw[[#This Row],[Column2]]), "", deployment_raw[[#This Row],[Column2]])</f>
        <v/>
      </c>
      <c r="C950" s="38" t="str">
        <f>IF(ISNONTEXT(deployment_raw[[#This Row],[Column3]]), "", deployment_raw[[#This Row],[Column3]])</f>
        <v/>
      </c>
      <c r="D950" s="38" t="str">
        <f>IF(ISNONTEXT(deployment_raw[[#This Row],[Column4]]), "", deployment_raw[[#This Row],[Column4]])</f>
        <v/>
      </c>
      <c r="E950" s="39" t="str">
        <f>IF(ISNUMBER(deployment_raw[[#This Row],[Column5]]), deployment_raw[[#This Row],[Column5]],"")</f>
        <v/>
      </c>
      <c r="F950" s="174" t="str">
        <f>IF(ISNUMBER(deployment_raw[[#This Row],[Column6]]), (deployment_raw[[#This Row],[Column6]] * deployment_raw[[#This Row],[Column5]]),"")</f>
        <v/>
      </c>
      <c r="G950" s="175" t="str">
        <f>IF(ISNUMBER(deployment_raw[[#This Row],[Column7]]), (deployment_raw[[#This Row],[Column7]] * deployment_raw[[#This Row],[Column5]])/1048576,"")</f>
        <v/>
      </c>
      <c r="H950" s="175" t="str">
        <f>IF(ISNUMBER(deployment_raw[[#This Row],[Column8]]), (deployment_raw[[#This Row],[Column8]]  * deployment_raw[[#This Row],[Column5]]),"")</f>
        <v/>
      </c>
      <c r="I950" s="176" t="str">
        <f>IF(ISNUMBER(deployment_raw[[#This Row],[Column9]]), (deployment_raw[[#This Row],[Column9]] * deployment_raw[[#This Row],[Column5]])/1048576,"")</f>
        <v/>
      </c>
      <c r="J950" s="57" t="str">
        <f>IF(ISNUMBER(deployment_raw[[#This Row],[Column10]]), (deployment_raw[[#This Row],[Column10]] * deployment_raw[[#This Row],[Column5]]),"")</f>
        <v/>
      </c>
      <c r="K950" s="58" t="str">
        <f>IF(ISNUMBER(deployment_raw[[#This Row],[Column11]]), (deployment_raw[[#This Row],[Column11]] * deployment_raw[[#This Row],[Column5]])/1048576,"")</f>
        <v/>
      </c>
      <c r="L950" s="180" t="str">
        <f>IF(ISNUMBER(deployment_raw[[#This Row],[Column8]]),IF(deployment_raw[[#This Row],[Column5]] &lt;&gt; 0, MAX((deployment_raw[[#This Row],[Column12]] * deployment_raw[[#This Row],[Column5]]), ((deployment_raw[[#This Row],[Column8]] * deployment_raw[[#This Row],[Column5]]) * $L$2), ($H$2 * deployment_raw[[#This Row],[Column5]])), 0),"")</f>
        <v/>
      </c>
      <c r="M95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50" s="188" t="str">
        <f>IF(ISNUMBER(deployment_raw[[#This Row],[Column14]]), deployment_raw[[#This Row],[Column14]],"")</f>
        <v/>
      </c>
      <c r="O950" s="189" t="str">
        <f>IF(ISNUMBER(deployment_raw[[#This Row],[Column15]]), deployment_raw[[#This Row],[Column15]]/1048576,"")</f>
        <v/>
      </c>
      <c r="P950" s="190" t="str">
        <f>IF(ISNUMBER(deployment_raw[[#This Row],[Column12]]), (deployment_raw[[#This Row],[Column12]] * deployment_raw[[#This Row],[Column5]]),"")</f>
        <v/>
      </c>
      <c r="Q950" s="189" t="str">
        <f>IF(ISNUMBER(deployment_raw[[#This Row],[Column13]]), (deployment_raw[[#This Row],[Column13]] * deployment_raw[[#This Row],[Column5]])/1048576,"")</f>
        <v/>
      </c>
    </row>
    <row r="951" spans="1:17" ht="15" customHeight="1" x14ac:dyDescent="0.25">
      <c r="A951" s="37" t="str">
        <f>IF(ISNONTEXT(deployment_raw[[#This Row],[Column1]]), "", deployment_raw[[#This Row],[Column1]])</f>
        <v/>
      </c>
      <c r="B951" s="38" t="str">
        <f>IF(ISNONTEXT(deployment_raw[[#This Row],[Column2]]), "", deployment_raw[[#This Row],[Column2]])</f>
        <v/>
      </c>
      <c r="C951" s="38" t="str">
        <f>IF(ISNONTEXT(deployment_raw[[#This Row],[Column3]]), "", deployment_raw[[#This Row],[Column3]])</f>
        <v/>
      </c>
      <c r="D951" s="38" t="str">
        <f>IF(ISNONTEXT(deployment_raw[[#This Row],[Column4]]), "", deployment_raw[[#This Row],[Column4]])</f>
        <v/>
      </c>
      <c r="E951" s="39" t="str">
        <f>IF(ISNUMBER(deployment_raw[[#This Row],[Column5]]), deployment_raw[[#This Row],[Column5]],"")</f>
        <v/>
      </c>
      <c r="F951" s="174" t="str">
        <f>IF(ISNUMBER(deployment_raw[[#This Row],[Column6]]), (deployment_raw[[#This Row],[Column6]] * deployment_raw[[#This Row],[Column5]]),"")</f>
        <v/>
      </c>
      <c r="G951" s="175" t="str">
        <f>IF(ISNUMBER(deployment_raw[[#This Row],[Column7]]), (deployment_raw[[#This Row],[Column7]] * deployment_raw[[#This Row],[Column5]])/1048576,"")</f>
        <v/>
      </c>
      <c r="H951" s="175" t="str">
        <f>IF(ISNUMBER(deployment_raw[[#This Row],[Column8]]), (deployment_raw[[#This Row],[Column8]]  * deployment_raw[[#This Row],[Column5]]),"")</f>
        <v/>
      </c>
      <c r="I951" s="176" t="str">
        <f>IF(ISNUMBER(deployment_raw[[#This Row],[Column9]]), (deployment_raw[[#This Row],[Column9]] * deployment_raw[[#This Row],[Column5]])/1048576,"")</f>
        <v/>
      </c>
      <c r="J951" s="57" t="str">
        <f>IF(ISNUMBER(deployment_raw[[#This Row],[Column10]]), (deployment_raw[[#This Row],[Column10]] * deployment_raw[[#This Row],[Column5]]),"")</f>
        <v/>
      </c>
      <c r="K951" s="58" t="str">
        <f>IF(ISNUMBER(deployment_raw[[#This Row],[Column11]]), (deployment_raw[[#This Row],[Column11]] * deployment_raw[[#This Row],[Column5]])/1048576,"")</f>
        <v/>
      </c>
      <c r="L951" s="180" t="str">
        <f>IF(ISNUMBER(deployment_raw[[#This Row],[Column8]]),IF(deployment_raw[[#This Row],[Column5]] &lt;&gt; 0, MAX((deployment_raw[[#This Row],[Column12]] * deployment_raw[[#This Row],[Column5]]), ((deployment_raw[[#This Row],[Column8]] * deployment_raw[[#This Row],[Column5]]) * $L$2), ($H$2 * deployment_raw[[#This Row],[Column5]])), 0),"")</f>
        <v/>
      </c>
      <c r="M95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51" s="188" t="str">
        <f>IF(ISNUMBER(deployment_raw[[#This Row],[Column14]]), deployment_raw[[#This Row],[Column14]],"")</f>
        <v/>
      </c>
      <c r="O951" s="189" t="str">
        <f>IF(ISNUMBER(deployment_raw[[#This Row],[Column15]]), deployment_raw[[#This Row],[Column15]]/1048576,"")</f>
        <v/>
      </c>
      <c r="P951" s="190" t="str">
        <f>IF(ISNUMBER(deployment_raw[[#This Row],[Column12]]), (deployment_raw[[#This Row],[Column12]] * deployment_raw[[#This Row],[Column5]]),"")</f>
        <v/>
      </c>
      <c r="Q951" s="189" t="str">
        <f>IF(ISNUMBER(deployment_raw[[#This Row],[Column13]]), (deployment_raw[[#This Row],[Column13]] * deployment_raw[[#This Row],[Column5]])/1048576,"")</f>
        <v/>
      </c>
    </row>
    <row r="952" spans="1:17" ht="15" customHeight="1" x14ac:dyDescent="0.25">
      <c r="A952" s="37" t="str">
        <f>IF(ISNONTEXT(deployment_raw[[#This Row],[Column1]]), "", deployment_raw[[#This Row],[Column1]])</f>
        <v/>
      </c>
      <c r="B952" s="38" t="str">
        <f>IF(ISNONTEXT(deployment_raw[[#This Row],[Column2]]), "", deployment_raw[[#This Row],[Column2]])</f>
        <v/>
      </c>
      <c r="C952" s="38" t="str">
        <f>IF(ISNONTEXT(deployment_raw[[#This Row],[Column3]]), "", deployment_raw[[#This Row],[Column3]])</f>
        <v/>
      </c>
      <c r="D952" s="38" t="str">
        <f>IF(ISNONTEXT(deployment_raw[[#This Row],[Column4]]), "", deployment_raw[[#This Row],[Column4]])</f>
        <v/>
      </c>
      <c r="E952" s="39" t="str">
        <f>IF(ISNUMBER(deployment_raw[[#This Row],[Column5]]), deployment_raw[[#This Row],[Column5]],"")</f>
        <v/>
      </c>
      <c r="F952" s="174" t="str">
        <f>IF(ISNUMBER(deployment_raw[[#This Row],[Column6]]), (deployment_raw[[#This Row],[Column6]] * deployment_raw[[#This Row],[Column5]]),"")</f>
        <v/>
      </c>
      <c r="G952" s="175" t="str">
        <f>IF(ISNUMBER(deployment_raw[[#This Row],[Column7]]), (deployment_raw[[#This Row],[Column7]] * deployment_raw[[#This Row],[Column5]])/1048576,"")</f>
        <v/>
      </c>
      <c r="H952" s="175" t="str">
        <f>IF(ISNUMBER(deployment_raw[[#This Row],[Column8]]), (deployment_raw[[#This Row],[Column8]]  * deployment_raw[[#This Row],[Column5]]),"")</f>
        <v/>
      </c>
      <c r="I952" s="176" t="str">
        <f>IF(ISNUMBER(deployment_raw[[#This Row],[Column9]]), (deployment_raw[[#This Row],[Column9]] * deployment_raw[[#This Row],[Column5]])/1048576,"")</f>
        <v/>
      </c>
      <c r="J952" s="57" t="str">
        <f>IF(ISNUMBER(deployment_raw[[#This Row],[Column10]]), (deployment_raw[[#This Row],[Column10]] * deployment_raw[[#This Row],[Column5]]),"")</f>
        <v/>
      </c>
      <c r="K952" s="58" t="str">
        <f>IF(ISNUMBER(deployment_raw[[#This Row],[Column11]]), (deployment_raw[[#This Row],[Column11]] * deployment_raw[[#This Row],[Column5]])/1048576,"")</f>
        <v/>
      </c>
      <c r="L952" s="180" t="str">
        <f>IF(ISNUMBER(deployment_raw[[#This Row],[Column8]]),IF(deployment_raw[[#This Row],[Column5]] &lt;&gt; 0, MAX((deployment_raw[[#This Row],[Column12]] * deployment_raw[[#This Row],[Column5]]), ((deployment_raw[[#This Row],[Column8]] * deployment_raw[[#This Row],[Column5]]) * $L$2), ($H$2 * deployment_raw[[#This Row],[Column5]])), 0),"")</f>
        <v/>
      </c>
      <c r="M95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52" s="188" t="str">
        <f>IF(ISNUMBER(deployment_raw[[#This Row],[Column14]]), deployment_raw[[#This Row],[Column14]],"")</f>
        <v/>
      </c>
      <c r="O952" s="189" t="str">
        <f>IF(ISNUMBER(deployment_raw[[#This Row],[Column15]]), deployment_raw[[#This Row],[Column15]]/1048576,"")</f>
        <v/>
      </c>
      <c r="P952" s="190" t="str">
        <f>IF(ISNUMBER(deployment_raw[[#This Row],[Column12]]), (deployment_raw[[#This Row],[Column12]] * deployment_raw[[#This Row],[Column5]]),"")</f>
        <v/>
      </c>
      <c r="Q952" s="189" t="str">
        <f>IF(ISNUMBER(deployment_raw[[#This Row],[Column13]]), (deployment_raw[[#This Row],[Column13]] * deployment_raw[[#This Row],[Column5]])/1048576,"")</f>
        <v/>
      </c>
    </row>
    <row r="953" spans="1:17" ht="15" customHeight="1" x14ac:dyDescent="0.25">
      <c r="A953" s="37" t="str">
        <f>IF(ISNONTEXT(deployment_raw[[#This Row],[Column1]]), "", deployment_raw[[#This Row],[Column1]])</f>
        <v/>
      </c>
      <c r="B953" s="38" t="str">
        <f>IF(ISNONTEXT(deployment_raw[[#This Row],[Column2]]), "", deployment_raw[[#This Row],[Column2]])</f>
        <v/>
      </c>
      <c r="C953" s="38" t="str">
        <f>IF(ISNONTEXT(deployment_raw[[#This Row],[Column3]]), "", deployment_raw[[#This Row],[Column3]])</f>
        <v/>
      </c>
      <c r="D953" s="38" t="str">
        <f>IF(ISNONTEXT(deployment_raw[[#This Row],[Column4]]), "", deployment_raw[[#This Row],[Column4]])</f>
        <v/>
      </c>
      <c r="E953" s="39" t="str">
        <f>IF(ISNUMBER(deployment_raw[[#This Row],[Column5]]), deployment_raw[[#This Row],[Column5]],"")</f>
        <v/>
      </c>
      <c r="F953" s="174" t="str">
        <f>IF(ISNUMBER(deployment_raw[[#This Row],[Column6]]), (deployment_raw[[#This Row],[Column6]] * deployment_raw[[#This Row],[Column5]]),"")</f>
        <v/>
      </c>
      <c r="G953" s="175" t="str">
        <f>IF(ISNUMBER(deployment_raw[[#This Row],[Column7]]), (deployment_raw[[#This Row],[Column7]] * deployment_raw[[#This Row],[Column5]])/1048576,"")</f>
        <v/>
      </c>
      <c r="H953" s="175" t="str">
        <f>IF(ISNUMBER(deployment_raw[[#This Row],[Column8]]), (deployment_raw[[#This Row],[Column8]]  * deployment_raw[[#This Row],[Column5]]),"")</f>
        <v/>
      </c>
      <c r="I953" s="176" t="str">
        <f>IF(ISNUMBER(deployment_raw[[#This Row],[Column9]]), (deployment_raw[[#This Row],[Column9]] * deployment_raw[[#This Row],[Column5]])/1048576,"")</f>
        <v/>
      </c>
      <c r="J953" s="57" t="str">
        <f>IF(ISNUMBER(deployment_raw[[#This Row],[Column10]]), (deployment_raw[[#This Row],[Column10]] * deployment_raw[[#This Row],[Column5]]),"")</f>
        <v/>
      </c>
      <c r="K953" s="58" t="str">
        <f>IF(ISNUMBER(deployment_raw[[#This Row],[Column11]]), (deployment_raw[[#This Row],[Column11]] * deployment_raw[[#This Row],[Column5]])/1048576,"")</f>
        <v/>
      </c>
      <c r="L953" s="180" t="str">
        <f>IF(ISNUMBER(deployment_raw[[#This Row],[Column8]]),IF(deployment_raw[[#This Row],[Column5]] &lt;&gt; 0, MAX((deployment_raw[[#This Row],[Column12]] * deployment_raw[[#This Row],[Column5]]), ((deployment_raw[[#This Row],[Column8]] * deployment_raw[[#This Row],[Column5]]) * $L$2), ($H$2 * deployment_raw[[#This Row],[Column5]])), 0),"")</f>
        <v/>
      </c>
      <c r="M95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53" s="188" t="str">
        <f>IF(ISNUMBER(deployment_raw[[#This Row],[Column14]]), deployment_raw[[#This Row],[Column14]],"")</f>
        <v/>
      </c>
      <c r="O953" s="189" t="str">
        <f>IF(ISNUMBER(deployment_raw[[#This Row],[Column15]]), deployment_raw[[#This Row],[Column15]]/1048576,"")</f>
        <v/>
      </c>
      <c r="P953" s="190" t="str">
        <f>IF(ISNUMBER(deployment_raw[[#This Row],[Column12]]), (deployment_raw[[#This Row],[Column12]] * deployment_raw[[#This Row],[Column5]]),"")</f>
        <v/>
      </c>
      <c r="Q953" s="189" t="str">
        <f>IF(ISNUMBER(deployment_raw[[#This Row],[Column13]]), (deployment_raw[[#This Row],[Column13]] * deployment_raw[[#This Row],[Column5]])/1048576,"")</f>
        <v/>
      </c>
    </row>
    <row r="954" spans="1:17" ht="15" customHeight="1" x14ac:dyDescent="0.25">
      <c r="A954" s="37" t="str">
        <f>IF(ISNONTEXT(deployment_raw[[#This Row],[Column1]]), "", deployment_raw[[#This Row],[Column1]])</f>
        <v/>
      </c>
      <c r="B954" s="38" t="str">
        <f>IF(ISNONTEXT(deployment_raw[[#This Row],[Column2]]), "", deployment_raw[[#This Row],[Column2]])</f>
        <v/>
      </c>
      <c r="C954" s="38" t="str">
        <f>IF(ISNONTEXT(deployment_raw[[#This Row],[Column3]]), "", deployment_raw[[#This Row],[Column3]])</f>
        <v/>
      </c>
      <c r="D954" s="38" t="str">
        <f>IF(ISNONTEXT(deployment_raw[[#This Row],[Column4]]), "", deployment_raw[[#This Row],[Column4]])</f>
        <v/>
      </c>
      <c r="E954" s="39" t="str">
        <f>IF(ISNUMBER(deployment_raw[[#This Row],[Column5]]), deployment_raw[[#This Row],[Column5]],"")</f>
        <v/>
      </c>
      <c r="F954" s="174" t="str">
        <f>IF(ISNUMBER(deployment_raw[[#This Row],[Column6]]), (deployment_raw[[#This Row],[Column6]] * deployment_raw[[#This Row],[Column5]]),"")</f>
        <v/>
      </c>
      <c r="G954" s="175" t="str">
        <f>IF(ISNUMBER(deployment_raw[[#This Row],[Column7]]), (deployment_raw[[#This Row],[Column7]] * deployment_raw[[#This Row],[Column5]])/1048576,"")</f>
        <v/>
      </c>
      <c r="H954" s="175" t="str">
        <f>IF(ISNUMBER(deployment_raw[[#This Row],[Column8]]), (deployment_raw[[#This Row],[Column8]]  * deployment_raw[[#This Row],[Column5]]),"")</f>
        <v/>
      </c>
      <c r="I954" s="176" t="str">
        <f>IF(ISNUMBER(deployment_raw[[#This Row],[Column9]]), (deployment_raw[[#This Row],[Column9]] * deployment_raw[[#This Row],[Column5]])/1048576,"")</f>
        <v/>
      </c>
      <c r="J954" s="57" t="str">
        <f>IF(ISNUMBER(deployment_raw[[#This Row],[Column10]]), (deployment_raw[[#This Row],[Column10]] * deployment_raw[[#This Row],[Column5]]),"")</f>
        <v/>
      </c>
      <c r="K954" s="58" t="str">
        <f>IF(ISNUMBER(deployment_raw[[#This Row],[Column11]]), (deployment_raw[[#This Row],[Column11]] * deployment_raw[[#This Row],[Column5]])/1048576,"")</f>
        <v/>
      </c>
      <c r="L954" s="180" t="str">
        <f>IF(ISNUMBER(deployment_raw[[#This Row],[Column8]]),IF(deployment_raw[[#This Row],[Column5]] &lt;&gt; 0, MAX((deployment_raw[[#This Row],[Column12]] * deployment_raw[[#This Row],[Column5]]), ((deployment_raw[[#This Row],[Column8]] * deployment_raw[[#This Row],[Column5]]) * $L$2), ($H$2 * deployment_raw[[#This Row],[Column5]])), 0),"")</f>
        <v/>
      </c>
      <c r="M95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54" s="188" t="str">
        <f>IF(ISNUMBER(deployment_raw[[#This Row],[Column14]]), deployment_raw[[#This Row],[Column14]],"")</f>
        <v/>
      </c>
      <c r="O954" s="189" t="str">
        <f>IF(ISNUMBER(deployment_raw[[#This Row],[Column15]]), deployment_raw[[#This Row],[Column15]]/1048576,"")</f>
        <v/>
      </c>
      <c r="P954" s="190" t="str">
        <f>IF(ISNUMBER(deployment_raw[[#This Row],[Column12]]), (deployment_raw[[#This Row],[Column12]] * deployment_raw[[#This Row],[Column5]]),"")</f>
        <v/>
      </c>
      <c r="Q954" s="189" t="str">
        <f>IF(ISNUMBER(deployment_raw[[#This Row],[Column13]]), (deployment_raw[[#This Row],[Column13]] * deployment_raw[[#This Row],[Column5]])/1048576,"")</f>
        <v/>
      </c>
    </row>
    <row r="955" spans="1:17" ht="15" customHeight="1" x14ac:dyDescent="0.25">
      <c r="A955" s="37" t="str">
        <f>IF(ISNONTEXT(deployment_raw[[#This Row],[Column1]]), "", deployment_raw[[#This Row],[Column1]])</f>
        <v/>
      </c>
      <c r="B955" s="38" t="str">
        <f>IF(ISNONTEXT(deployment_raw[[#This Row],[Column2]]), "", deployment_raw[[#This Row],[Column2]])</f>
        <v/>
      </c>
      <c r="C955" s="38" t="str">
        <f>IF(ISNONTEXT(deployment_raw[[#This Row],[Column3]]), "", deployment_raw[[#This Row],[Column3]])</f>
        <v/>
      </c>
      <c r="D955" s="38" t="str">
        <f>IF(ISNONTEXT(deployment_raw[[#This Row],[Column4]]), "", deployment_raw[[#This Row],[Column4]])</f>
        <v/>
      </c>
      <c r="E955" s="39" t="str">
        <f>IF(ISNUMBER(deployment_raw[[#This Row],[Column5]]), deployment_raw[[#This Row],[Column5]],"")</f>
        <v/>
      </c>
      <c r="F955" s="174" t="str">
        <f>IF(ISNUMBER(deployment_raw[[#This Row],[Column6]]), (deployment_raw[[#This Row],[Column6]] * deployment_raw[[#This Row],[Column5]]),"")</f>
        <v/>
      </c>
      <c r="G955" s="175" t="str">
        <f>IF(ISNUMBER(deployment_raw[[#This Row],[Column7]]), (deployment_raw[[#This Row],[Column7]] * deployment_raw[[#This Row],[Column5]])/1048576,"")</f>
        <v/>
      </c>
      <c r="H955" s="175" t="str">
        <f>IF(ISNUMBER(deployment_raw[[#This Row],[Column8]]), (deployment_raw[[#This Row],[Column8]]  * deployment_raw[[#This Row],[Column5]]),"")</f>
        <v/>
      </c>
      <c r="I955" s="176" t="str">
        <f>IF(ISNUMBER(deployment_raw[[#This Row],[Column9]]), (deployment_raw[[#This Row],[Column9]] * deployment_raw[[#This Row],[Column5]])/1048576,"")</f>
        <v/>
      </c>
      <c r="J955" s="57" t="str">
        <f>IF(ISNUMBER(deployment_raw[[#This Row],[Column10]]), (deployment_raw[[#This Row],[Column10]] * deployment_raw[[#This Row],[Column5]]),"")</f>
        <v/>
      </c>
      <c r="K955" s="58" t="str">
        <f>IF(ISNUMBER(deployment_raw[[#This Row],[Column11]]), (deployment_raw[[#This Row],[Column11]] * deployment_raw[[#This Row],[Column5]])/1048576,"")</f>
        <v/>
      </c>
      <c r="L955" s="180" t="str">
        <f>IF(ISNUMBER(deployment_raw[[#This Row],[Column8]]),IF(deployment_raw[[#This Row],[Column5]] &lt;&gt; 0, MAX((deployment_raw[[#This Row],[Column12]] * deployment_raw[[#This Row],[Column5]]), ((deployment_raw[[#This Row],[Column8]] * deployment_raw[[#This Row],[Column5]]) * $L$2), ($H$2 * deployment_raw[[#This Row],[Column5]])), 0),"")</f>
        <v/>
      </c>
      <c r="M95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55" s="188" t="str">
        <f>IF(ISNUMBER(deployment_raw[[#This Row],[Column14]]), deployment_raw[[#This Row],[Column14]],"")</f>
        <v/>
      </c>
      <c r="O955" s="189" t="str">
        <f>IF(ISNUMBER(deployment_raw[[#This Row],[Column15]]), deployment_raw[[#This Row],[Column15]]/1048576,"")</f>
        <v/>
      </c>
      <c r="P955" s="190" t="str">
        <f>IF(ISNUMBER(deployment_raw[[#This Row],[Column12]]), (deployment_raw[[#This Row],[Column12]] * deployment_raw[[#This Row],[Column5]]),"")</f>
        <v/>
      </c>
      <c r="Q955" s="189" t="str">
        <f>IF(ISNUMBER(deployment_raw[[#This Row],[Column13]]), (deployment_raw[[#This Row],[Column13]] * deployment_raw[[#This Row],[Column5]])/1048576,"")</f>
        <v/>
      </c>
    </row>
    <row r="956" spans="1:17" ht="15" customHeight="1" x14ac:dyDescent="0.25">
      <c r="A956" s="37" t="str">
        <f>IF(ISNONTEXT(deployment_raw[[#This Row],[Column1]]), "", deployment_raw[[#This Row],[Column1]])</f>
        <v/>
      </c>
      <c r="B956" s="38" t="str">
        <f>IF(ISNONTEXT(deployment_raw[[#This Row],[Column2]]), "", deployment_raw[[#This Row],[Column2]])</f>
        <v/>
      </c>
      <c r="C956" s="38" t="str">
        <f>IF(ISNONTEXT(deployment_raw[[#This Row],[Column3]]), "", deployment_raw[[#This Row],[Column3]])</f>
        <v/>
      </c>
      <c r="D956" s="38" t="str">
        <f>IF(ISNONTEXT(deployment_raw[[#This Row],[Column4]]), "", deployment_raw[[#This Row],[Column4]])</f>
        <v/>
      </c>
      <c r="E956" s="39" t="str">
        <f>IF(ISNUMBER(deployment_raw[[#This Row],[Column5]]), deployment_raw[[#This Row],[Column5]],"")</f>
        <v/>
      </c>
      <c r="F956" s="174" t="str">
        <f>IF(ISNUMBER(deployment_raw[[#This Row],[Column6]]), (deployment_raw[[#This Row],[Column6]] * deployment_raw[[#This Row],[Column5]]),"")</f>
        <v/>
      </c>
      <c r="G956" s="175" t="str">
        <f>IF(ISNUMBER(deployment_raw[[#This Row],[Column7]]), (deployment_raw[[#This Row],[Column7]] * deployment_raw[[#This Row],[Column5]])/1048576,"")</f>
        <v/>
      </c>
      <c r="H956" s="175" t="str">
        <f>IF(ISNUMBER(deployment_raw[[#This Row],[Column8]]), (deployment_raw[[#This Row],[Column8]]  * deployment_raw[[#This Row],[Column5]]),"")</f>
        <v/>
      </c>
      <c r="I956" s="176" t="str">
        <f>IF(ISNUMBER(deployment_raw[[#This Row],[Column9]]), (deployment_raw[[#This Row],[Column9]] * deployment_raw[[#This Row],[Column5]])/1048576,"")</f>
        <v/>
      </c>
      <c r="J956" s="57" t="str">
        <f>IF(ISNUMBER(deployment_raw[[#This Row],[Column10]]), (deployment_raw[[#This Row],[Column10]] * deployment_raw[[#This Row],[Column5]]),"")</f>
        <v/>
      </c>
      <c r="K956" s="58" t="str">
        <f>IF(ISNUMBER(deployment_raw[[#This Row],[Column11]]), (deployment_raw[[#This Row],[Column11]] * deployment_raw[[#This Row],[Column5]])/1048576,"")</f>
        <v/>
      </c>
      <c r="L956" s="180" t="str">
        <f>IF(ISNUMBER(deployment_raw[[#This Row],[Column8]]),IF(deployment_raw[[#This Row],[Column5]] &lt;&gt; 0, MAX((deployment_raw[[#This Row],[Column12]] * deployment_raw[[#This Row],[Column5]]), ((deployment_raw[[#This Row],[Column8]] * deployment_raw[[#This Row],[Column5]]) * $L$2), ($H$2 * deployment_raw[[#This Row],[Column5]])), 0),"")</f>
        <v/>
      </c>
      <c r="M95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56" s="188" t="str">
        <f>IF(ISNUMBER(deployment_raw[[#This Row],[Column14]]), deployment_raw[[#This Row],[Column14]],"")</f>
        <v/>
      </c>
      <c r="O956" s="189" t="str">
        <f>IF(ISNUMBER(deployment_raw[[#This Row],[Column15]]), deployment_raw[[#This Row],[Column15]]/1048576,"")</f>
        <v/>
      </c>
      <c r="P956" s="190" t="str">
        <f>IF(ISNUMBER(deployment_raw[[#This Row],[Column12]]), (deployment_raw[[#This Row],[Column12]] * deployment_raw[[#This Row],[Column5]]),"")</f>
        <v/>
      </c>
      <c r="Q956" s="189" t="str">
        <f>IF(ISNUMBER(deployment_raw[[#This Row],[Column13]]), (deployment_raw[[#This Row],[Column13]] * deployment_raw[[#This Row],[Column5]])/1048576,"")</f>
        <v/>
      </c>
    </row>
    <row r="957" spans="1:17" ht="15" customHeight="1" x14ac:dyDescent="0.25">
      <c r="A957" s="37" t="str">
        <f>IF(ISNONTEXT(deployment_raw[[#This Row],[Column1]]), "", deployment_raw[[#This Row],[Column1]])</f>
        <v/>
      </c>
      <c r="B957" s="38" t="str">
        <f>IF(ISNONTEXT(deployment_raw[[#This Row],[Column2]]), "", deployment_raw[[#This Row],[Column2]])</f>
        <v/>
      </c>
      <c r="C957" s="38" t="str">
        <f>IF(ISNONTEXT(deployment_raw[[#This Row],[Column3]]), "", deployment_raw[[#This Row],[Column3]])</f>
        <v/>
      </c>
      <c r="D957" s="38" t="str">
        <f>IF(ISNONTEXT(deployment_raw[[#This Row],[Column4]]), "", deployment_raw[[#This Row],[Column4]])</f>
        <v/>
      </c>
      <c r="E957" s="39" t="str">
        <f>IF(ISNUMBER(deployment_raw[[#This Row],[Column5]]), deployment_raw[[#This Row],[Column5]],"")</f>
        <v/>
      </c>
      <c r="F957" s="174" t="str">
        <f>IF(ISNUMBER(deployment_raw[[#This Row],[Column6]]), (deployment_raw[[#This Row],[Column6]] * deployment_raw[[#This Row],[Column5]]),"")</f>
        <v/>
      </c>
      <c r="G957" s="175" t="str">
        <f>IF(ISNUMBER(deployment_raw[[#This Row],[Column7]]), (deployment_raw[[#This Row],[Column7]] * deployment_raw[[#This Row],[Column5]])/1048576,"")</f>
        <v/>
      </c>
      <c r="H957" s="175" t="str">
        <f>IF(ISNUMBER(deployment_raw[[#This Row],[Column8]]), (deployment_raw[[#This Row],[Column8]]  * deployment_raw[[#This Row],[Column5]]),"")</f>
        <v/>
      </c>
      <c r="I957" s="176" t="str">
        <f>IF(ISNUMBER(deployment_raw[[#This Row],[Column9]]), (deployment_raw[[#This Row],[Column9]] * deployment_raw[[#This Row],[Column5]])/1048576,"")</f>
        <v/>
      </c>
      <c r="J957" s="57" t="str">
        <f>IF(ISNUMBER(deployment_raw[[#This Row],[Column10]]), (deployment_raw[[#This Row],[Column10]] * deployment_raw[[#This Row],[Column5]]),"")</f>
        <v/>
      </c>
      <c r="K957" s="58" t="str">
        <f>IF(ISNUMBER(deployment_raw[[#This Row],[Column11]]), (deployment_raw[[#This Row],[Column11]] * deployment_raw[[#This Row],[Column5]])/1048576,"")</f>
        <v/>
      </c>
      <c r="L957" s="180" t="str">
        <f>IF(ISNUMBER(deployment_raw[[#This Row],[Column8]]),IF(deployment_raw[[#This Row],[Column5]] &lt;&gt; 0, MAX((deployment_raw[[#This Row],[Column12]] * deployment_raw[[#This Row],[Column5]]), ((deployment_raw[[#This Row],[Column8]] * deployment_raw[[#This Row],[Column5]]) * $L$2), ($H$2 * deployment_raw[[#This Row],[Column5]])), 0),"")</f>
        <v/>
      </c>
      <c r="M95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57" s="188" t="str">
        <f>IF(ISNUMBER(deployment_raw[[#This Row],[Column14]]), deployment_raw[[#This Row],[Column14]],"")</f>
        <v/>
      </c>
      <c r="O957" s="189" t="str">
        <f>IF(ISNUMBER(deployment_raw[[#This Row],[Column15]]), deployment_raw[[#This Row],[Column15]]/1048576,"")</f>
        <v/>
      </c>
      <c r="P957" s="190" t="str">
        <f>IF(ISNUMBER(deployment_raw[[#This Row],[Column12]]), (deployment_raw[[#This Row],[Column12]] * deployment_raw[[#This Row],[Column5]]),"")</f>
        <v/>
      </c>
      <c r="Q957" s="189" t="str">
        <f>IF(ISNUMBER(deployment_raw[[#This Row],[Column13]]), (deployment_raw[[#This Row],[Column13]] * deployment_raw[[#This Row],[Column5]])/1048576,"")</f>
        <v/>
      </c>
    </row>
    <row r="958" spans="1:17" ht="15" customHeight="1" x14ac:dyDescent="0.25">
      <c r="A958" s="37" t="str">
        <f>IF(ISNONTEXT(deployment_raw[[#This Row],[Column1]]), "", deployment_raw[[#This Row],[Column1]])</f>
        <v/>
      </c>
      <c r="B958" s="38" t="str">
        <f>IF(ISNONTEXT(deployment_raw[[#This Row],[Column2]]), "", deployment_raw[[#This Row],[Column2]])</f>
        <v/>
      </c>
      <c r="C958" s="38" t="str">
        <f>IF(ISNONTEXT(deployment_raw[[#This Row],[Column3]]), "", deployment_raw[[#This Row],[Column3]])</f>
        <v/>
      </c>
      <c r="D958" s="38" t="str">
        <f>IF(ISNONTEXT(deployment_raw[[#This Row],[Column4]]), "", deployment_raw[[#This Row],[Column4]])</f>
        <v/>
      </c>
      <c r="E958" s="39" t="str">
        <f>IF(ISNUMBER(deployment_raw[[#This Row],[Column5]]), deployment_raw[[#This Row],[Column5]],"")</f>
        <v/>
      </c>
      <c r="F958" s="174" t="str">
        <f>IF(ISNUMBER(deployment_raw[[#This Row],[Column6]]), (deployment_raw[[#This Row],[Column6]] * deployment_raw[[#This Row],[Column5]]),"")</f>
        <v/>
      </c>
      <c r="G958" s="175" t="str">
        <f>IF(ISNUMBER(deployment_raw[[#This Row],[Column7]]), (deployment_raw[[#This Row],[Column7]] * deployment_raw[[#This Row],[Column5]])/1048576,"")</f>
        <v/>
      </c>
      <c r="H958" s="175" t="str">
        <f>IF(ISNUMBER(deployment_raw[[#This Row],[Column8]]), (deployment_raw[[#This Row],[Column8]]  * deployment_raw[[#This Row],[Column5]]),"")</f>
        <v/>
      </c>
      <c r="I958" s="176" t="str">
        <f>IF(ISNUMBER(deployment_raw[[#This Row],[Column9]]), (deployment_raw[[#This Row],[Column9]] * deployment_raw[[#This Row],[Column5]])/1048576,"")</f>
        <v/>
      </c>
      <c r="J958" s="57" t="str">
        <f>IF(ISNUMBER(deployment_raw[[#This Row],[Column10]]), (deployment_raw[[#This Row],[Column10]] * deployment_raw[[#This Row],[Column5]]),"")</f>
        <v/>
      </c>
      <c r="K958" s="58" t="str">
        <f>IF(ISNUMBER(deployment_raw[[#This Row],[Column11]]), (deployment_raw[[#This Row],[Column11]] * deployment_raw[[#This Row],[Column5]])/1048576,"")</f>
        <v/>
      </c>
      <c r="L958" s="180" t="str">
        <f>IF(ISNUMBER(deployment_raw[[#This Row],[Column8]]),IF(deployment_raw[[#This Row],[Column5]] &lt;&gt; 0, MAX((deployment_raw[[#This Row],[Column12]] * deployment_raw[[#This Row],[Column5]]), ((deployment_raw[[#This Row],[Column8]] * deployment_raw[[#This Row],[Column5]]) * $L$2), ($H$2 * deployment_raw[[#This Row],[Column5]])), 0),"")</f>
        <v/>
      </c>
      <c r="M95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58" s="188" t="str">
        <f>IF(ISNUMBER(deployment_raw[[#This Row],[Column14]]), deployment_raw[[#This Row],[Column14]],"")</f>
        <v/>
      </c>
      <c r="O958" s="189" t="str">
        <f>IF(ISNUMBER(deployment_raw[[#This Row],[Column15]]), deployment_raw[[#This Row],[Column15]]/1048576,"")</f>
        <v/>
      </c>
      <c r="P958" s="190" t="str">
        <f>IF(ISNUMBER(deployment_raw[[#This Row],[Column12]]), (deployment_raw[[#This Row],[Column12]] * deployment_raw[[#This Row],[Column5]]),"")</f>
        <v/>
      </c>
      <c r="Q958" s="189" t="str">
        <f>IF(ISNUMBER(deployment_raw[[#This Row],[Column13]]), (deployment_raw[[#This Row],[Column13]] * deployment_raw[[#This Row],[Column5]])/1048576,"")</f>
        <v/>
      </c>
    </row>
    <row r="959" spans="1:17" ht="15" customHeight="1" x14ac:dyDescent="0.25">
      <c r="A959" s="37" t="str">
        <f>IF(ISNONTEXT(deployment_raw[[#This Row],[Column1]]), "", deployment_raw[[#This Row],[Column1]])</f>
        <v/>
      </c>
      <c r="B959" s="38" t="str">
        <f>IF(ISNONTEXT(deployment_raw[[#This Row],[Column2]]), "", deployment_raw[[#This Row],[Column2]])</f>
        <v/>
      </c>
      <c r="C959" s="38" t="str">
        <f>IF(ISNONTEXT(deployment_raw[[#This Row],[Column3]]), "", deployment_raw[[#This Row],[Column3]])</f>
        <v/>
      </c>
      <c r="D959" s="38" t="str">
        <f>IF(ISNONTEXT(deployment_raw[[#This Row],[Column4]]), "", deployment_raw[[#This Row],[Column4]])</f>
        <v/>
      </c>
      <c r="E959" s="39" t="str">
        <f>IF(ISNUMBER(deployment_raw[[#This Row],[Column5]]), deployment_raw[[#This Row],[Column5]],"")</f>
        <v/>
      </c>
      <c r="F959" s="174" t="str">
        <f>IF(ISNUMBER(deployment_raw[[#This Row],[Column6]]), (deployment_raw[[#This Row],[Column6]] * deployment_raw[[#This Row],[Column5]]),"")</f>
        <v/>
      </c>
      <c r="G959" s="175" t="str">
        <f>IF(ISNUMBER(deployment_raw[[#This Row],[Column7]]), (deployment_raw[[#This Row],[Column7]] * deployment_raw[[#This Row],[Column5]])/1048576,"")</f>
        <v/>
      </c>
      <c r="H959" s="175" t="str">
        <f>IF(ISNUMBER(deployment_raw[[#This Row],[Column8]]), (deployment_raw[[#This Row],[Column8]]  * deployment_raw[[#This Row],[Column5]]),"")</f>
        <v/>
      </c>
      <c r="I959" s="176" t="str">
        <f>IF(ISNUMBER(deployment_raw[[#This Row],[Column9]]), (deployment_raw[[#This Row],[Column9]] * deployment_raw[[#This Row],[Column5]])/1048576,"")</f>
        <v/>
      </c>
      <c r="J959" s="57" t="str">
        <f>IF(ISNUMBER(deployment_raw[[#This Row],[Column10]]), (deployment_raw[[#This Row],[Column10]] * deployment_raw[[#This Row],[Column5]]),"")</f>
        <v/>
      </c>
      <c r="K959" s="58" t="str">
        <f>IF(ISNUMBER(deployment_raw[[#This Row],[Column11]]), (deployment_raw[[#This Row],[Column11]] * deployment_raw[[#This Row],[Column5]])/1048576,"")</f>
        <v/>
      </c>
      <c r="L959" s="180" t="str">
        <f>IF(ISNUMBER(deployment_raw[[#This Row],[Column8]]),IF(deployment_raw[[#This Row],[Column5]] &lt;&gt; 0, MAX((deployment_raw[[#This Row],[Column12]] * deployment_raw[[#This Row],[Column5]]), ((deployment_raw[[#This Row],[Column8]] * deployment_raw[[#This Row],[Column5]]) * $L$2), ($H$2 * deployment_raw[[#This Row],[Column5]])), 0),"")</f>
        <v/>
      </c>
      <c r="M95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59" s="188" t="str">
        <f>IF(ISNUMBER(deployment_raw[[#This Row],[Column14]]), deployment_raw[[#This Row],[Column14]],"")</f>
        <v/>
      </c>
      <c r="O959" s="189" t="str">
        <f>IF(ISNUMBER(deployment_raw[[#This Row],[Column15]]), deployment_raw[[#This Row],[Column15]]/1048576,"")</f>
        <v/>
      </c>
      <c r="P959" s="190" t="str">
        <f>IF(ISNUMBER(deployment_raw[[#This Row],[Column12]]), (deployment_raw[[#This Row],[Column12]] * deployment_raw[[#This Row],[Column5]]),"")</f>
        <v/>
      </c>
      <c r="Q959" s="189" t="str">
        <f>IF(ISNUMBER(deployment_raw[[#This Row],[Column13]]), (deployment_raw[[#This Row],[Column13]] * deployment_raw[[#This Row],[Column5]])/1048576,"")</f>
        <v/>
      </c>
    </row>
    <row r="960" spans="1:17" ht="15" customHeight="1" x14ac:dyDescent="0.25">
      <c r="A960" s="37" t="str">
        <f>IF(ISNONTEXT(deployment_raw[[#This Row],[Column1]]), "", deployment_raw[[#This Row],[Column1]])</f>
        <v/>
      </c>
      <c r="B960" s="38" t="str">
        <f>IF(ISNONTEXT(deployment_raw[[#This Row],[Column2]]), "", deployment_raw[[#This Row],[Column2]])</f>
        <v/>
      </c>
      <c r="C960" s="38" t="str">
        <f>IF(ISNONTEXT(deployment_raw[[#This Row],[Column3]]), "", deployment_raw[[#This Row],[Column3]])</f>
        <v/>
      </c>
      <c r="D960" s="38" t="str">
        <f>IF(ISNONTEXT(deployment_raw[[#This Row],[Column4]]), "", deployment_raw[[#This Row],[Column4]])</f>
        <v/>
      </c>
      <c r="E960" s="39" t="str">
        <f>IF(ISNUMBER(deployment_raw[[#This Row],[Column5]]), deployment_raw[[#This Row],[Column5]],"")</f>
        <v/>
      </c>
      <c r="F960" s="174" t="str">
        <f>IF(ISNUMBER(deployment_raw[[#This Row],[Column6]]), (deployment_raw[[#This Row],[Column6]] * deployment_raw[[#This Row],[Column5]]),"")</f>
        <v/>
      </c>
      <c r="G960" s="175" t="str">
        <f>IF(ISNUMBER(deployment_raw[[#This Row],[Column7]]), (deployment_raw[[#This Row],[Column7]] * deployment_raw[[#This Row],[Column5]])/1048576,"")</f>
        <v/>
      </c>
      <c r="H960" s="175" t="str">
        <f>IF(ISNUMBER(deployment_raw[[#This Row],[Column8]]), (deployment_raw[[#This Row],[Column8]]  * deployment_raw[[#This Row],[Column5]]),"")</f>
        <v/>
      </c>
      <c r="I960" s="176" t="str">
        <f>IF(ISNUMBER(deployment_raw[[#This Row],[Column9]]), (deployment_raw[[#This Row],[Column9]] * deployment_raw[[#This Row],[Column5]])/1048576,"")</f>
        <v/>
      </c>
      <c r="J960" s="57" t="str">
        <f>IF(ISNUMBER(deployment_raw[[#This Row],[Column10]]), (deployment_raw[[#This Row],[Column10]] * deployment_raw[[#This Row],[Column5]]),"")</f>
        <v/>
      </c>
      <c r="K960" s="58" t="str">
        <f>IF(ISNUMBER(deployment_raw[[#This Row],[Column11]]), (deployment_raw[[#This Row],[Column11]] * deployment_raw[[#This Row],[Column5]])/1048576,"")</f>
        <v/>
      </c>
      <c r="L960" s="180" t="str">
        <f>IF(ISNUMBER(deployment_raw[[#This Row],[Column8]]),IF(deployment_raw[[#This Row],[Column5]] &lt;&gt; 0, MAX((deployment_raw[[#This Row],[Column12]] * deployment_raw[[#This Row],[Column5]]), ((deployment_raw[[#This Row],[Column8]] * deployment_raw[[#This Row],[Column5]]) * $L$2), ($H$2 * deployment_raw[[#This Row],[Column5]])), 0),"")</f>
        <v/>
      </c>
      <c r="M96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60" s="188" t="str">
        <f>IF(ISNUMBER(deployment_raw[[#This Row],[Column14]]), deployment_raw[[#This Row],[Column14]],"")</f>
        <v/>
      </c>
      <c r="O960" s="189" t="str">
        <f>IF(ISNUMBER(deployment_raw[[#This Row],[Column15]]), deployment_raw[[#This Row],[Column15]]/1048576,"")</f>
        <v/>
      </c>
      <c r="P960" s="190" t="str">
        <f>IF(ISNUMBER(deployment_raw[[#This Row],[Column12]]), (deployment_raw[[#This Row],[Column12]] * deployment_raw[[#This Row],[Column5]]),"")</f>
        <v/>
      </c>
      <c r="Q960" s="189" t="str">
        <f>IF(ISNUMBER(deployment_raw[[#This Row],[Column13]]), (deployment_raw[[#This Row],[Column13]] * deployment_raw[[#This Row],[Column5]])/1048576,"")</f>
        <v/>
      </c>
    </row>
    <row r="961" spans="1:17" ht="15" customHeight="1" x14ac:dyDescent="0.25">
      <c r="A961" s="37" t="str">
        <f>IF(ISNONTEXT(deployment_raw[[#This Row],[Column1]]), "", deployment_raw[[#This Row],[Column1]])</f>
        <v/>
      </c>
      <c r="B961" s="38" t="str">
        <f>IF(ISNONTEXT(deployment_raw[[#This Row],[Column2]]), "", deployment_raw[[#This Row],[Column2]])</f>
        <v/>
      </c>
      <c r="C961" s="38" t="str">
        <f>IF(ISNONTEXT(deployment_raw[[#This Row],[Column3]]), "", deployment_raw[[#This Row],[Column3]])</f>
        <v/>
      </c>
      <c r="D961" s="38" t="str">
        <f>IF(ISNONTEXT(deployment_raw[[#This Row],[Column4]]), "", deployment_raw[[#This Row],[Column4]])</f>
        <v/>
      </c>
      <c r="E961" s="39" t="str">
        <f>IF(ISNUMBER(deployment_raw[[#This Row],[Column5]]), deployment_raw[[#This Row],[Column5]],"")</f>
        <v/>
      </c>
      <c r="F961" s="174" t="str">
        <f>IF(ISNUMBER(deployment_raw[[#This Row],[Column6]]), (deployment_raw[[#This Row],[Column6]] * deployment_raw[[#This Row],[Column5]]),"")</f>
        <v/>
      </c>
      <c r="G961" s="175" t="str">
        <f>IF(ISNUMBER(deployment_raw[[#This Row],[Column7]]), (deployment_raw[[#This Row],[Column7]] * deployment_raw[[#This Row],[Column5]])/1048576,"")</f>
        <v/>
      </c>
      <c r="H961" s="175" t="str">
        <f>IF(ISNUMBER(deployment_raw[[#This Row],[Column8]]), (deployment_raw[[#This Row],[Column8]]  * deployment_raw[[#This Row],[Column5]]),"")</f>
        <v/>
      </c>
      <c r="I961" s="176" t="str">
        <f>IF(ISNUMBER(deployment_raw[[#This Row],[Column9]]), (deployment_raw[[#This Row],[Column9]] * deployment_raw[[#This Row],[Column5]])/1048576,"")</f>
        <v/>
      </c>
      <c r="J961" s="57" t="str">
        <f>IF(ISNUMBER(deployment_raw[[#This Row],[Column10]]), (deployment_raw[[#This Row],[Column10]] * deployment_raw[[#This Row],[Column5]]),"")</f>
        <v/>
      </c>
      <c r="K961" s="58" t="str">
        <f>IF(ISNUMBER(deployment_raw[[#This Row],[Column11]]), (deployment_raw[[#This Row],[Column11]] * deployment_raw[[#This Row],[Column5]])/1048576,"")</f>
        <v/>
      </c>
      <c r="L961" s="180" t="str">
        <f>IF(ISNUMBER(deployment_raw[[#This Row],[Column8]]),IF(deployment_raw[[#This Row],[Column5]] &lt;&gt; 0, MAX((deployment_raw[[#This Row],[Column12]] * deployment_raw[[#This Row],[Column5]]), ((deployment_raw[[#This Row],[Column8]] * deployment_raw[[#This Row],[Column5]]) * $L$2), ($H$2 * deployment_raw[[#This Row],[Column5]])), 0),"")</f>
        <v/>
      </c>
      <c r="M96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61" s="188" t="str">
        <f>IF(ISNUMBER(deployment_raw[[#This Row],[Column14]]), deployment_raw[[#This Row],[Column14]],"")</f>
        <v/>
      </c>
      <c r="O961" s="189" t="str">
        <f>IF(ISNUMBER(deployment_raw[[#This Row],[Column15]]), deployment_raw[[#This Row],[Column15]]/1048576,"")</f>
        <v/>
      </c>
      <c r="P961" s="190" t="str">
        <f>IF(ISNUMBER(deployment_raw[[#This Row],[Column12]]), (deployment_raw[[#This Row],[Column12]] * deployment_raw[[#This Row],[Column5]]),"")</f>
        <v/>
      </c>
      <c r="Q961" s="189" t="str">
        <f>IF(ISNUMBER(deployment_raw[[#This Row],[Column13]]), (deployment_raw[[#This Row],[Column13]] * deployment_raw[[#This Row],[Column5]])/1048576,"")</f>
        <v/>
      </c>
    </row>
    <row r="962" spans="1:17" ht="15" customHeight="1" x14ac:dyDescent="0.25">
      <c r="A962" s="37" t="str">
        <f>IF(ISNONTEXT(deployment_raw[[#This Row],[Column1]]), "", deployment_raw[[#This Row],[Column1]])</f>
        <v/>
      </c>
      <c r="B962" s="38" t="str">
        <f>IF(ISNONTEXT(deployment_raw[[#This Row],[Column2]]), "", deployment_raw[[#This Row],[Column2]])</f>
        <v/>
      </c>
      <c r="C962" s="38" t="str">
        <f>IF(ISNONTEXT(deployment_raw[[#This Row],[Column3]]), "", deployment_raw[[#This Row],[Column3]])</f>
        <v/>
      </c>
      <c r="D962" s="38" t="str">
        <f>IF(ISNONTEXT(deployment_raw[[#This Row],[Column4]]), "", deployment_raw[[#This Row],[Column4]])</f>
        <v/>
      </c>
      <c r="E962" s="39" t="str">
        <f>IF(ISNUMBER(deployment_raw[[#This Row],[Column5]]), deployment_raw[[#This Row],[Column5]],"")</f>
        <v/>
      </c>
      <c r="F962" s="174" t="str">
        <f>IF(ISNUMBER(deployment_raw[[#This Row],[Column6]]), (deployment_raw[[#This Row],[Column6]] * deployment_raw[[#This Row],[Column5]]),"")</f>
        <v/>
      </c>
      <c r="G962" s="175" t="str">
        <f>IF(ISNUMBER(deployment_raw[[#This Row],[Column7]]), (deployment_raw[[#This Row],[Column7]] * deployment_raw[[#This Row],[Column5]])/1048576,"")</f>
        <v/>
      </c>
      <c r="H962" s="175" t="str">
        <f>IF(ISNUMBER(deployment_raw[[#This Row],[Column8]]), (deployment_raw[[#This Row],[Column8]]  * deployment_raw[[#This Row],[Column5]]),"")</f>
        <v/>
      </c>
      <c r="I962" s="176" t="str">
        <f>IF(ISNUMBER(deployment_raw[[#This Row],[Column9]]), (deployment_raw[[#This Row],[Column9]] * deployment_raw[[#This Row],[Column5]])/1048576,"")</f>
        <v/>
      </c>
      <c r="J962" s="57" t="str">
        <f>IF(ISNUMBER(deployment_raw[[#This Row],[Column10]]), (deployment_raw[[#This Row],[Column10]] * deployment_raw[[#This Row],[Column5]]),"")</f>
        <v/>
      </c>
      <c r="K962" s="58" t="str">
        <f>IF(ISNUMBER(deployment_raw[[#This Row],[Column11]]), (deployment_raw[[#This Row],[Column11]] * deployment_raw[[#This Row],[Column5]])/1048576,"")</f>
        <v/>
      </c>
      <c r="L962" s="180" t="str">
        <f>IF(ISNUMBER(deployment_raw[[#This Row],[Column8]]),IF(deployment_raw[[#This Row],[Column5]] &lt;&gt; 0, MAX((deployment_raw[[#This Row],[Column12]] * deployment_raw[[#This Row],[Column5]]), ((deployment_raw[[#This Row],[Column8]] * deployment_raw[[#This Row],[Column5]]) * $L$2), ($H$2 * deployment_raw[[#This Row],[Column5]])), 0),"")</f>
        <v/>
      </c>
      <c r="M96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62" s="188" t="str">
        <f>IF(ISNUMBER(deployment_raw[[#This Row],[Column14]]), deployment_raw[[#This Row],[Column14]],"")</f>
        <v/>
      </c>
      <c r="O962" s="189" t="str">
        <f>IF(ISNUMBER(deployment_raw[[#This Row],[Column15]]), deployment_raw[[#This Row],[Column15]]/1048576,"")</f>
        <v/>
      </c>
      <c r="P962" s="190" t="str">
        <f>IF(ISNUMBER(deployment_raw[[#This Row],[Column12]]), (deployment_raw[[#This Row],[Column12]] * deployment_raw[[#This Row],[Column5]]),"")</f>
        <v/>
      </c>
      <c r="Q962" s="189" t="str">
        <f>IF(ISNUMBER(deployment_raw[[#This Row],[Column13]]), (deployment_raw[[#This Row],[Column13]] * deployment_raw[[#This Row],[Column5]])/1048576,"")</f>
        <v/>
      </c>
    </row>
    <row r="963" spans="1:17" ht="15" customHeight="1" x14ac:dyDescent="0.25">
      <c r="A963" s="37" t="str">
        <f>IF(ISNONTEXT(deployment_raw[[#This Row],[Column1]]), "", deployment_raw[[#This Row],[Column1]])</f>
        <v/>
      </c>
      <c r="B963" s="38" t="str">
        <f>IF(ISNONTEXT(deployment_raw[[#This Row],[Column2]]), "", deployment_raw[[#This Row],[Column2]])</f>
        <v/>
      </c>
      <c r="C963" s="38" t="str">
        <f>IF(ISNONTEXT(deployment_raw[[#This Row],[Column3]]), "", deployment_raw[[#This Row],[Column3]])</f>
        <v/>
      </c>
      <c r="D963" s="38" t="str">
        <f>IF(ISNONTEXT(deployment_raw[[#This Row],[Column4]]), "", deployment_raw[[#This Row],[Column4]])</f>
        <v/>
      </c>
      <c r="E963" s="39" t="str">
        <f>IF(ISNUMBER(deployment_raw[[#This Row],[Column5]]), deployment_raw[[#This Row],[Column5]],"")</f>
        <v/>
      </c>
      <c r="F963" s="174" t="str">
        <f>IF(ISNUMBER(deployment_raw[[#This Row],[Column6]]), (deployment_raw[[#This Row],[Column6]] * deployment_raw[[#This Row],[Column5]]),"")</f>
        <v/>
      </c>
      <c r="G963" s="175" t="str">
        <f>IF(ISNUMBER(deployment_raw[[#This Row],[Column7]]), (deployment_raw[[#This Row],[Column7]] * deployment_raw[[#This Row],[Column5]])/1048576,"")</f>
        <v/>
      </c>
      <c r="H963" s="175" t="str">
        <f>IF(ISNUMBER(deployment_raw[[#This Row],[Column8]]), (deployment_raw[[#This Row],[Column8]]  * deployment_raw[[#This Row],[Column5]]),"")</f>
        <v/>
      </c>
      <c r="I963" s="176" t="str">
        <f>IF(ISNUMBER(deployment_raw[[#This Row],[Column9]]), (deployment_raw[[#This Row],[Column9]] * deployment_raw[[#This Row],[Column5]])/1048576,"")</f>
        <v/>
      </c>
      <c r="J963" s="57" t="str">
        <f>IF(ISNUMBER(deployment_raw[[#This Row],[Column10]]), (deployment_raw[[#This Row],[Column10]] * deployment_raw[[#This Row],[Column5]]),"")</f>
        <v/>
      </c>
      <c r="K963" s="58" t="str">
        <f>IF(ISNUMBER(deployment_raw[[#This Row],[Column11]]), (deployment_raw[[#This Row],[Column11]] * deployment_raw[[#This Row],[Column5]])/1048576,"")</f>
        <v/>
      </c>
      <c r="L963" s="180" t="str">
        <f>IF(ISNUMBER(deployment_raw[[#This Row],[Column8]]),IF(deployment_raw[[#This Row],[Column5]] &lt;&gt; 0, MAX((deployment_raw[[#This Row],[Column12]] * deployment_raw[[#This Row],[Column5]]), ((deployment_raw[[#This Row],[Column8]] * deployment_raw[[#This Row],[Column5]]) * $L$2), ($H$2 * deployment_raw[[#This Row],[Column5]])), 0),"")</f>
        <v/>
      </c>
      <c r="M96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63" s="188" t="str">
        <f>IF(ISNUMBER(deployment_raw[[#This Row],[Column14]]), deployment_raw[[#This Row],[Column14]],"")</f>
        <v/>
      </c>
      <c r="O963" s="189" t="str">
        <f>IF(ISNUMBER(deployment_raw[[#This Row],[Column15]]), deployment_raw[[#This Row],[Column15]]/1048576,"")</f>
        <v/>
      </c>
      <c r="P963" s="190" t="str">
        <f>IF(ISNUMBER(deployment_raw[[#This Row],[Column12]]), (deployment_raw[[#This Row],[Column12]] * deployment_raw[[#This Row],[Column5]]),"")</f>
        <v/>
      </c>
      <c r="Q963" s="189" t="str">
        <f>IF(ISNUMBER(deployment_raw[[#This Row],[Column13]]), (deployment_raw[[#This Row],[Column13]] * deployment_raw[[#This Row],[Column5]])/1048576,"")</f>
        <v/>
      </c>
    </row>
    <row r="964" spans="1:17" ht="15" customHeight="1" x14ac:dyDescent="0.25">
      <c r="A964" s="37" t="str">
        <f>IF(ISNONTEXT(deployment_raw[[#This Row],[Column1]]), "", deployment_raw[[#This Row],[Column1]])</f>
        <v/>
      </c>
      <c r="B964" s="38" t="str">
        <f>IF(ISNONTEXT(deployment_raw[[#This Row],[Column2]]), "", deployment_raw[[#This Row],[Column2]])</f>
        <v/>
      </c>
      <c r="C964" s="38" t="str">
        <f>IF(ISNONTEXT(deployment_raw[[#This Row],[Column3]]), "", deployment_raw[[#This Row],[Column3]])</f>
        <v/>
      </c>
      <c r="D964" s="38" t="str">
        <f>IF(ISNONTEXT(deployment_raw[[#This Row],[Column4]]), "", deployment_raw[[#This Row],[Column4]])</f>
        <v/>
      </c>
      <c r="E964" s="39" t="str">
        <f>IF(ISNUMBER(deployment_raw[[#This Row],[Column5]]), deployment_raw[[#This Row],[Column5]],"")</f>
        <v/>
      </c>
      <c r="F964" s="174" t="str">
        <f>IF(ISNUMBER(deployment_raw[[#This Row],[Column6]]), (deployment_raw[[#This Row],[Column6]] * deployment_raw[[#This Row],[Column5]]),"")</f>
        <v/>
      </c>
      <c r="G964" s="175" t="str">
        <f>IF(ISNUMBER(deployment_raw[[#This Row],[Column7]]), (deployment_raw[[#This Row],[Column7]] * deployment_raw[[#This Row],[Column5]])/1048576,"")</f>
        <v/>
      </c>
      <c r="H964" s="175" t="str">
        <f>IF(ISNUMBER(deployment_raw[[#This Row],[Column8]]), (deployment_raw[[#This Row],[Column8]]  * deployment_raw[[#This Row],[Column5]]),"")</f>
        <v/>
      </c>
      <c r="I964" s="176" t="str">
        <f>IF(ISNUMBER(deployment_raw[[#This Row],[Column9]]), (deployment_raw[[#This Row],[Column9]] * deployment_raw[[#This Row],[Column5]])/1048576,"")</f>
        <v/>
      </c>
      <c r="J964" s="57" t="str">
        <f>IF(ISNUMBER(deployment_raw[[#This Row],[Column10]]), (deployment_raw[[#This Row],[Column10]] * deployment_raw[[#This Row],[Column5]]),"")</f>
        <v/>
      </c>
      <c r="K964" s="58" t="str">
        <f>IF(ISNUMBER(deployment_raw[[#This Row],[Column11]]), (deployment_raw[[#This Row],[Column11]] * deployment_raw[[#This Row],[Column5]])/1048576,"")</f>
        <v/>
      </c>
      <c r="L964" s="180" t="str">
        <f>IF(ISNUMBER(deployment_raw[[#This Row],[Column8]]),IF(deployment_raw[[#This Row],[Column5]] &lt;&gt; 0, MAX((deployment_raw[[#This Row],[Column12]] * deployment_raw[[#This Row],[Column5]]), ((deployment_raw[[#This Row],[Column8]] * deployment_raw[[#This Row],[Column5]]) * $L$2), ($H$2 * deployment_raw[[#This Row],[Column5]])), 0),"")</f>
        <v/>
      </c>
      <c r="M96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64" s="188" t="str">
        <f>IF(ISNUMBER(deployment_raw[[#This Row],[Column14]]), deployment_raw[[#This Row],[Column14]],"")</f>
        <v/>
      </c>
      <c r="O964" s="189" t="str">
        <f>IF(ISNUMBER(deployment_raw[[#This Row],[Column15]]), deployment_raw[[#This Row],[Column15]]/1048576,"")</f>
        <v/>
      </c>
      <c r="P964" s="190" t="str">
        <f>IF(ISNUMBER(deployment_raw[[#This Row],[Column12]]), (deployment_raw[[#This Row],[Column12]] * deployment_raw[[#This Row],[Column5]]),"")</f>
        <v/>
      </c>
      <c r="Q964" s="189" t="str">
        <f>IF(ISNUMBER(deployment_raw[[#This Row],[Column13]]), (deployment_raw[[#This Row],[Column13]] * deployment_raw[[#This Row],[Column5]])/1048576,"")</f>
        <v/>
      </c>
    </row>
    <row r="965" spans="1:17" ht="15" customHeight="1" x14ac:dyDescent="0.25">
      <c r="A965" s="37" t="str">
        <f>IF(ISNONTEXT(deployment_raw[[#This Row],[Column1]]), "", deployment_raw[[#This Row],[Column1]])</f>
        <v/>
      </c>
      <c r="B965" s="38" t="str">
        <f>IF(ISNONTEXT(deployment_raw[[#This Row],[Column2]]), "", deployment_raw[[#This Row],[Column2]])</f>
        <v/>
      </c>
      <c r="C965" s="38" t="str">
        <f>IF(ISNONTEXT(deployment_raw[[#This Row],[Column3]]), "", deployment_raw[[#This Row],[Column3]])</f>
        <v/>
      </c>
      <c r="D965" s="38" t="str">
        <f>IF(ISNONTEXT(deployment_raw[[#This Row],[Column4]]), "", deployment_raw[[#This Row],[Column4]])</f>
        <v/>
      </c>
      <c r="E965" s="39" t="str">
        <f>IF(ISNUMBER(deployment_raw[[#This Row],[Column5]]), deployment_raw[[#This Row],[Column5]],"")</f>
        <v/>
      </c>
      <c r="F965" s="174" t="str">
        <f>IF(ISNUMBER(deployment_raw[[#This Row],[Column6]]), (deployment_raw[[#This Row],[Column6]] * deployment_raw[[#This Row],[Column5]]),"")</f>
        <v/>
      </c>
      <c r="G965" s="175" t="str">
        <f>IF(ISNUMBER(deployment_raw[[#This Row],[Column7]]), (deployment_raw[[#This Row],[Column7]] * deployment_raw[[#This Row],[Column5]])/1048576,"")</f>
        <v/>
      </c>
      <c r="H965" s="175" t="str">
        <f>IF(ISNUMBER(deployment_raw[[#This Row],[Column8]]), (deployment_raw[[#This Row],[Column8]]  * deployment_raw[[#This Row],[Column5]]),"")</f>
        <v/>
      </c>
      <c r="I965" s="176" t="str">
        <f>IF(ISNUMBER(deployment_raw[[#This Row],[Column9]]), (deployment_raw[[#This Row],[Column9]] * deployment_raw[[#This Row],[Column5]])/1048576,"")</f>
        <v/>
      </c>
      <c r="J965" s="57" t="str">
        <f>IF(ISNUMBER(deployment_raw[[#This Row],[Column10]]), (deployment_raw[[#This Row],[Column10]] * deployment_raw[[#This Row],[Column5]]),"")</f>
        <v/>
      </c>
      <c r="K965" s="58" t="str">
        <f>IF(ISNUMBER(deployment_raw[[#This Row],[Column11]]), (deployment_raw[[#This Row],[Column11]] * deployment_raw[[#This Row],[Column5]])/1048576,"")</f>
        <v/>
      </c>
      <c r="L965" s="180" t="str">
        <f>IF(ISNUMBER(deployment_raw[[#This Row],[Column8]]),IF(deployment_raw[[#This Row],[Column5]] &lt;&gt; 0, MAX((deployment_raw[[#This Row],[Column12]] * deployment_raw[[#This Row],[Column5]]), ((deployment_raw[[#This Row],[Column8]] * deployment_raw[[#This Row],[Column5]]) * $L$2), ($H$2 * deployment_raw[[#This Row],[Column5]])), 0),"")</f>
        <v/>
      </c>
      <c r="M96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65" s="188" t="str">
        <f>IF(ISNUMBER(deployment_raw[[#This Row],[Column14]]), deployment_raw[[#This Row],[Column14]],"")</f>
        <v/>
      </c>
      <c r="O965" s="189" t="str">
        <f>IF(ISNUMBER(deployment_raw[[#This Row],[Column15]]), deployment_raw[[#This Row],[Column15]]/1048576,"")</f>
        <v/>
      </c>
      <c r="P965" s="190" t="str">
        <f>IF(ISNUMBER(deployment_raw[[#This Row],[Column12]]), (deployment_raw[[#This Row],[Column12]] * deployment_raw[[#This Row],[Column5]]),"")</f>
        <v/>
      </c>
      <c r="Q965" s="189" t="str">
        <f>IF(ISNUMBER(deployment_raw[[#This Row],[Column13]]), (deployment_raw[[#This Row],[Column13]] * deployment_raw[[#This Row],[Column5]])/1048576,"")</f>
        <v/>
      </c>
    </row>
    <row r="966" spans="1:17" ht="15" customHeight="1" x14ac:dyDescent="0.25">
      <c r="A966" s="37" t="str">
        <f>IF(ISNONTEXT(deployment_raw[[#This Row],[Column1]]), "", deployment_raw[[#This Row],[Column1]])</f>
        <v/>
      </c>
      <c r="B966" s="38" t="str">
        <f>IF(ISNONTEXT(deployment_raw[[#This Row],[Column2]]), "", deployment_raw[[#This Row],[Column2]])</f>
        <v/>
      </c>
      <c r="C966" s="38" t="str">
        <f>IF(ISNONTEXT(deployment_raw[[#This Row],[Column3]]), "", deployment_raw[[#This Row],[Column3]])</f>
        <v/>
      </c>
      <c r="D966" s="38" t="str">
        <f>IF(ISNONTEXT(deployment_raw[[#This Row],[Column4]]), "", deployment_raw[[#This Row],[Column4]])</f>
        <v/>
      </c>
      <c r="E966" s="39" t="str">
        <f>IF(ISNUMBER(deployment_raw[[#This Row],[Column5]]), deployment_raw[[#This Row],[Column5]],"")</f>
        <v/>
      </c>
      <c r="F966" s="174" t="str">
        <f>IF(ISNUMBER(deployment_raw[[#This Row],[Column6]]), (deployment_raw[[#This Row],[Column6]] * deployment_raw[[#This Row],[Column5]]),"")</f>
        <v/>
      </c>
      <c r="G966" s="175" t="str">
        <f>IF(ISNUMBER(deployment_raw[[#This Row],[Column7]]), (deployment_raw[[#This Row],[Column7]] * deployment_raw[[#This Row],[Column5]])/1048576,"")</f>
        <v/>
      </c>
      <c r="H966" s="175" t="str">
        <f>IF(ISNUMBER(deployment_raw[[#This Row],[Column8]]), (deployment_raw[[#This Row],[Column8]]  * deployment_raw[[#This Row],[Column5]]),"")</f>
        <v/>
      </c>
      <c r="I966" s="176" t="str">
        <f>IF(ISNUMBER(deployment_raw[[#This Row],[Column9]]), (deployment_raw[[#This Row],[Column9]] * deployment_raw[[#This Row],[Column5]])/1048576,"")</f>
        <v/>
      </c>
      <c r="J966" s="57" t="str">
        <f>IF(ISNUMBER(deployment_raw[[#This Row],[Column10]]), (deployment_raw[[#This Row],[Column10]] * deployment_raw[[#This Row],[Column5]]),"")</f>
        <v/>
      </c>
      <c r="K966" s="58" t="str">
        <f>IF(ISNUMBER(deployment_raw[[#This Row],[Column11]]), (deployment_raw[[#This Row],[Column11]] * deployment_raw[[#This Row],[Column5]])/1048576,"")</f>
        <v/>
      </c>
      <c r="L966" s="180" t="str">
        <f>IF(ISNUMBER(deployment_raw[[#This Row],[Column8]]),IF(deployment_raw[[#This Row],[Column5]] &lt;&gt; 0, MAX((deployment_raw[[#This Row],[Column12]] * deployment_raw[[#This Row],[Column5]]), ((deployment_raw[[#This Row],[Column8]] * deployment_raw[[#This Row],[Column5]]) * $L$2), ($H$2 * deployment_raw[[#This Row],[Column5]])), 0),"")</f>
        <v/>
      </c>
      <c r="M96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66" s="188" t="str">
        <f>IF(ISNUMBER(deployment_raw[[#This Row],[Column14]]), deployment_raw[[#This Row],[Column14]],"")</f>
        <v/>
      </c>
      <c r="O966" s="189" t="str">
        <f>IF(ISNUMBER(deployment_raw[[#This Row],[Column15]]), deployment_raw[[#This Row],[Column15]]/1048576,"")</f>
        <v/>
      </c>
      <c r="P966" s="190" t="str">
        <f>IF(ISNUMBER(deployment_raw[[#This Row],[Column12]]), (deployment_raw[[#This Row],[Column12]] * deployment_raw[[#This Row],[Column5]]),"")</f>
        <v/>
      </c>
      <c r="Q966" s="189" t="str">
        <f>IF(ISNUMBER(deployment_raw[[#This Row],[Column13]]), (deployment_raw[[#This Row],[Column13]] * deployment_raw[[#This Row],[Column5]])/1048576,"")</f>
        <v/>
      </c>
    </row>
    <row r="967" spans="1:17" ht="15" customHeight="1" x14ac:dyDescent="0.25">
      <c r="A967" s="37" t="str">
        <f>IF(ISNONTEXT(deployment_raw[[#This Row],[Column1]]), "", deployment_raw[[#This Row],[Column1]])</f>
        <v/>
      </c>
      <c r="B967" s="38" t="str">
        <f>IF(ISNONTEXT(deployment_raw[[#This Row],[Column2]]), "", deployment_raw[[#This Row],[Column2]])</f>
        <v/>
      </c>
      <c r="C967" s="38" t="str">
        <f>IF(ISNONTEXT(deployment_raw[[#This Row],[Column3]]), "", deployment_raw[[#This Row],[Column3]])</f>
        <v/>
      </c>
      <c r="D967" s="38" t="str">
        <f>IF(ISNONTEXT(deployment_raw[[#This Row],[Column4]]), "", deployment_raw[[#This Row],[Column4]])</f>
        <v/>
      </c>
      <c r="E967" s="39" t="str">
        <f>IF(ISNUMBER(deployment_raw[[#This Row],[Column5]]), deployment_raw[[#This Row],[Column5]],"")</f>
        <v/>
      </c>
      <c r="F967" s="174" t="str">
        <f>IF(ISNUMBER(deployment_raw[[#This Row],[Column6]]), (deployment_raw[[#This Row],[Column6]] * deployment_raw[[#This Row],[Column5]]),"")</f>
        <v/>
      </c>
      <c r="G967" s="175" t="str">
        <f>IF(ISNUMBER(deployment_raw[[#This Row],[Column7]]), (deployment_raw[[#This Row],[Column7]] * deployment_raw[[#This Row],[Column5]])/1048576,"")</f>
        <v/>
      </c>
      <c r="H967" s="175" t="str">
        <f>IF(ISNUMBER(deployment_raw[[#This Row],[Column8]]), (deployment_raw[[#This Row],[Column8]]  * deployment_raw[[#This Row],[Column5]]),"")</f>
        <v/>
      </c>
      <c r="I967" s="176" t="str">
        <f>IF(ISNUMBER(deployment_raw[[#This Row],[Column9]]), (deployment_raw[[#This Row],[Column9]] * deployment_raw[[#This Row],[Column5]])/1048576,"")</f>
        <v/>
      </c>
      <c r="J967" s="57" t="str">
        <f>IF(ISNUMBER(deployment_raw[[#This Row],[Column10]]), (deployment_raw[[#This Row],[Column10]] * deployment_raw[[#This Row],[Column5]]),"")</f>
        <v/>
      </c>
      <c r="K967" s="58" t="str">
        <f>IF(ISNUMBER(deployment_raw[[#This Row],[Column11]]), (deployment_raw[[#This Row],[Column11]] * deployment_raw[[#This Row],[Column5]])/1048576,"")</f>
        <v/>
      </c>
      <c r="L967" s="180" t="str">
        <f>IF(ISNUMBER(deployment_raw[[#This Row],[Column8]]),IF(deployment_raw[[#This Row],[Column5]] &lt;&gt; 0, MAX((deployment_raw[[#This Row],[Column12]] * deployment_raw[[#This Row],[Column5]]), ((deployment_raw[[#This Row],[Column8]] * deployment_raw[[#This Row],[Column5]]) * $L$2), ($H$2 * deployment_raw[[#This Row],[Column5]])), 0),"")</f>
        <v/>
      </c>
      <c r="M96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67" s="188" t="str">
        <f>IF(ISNUMBER(deployment_raw[[#This Row],[Column14]]), deployment_raw[[#This Row],[Column14]],"")</f>
        <v/>
      </c>
      <c r="O967" s="189" t="str">
        <f>IF(ISNUMBER(deployment_raw[[#This Row],[Column15]]), deployment_raw[[#This Row],[Column15]]/1048576,"")</f>
        <v/>
      </c>
      <c r="P967" s="190" t="str">
        <f>IF(ISNUMBER(deployment_raw[[#This Row],[Column12]]), (deployment_raw[[#This Row],[Column12]] * deployment_raw[[#This Row],[Column5]]),"")</f>
        <v/>
      </c>
      <c r="Q967" s="189" t="str">
        <f>IF(ISNUMBER(deployment_raw[[#This Row],[Column13]]), (deployment_raw[[#This Row],[Column13]] * deployment_raw[[#This Row],[Column5]])/1048576,"")</f>
        <v/>
      </c>
    </row>
    <row r="968" spans="1:17" ht="15" customHeight="1" x14ac:dyDescent="0.25">
      <c r="A968" s="37" t="str">
        <f>IF(ISNONTEXT(deployment_raw[[#This Row],[Column1]]), "", deployment_raw[[#This Row],[Column1]])</f>
        <v/>
      </c>
      <c r="B968" s="38" t="str">
        <f>IF(ISNONTEXT(deployment_raw[[#This Row],[Column2]]), "", deployment_raw[[#This Row],[Column2]])</f>
        <v/>
      </c>
      <c r="C968" s="38" t="str">
        <f>IF(ISNONTEXT(deployment_raw[[#This Row],[Column3]]), "", deployment_raw[[#This Row],[Column3]])</f>
        <v/>
      </c>
      <c r="D968" s="38" t="str">
        <f>IF(ISNONTEXT(deployment_raw[[#This Row],[Column4]]), "", deployment_raw[[#This Row],[Column4]])</f>
        <v/>
      </c>
      <c r="E968" s="39" t="str">
        <f>IF(ISNUMBER(deployment_raw[[#This Row],[Column5]]), deployment_raw[[#This Row],[Column5]],"")</f>
        <v/>
      </c>
      <c r="F968" s="174" t="str">
        <f>IF(ISNUMBER(deployment_raw[[#This Row],[Column6]]), (deployment_raw[[#This Row],[Column6]] * deployment_raw[[#This Row],[Column5]]),"")</f>
        <v/>
      </c>
      <c r="G968" s="175" t="str">
        <f>IF(ISNUMBER(deployment_raw[[#This Row],[Column7]]), (deployment_raw[[#This Row],[Column7]] * deployment_raw[[#This Row],[Column5]])/1048576,"")</f>
        <v/>
      </c>
      <c r="H968" s="175" t="str">
        <f>IF(ISNUMBER(deployment_raw[[#This Row],[Column8]]), (deployment_raw[[#This Row],[Column8]]  * deployment_raw[[#This Row],[Column5]]),"")</f>
        <v/>
      </c>
      <c r="I968" s="176" t="str">
        <f>IF(ISNUMBER(deployment_raw[[#This Row],[Column9]]), (deployment_raw[[#This Row],[Column9]] * deployment_raw[[#This Row],[Column5]])/1048576,"")</f>
        <v/>
      </c>
      <c r="J968" s="57" t="str">
        <f>IF(ISNUMBER(deployment_raw[[#This Row],[Column10]]), (deployment_raw[[#This Row],[Column10]] * deployment_raw[[#This Row],[Column5]]),"")</f>
        <v/>
      </c>
      <c r="K968" s="58" t="str">
        <f>IF(ISNUMBER(deployment_raw[[#This Row],[Column11]]), (deployment_raw[[#This Row],[Column11]] * deployment_raw[[#This Row],[Column5]])/1048576,"")</f>
        <v/>
      </c>
      <c r="L968" s="180" t="str">
        <f>IF(ISNUMBER(deployment_raw[[#This Row],[Column8]]),IF(deployment_raw[[#This Row],[Column5]] &lt;&gt; 0, MAX((deployment_raw[[#This Row],[Column12]] * deployment_raw[[#This Row],[Column5]]), ((deployment_raw[[#This Row],[Column8]] * deployment_raw[[#This Row],[Column5]]) * $L$2), ($H$2 * deployment_raw[[#This Row],[Column5]])), 0),"")</f>
        <v/>
      </c>
      <c r="M96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68" s="188" t="str">
        <f>IF(ISNUMBER(deployment_raw[[#This Row],[Column14]]), deployment_raw[[#This Row],[Column14]],"")</f>
        <v/>
      </c>
      <c r="O968" s="189" t="str">
        <f>IF(ISNUMBER(deployment_raw[[#This Row],[Column15]]), deployment_raw[[#This Row],[Column15]]/1048576,"")</f>
        <v/>
      </c>
      <c r="P968" s="190" t="str">
        <f>IF(ISNUMBER(deployment_raw[[#This Row],[Column12]]), (deployment_raw[[#This Row],[Column12]] * deployment_raw[[#This Row],[Column5]]),"")</f>
        <v/>
      </c>
      <c r="Q968" s="189" t="str">
        <f>IF(ISNUMBER(deployment_raw[[#This Row],[Column13]]), (deployment_raw[[#This Row],[Column13]] * deployment_raw[[#This Row],[Column5]])/1048576,"")</f>
        <v/>
      </c>
    </row>
    <row r="969" spans="1:17" ht="15" customHeight="1" x14ac:dyDescent="0.25">
      <c r="A969" s="37" t="str">
        <f>IF(ISNONTEXT(deployment_raw[[#This Row],[Column1]]), "", deployment_raw[[#This Row],[Column1]])</f>
        <v/>
      </c>
      <c r="B969" s="38" t="str">
        <f>IF(ISNONTEXT(deployment_raw[[#This Row],[Column2]]), "", deployment_raw[[#This Row],[Column2]])</f>
        <v/>
      </c>
      <c r="C969" s="38" t="str">
        <f>IF(ISNONTEXT(deployment_raw[[#This Row],[Column3]]), "", deployment_raw[[#This Row],[Column3]])</f>
        <v/>
      </c>
      <c r="D969" s="38" t="str">
        <f>IF(ISNONTEXT(deployment_raw[[#This Row],[Column4]]), "", deployment_raw[[#This Row],[Column4]])</f>
        <v/>
      </c>
      <c r="E969" s="39" t="str">
        <f>IF(ISNUMBER(deployment_raw[[#This Row],[Column5]]), deployment_raw[[#This Row],[Column5]],"")</f>
        <v/>
      </c>
      <c r="F969" s="174" t="str">
        <f>IF(ISNUMBER(deployment_raw[[#This Row],[Column6]]), (deployment_raw[[#This Row],[Column6]] * deployment_raw[[#This Row],[Column5]]),"")</f>
        <v/>
      </c>
      <c r="G969" s="175" t="str">
        <f>IF(ISNUMBER(deployment_raw[[#This Row],[Column7]]), (deployment_raw[[#This Row],[Column7]] * deployment_raw[[#This Row],[Column5]])/1048576,"")</f>
        <v/>
      </c>
      <c r="H969" s="175" t="str">
        <f>IF(ISNUMBER(deployment_raw[[#This Row],[Column8]]), (deployment_raw[[#This Row],[Column8]]  * deployment_raw[[#This Row],[Column5]]),"")</f>
        <v/>
      </c>
      <c r="I969" s="176" t="str">
        <f>IF(ISNUMBER(deployment_raw[[#This Row],[Column9]]), (deployment_raw[[#This Row],[Column9]] * deployment_raw[[#This Row],[Column5]])/1048576,"")</f>
        <v/>
      </c>
      <c r="J969" s="57" t="str">
        <f>IF(ISNUMBER(deployment_raw[[#This Row],[Column10]]), (deployment_raw[[#This Row],[Column10]] * deployment_raw[[#This Row],[Column5]]),"")</f>
        <v/>
      </c>
      <c r="K969" s="58" t="str">
        <f>IF(ISNUMBER(deployment_raw[[#This Row],[Column11]]), (deployment_raw[[#This Row],[Column11]] * deployment_raw[[#This Row],[Column5]])/1048576,"")</f>
        <v/>
      </c>
      <c r="L969" s="180" t="str">
        <f>IF(ISNUMBER(deployment_raw[[#This Row],[Column8]]),IF(deployment_raw[[#This Row],[Column5]] &lt;&gt; 0, MAX((deployment_raw[[#This Row],[Column12]] * deployment_raw[[#This Row],[Column5]]), ((deployment_raw[[#This Row],[Column8]] * deployment_raw[[#This Row],[Column5]]) * $L$2), ($H$2 * deployment_raw[[#This Row],[Column5]])), 0),"")</f>
        <v/>
      </c>
      <c r="M96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69" s="188" t="str">
        <f>IF(ISNUMBER(deployment_raw[[#This Row],[Column14]]), deployment_raw[[#This Row],[Column14]],"")</f>
        <v/>
      </c>
      <c r="O969" s="189" t="str">
        <f>IF(ISNUMBER(deployment_raw[[#This Row],[Column15]]), deployment_raw[[#This Row],[Column15]]/1048576,"")</f>
        <v/>
      </c>
      <c r="P969" s="190" t="str">
        <f>IF(ISNUMBER(deployment_raw[[#This Row],[Column12]]), (deployment_raw[[#This Row],[Column12]] * deployment_raw[[#This Row],[Column5]]),"")</f>
        <v/>
      </c>
      <c r="Q969" s="189" t="str">
        <f>IF(ISNUMBER(deployment_raw[[#This Row],[Column13]]), (deployment_raw[[#This Row],[Column13]] * deployment_raw[[#This Row],[Column5]])/1048576,"")</f>
        <v/>
      </c>
    </row>
    <row r="970" spans="1:17" ht="15" customHeight="1" x14ac:dyDescent="0.25">
      <c r="A970" s="37" t="str">
        <f>IF(ISNONTEXT(deployment_raw[[#This Row],[Column1]]), "", deployment_raw[[#This Row],[Column1]])</f>
        <v/>
      </c>
      <c r="B970" s="38" t="str">
        <f>IF(ISNONTEXT(deployment_raw[[#This Row],[Column2]]), "", deployment_raw[[#This Row],[Column2]])</f>
        <v/>
      </c>
      <c r="C970" s="38" t="str">
        <f>IF(ISNONTEXT(deployment_raw[[#This Row],[Column3]]), "", deployment_raw[[#This Row],[Column3]])</f>
        <v/>
      </c>
      <c r="D970" s="38" t="str">
        <f>IF(ISNONTEXT(deployment_raw[[#This Row],[Column4]]), "", deployment_raw[[#This Row],[Column4]])</f>
        <v/>
      </c>
      <c r="E970" s="39" t="str">
        <f>IF(ISNUMBER(deployment_raw[[#This Row],[Column5]]), deployment_raw[[#This Row],[Column5]],"")</f>
        <v/>
      </c>
      <c r="F970" s="174" t="str">
        <f>IF(ISNUMBER(deployment_raw[[#This Row],[Column6]]), (deployment_raw[[#This Row],[Column6]] * deployment_raw[[#This Row],[Column5]]),"")</f>
        <v/>
      </c>
      <c r="G970" s="175" t="str">
        <f>IF(ISNUMBER(deployment_raw[[#This Row],[Column7]]), (deployment_raw[[#This Row],[Column7]] * deployment_raw[[#This Row],[Column5]])/1048576,"")</f>
        <v/>
      </c>
      <c r="H970" s="175" t="str">
        <f>IF(ISNUMBER(deployment_raw[[#This Row],[Column8]]), (deployment_raw[[#This Row],[Column8]]  * deployment_raw[[#This Row],[Column5]]),"")</f>
        <v/>
      </c>
      <c r="I970" s="176" t="str">
        <f>IF(ISNUMBER(deployment_raw[[#This Row],[Column9]]), (deployment_raw[[#This Row],[Column9]] * deployment_raw[[#This Row],[Column5]])/1048576,"")</f>
        <v/>
      </c>
      <c r="J970" s="57" t="str">
        <f>IF(ISNUMBER(deployment_raw[[#This Row],[Column10]]), (deployment_raw[[#This Row],[Column10]] * deployment_raw[[#This Row],[Column5]]),"")</f>
        <v/>
      </c>
      <c r="K970" s="58" t="str">
        <f>IF(ISNUMBER(deployment_raw[[#This Row],[Column11]]), (deployment_raw[[#This Row],[Column11]] * deployment_raw[[#This Row],[Column5]])/1048576,"")</f>
        <v/>
      </c>
      <c r="L970" s="180" t="str">
        <f>IF(ISNUMBER(deployment_raw[[#This Row],[Column8]]),IF(deployment_raw[[#This Row],[Column5]] &lt;&gt; 0, MAX((deployment_raw[[#This Row],[Column12]] * deployment_raw[[#This Row],[Column5]]), ((deployment_raw[[#This Row],[Column8]] * deployment_raw[[#This Row],[Column5]]) * $L$2), ($H$2 * deployment_raw[[#This Row],[Column5]])), 0),"")</f>
        <v/>
      </c>
      <c r="M97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70" s="188" t="str">
        <f>IF(ISNUMBER(deployment_raw[[#This Row],[Column14]]), deployment_raw[[#This Row],[Column14]],"")</f>
        <v/>
      </c>
      <c r="O970" s="189" t="str">
        <f>IF(ISNUMBER(deployment_raw[[#This Row],[Column15]]), deployment_raw[[#This Row],[Column15]]/1048576,"")</f>
        <v/>
      </c>
      <c r="P970" s="190" t="str">
        <f>IF(ISNUMBER(deployment_raw[[#This Row],[Column12]]), (deployment_raw[[#This Row],[Column12]] * deployment_raw[[#This Row],[Column5]]),"")</f>
        <v/>
      </c>
      <c r="Q970" s="189" t="str">
        <f>IF(ISNUMBER(deployment_raw[[#This Row],[Column13]]), (deployment_raw[[#This Row],[Column13]] * deployment_raw[[#This Row],[Column5]])/1048576,"")</f>
        <v/>
      </c>
    </row>
    <row r="971" spans="1:17" ht="15" customHeight="1" x14ac:dyDescent="0.25">
      <c r="A971" s="37" t="str">
        <f>IF(ISNONTEXT(deployment_raw[[#This Row],[Column1]]), "", deployment_raw[[#This Row],[Column1]])</f>
        <v/>
      </c>
      <c r="B971" s="38" t="str">
        <f>IF(ISNONTEXT(deployment_raw[[#This Row],[Column2]]), "", deployment_raw[[#This Row],[Column2]])</f>
        <v/>
      </c>
      <c r="C971" s="38" t="str">
        <f>IF(ISNONTEXT(deployment_raw[[#This Row],[Column3]]), "", deployment_raw[[#This Row],[Column3]])</f>
        <v/>
      </c>
      <c r="D971" s="38" t="str">
        <f>IF(ISNONTEXT(deployment_raw[[#This Row],[Column4]]), "", deployment_raw[[#This Row],[Column4]])</f>
        <v/>
      </c>
      <c r="E971" s="39" t="str">
        <f>IF(ISNUMBER(deployment_raw[[#This Row],[Column5]]), deployment_raw[[#This Row],[Column5]],"")</f>
        <v/>
      </c>
      <c r="F971" s="174" t="str">
        <f>IF(ISNUMBER(deployment_raw[[#This Row],[Column6]]), (deployment_raw[[#This Row],[Column6]] * deployment_raw[[#This Row],[Column5]]),"")</f>
        <v/>
      </c>
      <c r="G971" s="175" t="str">
        <f>IF(ISNUMBER(deployment_raw[[#This Row],[Column7]]), (deployment_raw[[#This Row],[Column7]] * deployment_raw[[#This Row],[Column5]])/1048576,"")</f>
        <v/>
      </c>
      <c r="H971" s="175" t="str">
        <f>IF(ISNUMBER(deployment_raw[[#This Row],[Column8]]), (deployment_raw[[#This Row],[Column8]]  * deployment_raw[[#This Row],[Column5]]),"")</f>
        <v/>
      </c>
      <c r="I971" s="176" t="str">
        <f>IF(ISNUMBER(deployment_raw[[#This Row],[Column9]]), (deployment_raw[[#This Row],[Column9]] * deployment_raw[[#This Row],[Column5]])/1048576,"")</f>
        <v/>
      </c>
      <c r="J971" s="57" t="str">
        <f>IF(ISNUMBER(deployment_raw[[#This Row],[Column10]]), (deployment_raw[[#This Row],[Column10]] * deployment_raw[[#This Row],[Column5]]),"")</f>
        <v/>
      </c>
      <c r="K971" s="58" t="str">
        <f>IF(ISNUMBER(deployment_raw[[#This Row],[Column11]]), (deployment_raw[[#This Row],[Column11]] * deployment_raw[[#This Row],[Column5]])/1048576,"")</f>
        <v/>
      </c>
      <c r="L971" s="180" t="str">
        <f>IF(ISNUMBER(deployment_raw[[#This Row],[Column8]]),IF(deployment_raw[[#This Row],[Column5]] &lt;&gt; 0, MAX((deployment_raw[[#This Row],[Column12]] * deployment_raw[[#This Row],[Column5]]), ((deployment_raw[[#This Row],[Column8]] * deployment_raw[[#This Row],[Column5]]) * $L$2), ($H$2 * deployment_raw[[#This Row],[Column5]])), 0),"")</f>
        <v/>
      </c>
      <c r="M97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71" s="188" t="str">
        <f>IF(ISNUMBER(deployment_raw[[#This Row],[Column14]]), deployment_raw[[#This Row],[Column14]],"")</f>
        <v/>
      </c>
      <c r="O971" s="189" t="str">
        <f>IF(ISNUMBER(deployment_raw[[#This Row],[Column15]]), deployment_raw[[#This Row],[Column15]]/1048576,"")</f>
        <v/>
      </c>
      <c r="P971" s="190" t="str">
        <f>IF(ISNUMBER(deployment_raw[[#This Row],[Column12]]), (deployment_raw[[#This Row],[Column12]] * deployment_raw[[#This Row],[Column5]]),"")</f>
        <v/>
      </c>
      <c r="Q971" s="189" t="str">
        <f>IF(ISNUMBER(deployment_raw[[#This Row],[Column13]]), (deployment_raw[[#This Row],[Column13]] * deployment_raw[[#This Row],[Column5]])/1048576,"")</f>
        <v/>
      </c>
    </row>
    <row r="972" spans="1:17" ht="15" customHeight="1" x14ac:dyDescent="0.25">
      <c r="A972" s="37" t="str">
        <f>IF(ISNONTEXT(deployment_raw[[#This Row],[Column1]]), "", deployment_raw[[#This Row],[Column1]])</f>
        <v/>
      </c>
      <c r="B972" s="38" t="str">
        <f>IF(ISNONTEXT(deployment_raw[[#This Row],[Column2]]), "", deployment_raw[[#This Row],[Column2]])</f>
        <v/>
      </c>
      <c r="C972" s="38" t="str">
        <f>IF(ISNONTEXT(deployment_raw[[#This Row],[Column3]]), "", deployment_raw[[#This Row],[Column3]])</f>
        <v/>
      </c>
      <c r="D972" s="38" t="str">
        <f>IF(ISNONTEXT(deployment_raw[[#This Row],[Column4]]), "", deployment_raw[[#This Row],[Column4]])</f>
        <v/>
      </c>
      <c r="E972" s="39" t="str">
        <f>IF(ISNUMBER(deployment_raw[[#This Row],[Column5]]), deployment_raw[[#This Row],[Column5]],"")</f>
        <v/>
      </c>
      <c r="F972" s="174" t="str">
        <f>IF(ISNUMBER(deployment_raw[[#This Row],[Column6]]), (deployment_raw[[#This Row],[Column6]] * deployment_raw[[#This Row],[Column5]]),"")</f>
        <v/>
      </c>
      <c r="G972" s="175" t="str">
        <f>IF(ISNUMBER(deployment_raw[[#This Row],[Column7]]), (deployment_raw[[#This Row],[Column7]] * deployment_raw[[#This Row],[Column5]])/1048576,"")</f>
        <v/>
      </c>
      <c r="H972" s="175" t="str">
        <f>IF(ISNUMBER(deployment_raw[[#This Row],[Column8]]), (deployment_raw[[#This Row],[Column8]]  * deployment_raw[[#This Row],[Column5]]),"")</f>
        <v/>
      </c>
      <c r="I972" s="176" t="str">
        <f>IF(ISNUMBER(deployment_raw[[#This Row],[Column9]]), (deployment_raw[[#This Row],[Column9]] * deployment_raw[[#This Row],[Column5]])/1048576,"")</f>
        <v/>
      </c>
      <c r="J972" s="57" t="str">
        <f>IF(ISNUMBER(deployment_raw[[#This Row],[Column10]]), (deployment_raw[[#This Row],[Column10]] * deployment_raw[[#This Row],[Column5]]),"")</f>
        <v/>
      </c>
      <c r="K972" s="58" t="str">
        <f>IF(ISNUMBER(deployment_raw[[#This Row],[Column11]]), (deployment_raw[[#This Row],[Column11]] * deployment_raw[[#This Row],[Column5]])/1048576,"")</f>
        <v/>
      </c>
      <c r="L972" s="180" t="str">
        <f>IF(ISNUMBER(deployment_raw[[#This Row],[Column8]]),IF(deployment_raw[[#This Row],[Column5]] &lt;&gt; 0, MAX((deployment_raw[[#This Row],[Column12]] * deployment_raw[[#This Row],[Column5]]), ((deployment_raw[[#This Row],[Column8]] * deployment_raw[[#This Row],[Column5]]) * $L$2), ($H$2 * deployment_raw[[#This Row],[Column5]])), 0),"")</f>
        <v/>
      </c>
      <c r="M97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72" s="188" t="str">
        <f>IF(ISNUMBER(deployment_raw[[#This Row],[Column14]]), deployment_raw[[#This Row],[Column14]],"")</f>
        <v/>
      </c>
      <c r="O972" s="189" t="str">
        <f>IF(ISNUMBER(deployment_raw[[#This Row],[Column15]]), deployment_raw[[#This Row],[Column15]]/1048576,"")</f>
        <v/>
      </c>
      <c r="P972" s="190" t="str">
        <f>IF(ISNUMBER(deployment_raw[[#This Row],[Column12]]), (deployment_raw[[#This Row],[Column12]] * deployment_raw[[#This Row],[Column5]]),"")</f>
        <v/>
      </c>
      <c r="Q972" s="189" t="str">
        <f>IF(ISNUMBER(deployment_raw[[#This Row],[Column13]]), (deployment_raw[[#This Row],[Column13]] * deployment_raw[[#This Row],[Column5]])/1048576,"")</f>
        <v/>
      </c>
    </row>
    <row r="973" spans="1:17" ht="15" customHeight="1" x14ac:dyDescent="0.25">
      <c r="A973" s="37" t="str">
        <f>IF(ISNONTEXT(deployment_raw[[#This Row],[Column1]]), "", deployment_raw[[#This Row],[Column1]])</f>
        <v/>
      </c>
      <c r="B973" s="38" t="str">
        <f>IF(ISNONTEXT(deployment_raw[[#This Row],[Column2]]), "", deployment_raw[[#This Row],[Column2]])</f>
        <v/>
      </c>
      <c r="C973" s="38" t="str">
        <f>IF(ISNONTEXT(deployment_raw[[#This Row],[Column3]]), "", deployment_raw[[#This Row],[Column3]])</f>
        <v/>
      </c>
      <c r="D973" s="38" t="str">
        <f>IF(ISNONTEXT(deployment_raw[[#This Row],[Column4]]), "", deployment_raw[[#This Row],[Column4]])</f>
        <v/>
      </c>
      <c r="E973" s="39" t="str">
        <f>IF(ISNUMBER(deployment_raw[[#This Row],[Column5]]), deployment_raw[[#This Row],[Column5]],"")</f>
        <v/>
      </c>
      <c r="F973" s="174" t="str">
        <f>IF(ISNUMBER(deployment_raw[[#This Row],[Column6]]), (deployment_raw[[#This Row],[Column6]] * deployment_raw[[#This Row],[Column5]]),"")</f>
        <v/>
      </c>
      <c r="G973" s="175" t="str">
        <f>IF(ISNUMBER(deployment_raw[[#This Row],[Column7]]), (deployment_raw[[#This Row],[Column7]] * deployment_raw[[#This Row],[Column5]])/1048576,"")</f>
        <v/>
      </c>
      <c r="H973" s="175" t="str">
        <f>IF(ISNUMBER(deployment_raw[[#This Row],[Column8]]), (deployment_raw[[#This Row],[Column8]]  * deployment_raw[[#This Row],[Column5]]),"")</f>
        <v/>
      </c>
      <c r="I973" s="176" t="str">
        <f>IF(ISNUMBER(deployment_raw[[#This Row],[Column9]]), (deployment_raw[[#This Row],[Column9]] * deployment_raw[[#This Row],[Column5]])/1048576,"")</f>
        <v/>
      </c>
      <c r="J973" s="57" t="str">
        <f>IF(ISNUMBER(deployment_raw[[#This Row],[Column10]]), (deployment_raw[[#This Row],[Column10]] * deployment_raw[[#This Row],[Column5]]),"")</f>
        <v/>
      </c>
      <c r="K973" s="58" t="str">
        <f>IF(ISNUMBER(deployment_raw[[#This Row],[Column11]]), (deployment_raw[[#This Row],[Column11]] * deployment_raw[[#This Row],[Column5]])/1048576,"")</f>
        <v/>
      </c>
      <c r="L973" s="180" t="str">
        <f>IF(ISNUMBER(deployment_raw[[#This Row],[Column8]]),IF(deployment_raw[[#This Row],[Column5]] &lt;&gt; 0, MAX((deployment_raw[[#This Row],[Column12]] * deployment_raw[[#This Row],[Column5]]), ((deployment_raw[[#This Row],[Column8]] * deployment_raw[[#This Row],[Column5]]) * $L$2), ($H$2 * deployment_raw[[#This Row],[Column5]])), 0),"")</f>
        <v/>
      </c>
      <c r="M97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73" s="188" t="str">
        <f>IF(ISNUMBER(deployment_raw[[#This Row],[Column14]]), deployment_raw[[#This Row],[Column14]],"")</f>
        <v/>
      </c>
      <c r="O973" s="189" t="str">
        <f>IF(ISNUMBER(deployment_raw[[#This Row],[Column15]]), deployment_raw[[#This Row],[Column15]]/1048576,"")</f>
        <v/>
      </c>
      <c r="P973" s="190" t="str">
        <f>IF(ISNUMBER(deployment_raw[[#This Row],[Column12]]), (deployment_raw[[#This Row],[Column12]] * deployment_raw[[#This Row],[Column5]]),"")</f>
        <v/>
      </c>
      <c r="Q973" s="189" t="str">
        <f>IF(ISNUMBER(deployment_raw[[#This Row],[Column13]]), (deployment_raw[[#This Row],[Column13]] * deployment_raw[[#This Row],[Column5]])/1048576,"")</f>
        <v/>
      </c>
    </row>
    <row r="974" spans="1:17" ht="15" customHeight="1" x14ac:dyDescent="0.25">
      <c r="A974" s="37" t="str">
        <f>IF(ISNONTEXT(deployment_raw[[#This Row],[Column1]]), "", deployment_raw[[#This Row],[Column1]])</f>
        <v/>
      </c>
      <c r="B974" s="38" t="str">
        <f>IF(ISNONTEXT(deployment_raw[[#This Row],[Column2]]), "", deployment_raw[[#This Row],[Column2]])</f>
        <v/>
      </c>
      <c r="C974" s="38" t="str">
        <f>IF(ISNONTEXT(deployment_raw[[#This Row],[Column3]]), "", deployment_raw[[#This Row],[Column3]])</f>
        <v/>
      </c>
      <c r="D974" s="38" t="str">
        <f>IF(ISNONTEXT(deployment_raw[[#This Row],[Column4]]), "", deployment_raw[[#This Row],[Column4]])</f>
        <v/>
      </c>
      <c r="E974" s="39" t="str">
        <f>IF(ISNUMBER(deployment_raw[[#This Row],[Column5]]), deployment_raw[[#This Row],[Column5]],"")</f>
        <v/>
      </c>
      <c r="F974" s="174" t="str">
        <f>IF(ISNUMBER(deployment_raw[[#This Row],[Column6]]), (deployment_raw[[#This Row],[Column6]] * deployment_raw[[#This Row],[Column5]]),"")</f>
        <v/>
      </c>
      <c r="G974" s="175" t="str">
        <f>IF(ISNUMBER(deployment_raw[[#This Row],[Column7]]), (deployment_raw[[#This Row],[Column7]] * deployment_raw[[#This Row],[Column5]])/1048576,"")</f>
        <v/>
      </c>
      <c r="H974" s="175" t="str">
        <f>IF(ISNUMBER(deployment_raw[[#This Row],[Column8]]), (deployment_raw[[#This Row],[Column8]]  * deployment_raw[[#This Row],[Column5]]),"")</f>
        <v/>
      </c>
      <c r="I974" s="176" t="str">
        <f>IF(ISNUMBER(deployment_raw[[#This Row],[Column9]]), (deployment_raw[[#This Row],[Column9]] * deployment_raw[[#This Row],[Column5]])/1048576,"")</f>
        <v/>
      </c>
      <c r="J974" s="57" t="str">
        <f>IF(ISNUMBER(deployment_raw[[#This Row],[Column10]]), (deployment_raw[[#This Row],[Column10]] * deployment_raw[[#This Row],[Column5]]),"")</f>
        <v/>
      </c>
      <c r="K974" s="58" t="str">
        <f>IF(ISNUMBER(deployment_raw[[#This Row],[Column11]]), (deployment_raw[[#This Row],[Column11]] * deployment_raw[[#This Row],[Column5]])/1048576,"")</f>
        <v/>
      </c>
      <c r="L974" s="180" t="str">
        <f>IF(ISNUMBER(deployment_raw[[#This Row],[Column8]]),IF(deployment_raw[[#This Row],[Column5]] &lt;&gt; 0, MAX((deployment_raw[[#This Row],[Column12]] * deployment_raw[[#This Row],[Column5]]), ((deployment_raw[[#This Row],[Column8]] * deployment_raw[[#This Row],[Column5]]) * $L$2), ($H$2 * deployment_raw[[#This Row],[Column5]])), 0),"")</f>
        <v/>
      </c>
      <c r="M97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74" s="188" t="str">
        <f>IF(ISNUMBER(deployment_raw[[#This Row],[Column14]]), deployment_raw[[#This Row],[Column14]],"")</f>
        <v/>
      </c>
      <c r="O974" s="189" t="str">
        <f>IF(ISNUMBER(deployment_raw[[#This Row],[Column15]]), deployment_raw[[#This Row],[Column15]]/1048576,"")</f>
        <v/>
      </c>
      <c r="P974" s="190" t="str">
        <f>IF(ISNUMBER(deployment_raw[[#This Row],[Column12]]), (deployment_raw[[#This Row],[Column12]] * deployment_raw[[#This Row],[Column5]]),"")</f>
        <v/>
      </c>
      <c r="Q974" s="189" t="str">
        <f>IF(ISNUMBER(deployment_raw[[#This Row],[Column13]]), (deployment_raw[[#This Row],[Column13]] * deployment_raw[[#This Row],[Column5]])/1048576,"")</f>
        <v/>
      </c>
    </row>
    <row r="975" spans="1:17" ht="15" customHeight="1" x14ac:dyDescent="0.25">
      <c r="A975" s="37" t="str">
        <f>IF(ISNONTEXT(deployment_raw[[#This Row],[Column1]]), "", deployment_raw[[#This Row],[Column1]])</f>
        <v/>
      </c>
      <c r="B975" s="38" t="str">
        <f>IF(ISNONTEXT(deployment_raw[[#This Row],[Column2]]), "", deployment_raw[[#This Row],[Column2]])</f>
        <v/>
      </c>
      <c r="C975" s="38" t="str">
        <f>IF(ISNONTEXT(deployment_raw[[#This Row],[Column3]]), "", deployment_raw[[#This Row],[Column3]])</f>
        <v/>
      </c>
      <c r="D975" s="38" t="str">
        <f>IF(ISNONTEXT(deployment_raw[[#This Row],[Column4]]), "", deployment_raw[[#This Row],[Column4]])</f>
        <v/>
      </c>
      <c r="E975" s="39" t="str">
        <f>IF(ISNUMBER(deployment_raw[[#This Row],[Column5]]), deployment_raw[[#This Row],[Column5]],"")</f>
        <v/>
      </c>
      <c r="F975" s="174" t="str">
        <f>IF(ISNUMBER(deployment_raw[[#This Row],[Column6]]), (deployment_raw[[#This Row],[Column6]] * deployment_raw[[#This Row],[Column5]]),"")</f>
        <v/>
      </c>
      <c r="G975" s="175" t="str">
        <f>IF(ISNUMBER(deployment_raw[[#This Row],[Column7]]), (deployment_raw[[#This Row],[Column7]] * deployment_raw[[#This Row],[Column5]])/1048576,"")</f>
        <v/>
      </c>
      <c r="H975" s="175" t="str">
        <f>IF(ISNUMBER(deployment_raw[[#This Row],[Column8]]), (deployment_raw[[#This Row],[Column8]]  * deployment_raw[[#This Row],[Column5]]),"")</f>
        <v/>
      </c>
      <c r="I975" s="176" t="str">
        <f>IF(ISNUMBER(deployment_raw[[#This Row],[Column9]]), (deployment_raw[[#This Row],[Column9]] * deployment_raw[[#This Row],[Column5]])/1048576,"")</f>
        <v/>
      </c>
      <c r="J975" s="57" t="str">
        <f>IF(ISNUMBER(deployment_raw[[#This Row],[Column10]]), (deployment_raw[[#This Row],[Column10]] * deployment_raw[[#This Row],[Column5]]),"")</f>
        <v/>
      </c>
      <c r="K975" s="58" t="str">
        <f>IF(ISNUMBER(deployment_raw[[#This Row],[Column11]]), (deployment_raw[[#This Row],[Column11]] * deployment_raw[[#This Row],[Column5]])/1048576,"")</f>
        <v/>
      </c>
      <c r="L975" s="180" t="str">
        <f>IF(ISNUMBER(deployment_raw[[#This Row],[Column8]]),IF(deployment_raw[[#This Row],[Column5]] &lt;&gt; 0, MAX((deployment_raw[[#This Row],[Column12]] * deployment_raw[[#This Row],[Column5]]), ((deployment_raw[[#This Row],[Column8]] * deployment_raw[[#This Row],[Column5]]) * $L$2), ($H$2 * deployment_raw[[#This Row],[Column5]])), 0),"")</f>
        <v/>
      </c>
      <c r="M97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75" s="188" t="str">
        <f>IF(ISNUMBER(deployment_raw[[#This Row],[Column14]]), deployment_raw[[#This Row],[Column14]],"")</f>
        <v/>
      </c>
      <c r="O975" s="189" t="str">
        <f>IF(ISNUMBER(deployment_raw[[#This Row],[Column15]]), deployment_raw[[#This Row],[Column15]]/1048576,"")</f>
        <v/>
      </c>
      <c r="P975" s="190" t="str">
        <f>IF(ISNUMBER(deployment_raw[[#This Row],[Column12]]), (deployment_raw[[#This Row],[Column12]] * deployment_raw[[#This Row],[Column5]]),"")</f>
        <v/>
      </c>
      <c r="Q975" s="189" t="str">
        <f>IF(ISNUMBER(deployment_raw[[#This Row],[Column13]]), (deployment_raw[[#This Row],[Column13]] * deployment_raw[[#This Row],[Column5]])/1048576,"")</f>
        <v/>
      </c>
    </row>
    <row r="976" spans="1:17" ht="15" customHeight="1" x14ac:dyDescent="0.25">
      <c r="A976" s="37" t="str">
        <f>IF(ISNONTEXT(deployment_raw[[#This Row],[Column1]]), "", deployment_raw[[#This Row],[Column1]])</f>
        <v/>
      </c>
      <c r="B976" s="38" t="str">
        <f>IF(ISNONTEXT(deployment_raw[[#This Row],[Column2]]), "", deployment_raw[[#This Row],[Column2]])</f>
        <v/>
      </c>
      <c r="C976" s="38" t="str">
        <f>IF(ISNONTEXT(deployment_raw[[#This Row],[Column3]]), "", deployment_raw[[#This Row],[Column3]])</f>
        <v/>
      </c>
      <c r="D976" s="38" t="str">
        <f>IF(ISNONTEXT(deployment_raw[[#This Row],[Column4]]), "", deployment_raw[[#This Row],[Column4]])</f>
        <v/>
      </c>
      <c r="E976" s="39" t="str">
        <f>IF(ISNUMBER(deployment_raw[[#This Row],[Column5]]), deployment_raw[[#This Row],[Column5]],"")</f>
        <v/>
      </c>
      <c r="F976" s="174" t="str">
        <f>IF(ISNUMBER(deployment_raw[[#This Row],[Column6]]), (deployment_raw[[#This Row],[Column6]] * deployment_raw[[#This Row],[Column5]]),"")</f>
        <v/>
      </c>
      <c r="G976" s="175" t="str">
        <f>IF(ISNUMBER(deployment_raw[[#This Row],[Column7]]), (deployment_raw[[#This Row],[Column7]] * deployment_raw[[#This Row],[Column5]])/1048576,"")</f>
        <v/>
      </c>
      <c r="H976" s="175" t="str">
        <f>IF(ISNUMBER(deployment_raw[[#This Row],[Column8]]), (deployment_raw[[#This Row],[Column8]]  * deployment_raw[[#This Row],[Column5]]),"")</f>
        <v/>
      </c>
      <c r="I976" s="176" t="str">
        <f>IF(ISNUMBER(deployment_raw[[#This Row],[Column9]]), (deployment_raw[[#This Row],[Column9]] * deployment_raw[[#This Row],[Column5]])/1048576,"")</f>
        <v/>
      </c>
      <c r="J976" s="57" t="str">
        <f>IF(ISNUMBER(deployment_raw[[#This Row],[Column10]]), (deployment_raw[[#This Row],[Column10]] * deployment_raw[[#This Row],[Column5]]),"")</f>
        <v/>
      </c>
      <c r="K976" s="58" t="str">
        <f>IF(ISNUMBER(deployment_raw[[#This Row],[Column11]]), (deployment_raw[[#This Row],[Column11]] * deployment_raw[[#This Row],[Column5]])/1048576,"")</f>
        <v/>
      </c>
      <c r="L976" s="180" t="str">
        <f>IF(ISNUMBER(deployment_raw[[#This Row],[Column8]]),IF(deployment_raw[[#This Row],[Column5]] &lt;&gt; 0, MAX((deployment_raw[[#This Row],[Column12]] * deployment_raw[[#This Row],[Column5]]), ((deployment_raw[[#This Row],[Column8]] * deployment_raw[[#This Row],[Column5]]) * $L$2), ($H$2 * deployment_raw[[#This Row],[Column5]])), 0),"")</f>
        <v/>
      </c>
      <c r="M97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76" s="188" t="str">
        <f>IF(ISNUMBER(deployment_raw[[#This Row],[Column14]]), deployment_raw[[#This Row],[Column14]],"")</f>
        <v/>
      </c>
      <c r="O976" s="189" t="str">
        <f>IF(ISNUMBER(deployment_raw[[#This Row],[Column15]]), deployment_raw[[#This Row],[Column15]]/1048576,"")</f>
        <v/>
      </c>
      <c r="P976" s="190" t="str">
        <f>IF(ISNUMBER(deployment_raw[[#This Row],[Column12]]), (deployment_raw[[#This Row],[Column12]] * deployment_raw[[#This Row],[Column5]]),"")</f>
        <v/>
      </c>
      <c r="Q976" s="189" t="str">
        <f>IF(ISNUMBER(deployment_raw[[#This Row],[Column13]]), (deployment_raw[[#This Row],[Column13]] * deployment_raw[[#This Row],[Column5]])/1048576,"")</f>
        <v/>
      </c>
    </row>
    <row r="977" spans="1:17" ht="15" customHeight="1" x14ac:dyDescent="0.25">
      <c r="A977" s="37" t="str">
        <f>IF(ISNONTEXT(deployment_raw[[#This Row],[Column1]]), "", deployment_raw[[#This Row],[Column1]])</f>
        <v/>
      </c>
      <c r="B977" s="38" t="str">
        <f>IF(ISNONTEXT(deployment_raw[[#This Row],[Column2]]), "", deployment_raw[[#This Row],[Column2]])</f>
        <v/>
      </c>
      <c r="C977" s="38" t="str">
        <f>IF(ISNONTEXT(deployment_raw[[#This Row],[Column3]]), "", deployment_raw[[#This Row],[Column3]])</f>
        <v/>
      </c>
      <c r="D977" s="38" t="str">
        <f>IF(ISNONTEXT(deployment_raw[[#This Row],[Column4]]), "", deployment_raw[[#This Row],[Column4]])</f>
        <v/>
      </c>
      <c r="E977" s="39" t="str">
        <f>IF(ISNUMBER(deployment_raw[[#This Row],[Column5]]), deployment_raw[[#This Row],[Column5]],"")</f>
        <v/>
      </c>
      <c r="F977" s="174" t="str">
        <f>IF(ISNUMBER(deployment_raw[[#This Row],[Column6]]), (deployment_raw[[#This Row],[Column6]] * deployment_raw[[#This Row],[Column5]]),"")</f>
        <v/>
      </c>
      <c r="G977" s="175" t="str">
        <f>IF(ISNUMBER(deployment_raw[[#This Row],[Column7]]), (deployment_raw[[#This Row],[Column7]] * deployment_raw[[#This Row],[Column5]])/1048576,"")</f>
        <v/>
      </c>
      <c r="H977" s="175" t="str">
        <f>IF(ISNUMBER(deployment_raw[[#This Row],[Column8]]), (deployment_raw[[#This Row],[Column8]]  * deployment_raw[[#This Row],[Column5]]),"")</f>
        <v/>
      </c>
      <c r="I977" s="176" t="str">
        <f>IF(ISNUMBER(deployment_raw[[#This Row],[Column9]]), (deployment_raw[[#This Row],[Column9]] * deployment_raw[[#This Row],[Column5]])/1048576,"")</f>
        <v/>
      </c>
      <c r="J977" s="57" t="str">
        <f>IF(ISNUMBER(deployment_raw[[#This Row],[Column10]]), (deployment_raw[[#This Row],[Column10]] * deployment_raw[[#This Row],[Column5]]),"")</f>
        <v/>
      </c>
      <c r="K977" s="58" t="str">
        <f>IF(ISNUMBER(deployment_raw[[#This Row],[Column11]]), (deployment_raw[[#This Row],[Column11]] * deployment_raw[[#This Row],[Column5]])/1048576,"")</f>
        <v/>
      </c>
      <c r="L977" s="180" t="str">
        <f>IF(ISNUMBER(deployment_raw[[#This Row],[Column8]]),IF(deployment_raw[[#This Row],[Column5]] &lt;&gt; 0, MAX((deployment_raw[[#This Row],[Column12]] * deployment_raw[[#This Row],[Column5]]), ((deployment_raw[[#This Row],[Column8]] * deployment_raw[[#This Row],[Column5]]) * $L$2), ($H$2 * deployment_raw[[#This Row],[Column5]])), 0),"")</f>
        <v/>
      </c>
      <c r="M97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77" s="188" t="str">
        <f>IF(ISNUMBER(deployment_raw[[#This Row],[Column14]]), deployment_raw[[#This Row],[Column14]],"")</f>
        <v/>
      </c>
      <c r="O977" s="189" t="str">
        <f>IF(ISNUMBER(deployment_raw[[#This Row],[Column15]]), deployment_raw[[#This Row],[Column15]]/1048576,"")</f>
        <v/>
      </c>
      <c r="P977" s="190" t="str">
        <f>IF(ISNUMBER(deployment_raw[[#This Row],[Column12]]), (deployment_raw[[#This Row],[Column12]] * deployment_raw[[#This Row],[Column5]]),"")</f>
        <v/>
      </c>
      <c r="Q977" s="189" t="str">
        <f>IF(ISNUMBER(deployment_raw[[#This Row],[Column13]]), (deployment_raw[[#This Row],[Column13]] * deployment_raw[[#This Row],[Column5]])/1048576,"")</f>
        <v/>
      </c>
    </row>
    <row r="978" spans="1:17" ht="15" customHeight="1" x14ac:dyDescent="0.25">
      <c r="A978" s="37" t="str">
        <f>IF(ISNONTEXT(deployment_raw[[#This Row],[Column1]]), "", deployment_raw[[#This Row],[Column1]])</f>
        <v/>
      </c>
      <c r="B978" s="38" t="str">
        <f>IF(ISNONTEXT(deployment_raw[[#This Row],[Column2]]), "", deployment_raw[[#This Row],[Column2]])</f>
        <v/>
      </c>
      <c r="C978" s="38" t="str">
        <f>IF(ISNONTEXT(deployment_raw[[#This Row],[Column3]]), "", deployment_raw[[#This Row],[Column3]])</f>
        <v/>
      </c>
      <c r="D978" s="38" t="str">
        <f>IF(ISNONTEXT(deployment_raw[[#This Row],[Column4]]), "", deployment_raw[[#This Row],[Column4]])</f>
        <v/>
      </c>
      <c r="E978" s="39" t="str">
        <f>IF(ISNUMBER(deployment_raw[[#This Row],[Column5]]), deployment_raw[[#This Row],[Column5]],"")</f>
        <v/>
      </c>
      <c r="F978" s="174" t="str">
        <f>IF(ISNUMBER(deployment_raw[[#This Row],[Column6]]), (deployment_raw[[#This Row],[Column6]] * deployment_raw[[#This Row],[Column5]]),"")</f>
        <v/>
      </c>
      <c r="G978" s="175" t="str">
        <f>IF(ISNUMBER(deployment_raw[[#This Row],[Column7]]), (deployment_raw[[#This Row],[Column7]] * deployment_raw[[#This Row],[Column5]])/1048576,"")</f>
        <v/>
      </c>
      <c r="H978" s="175" t="str">
        <f>IF(ISNUMBER(deployment_raw[[#This Row],[Column8]]), (deployment_raw[[#This Row],[Column8]]  * deployment_raw[[#This Row],[Column5]]),"")</f>
        <v/>
      </c>
      <c r="I978" s="176" t="str">
        <f>IF(ISNUMBER(deployment_raw[[#This Row],[Column9]]), (deployment_raw[[#This Row],[Column9]] * deployment_raw[[#This Row],[Column5]])/1048576,"")</f>
        <v/>
      </c>
      <c r="J978" s="57" t="str">
        <f>IF(ISNUMBER(deployment_raw[[#This Row],[Column10]]), (deployment_raw[[#This Row],[Column10]] * deployment_raw[[#This Row],[Column5]]),"")</f>
        <v/>
      </c>
      <c r="K978" s="58" t="str">
        <f>IF(ISNUMBER(deployment_raw[[#This Row],[Column11]]), (deployment_raw[[#This Row],[Column11]] * deployment_raw[[#This Row],[Column5]])/1048576,"")</f>
        <v/>
      </c>
      <c r="L978" s="180" t="str">
        <f>IF(ISNUMBER(deployment_raw[[#This Row],[Column8]]),IF(deployment_raw[[#This Row],[Column5]] &lt;&gt; 0, MAX((deployment_raw[[#This Row],[Column12]] * deployment_raw[[#This Row],[Column5]]), ((deployment_raw[[#This Row],[Column8]] * deployment_raw[[#This Row],[Column5]]) * $L$2), ($H$2 * deployment_raw[[#This Row],[Column5]])), 0),"")</f>
        <v/>
      </c>
      <c r="M97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78" s="188" t="str">
        <f>IF(ISNUMBER(deployment_raw[[#This Row],[Column14]]), deployment_raw[[#This Row],[Column14]],"")</f>
        <v/>
      </c>
      <c r="O978" s="189" t="str">
        <f>IF(ISNUMBER(deployment_raw[[#This Row],[Column15]]), deployment_raw[[#This Row],[Column15]]/1048576,"")</f>
        <v/>
      </c>
      <c r="P978" s="190" t="str">
        <f>IF(ISNUMBER(deployment_raw[[#This Row],[Column12]]), (deployment_raw[[#This Row],[Column12]] * deployment_raw[[#This Row],[Column5]]),"")</f>
        <v/>
      </c>
      <c r="Q978" s="189" t="str">
        <f>IF(ISNUMBER(deployment_raw[[#This Row],[Column13]]), (deployment_raw[[#This Row],[Column13]] * deployment_raw[[#This Row],[Column5]])/1048576,"")</f>
        <v/>
      </c>
    </row>
    <row r="979" spans="1:17" ht="15" customHeight="1" x14ac:dyDescent="0.25">
      <c r="A979" s="37" t="str">
        <f>IF(ISNONTEXT(deployment_raw[[#This Row],[Column1]]), "", deployment_raw[[#This Row],[Column1]])</f>
        <v/>
      </c>
      <c r="B979" s="38" t="str">
        <f>IF(ISNONTEXT(deployment_raw[[#This Row],[Column2]]), "", deployment_raw[[#This Row],[Column2]])</f>
        <v/>
      </c>
      <c r="C979" s="38" t="str">
        <f>IF(ISNONTEXT(deployment_raw[[#This Row],[Column3]]), "", deployment_raw[[#This Row],[Column3]])</f>
        <v/>
      </c>
      <c r="D979" s="38" t="str">
        <f>IF(ISNONTEXT(deployment_raw[[#This Row],[Column4]]), "", deployment_raw[[#This Row],[Column4]])</f>
        <v/>
      </c>
      <c r="E979" s="39" t="str">
        <f>IF(ISNUMBER(deployment_raw[[#This Row],[Column5]]), deployment_raw[[#This Row],[Column5]],"")</f>
        <v/>
      </c>
      <c r="F979" s="174" t="str">
        <f>IF(ISNUMBER(deployment_raw[[#This Row],[Column6]]), (deployment_raw[[#This Row],[Column6]] * deployment_raw[[#This Row],[Column5]]),"")</f>
        <v/>
      </c>
      <c r="G979" s="175" t="str">
        <f>IF(ISNUMBER(deployment_raw[[#This Row],[Column7]]), (deployment_raw[[#This Row],[Column7]] * deployment_raw[[#This Row],[Column5]])/1048576,"")</f>
        <v/>
      </c>
      <c r="H979" s="175" t="str">
        <f>IF(ISNUMBER(deployment_raw[[#This Row],[Column8]]), (deployment_raw[[#This Row],[Column8]]  * deployment_raw[[#This Row],[Column5]]),"")</f>
        <v/>
      </c>
      <c r="I979" s="176" t="str">
        <f>IF(ISNUMBER(deployment_raw[[#This Row],[Column9]]), (deployment_raw[[#This Row],[Column9]] * deployment_raw[[#This Row],[Column5]])/1048576,"")</f>
        <v/>
      </c>
      <c r="J979" s="57" t="str">
        <f>IF(ISNUMBER(deployment_raw[[#This Row],[Column10]]), (deployment_raw[[#This Row],[Column10]] * deployment_raw[[#This Row],[Column5]]),"")</f>
        <v/>
      </c>
      <c r="K979" s="58" t="str">
        <f>IF(ISNUMBER(deployment_raw[[#This Row],[Column11]]), (deployment_raw[[#This Row],[Column11]] * deployment_raw[[#This Row],[Column5]])/1048576,"")</f>
        <v/>
      </c>
      <c r="L979" s="180" t="str">
        <f>IF(ISNUMBER(deployment_raw[[#This Row],[Column8]]),IF(deployment_raw[[#This Row],[Column5]] &lt;&gt; 0, MAX((deployment_raw[[#This Row],[Column12]] * deployment_raw[[#This Row],[Column5]]), ((deployment_raw[[#This Row],[Column8]] * deployment_raw[[#This Row],[Column5]]) * $L$2), ($H$2 * deployment_raw[[#This Row],[Column5]])), 0),"")</f>
        <v/>
      </c>
      <c r="M97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79" s="188" t="str">
        <f>IF(ISNUMBER(deployment_raw[[#This Row],[Column14]]), deployment_raw[[#This Row],[Column14]],"")</f>
        <v/>
      </c>
      <c r="O979" s="189" t="str">
        <f>IF(ISNUMBER(deployment_raw[[#This Row],[Column15]]), deployment_raw[[#This Row],[Column15]]/1048576,"")</f>
        <v/>
      </c>
      <c r="P979" s="190" t="str">
        <f>IF(ISNUMBER(deployment_raw[[#This Row],[Column12]]), (deployment_raw[[#This Row],[Column12]] * deployment_raw[[#This Row],[Column5]]),"")</f>
        <v/>
      </c>
      <c r="Q979" s="189" t="str">
        <f>IF(ISNUMBER(deployment_raw[[#This Row],[Column13]]), (deployment_raw[[#This Row],[Column13]] * deployment_raw[[#This Row],[Column5]])/1048576,"")</f>
        <v/>
      </c>
    </row>
    <row r="980" spans="1:17" ht="15" customHeight="1" x14ac:dyDescent="0.25">
      <c r="A980" s="37" t="str">
        <f>IF(ISNONTEXT(deployment_raw[[#This Row],[Column1]]), "", deployment_raw[[#This Row],[Column1]])</f>
        <v/>
      </c>
      <c r="B980" s="38" t="str">
        <f>IF(ISNONTEXT(deployment_raw[[#This Row],[Column2]]), "", deployment_raw[[#This Row],[Column2]])</f>
        <v/>
      </c>
      <c r="C980" s="38" t="str">
        <f>IF(ISNONTEXT(deployment_raw[[#This Row],[Column3]]), "", deployment_raw[[#This Row],[Column3]])</f>
        <v/>
      </c>
      <c r="D980" s="38" t="str">
        <f>IF(ISNONTEXT(deployment_raw[[#This Row],[Column4]]), "", deployment_raw[[#This Row],[Column4]])</f>
        <v/>
      </c>
      <c r="E980" s="39" t="str">
        <f>IF(ISNUMBER(deployment_raw[[#This Row],[Column5]]), deployment_raw[[#This Row],[Column5]],"")</f>
        <v/>
      </c>
      <c r="F980" s="174" t="str">
        <f>IF(ISNUMBER(deployment_raw[[#This Row],[Column6]]), (deployment_raw[[#This Row],[Column6]] * deployment_raw[[#This Row],[Column5]]),"")</f>
        <v/>
      </c>
      <c r="G980" s="175" t="str">
        <f>IF(ISNUMBER(deployment_raw[[#This Row],[Column7]]), (deployment_raw[[#This Row],[Column7]] * deployment_raw[[#This Row],[Column5]])/1048576,"")</f>
        <v/>
      </c>
      <c r="H980" s="175" t="str">
        <f>IF(ISNUMBER(deployment_raw[[#This Row],[Column8]]), (deployment_raw[[#This Row],[Column8]]  * deployment_raw[[#This Row],[Column5]]),"")</f>
        <v/>
      </c>
      <c r="I980" s="176" t="str">
        <f>IF(ISNUMBER(deployment_raw[[#This Row],[Column9]]), (deployment_raw[[#This Row],[Column9]] * deployment_raw[[#This Row],[Column5]])/1048576,"")</f>
        <v/>
      </c>
      <c r="J980" s="57" t="str">
        <f>IF(ISNUMBER(deployment_raw[[#This Row],[Column10]]), (deployment_raw[[#This Row],[Column10]] * deployment_raw[[#This Row],[Column5]]),"")</f>
        <v/>
      </c>
      <c r="K980" s="58" t="str">
        <f>IF(ISNUMBER(deployment_raw[[#This Row],[Column11]]), (deployment_raw[[#This Row],[Column11]] * deployment_raw[[#This Row],[Column5]])/1048576,"")</f>
        <v/>
      </c>
      <c r="L980" s="180" t="str">
        <f>IF(ISNUMBER(deployment_raw[[#This Row],[Column8]]),IF(deployment_raw[[#This Row],[Column5]] &lt;&gt; 0, MAX((deployment_raw[[#This Row],[Column12]] * deployment_raw[[#This Row],[Column5]]), ((deployment_raw[[#This Row],[Column8]] * deployment_raw[[#This Row],[Column5]]) * $L$2), ($H$2 * deployment_raw[[#This Row],[Column5]])), 0),"")</f>
        <v/>
      </c>
      <c r="M98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80" s="188" t="str">
        <f>IF(ISNUMBER(deployment_raw[[#This Row],[Column14]]), deployment_raw[[#This Row],[Column14]],"")</f>
        <v/>
      </c>
      <c r="O980" s="189" t="str">
        <f>IF(ISNUMBER(deployment_raw[[#This Row],[Column15]]), deployment_raw[[#This Row],[Column15]]/1048576,"")</f>
        <v/>
      </c>
      <c r="P980" s="190" t="str">
        <f>IF(ISNUMBER(deployment_raw[[#This Row],[Column12]]), (deployment_raw[[#This Row],[Column12]] * deployment_raw[[#This Row],[Column5]]),"")</f>
        <v/>
      </c>
      <c r="Q980" s="189" t="str">
        <f>IF(ISNUMBER(deployment_raw[[#This Row],[Column13]]), (deployment_raw[[#This Row],[Column13]] * deployment_raw[[#This Row],[Column5]])/1048576,"")</f>
        <v/>
      </c>
    </row>
    <row r="981" spans="1:17" ht="15" customHeight="1" x14ac:dyDescent="0.25">
      <c r="A981" s="37" t="str">
        <f>IF(ISNONTEXT(deployment_raw[[#This Row],[Column1]]), "", deployment_raw[[#This Row],[Column1]])</f>
        <v/>
      </c>
      <c r="B981" s="38" t="str">
        <f>IF(ISNONTEXT(deployment_raw[[#This Row],[Column2]]), "", deployment_raw[[#This Row],[Column2]])</f>
        <v/>
      </c>
      <c r="C981" s="38" t="str">
        <f>IF(ISNONTEXT(deployment_raw[[#This Row],[Column3]]), "", deployment_raw[[#This Row],[Column3]])</f>
        <v/>
      </c>
      <c r="D981" s="38" t="str">
        <f>IF(ISNONTEXT(deployment_raw[[#This Row],[Column4]]), "", deployment_raw[[#This Row],[Column4]])</f>
        <v/>
      </c>
      <c r="E981" s="39" t="str">
        <f>IF(ISNUMBER(deployment_raw[[#This Row],[Column5]]), deployment_raw[[#This Row],[Column5]],"")</f>
        <v/>
      </c>
      <c r="F981" s="174" t="str">
        <f>IF(ISNUMBER(deployment_raw[[#This Row],[Column6]]), (deployment_raw[[#This Row],[Column6]] * deployment_raw[[#This Row],[Column5]]),"")</f>
        <v/>
      </c>
      <c r="G981" s="175" t="str">
        <f>IF(ISNUMBER(deployment_raw[[#This Row],[Column7]]), (deployment_raw[[#This Row],[Column7]] * deployment_raw[[#This Row],[Column5]])/1048576,"")</f>
        <v/>
      </c>
      <c r="H981" s="175" t="str">
        <f>IF(ISNUMBER(deployment_raw[[#This Row],[Column8]]), (deployment_raw[[#This Row],[Column8]]  * deployment_raw[[#This Row],[Column5]]),"")</f>
        <v/>
      </c>
      <c r="I981" s="176" t="str">
        <f>IF(ISNUMBER(deployment_raw[[#This Row],[Column9]]), (deployment_raw[[#This Row],[Column9]] * deployment_raw[[#This Row],[Column5]])/1048576,"")</f>
        <v/>
      </c>
      <c r="J981" s="57" t="str">
        <f>IF(ISNUMBER(deployment_raw[[#This Row],[Column10]]), (deployment_raw[[#This Row],[Column10]] * deployment_raw[[#This Row],[Column5]]),"")</f>
        <v/>
      </c>
      <c r="K981" s="58" t="str">
        <f>IF(ISNUMBER(deployment_raw[[#This Row],[Column11]]), (deployment_raw[[#This Row],[Column11]] * deployment_raw[[#This Row],[Column5]])/1048576,"")</f>
        <v/>
      </c>
      <c r="L981" s="180" t="str">
        <f>IF(ISNUMBER(deployment_raw[[#This Row],[Column8]]),IF(deployment_raw[[#This Row],[Column5]] &lt;&gt; 0, MAX((deployment_raw[[#This Row],[Column12]] * deployment_raw[[#This Row],[Column5]]), ((deployment_raw[[#This Row],[Column8]] * deployment_raw[[#This Row],[Column5]]) * $L$2), ($H$2 * deployment_raw[[#This Row],[Column5]])), 0),"")</f>
        <v/>
      </c>
      <c r="M98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81" s="188" t="str">
        <f>IF(ISNUMBER(deployment_raw[[#This Row],[Column14]]), deployment_raw[[#This Row],[Column14]],"")</f>
        <v/>
      </c>
      <c r="O981" s="189" t="str">
        <f>IF(ISNUMBER(deployment_raw[[#This Row],[Column15]]), deployment_raw[[#This Row],[Column15]]/1048576,"")</f>
        <v/>
      </c>
      <c r="P981" s="190" t="str">
        <f>IF(ISNUMBER(deployment_raw[[#This Row],[Column12]]), (deployment_raw[[#This Row],[Column12]] * deployment_raw[[#This Row],[Column5]]),"")</f>
        <v/>
      </c>
      <c r="Q981" s="189" t="str">
        <f>IF(ISNUMBER(deployment_raw[[#This Row],[Column13]]), (deployment_raw[[#This Row],[Column13]] * deployment_raw[[#This Row],[Column5]])/1048576,"")</f>
        <v/>
      </c>
    </row>
    <row r="982" spans="1:17" ht="15" customHeight="1" x14ac:dyDescent="0.25">
      <c r="A982" s="37" t="str">
        <f>IF(ISNONTEXT(deployment_raw[[#This Row],[Column1]]), "", deployment_raw[[#This Row],[Column1]])</f>
        <v/>
      </c>
      <c r="B982" s="38" t="str">
        <f>IF(ISNONTEXT(deployment_raw[[#This Row],[Column2]]), "", deployment_raw[[#This Row],[Column2]])</f>
        <v/>
      </c>
      <c r="C982" s="38" t="str">
        <f>IF(ISNONTEXT(deployment_raw[[#This Row],[Column3]]), "", deployment_raw[[#This Row],[Column3]])</f>
        <v/>
      </c>
      <c r="D982" s="38" t="str">
        <f>IF(ISNONTEXT(deployment_raw[[#This Row],[Column4]]), "", deployment_raw[[#This Row],[Column4]])</f>
        <v/>
      </c>
      <c r="E982" s="39" t="str">
        <f>IF(ISNUMBER(deployment_raw[[#This Row],[Column5]]), deployment_raw[[#This Row],[Column5]],"")</f>
        <v/>
      </c>
      <c r="F982" s="174" t="str">
        <f>IF(ISNUMBER(deployment_raw[[#This Row],[Column6]]), (deployment_raw[[#This Row],[Column6]] * deployment_raw[[#This Row],[Column5]]),"")</f>
        <v/>
      </c>
      <c r="G982" s="175" t="str">
        <f>IF(ISNUMBER(deployment_raw[[#This Row],[Column7]]), (deployment_raw[[#This Row],[Column7]] * deployment_raw[[#This Row],[Column5]])/1048576,"")</f>
        <v/>
      </c>
      <c r="H982" s="175" t="str">
        <f>IF(ISNUMBER(deployment_raw[[#This Row],[Column8]]), (deployment_raw[[#This Row],[Column8]]  * deployment_raw[[#This Row],[Column5]]),"")</f>
        <v/>
      </c>
      <c r="I982" s="176" t="str">
        <f>IF(ISNUMBER(deployment_raw[[#This Row],[Column9]]), (deployment_raw[[#This Row],[Column9]] * deployment_raw[[#This Row],[Column5]])/1048576,"")</f>
        <v/>
      </c>
      <c r="J982" s="57" t="str">
        <f>IF(ISNUMBER(deployment_raw[[#This Row],[Column10]]), (deployment_raw[[#This Row],[Column10]] * deployment_raw[[#This Row],[Column5]]),"")</f>
        <v/>
      </c>
      <c r="K982" s="58" t="str">
        <f>IF(ISNUMBER(deployment_raw[[#This Row],[Column11]]), (deployment_raw[[#This Row],[Column11]] * deployment_raw[[#This Row],[Column5]])/1048576,"")</f>
        <v/>
      </c>
      <c r="L982" s="180" t="str">
        <f>IF(ISNUMBER(deployment_raw[[#This Row],[Column8]]),IF(deployment_raw[[#This Row],[Column5]] &lt;&gt; 0, MAX((deployment_raw[[#This Row],[Column12]] * deployment_raw[[#This Row],[Column5]]), ((deployment_raw[[#This Row],[Column8]] * deployment_raw[[#This Row],[Column5]]) * $L$2), ($H$2 * deployment_raw[[#This Row],[Column5]])), 0),"")</f>
        <v/>
      </c>
      <c r="M98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82" s="188" t="str">
        <f>IF(ISNUMBER(deployment_raw[[#This Row],[Column14]]), deployment_raw[[#This Row],[Column14]],"")</f>
        <v/>
      </c>
      <c r="O982" s="189" t="str">
        <f>IF(ISNUMBER(deployment_raw[[#This Row],[Column15]]), deployment_raw[[#This Row],[Column15]]/1048576,"")</f>
        <v/>
      </c>
      <c r="P982" s="190" t="str">
        <f>IF(ISNUMBER(deployment_raw[[#This Row],[Column12]]), (deployment_raw[[#This Row],[Column12]] * deployment_raw[[#This Row],[Column5]]),"")</f>
        <v/>
      </c>
      <c r="Q982" s="189" t="str">
        <f>IF(ISNUMBER(deployment_raw[[#This Row],[Column13]]), (deployment_raw[[#This Row],[Column13]] * deployment_raw[[#This Row],[Column5]])/1048576,"")</f>
        <v/>
      </c>
    </row>
    <row r="983" spans="1:17" ht="15" customHeight="1" x14ac:dyDescent="0.25">
      <c r="A983" s="37" t="str">
        <f>IF(ISNONTEXT(deployment_raw[[#This Row],[Column1]]), "", deployment_raw[[#This Row],[Column1]])</f>
        <v/>
      </c>
      <c r="B983" s="38" t="str">
        <f>IF(ISNONTEXT(deployment_raw[[#This Row],[Column2]]), "", deployment_raw[[#This Row],[Column2]])</f>
        <v/>
      </c>
      <c r="C983" s="38" t="str">
        <f>IF(ISNONTEXT(deployment_raw[[#This Row],[Column3]]), "", deployment_raw[[#This Row],[Column3]])</f>
        <v/>
      </c>
      <c r="D983" s="38" t="str">
        <f>IF(ISNONTEXT(deployment_raw[[#This Row],[Column4]]), "", deployment_raw[[#This Row],[Column4]])</f>
        <v/>
      </c>
      <c r="E983" s="39" t="str">
        <f>IF(ISNUMBER(deployment_raw[[#This Row],[Column5]]), deployment_raw[[#This Row],[Column5]],"")</f>
        <v/>
      </c>
      <c r="F983" s="174" t="str">
        <f>IF(ISNUMBER(deployment_raw[[#This Row],[Column6]]), (deployment_raw[[#This Row],[Column6]] * deployment_raw[[#This Row],[Column5]]),"")</f>
        <v/>
      </c>
      <c r="G983" s="175" t="str">
        <f>IF(ISNUMBER(deployment_raw[[#This Row],[Column7]]), (deployment_raw[[#This Row],[Column7]] * deployment_raw[[#This Row],[Column5]])/1048576,"")</f>
        <v/>
      </c>
      <c r="H983" s="175" t="str">
        <f>IF(ISNUMBER(deployment_raw[[#This Row],[Column8]]), (deployment_raw[[#This Row],[Column8]]  * deployment_raw[[#This Row],[Column5]]),"")</f>
        <v/>
      </c>
      <c r="I983" s="176" t="str">
        <f>IF(ISNUMBER(deployment_raw[[#This Row],[Column9]]), (deployment_raw[[#This Row],[Column9]] * deployment_raw[[#This Row],[Column5]])/1048576,"")</f>
        <v/>
      </c>
      <c r="J983" s="57" t="str">
        <f>IF(ISNUMBER(deployment_raw[[#This Row],[Column10]]), (deployment_raw[[#This Row],[Column10]] * deployment_raw[[#This Row],[Column5]]),"")</f>
        <v/>
      </c>
      <c r="K983" s="58" t="str">
        <f>IF(ISNUMBER(deployment_raw[[#This Row],[Column11]]), (deployment_raw[[#This Row],[Column11]] * deployment_raw[[#This Row],[Column5]])/1048576,"")</f>
        <v/>
      </c>
      <c r="L983" s="180" t="str">
        <f>IF(ISNUMBER(deployment_raw[[#This Row],[Column8]]),IF(deployment_raw[[#This Row],[Column5]] &lt;&gt; 0, MAX((deployment_raw[[#This Row],[Column12]] * deployment_raw[[#This Row],[Column5]]), ((deployment_raw[[#This Row],[Column8]] * deployment_raw[[#This Row],[Column5]]) * $L$2), ($H$2 * deployment_raw[[#This Row],[Column5]])), 0),"")</f>
        <v/>
      </c>
      <c r="M98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83" s="188" t="str">
        <f>IF(ISNUMBER(deployment_raw[[#This Row],[Column14]]), deployment_raw[[#This Row],[Column14]],"")</f>
        <v/>
      </c>
      <c r="O983" s="189" t="str">
        <f>IF(ISNUMBER(deployment_raw[[#This Row],[Column15]]), deployment_raw[[#This Row],[Column15]]/1048576,"")</f>
        <v/>
      </c>
      <c r="P983" s="190" t="str">
        <f>IF(ISNUMBER(deployment_raw[[#This Row],[Column12]]), (deployment_raw[[#This Row],[Column12]] * deployment_raw[[#This Row],[Column5]]),"")</f>
        <v/>
      </c>
      <c r="Q983" s="189" t="str">
        <f>IF(ISNUMBER(deployment_raw[[#This Row],[Column13]]), (deployment_raw[[#This Row],[Column13]] * deployment_raw[[#This Row],[Column5]])/1048576,"")</f>
        <v/>
      </c>
    </row>
    <row r="984" spans="1:17" ht="15" customHeight="1" x14ac:dyDescent="0.25">
      <c r="A984" s="37" t="str">
        <f>IF(ISNONTEXT(deployment_raw[[#This Row],[Column1]]), "", deployment_raw[[#This Row],[Column1]])</f>
        <v/>
      </c>
      <c r="B984" s="38" t="str">
        <f>IF(ISNONTEXT(deployment_raw[[#This Row],[Column2]]), "", deployment_raw[[#This Row],[Column2]])</f>
        <v/>
      </c>
      <c r="C984" s="38" t="str">
        <f>IF(ISNONTEXT(deployment_raw[[#This Row],[Column3]]), "", deployment_raw[[#This Row],[Column3]])</f>
        <v/>
      </c>
      <c r="D984" s="38" t="str">
        <f>IF(ISNONTEXT(deployment_raw[[#This Row],[Column4]]), "", deployment_raw[[#This Row],[Column4]])</f>
        <v/>
      </c>
      <c r="E984" s="39" t="str">
        <f>IF(ISNUMBER(deployment_raw[[#This Row],[Column5]]), deployment_raw[[#This Row],[Column5]],"")</f>
        <v/>
      </c>
      <c r="F984" s="174" t="str">
        <f>IF(ISNUMBER(deployment_raw[[#This Row],[Column6]]), (deployment_raw[[#This Row],[Column6]] * deployment_raw[[#This Row],[Column5]]),"")</f>
        <v/>
      </c>
      <c r="G984" s="175" t="str">
        <f>IF(ISNUMBER(deployment_raw[[#This Row],[Column7]]), (deployment_raw[[#This Row],[Column7]] * deployment_raw[[#This Row],[Column5]])/1048576,"")</f>
        <v/>
      </c>
      <c r="H984" s="175" t="str">
        <f>IF(ISNUMBER(deployment_raw[[#This Row],[Column8]]), (deployment_raw[[#This Row],[Column8]]  * deployment_raw[[#This Row],[Column5]]),"")</f>
        <v/>
      </c>
      <c r="I984" s="176" t="str">
        <f>IF(ISNUMBER(deployment_raw[[#This Row],[Column9]]), (deployment_raw[[#This Row],[Column9]] * deployment_raw[[#This Row],[Column5]])/1048576,"")</f>
        <v/>
      </c>
      <c r="J984" s="57" t="str">
        <f>IF(ISNUMBER(deployment_raw[[#This Row],[Column10]]), (deployment_raw[[#This Row],[Column10]] * deployment_raw[[#This Row],[Column5]]),"")</f>
        <v/>
      </c>
      <c r="K984" s="58" t="str">
        <f>IF(ISNUMBER(deployment_raw[[#This Row],[Column11]]), (deployment_raw[[#This Row],[Column11]] * deployment_raw[[#This Row],[Column5]])/1048576,"")</f>
        <v/>
      </c>
      <c r="L984" s="180" t="str">
        <f>IF(ISNUMBER(deployment_raw[[#This Row],[Column8]]),IF(deployment_raw[[#This Row],[Column5]] &lt;&gt; 0, MAX((deployment_raw[[#This Row],[Column12]] * deployment_raw[[#This Row],[Column5]]), ((deployment_raw[[#This Row],[Column8]] * deployment_raw[[#This Row],[Column5]]) * $L$2), ($H$2 * deployment_raw[[#This Row],[Column5]])), 0),"")</f>
        <v/>
      </c>
      <c r="M98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84" s="188" t="str">
        <f>IF(ISNUMBER(deployment_raw[[#This Row],[Column14]]), deployment_raw[[#This Row],[Column14]],"")</f>
        <v/>
      </c>
      <c r="O984" s="189" t="str">
        <f>IF(ISNUMBER(deployment_raw[[#This Row],[Column15]]), deployment_raw[[#This Row],[Column15]]/1048576,"")</f>
        <v/>
      </c>
      <c r="P984" s="190" t="str">
        <f>IF(ISNUMBER(deployment_raw[[#This Row],[Column12]]), (deployment_raw[[#This Row],[Column12]] * deployment_raw[[#This Row],[Column5]]),"")</f>
        <v/>
      </c>
      <c r="Q984" s="189" t="str">
        <f>IF(ISNUMBER(deployment_raw[[#This Row],[Column13]]), (deployment_raw[[#This Row],[Column13]] * deployment_raw[[#This Row],[Column5]])/1048576,"")</f>
        <v/>
      </c>
    </row>
    <row r="985" spans="1:17" ht="15" customHeight="1" x14ac:dyDescent="0.25">
      <c r="A985" s="37" t="str">
        <f>IF(ISNONTEXT(deployment_raw[[#This Row],[Column1]]), "", deployment_raw[[#This Row],[Column1]])</f>
        <v/>
      </c>
      <c r="B985" s="38" t="str">
        <f>IF(ISNONTEXT(deployment_raw[[#This Row],[Column2]]), "", deployment_raw[[#This Row],[Column2]])</f>
        <v/>
      </c>
      <c r="C985" s="38" t="str">
        <f>IF(ISNONTEXT(deployment_raw[[#This Row],[Column3]]), "", deployment_raw[[#This Row],[Column3]])</f>
        <v/>
      </c>
      <c r="D985" s="38" t="str">
        <f>IF(ISNONTEXT(deployment_raw[[#This Row],[Column4]]), "", deployment_raw[[#This Row],[Column4]])</f>
        <v/>
      </c>
      <c r="E985" s="39" t="str">
        <f>IF(ISNUMBER(deployment_raw[[#This Row],[Column5]]), deployment_raw[[#This Row],[Column5]],"")</f>
        <v/>
      </c>
      <c r="F985" s="174" t="str">
        <f>IF(ISNUMBER(deployment_raw[[#This Row],[Column6]]), (deployment_raw[[#This Row],[Column6]] * deployment_raw[[#This Row],[Column5]]),"")</f>
        <v/>
      </c>
      <c r="G985" s="175" t="str">
        <f>IF(ISNUMBER(deployment_raw[[#This Row],[Column7]]), (deployment_raw[[#This Row],[Column7]] * deployment_raw[[#This Row],[Column5]])/1048576,"")</f>
        <v/>
      </c>
      <c r="H985" s="175" t="str">
        <f>IF(ISNUMBER(deployment_raw[[#This Row],[Column8]]), (deployment_raw[[#This Row],[Column8]]  * deployment_raw[[#This Row],[Column5]]),"")</f>
        <v/>
      </c>
      <c r="I985" s="176" t="str">
        <f>IF(ISNUMBER(deployment_raw[[#This Row],[Column9]]), (deployment_raw[[#This Row],[Column9]] * deployment_raw[[#This Row],[Column5]])/1048576,"")</f>
        <v/>
      </c>
      <c r="J985" s="57" t="str">
        <f>IF(ISNUMBER(deployment_raw[[#This Row],[Column10]]), (deployment_raw[[#This Row],[Column10]] * deployment_raw[[#This Row],[Column5]]),"")</f>
        <v/>
      </c>
      <c r="K985" s="58" t="str">
        <f>IF(ISNUMBER(deployment_raw[[#This Row],[Column11]]), (deployment_raw[[#This Row],[Column11]] * deployment_raw[[#This Row],[Column5]])/1048576,"")</f>
        <v/>
      </c>
      <c r="L985" s="180" t="str">
        <f>IF(ISNUMBER(deployment_raw[[#This Row],[Column8]]),IF(deployment_raw[[#This Row],[Column5]] &lt;&gt; 0, MAX((deployment_raw[[#This Row],[Column12]] * deployment_raw[[#This Row],[Column5]]), ((deployment_raw[[#This Row],[Column8]] * deployment_raw[[#This Row],[Column5]]) * $L$2), ($H$2 * deployment_raw[[#This Row],[Column5]])), 0),"")</f>
        <v/>
      </c>
      <c r="M98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85" s="188" t="str">
        <f>IF(ISNUMBER(deployment_raw[[#This Row],[Column14]]), deployment_raw[[#This Row],[Column14]],"")</f>
        <v/>
      </c>
      <c r="O985" s="189" t="str">
        <f>IF(ISNUMBER(deployment_raw[[#This Row],[Column15]]), deployment_raw[[#This Row],[Column15]]/1048576,"")</f>
        <v/>
      </c>
      <c r="P985" s="190" t="str">
        <f>IF(ISNUMBER(deployment_raw[[#This Row],[Column12]]), (deployment_raw[[#This Row],[Column12]] * deployment_raw[[#This Row],[Column5]]),"")</f>
        <v/>
      </c>
      <c r="Q985" s="189" t="str">
        <f>IF(ISNUMBER(deployment_raw[[#This Row],[Column13]]), (deployment_raw[[#This Row],[Column13]] * deployment_raw[[#This Row],[Column5]])/1048576,"")</f>
        <v/>
      </c>
    </row>
    <row r="986" spans="1:17" ht="15" customHeight="1" x14ac:dyDescent="0.25">
      <c r="A986" s="37" t="str">
        <f>IF(ISNONTEXT(deployment_raw[[#This Row],[Column1]]), "", deployment_raw[[#This Row],[Column1]])</f>
        <v/>
      </c>
      <c r="B986" s="38" t="str">
        <f>IF(ISNONTEXT(deployment_raw[[#This Row],[Column2]]), "", deployment_raw[[#This Row],[Column2]])</f>
        <v/>
      </c>
      <c r="C986" s="38" t="str">
        <f>IF(ISNONTEXT(deployment_raw[[#This Row],[Column3]]), "", deployment_raw[[#This Row],[Column3]])</f>
        <v/>
      </c>
      <c r="D986" s="38" t="str">
        <f>IF(ISNONTEXT(deployment_raw[[#This Row],[Column4]]), "", deployment_raw[[#This Row],[Column4]])</f>
        <v/>
      </c>
      <c r="E986" s="39" t="str">
        <f>IF(ISNUMBER(deployment_raw[[#This Row],[Column5]]), deployment_raw[[#This Row],[Column5]],"")</f>
        <v/>
      </c>
      <c r="F986" s="174" t="str">
        <f>IF(ISNUMBER(deployment_raw[[#This Row],[Column6]]), (deployment_raw[[#This Row],[Column6]] * deployment_raw[[#This Row],[Column5]]),"")</f>
        <v/>
      </c>
      <c r="G986" s="175" t="str">
        <f>IF(ISNUMBER(deployment_raw[[#This Row],[Column7]]), (deployment_raw[[#This Row],[Column7]] * deployment_raw[[#This Row],[Column5]])/1048576,"")</f>
        <v/>
      </c>
      <c r="H986" s="175" t="str">
        <f>IF(ISNUMBER(deployment_raw[[#This Row],[Column8]]), (deployment_raw[[#This Row],[Column8]]  * deployment_raw[[#This Row],[Column5]]),"")</f>
        <v/>
      </c>
      <c r="I986" s="176" t="str">
        <f>IF(ISNUMBER(deployment_raw[[#This Row],[Column9]]), (deployment_raw[[#This Row],[Column9]] * deployment_raw[[#This Row],[Column5]])/1048576,"")</f>
        <v/>
      </c>
      <c r="J986" s="57" t="str">
        <f>IF(ISNUMBER(deployment_raw[[#This Row],[Column10]]), (deployment_raw[[#This Row],[Column10]] * deployment_raw[[#This Row],[Column5]]),"")</f>
        <v/>
      </c>
      <c r="K986" s="58" t="str">
        <f>IF(ISNUMBER(deployment_raw[[#This Row],[Column11]]), (deployment_raw[[#This Row],[Column11]] * deployment_raw[[#This Row],[Column5]])/1048576,"")</f>
        <v/>
      </c>
      <c r="L986" s="180" t="str">
        <f>IF(ISNUMBER(deployment_raw[[#This Row],[Column8]]),IF(deployment_raw[[#This Row],[Column5]] &lt;&gt; 0, MAX((deployment_raw[[#This Row],[Column12]] * deployment_raw[[#This Row],[Column5]]), ((deployment_raw[[#This Row],[Column8]] * deployment_raw[[#This Row],[Column5]]) * $L$2), ($H$2 * deployment_raw[[#This Row],[Column5]])), 0),"")</f>
        <v/>
      </c>
      <c r="M98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86" s="188" t="str">
        <f>IF(ISNUMBER(deployment_raw[[#This Row],[Column14]]), deployment_raw[[#This Row],[Column14]],"")</f>
        <v/>
      </c>
      <c r="O986" s="189" t="str">
        <f>IF(ISNUMBER(deployment_raw[[#This Row],[Column15]]), deployment_raw[[#This Row],[Column15]]/1048576,"")</f>
        <v/>
      </c>
      <c r="P986" s="190" t="str">
        <f>IF(ISNUMBER(deployment_raw[[#This Row],[Column12]]), (deployment_raw[[#This Row],[Column12]] * deployment_raw[[#This Row],[Column5]]),"")</f>
        <v/>
      </c>
      <c r="Q986" s="189" t="str">
        <f>IF(ISNUMBER(deployment_raw[[#This Row],[Column13]]), (deployment_raw[[#This Row],[Column13]] * deployment_raw[[#This Row],[Column5]])/1048576,"")</f>
        <v/>
      </c>
    </row>
    <row r="987" spans="1:17" ht="15" customHeight="1" x14ac:dyDescent="0.25">
      <c r="A987" s="37" t="str">
        <f>IF(ISNONTEXT(deployment_raw[[#This Row],[Column1]]), "", deployment_raw[[#This Row],[Column1]])</f>
        <v/>
      </c>
      <c r="B987" s="38" t="str">
        <f>IF(ISNONTEXT(deployment_raw[[#This Row],[Column2]]), "", deployment_raw[[#This Row],[Column2]])</f>
        <v/>
      </c>
      <c r="C987" s="38" t="str">
        <f>IF(ISNONTEXT(deployment_raw[[#This Row],[Column3]]), "", deployment_raw[[#This Row],[Column3]])</f>
        <v/>
      </c>
      <c r="D987" s="38" t="str">
        <f>IF(ISNONTEXT(deployment_raw[[#This Row],[Column4]]), "", deployment_raw[[#This Row],[Column4]])</f>
        <v/>
      </c>
      <c r="E987" s="39" t="str">
        <f>IF(ISNUMBER(deployment_raw[[#This Row],[Column5]]), deployment_raw[[#This Row],[Column5]],"")</f>
        <v/>
      </c>
      <c r="F987" s="174" t="str">
        <f>IF(ISNUMBER(deployment_raw[[#This Row],[Column6]]), (deployment_raw[[#This Row],[Column6]] * deployment_raw[[#This Row],[Column5]]),"")</f>
        <v/>
      </c>
      <c r="G987" s="175" t="str">
        <f>IF(ISNUMBER(deployment_raw[[#This Row],[Column7]]), (deployment_raw[[#This Row],[Column7]] * deployment_raw[[#This Row],[Column5]])/1048576,"")</f>
        <v/>
      </c>
      <c r="H987" s="175" t="str">
        <f>IF(ISNUMBER(deployment_raw[[#This Row],[Column8]]), (deployment_raw[[#This Row],[Column8]]  * deployment_raw[[#This Row],[Column5]]),"")</f>
        <v/>
      </c>
      <c r="I987" s="176" t="str">
        <f>IF(ISNUMBER(deployment_raw[[#This Row],[Column9]]), (deployment_raw[[#This Row],[Column9]] * deployment_raw[[#This Row],[Column5]])/1048576,"")</f>
        <v/>
      </c>
      <c r="J987" s="57" t="str">
        <f>IF(ISNUMBER(deployment_raw[[#This Row],[Column10]]), (deployment_raw[[#This Row],[Column10]] * deployment_raw[[#This Row],[Column5]]),"")</f>
        <v/>
      </c>
      <c r="K987" s="58" t="str">
        <f>IF(ISNUMBER(deployment_raw[[#This Row],[Column11]]), (deployment_raw[[#This Row],[Column11]] * deployment_raw[[#This Row],[Column5]])/1048576,"")</f>
        <v/>
      </c>
      <c r="L987" s="180" t="str">
        <f>IF(ISNUMBER(deployment_raw[[#This Row],[Column8]]),IF(deployment_raw[[#This Row],[Column5]] &lt;&gt; 0, MAX((deployment_raw[[#This Row],[Column12]] * deployment_raw[[#This Row],[Column5]]), ((deployment_raw[[#This Row],[Column8]] * deployment_raw[[#This Row],[Column5]]) * $L$2), ($H$2 * deployment_raw[[#This Row],[Column5]])), 0),"")</f>
        <v/>
      </c>
      <c r="M98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87" s="188" t="str">
        <f>IF(ISNUMBER(deployment_raw[[#This Row],[Column14]]), deployment_raw[[#This Row],[Column14]],"")</f>
        <v/>
      </c>
      <c r="O987" s="189" t="str">
        <f>IF(ISNUMBER(deployment_raw[[#This Row],[Column15]]), deployment_raw[[#This Row],[Column15]]/1048576,"")</f>
        <v/>
      </c>
      <c r="P987" s="190" t="str">
        <f>IF(ISNUMBER(deployment_raw[[#This Row],[Column12]]), (deployment_raw[[#This Row],[Column12]] * deployment_raw[[#This Row],[Column5]]),"")</f>
        <v/>
      </c>
      <c r="Q987" s="189" t="str">
        <f>IF(ISNUMBER(deployment_raw[[#This Row],[Column13]]), (deployment_raw[[#This Row],[Column13]] * deployment_raw[[#This Row],[Column5]])/1048576,"")</f>
        <v/>
      </c>
    </row>
    <row r="988" spans="1:17" ht="15" customHeight="1" x14ac:dyDescent="0.25">
      <c r="A988" s="37" t="str">
        <f>IF(ISNONTEXT(deployment_raw[[#This Row],[Column1]]), "", deployment_raw[[#This Row],[Column1]])</f>
        <v/>
      </c>
      <c r="B988" s="38" t="str">
        <f>IF(ISNONTEXT(deployment_raw[[#This Row],[Column2]]), "", deployment_raw[[#This Row],[Column2]])</f>
        <v/>
      </c>
      <c r="C988" s="38" t="str">
        <f>IF(ISNONTEXT(deployment_raw[[#This Row],[Column3]]), "", deployment_raw[[#This Row],[Column3]])</f>
        <v/>
      </c>
      <c r="D988" s="38" t="str">
        <f>IF(ISNONTEXT(deployment_raw[[#This Row],[Column4]]), "", deployment_raw[[#This Row],[Column4]])</f>
        <v/>
      </c>
      <c r="E988" s="39" t="str">
        <f>IF(ISNUMBER(deployment_raw[[#This Row],[Column5]]), deployment_raw[[#This Row],[Column5]],"")</f>
        <v/>
      </c>
      <c r="F988" s="174" t="str">
        <f>IF(ISNUMBER(deployment_raw[[#This Row],[Column6]]), (deployment_raw[[#This Row],[Column6]] * deployment_raw[[#This Row],[Column5]]),"")</f>
        <v/>
      </c>
      <c r="G988" s="175" t="str">
        <f>IF(ISNUMBER(deployment_raw[[#This Row],[Column7]]), (deployment_raw[[#This Row],[Column7]] * deployment_raw[[#This Row],[Column5]])/1048576,"")</f>
        <v/>
      </c>
      <c r="H988" s="175" t="str">
        <f>IF(ISNUMBER(deployment_raw[[#This Row],[Column8]]), (deployment_raw[[#This Row],[Column8]]  * deployment_raw[[#This Row],[Column5]]),"")</f>
        <v/>
      </c>
      <c r="I988" s="176" t="str">
        <f>IF(ISNUMBER(deployment_raw[[#This Row],[Column9]]), (deployment_raw[[#This Row],[Column9]] * deployment_raw[[#This Row],[Column5]])/1048576,"")</f>
        <v/>
      </c>
      <c r="J988" s="57" t="str">
        <f>IF(ISNUMBER(deployment_raw[[#This Row],[Column10]]), (deployment_raw[[#This Row],[Column10]] * deployment_raw[[#This Row],[Column5]]),"")</f>
        <v/>
      </c>
      <c r="K988" s="58" t="str">
        <f>IF(ISNUMBER(deployment_raw[[#This Row],[Column11]]), (deployment_raw[[#This Row],[Column11]] * deployment_raw[[#This Row],[Column5]])/1048576,"")</f>
        <v/>
      </c>
      <c r="L988" s="180" t="str">
        <f>IF(ISNUMBER(deployment_raw[[#This Row],[Column8]]),IF(deployment_raw[[#This Row],[Column5]] &lt;&gt; 0, MAX((deployment_raw[[#This Row],[Column12]] * deployment_raw[[#This Row],[Column5]]), ((deployment_raw[[#This Row],[Column8]] * deployment_raw[[#This Row],[Column5]]) * $L$2), ($H$2 * deployment_raw[[#This Row],[Column5]])), 0),"")</f>
        <v/>
      </c>
      <c r="M98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88" s="188" t="str">
        <f>IF(ISNUMBER(deployment_raw[[#This Row],[Column14]]), deployment_raw[[#This Row],[Column14]],"")</f>
        <v/>
      </c>
      <c r="O988" s="189" t="str">
        <f>IF(ISNUMBER(deployment_raw[[#This Row],[Column15]]), deployment_raw[[#This Row],[Column15]]/1048576,"")</f>
        <v/>
      </c>
      <c r="P988" s="190" t="str">
        <f>IF(ISNUMBER(deployment_raw[[#This Row],[Column12]]), (deployment_raw[[#This Row],[Column12]] * deployment_raw[[#This Row],[Column5]]),"")</f>
        <v/>
      </c>
      <c r="Q988" s="189" t="str">
        <f>IF(ISNUMBER(deployment_raw[[#This Row],[Column13]]), (deployment_raw[[#This Row],[Column13]] * deployment_raw[[#This Row],[Column5]])/1048576,"")</f>
        <v/>
      </c>
    </row>
    <row r="989" spans="1:17" ht="15" customHeight="1" x14ac:dyDescent="0.25">
      <c r="A989" s="37" t="str">
        <f>IF(ISNONTEXT(deployment_raw[[#This Row],[Column1]]), "", deployment_raw[[#This Row],[Column1]])</f>
        <v/>
      </c>
      <c r="B989" s="38" t="str">
        <f>IF(ISNONTEXT(deployment_raw[[#This Row],[Column2]]), "", deployment_raw[[#This Row],[Column2]])</f>
        <v/>
      </c>
      <c r="C989" s="38" t="str">
        <f>IF(ISNONTEXT(deployment_raw[[#This Row],[Column3]]), "", deployment_raw[[#This Row],[Column3]])</f>
        <v/>
      </c>
      <c r="D989" s="38" t="str">
        <f>IF(ISNONTEXT(deployment_raw[[#This Row],[Column4]]), "", deployment_raw[[#This Row],[Column4]])</f>
        <v/>
      </c>
      <c r="E989" s="39" t="str">
        <f>IF(ISNUMBER(deployment_raw[[#This Row],[Column5]]), deployment_raw[[#This Row],[Column5]],"")</f>
        <v/>
      </c>
      <c r="F989" s="174" t="str">
        <f>IF(ISNUMBER(deployment_raw[[#This Row],[Column6]]), (deployment_raw[[#This Row],[Column6]] * deployment_raw[[#This Row],[Column5]]),"")</f>
        <v/>
      </c>
      <c r="G989" s="175" t="str">
        <f>IF(ISNUMBER(deployment_raw[[#This Row],[Column7]]), (deployment_raw[[#This Row],[Column7]] * deployment_raw[[#This Row],[Column5]])/1048576,"")</f>
        <v/>
      </c>
      <c r="H989" s="175" t="str">
        <f>IF(ISNUMBER(deployment_raw[[#This Row],[Column8]]), (deployment_raw[[#This Row],[Column8]]  * deployment_raw[[#This Row],[Column5]]),"")</f>
        <v/>
      </c>
      <c r="I989" s="176" t="str">
        <f>IF(ISNUMBER(deployment_raw[[#This Row],[Column9]]), (deployment_raw[[#This Row],[Column9]] * deployment_raw[[#This Row],[Column5]])/1048576,"")</f>
        <v/>
      </c>
      <c r="J989" s="57" t="str">
        <f>IF(ISNUMBER(deployment_raw[[#This Row],[Column10]]), (deployment_raw[[#This Row],[Column10]] * deployment_raw[[#This Row],[Column5]]),"")</f>
        <v/>
      </c>
      <c r="K989" s="58" t="str">
        <f>IF(ISNUMBER(deployment_raw[[#This Row],[Column11]]), (deployment_raw[[#This Row],[Column11]] * deployment_raw[[#This Row],[Column5]])/1048576,"")</f>
        <v/>
      </c>
      <c r="L989" s="180" t="str">
        <f>IF(ISNUMBER(deployment_raw[[#This Row],[Column8]]),IF(deployment_raw[[#This Row],[Column5]] &lt;&gt; 0, MAX((deployment_raw[[#This Row],[Column12]] * deployment_raw[[#This Row],[Column5]]), ((deployment_raw[[#This Row],[Column8]] * deployment_raw[[#This Row],[Column5]]) * $L$2), ($H$2 * deployment_raw[[#This Row],[Column5]])), 0),"")</f>
        <v/>
      </c>
      <c r="M98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89" s="188" t="str">
        <f>IF(ISNUMBER(deployment_raw[[#This Row],[Column14]]), deployment_raw[[#This Row],[Column14]],"")</f>
        <v/>
      </c>
      <c r="O989" s="189" t="str">
        <f>IF(ISNUMBER(deployment_raw[[#This Row],[Column15]]), deployment_raw[[#This Row],[Column15]]/1048576,"")</f>
        <v/>
      </c>
      <c r="P989" s="190" t="str">
        <f>IF(ISNUMBER(deployment_raw[[#This Row],[Column12]]), (deployment_raw[[#This Row],[Column12]] * deployment_raw[[#This Row],[Column5]]),"")</f>
        <v/>
      </c>
      <c r="Q989" s="189" t="str">
        <f>IF(ISNUMBER(deployment_raw[[#This Row],[Column13]]), (deployment_raw[[#This Row],[Column13]] * deployment_raw[[#This Row],[Column5]])/1048576,"")</f>
        <v/>
      </c>
    </row>
    <row r="990" spans="1:17" ht="15" customHeight="1" x14ac:dyDescent="0.25">
      <c r="A990" s="37" t="str">
        <f>IF(ISNONTEXT(deployment_raw[[#This Row],[Column1]]), "", deployment_raw[[#This Row],[Column1]])</f>
        <v/>
      </c>
      <c r="B990" s="38" t="str">
        <f>IF(ISNONTEXT(deployment_raw[[#This Row],[Column2]]), "", deployment_raw[[#This Row],[Column2]])</f>
        <v/>
      </c>
      <c r="C990" s="38" t="str">
        <f>IF(ISNONTEXT(deployment_raw[[#This Row],[Column3]]), "", deployment_raw[[#This Row],[Column3]])</f>
        <v/>
      </c>
      <c r="D990" s="38" t="str">
        <f>IF(ISNONTEXT(deployment_raw[[#This Row],[Column4]]), "", deployment_raw[[#This Row],[Column4]])</f>
        <v/>
      </c>
      <c r="E990" s="39" t="str">
        <f>IF(ISNUMBER(deployment_raw[[#This Row],[Column5]]), deployment_raw[[#This Row],[Column5]],"")</f>
        <v/>
      </c>
      <c r="F990" s="174" t="str">
        <f>IF(ISNUMBER(deployment_raw[[#This Row],[Column6]]), (deployment_raw[[#This Row],[Column6]] * deployment_raw[[#This Row],[Column5]]),"")</f>
        <v/>
      </c>
      <c r="G990" s="175" t="str">
        <f>IF(ISNUMBER(deployment_raw[[#This Row],[Column7]]), (deployment_raw[[#This Row],[Column7]] * deployment_raw[[#This Row],[Column5]])/1048576,"")</f>
        <v/>
      </c>
      <c r="H990" s="175" t="str">
        <f>IF(ISNUMBER(deployment_raw[[#This Row],[Column8]]), (deployment_raw[[#This Row],[Column8]]  * deployment_raw[[#This Row],[Column5]]),"")</f>
        <v/>
      </c>
      <c r="I990" s="176" t="str">
        <f>IF(ISNUMBER(deployment_raw[[#This Row],[Column9]]), (deployment_raw[[#This Row],[Column9]] * deployment_raw[[#This Row],[Column5]])/1048576,"")</f>
        <v/>
      </c>
      <c r="J990" s="57" t="str">
        <f>IF(ISNUMBER(deployment_raw[[#This Row],[Column10]]), (deployment_raw[[#This Row],[Column10]] * deployment_raw[[#This Row],[Column5]]),"")</f>
        <v/>
      </c>
      <c r="K990" s="58" t="str">
        <f>IF(ISNUMBER(deployment_raw[[#This Row],[Column11]]), (deployment_raw[[#This Row],[Column11]] * deployment_raw[[#This Row],[Column5]])/1048576,"")</f>
        <v/>
      </c>
      <c r="L990" s="180" t="str">
        <f>IF(ISNUMBER(deployment_raw[[#This Row],[Column8]]),IF(deployment_raw[[#This Row],[Column5]] &lt;&gt; 0, MAX((deployment_raw[[#This Row],[Column12]] * deployment_raw[[#This Row],[Column5]]), ((deployment_raw[[#This Row],[Column8]] * deployment_raw[[#This Row],[Column5]]) * $L$2), ($H$2 * deployment_raw[[#This Row],[Column5]])), 0),"")</f>
        <v/>
      </c>
      <c r="M99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90" s="188" t="str">
        <f>IF(ISNUMBER(deployment_raw[[#This Row],[Column14]]), deployment_raw[[#This Row],[Column14]],"")</f>
        <v/>
      </c>
      <c r="O990" s="189" t="str">
        <f>IF(ISNUMBER(deployment_raw[[#This Row],[Column15]]), deployment_raw[[#This Row],[Column15]]/1048576,"")</f>
        <v/>
      </c>
      <c r="P990" s="190" t="str">
        <f>IF(ISNUMBER(deployment_raw[[#This Row],[Column12]]), (deployment_raw[[#This Row],[Column12]] * deployment_raw[[#This Row],[Column5]]),"")</f>
        <v/>
      </c>
      <c r="Q990" s="189" t="str">
        <f>IF(ISNUMBER(deployment_raw[[#This Row],[Column13]]), (deployment_raw[[#This Row],[Column13]] * deployment_raw[[#This Row],[Column5]])/1048576,"")</f>
        <v/>
      </c>
    </row>
    <row r="991" spans="1:17" ht="15" customHeight="1" x14ac:dyDescent="0.25">
      <c r="A991" s="37" t="str">
        <f>IF(ISNONTEXT(deployment_raw[[#This Row],[Column1]]), "", deployment_raw[[#This Row],[Column1]])</f>
        <v/>
      </c>
      <c r="B991" s="38" t="str">
        <f>IF(ISNONTEXT(deployment_raw[[#This Row],[Column2]]), "", deployment_raw[[#This Row],[Column2]])</f>
        <v/>
      </c>
      <c r="C991" s="38" t="str">
        <f>IF(ISNONTEXT(deployment_raw[[#This Row],[Column3]]), "", deployment_raw[[#This Row],[Column3]])</f>
        <v/>
      </c>
      <c r="D991" s="38" t="str">
        <f>IF(ISNONTEXT(deployment_raw[[#This Row],[Column4]]), "", deployment_raw[[#This Row],[Column4]])</f>
        <v/>
      </c>
      <c r="E991" s="39" t="str">
        <f>IF(ISNUMBER(deployment_raw[[#This Row],[Column5]]), deployment_raw[[#This Row],[Column5]],"")</f>
        <v/>
      </c>
      <c r="F991" s="174" t="str">
        <f>IF(ISNUMBER(deployment_raw[[#This Row],[Column6]]), (deployment_raw[[#This Row],[Column6]] * deployment_raw[[#This Row],[Column5]]),"")</f>
        <v/>
      </c>
      <c r="G991" s="175" t="str">
        <f>IF(ISNUMBER(deployment_raw[[#This Row],[Column7]]), (deployment_raw[[#This Row],[Column7]] * deployment_raw[[#This Row],[Column5]])/1048576,"")</f>
        <v/>
      </c>
      <c r="H991" s="175" t="str">
        <f>IF(ISNUMBER(deployment_raw[[#This Row],[Column8]]), (deployment_raw[[#This Row],[Column8]]  * deployment_raw[[#This Row],[Column5]]),"")</f>
        <v/>
      </c>
      <c r="I991" s="176" t="str">
        <f>IF(ISNUMBER(deployment_raw[[#This Row],[Column9]]), (deployment_raw[[#This Row],[Column9]] * deployment_raw[[#This Row],[Column5]])/1048576,"")</f>
        <v/>
      </c>
      <c r="J991" s="57" t="str">
        <f>IF(ISNUMBER(deployment_raw[[#This Row],[Column10]]), (deployment_raw[[#This Row],[Column10]] * deployment_raw[[#This Row],[Column5]]),"")</f>
        <v/>
      </c>
      <c r="K991" s="58" t="str">
        <f>IF(ISNUMBER(deployment_raw[[#This Row],[Column11]]), (deployment_raw[[#This Row],[Column11]] * deployment_raw[[#This Row],[Column5]])/1048576,"")</f>
        <v/>
      </c>
      <c r="L991" s="180" t="str">
        <f>IF(ISNUMBER(deployment_raw[[#This Row],[Column8]]),IF(deployment_raw[[#This Row],[Column5]] &lt;&gt; 0, MAX((deployment_raw[[#This Row],[Column12]] * deployment_raw[[#This Row],[Column5]]), ((deployment_raw[[#This Row],[Column8]] * deployment_raw[[#This Row],[Column5]]) * $L$2), ($H$2 * deployment_raw[[#This Row],[Column5]])), 0),"")</f>
        <v/>
      </c>
      <c r="M99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91" s="188" t="str">
        <f>IF(ISNUMBER(deployment_raw[[#This Row],[Column14]]), deployment_raw[[#This Row],[Column14]],"")</f>
        <v/>
      </c>
      <c r="O991" s="189" t="str">
        <f>IF(ISNUMBER(deployment_raw[[#This Row],[Column15]]), deployment_raw[[#This Row],[Column15]]/1048576,"")</f>
        <v/>
      </c>
      <c r="P991" s="190" t="str">
        <f>IF(ISNUMBER(deployment_raw[[#This Row],[Column12]]), (deployment_raw[[#This Row],[Column12]] * deployment_raw[[#This Row],[Column5]]),"")</f>
        <v/>
      </c>
      <c r="Q991" s="189" t="str">
        <f>IF(ISNUMBER(deployment_raw[[#This Row],[Column13]]), (deployment_raw[[#This Row],[Column13]] * deployment_raw[[#This Row],[Column5]])/1048576,"")</f>
        <v/>
      </c>
    </row>
    <row r="992" spans="1:17" ht="15" customHeight="1" x14ac:dyDescent="0.25">
      <c r="A992" s="37" t="str">
        <f>IF(ISNONTEXT(deployment_raw[[#This Row],[Column1]]), "", deployment_raw[[#This Row],[Column1]])</f>
        <v/>
      </c>
      <c r="B992" s="38" t="str">
        <f>IF(ISNONTEXT(deployment_raw[[#This Row],[Column2]]), "", deployment_raw[[#This Row],[Column2]])</f>
        <v/>
      </c>
      <c r="C992" s="38" t="str">
        <f>IF(ISNONTEXT(deployment_raw[[#This Row],[Column3]]), "", deployment_raw[[#This Row],[Column3]])</f>
        <v/>
      </c>
      <c r="D992" s="38" t="str">
        <f>IF(ISNONTEXT(deployment_raw[[#This Row],[Column4]]), "", deployment_raw[[#This Row],[Column4]])</f>
        <v/>
      </c>
      <c r="E992" s="39" t="str">
        <f>IF(ISNUMBER(deployment_raw[[#This Row],[Column5]]), deployment_raw[[#This Row],[Column5]],"")</f>
        <v/>
      </c>
      <c r="F992" s="174" t="str">
        <f>IF(ISNUMBER(deployment_raw[[#This Row],[Column6]]), (deployment_raw[[#This Row],[Column6]] * deployment_raw[[#This Row],[Column5]]),"")</f>
        <v/>
      </c>
      <c r="G992" s="175" t="str">
        <f>IF(ISNUMBER(deployment_raw[[#This Row],[Column7]]), (deployment_raw[[#This Row],[Column7]] * deployment_raw[[#This Row],[Column5]])/1048576,"")</f>
        <v/>
      </c>
      <c r="H992" s="175" t="str">
        <f>IF(ISNUMBER(deployment_raw[[#This Row],[Column8]]), (deployment_raw[[#This Row],[Column8]]  * deployment_raw[[#This Row],[Column5]]),"")</f>
        <v/>
      </c>
      <c r="I992" s="176" t="str">
        <f>IF(ISNUMBER(deployment_raw[[#This Row],[Column9]]), (deployment_raw[[#This Row],[Column9]] * deployment_raw[[#This Row],[Column5]])/1048576,"")</f>
        <v/>
      </c>
      <c r="J992" s="57" t="str">
        <f>IF(ISNUMBER(deployment_raw[[#This Row],[Column10]]), (deployment_raw[[#This Row],[Column10]] * deployment_raw[[#This Row],[Column5]]),"")</f>
        <v/>
      </c>
      <c r="K992" s="58" t="str">
        <f>IF(ISNUMBER(deployment_raw[[#This Row],[Column11]]), (deployment_raw[[#This Row],[Column11]] * deployment_raw[[#This Row],[Column5]])/1048576,"")</f>
        <v/>
      </c>
      <c r="L992" s="180" t="str">
        <f>IF(ISNUMBER(deployment_raw[[#This Row],[Column8]]),IF(deployment_raw[[#This Row],[Column5]] &lt;&gt; 0, MAX((deployment_raw[[#This Row],[Column12]] * deployment_raw[[#This Row],[Column5]]), ((deployment_raw[[#This Row],[Column8]] * deployment_raw[[#This Row],[Column5]]) * $L$2), ($H$2 * deployment_raw[[#This Row],[Column5]])), 0),"")</f>
        <v/>
      </c>
      <c r="M99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92" s="188" t="str">
        <f>IF(ISNUMBER(deployment_raw[[#This Row],[Column14]]), deployment_raw[[#This Row],[Column14]],"")</f>
        <v/>
      </c>
      <c r="O992" s="189" t="str">
        <f>IF(ISNUMBER(deployment_raw[[#This Row],[Column15]]), deployment_raw[[#This Row],[Column15]]/1048576,"")</f>
        <v/>
      </c>
      <c r="P992" s="190" t="str">
        <f>IF(ISNUMBER(deployment_raw[[#This Row],[Column12]]), (deployment_raw[[#This Row],[Column12]] * deployment_raw[[#This Row],[Column5]]),"")</f>
        <v/>
      </c>
      <c r="Q992" s="189" t="str">
        <f>IF(ISNUMBER(deployment_raw[[#This Row],[Column13]]), (deployment_raw[[#This Row],[Column13]] * deployment_raw[[#This Row],[Column5]])/1048576,"")</f>
        <v/>
      </c>
    </row>
    <row r="993" spans="1:17" ht="15" customHeight="1" x14ac:dyDescent="0.25">
      <c r="A993" s="37" t="str">
        <f>IF(ISNONTEXT(deployment_raw[[#This Row],[Column1]]), "", deployment_raw[[#This Row],[Column1]])</f>
        <v/>
      </c>
      <c r="B993" s="38" t="str">
        <f>IF(ISNONTEXT(deployment_raw[[#This Row],[Column2]]), "", deployment_raw[[#This Row],[Column2]])</f>
        <v/>
      </c>
      <c r="C993" s="38" t="str">
        <f>IF(ISNONTEXT(deployment_raw[[#This Row],[Column3]]), "", deployment_raw[[#This Row],[Column3]])</f>
        <v/>
      </c>
      <c r="D993" s="38" t="str">
        <f>IF(ISNONTEXT(deployment_raw[[#This Row],[Column4]]), "", deployment_raw[[#This Row],[Column4]])</f>
        <v/>
      </c>
      <c r="E993" s="39" t="str">
        <f>IF(ISNUMBER(deployment_raw[[#This Row],[Column5]]), deployment_raw[[#This Row],[Column5]],"")</f>
        <v/>
      </c>
      <c r="F993" s="174" t="str">
        <f>IF(ISNUMBER(deployment_raw[[#This Row],[Column6]]), (deployment_raw[[#This Row],[Column6]] * deployment_raw[[#This Row],[Column5]]),"")</f>
        <v/>
      </c>
      <c r="G993" s="175" t="str">
        <f>IF(ISNUMBER(deployment_raw[[#This Row],[Column7]]), (deployment_raw[[#This Row],[Column7]] * deployment_raw[[#This Row],[Column5]])/1048576,"")</f>
        <v/>
      </c>
      <c r="H993" s="175" t="str">
        <f>IF(ISNUMBER(deployment_raw[[#This Row],[Column8]]), (deployment_raw[[#This Row],[Column8]]  * deployment_raw[[#This Row],[Column5]]),"")</f>
        <v/>
      </c>
      <c r="I993" s="176" t="str">
        <f>IF(ISNUMBER(deployment_raw[[#This Row],[Column9]]), (deployment_raw[[#This Row],[Column9]] * deployment_raw[[#This Row],[Column5]])/1048576,"")</f>
        <v/>
      </c>
      <c r="J993" s="57" t="str">
        <f>IF(ISNUMBER(deployment_raw[[#This Row],[Column10]]), (deployment_raw[[#This Row],[Column10]] * deployment_raw[[#This Row],[Column5]]),"")</f>
        <v/>
      </c>
      <c r="K993" s="58" t="str">
        <f>IF(ISNUMBER(deployment_raw[[#This Row],[Column11]]), (deployment_raw[[#This Row],[Column11]] * deployment_raw[[#This Row],[Column5]])/1048576,"")</f>
        <v/>
      </c>
      <c r="L993" s="180" t="str">
        <f>IF(ISNUMBER(deployment_raw[[#This Row],[Column8]]),IF(deployment_raw[[#This Row],[Column5]] &lt;&gt; 0, MAX((deployment_raw[[#This Row],[Column12]] * deployment_raw[[#This Row],[Column5]]), ((deployment_raw[[#This Row],[Column8]] * deployment_raw[[#This Row],[Column5]]) * $L$2), ($H$2 * deployment_raw[[#This Row],[Column5]])), 0),"")</f>
        <v/>
      </c>
      <c r="M993"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93" s="188" t="str">
        <f>IF(ISNUMBER(deployment_raw[[#This Row],[Column14]]), deployment_raw[[#This Row],[Column14]],"")</f>
        <v/>
      </c>
      <c r="O993" s="189" t="str">
        <f>IF(ISNUMBER(deployment_raw[[#This Row],[Column15]]), deployment_raw[[#This Row],[Column15]]/1048576,"")</f>
        <v/>
      </c>
      <c r="P993" s="190" t="str">
        <f>IF(ISNUMBER(deployment_raw[[#This Row],[Column12]]), (deployment_raw[[#This Row],[Column12]] * deployment_raw[[#This Row],[Column5]]),"")</f>
        <v/>
      </c>
      <c r="Q993" s="189" t="str">
        <f>IF(ISNUMBER(deployment_raw[[#This Row],[Column13]]), (deployment_raw[[#This Row],[Column13]] * deployment_raw[[#This Row],[Column5]])/1048576,"")</f>
        <v/>
      </c>
    </row>
    <row r="994" spans="1:17" ht="15" customHeight="1" x14ac:dyDescent="0.25">
      <c r="A994" s="37" t="str">
        <f>IF(ISNONTEXT(deployment_raw[[#This Row],[Column1]]), "", deployment_raw[[#This Row],[Column1]])</f>
        <v/>
      </c>
      <c r="B994" s="38" t="str">
        <f>IF(ISNONTEXT(deployment_raw[[#This Row],[Column2]]), "", deployment_raw[[#This Row],[Column2]])</f>
        <v/>
      </c>
      <c r="C994" s="38" t="str">
        <f>IF(ISNONTEXT(deployment_raw[[#This Row],[Column3]]), "", deployment_raw[[#This Row],[Column3]])</f>
        <v/>
      </c>
      <c r="D994" s="38" t="str">
        <f>IF(ISNONTEXT(deployment_raw[[#This Row],[Column4]]), "", deployment_raw[[#This Row],[Column4]])</f>
        <v/>
      </c>
      <c r="E994" s="39" t="str">
        <f>IF(ISNUMBER(deployment_raw[[#This Row],[Column5]]), deployment_raw[[#This Row],[Column5]],"")</f>
        <v/>
      </c>
      <c r="F994" s="174" t="str">
        <f>IF(ISNUMBER(deployment_raw[[#This Row],[Column6]]), (deployment_raw[[#This Row],[Column6]] * deployment_raw[[#This Row],[Column5]]),"")</f>
        <v/>
      </c>
      <c r="G994" s="175" t="str">
        <f>IF(ISNUMBER(deployment_raw[[#This Row],[Column7]]), (deployment_raw[[#This Row],[Column7]] * deployment_raw[[#This Row],[Column5]])/1048576,"")</f>
        <v/>
      </c>
      <c r="H994" s="175" t="str">
        <f>IF(ISNUMBER(deployment_raw[[#This Row],[Column8]]), (deployment_raw[[#This Row],[Column8]]  * deployment_raw[[#This Row],[Column5]]),"")</f>
        <v/>
      </c>
      <c r="I994" s="176" t="str">
        <f>IF(ISNUMBER(deployment_raw[[#This Row],[Column9]]), (deployment_raw[[#This Row],[Column9]] * deployment_raw[[#This Row],[Column5]])/1048576,"")</f>
        <v/>
      </c>
      <c r="J994" s="57" t="str">
        <f>IF(ISNUMBER(deployment_raw[[#This Row],[Column10]]), (deployment_raw[[#This Row],[Column10]] * deployment_raw[[#This Row],[Column5]]),"")</f>
        <v/>
      </c>
      <c r="K994" s="58" t="str">
        <f>IF(ISNUMBER(deployment_raw[[#This Row],[Column11]]), (deployment_raw[[#This Row],[Column11]] * deployment_raw[[#This Row],[Column5]])/1048576,"")</f>
        <v/>
      </c>
      <c r="L994" s="180" t="str">
        <f>IF(ISNUMBER(deployment_raw[[#This Row],[Column8]]),IF(deployment_raw[[#This Row],[Column5]] &lt;&gt; 0, MAX((deployment_raw[[#This Row],[Column12]] * deployment_raw[[#This Row],[Column5]]), ((deployment_raw[[#This Row],[Column8]] * deployment_raw[[#This Row],[Column5]]) * $L$2), ($H$2 * deployment_raw[[#This Row],[Column5]])), 0),"")</f>
        <v/>
      </c>
      <c r="M994"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94" s="188" t="str">
        <f>IF(ISNUMBER(deployment_raw[[#This Row],[Column14]]), deployment_raw[[#This Row],[Column14]],"")</f>
        <v/>
      </c>
      <c r="O994" s="189" t="str">
        <f>IF(ISNUMBER(deployment_raw[[#This Row],[Column15]]), deployment_raw[[#This Row],[Column15]]/1048576,"")</f>
        <v/>
      </c>
      <c r="P994" s="190" t="str">
        <f>IF(ISNUMBER(deployment_raw[[#This Row],[Column12]]), (deployment_raw[[#This Row],[Column12]] * deployment_raw[[#This Row],[Column5]]),"")</f>
        <v/>
      </c>
      <c r="Q994" s="189" t="str">
        <f>IF(ISNUMBER(deployment_raw[[#This Row],[Column13]]), (deployment_raw[[#This Row],[Column13]] * deployment_raw[[#This Row],[Column5]])/1048576,"")</f>
        <v/>
      </c>
    </row>
    <row r="995" spans="1:17" ht="15" customHeight="1" x14ac:dyDescent="0.25">
      <c r="A995" s="37" t="str">
        <f>IF(ISNONTEXT(deployment_raw[[#This Row],[Column1]]), "", deployment_raw[[#This Row],[Column1]])</f>
        <v/>
      </c>
      <c r="B995" s="38" t="str">
        <f>IF(ISNONTEXT(deployment_raw[[#This Row],[Column2]]), "", deployment_raw[[#This Row],[Column2]])</f>
        <v/>
      </c>
      <c r="C995" s="38" t="str">
        <f>IF(ISNONTEXT(deployment_raw[[#This Row],[Column3]]), "", deployment_raw[[#This Row],[Column3]])</f>
        <v/>
      </c>
      <c r="D995" s="38" t="str">
        <f>IF(ISNONTEXT(deployment_raw[[#This Row],[Column4]]), "", deployment_raw[[#This Row],[Column4]])</f>
        <v/>
      </c>
      <c r="E995" s="39" t="str">
        <f>IF(ISNUMBER(deployment_raw[[#This Row],[Column5]]), deployment_raw[[#This Row],[Column5]],"")</f>
        <v/>
      </c>
      <c r="F995" s="174" t="str">
        <f>IF(ISNUMBER(deployment_raw[[#This Row],[Column6]]), (deployment_raw[[#This Row],[Column6]] * deployment_raw[[#This Row],[Column5]]),"")</f>
        <v/>
      </c>
      <c r="G995" s="175" t="str">
        <f>IF(ISNUMBER(deployment_raw[[#This Row],[Column7]]), (deployment_raw[[#This Row],[Column7]] * deployment_raw[[#This Row],[Column5]])/1048576,"")</f>
        <v/>
      </c>
      <c r="H995" s="175" t="str">
        <f>IF(ISNUMBER(deployment_raw[[#This Row],[Column8]]), (deployment_raw[[#This Row],[Column8]]  * deployment_raw[[#This Row],[Column5]]),"")</f>
        <v/>
      </c>
      <c r="I995" s="176" t="str">
        <f>IF(ISNUMBER(deployment_raw[[#This Row],[Column9]]), (deployment_raw[[#This Row],[Column9]] * deployment_raw[[#This Row],[Column5]])/1048576,"")</f>
        <v/>
      </c>
      <c r="J995" s="57" t="str">
        <f>IF(ISNUMBER(deployment_raw[[#This Row],[Column10]]), (deployment_raw[[#This Row],[Column10]] * deployment_raw[[#This Row],[Column5]]),"")</f>
        <v/>
      </c>
      <c r="K995" s="58" t="str">
        <f>IF(ISNUMBER(deployment_raw[[#This Row],[Column11]]), (deployment_raw[[#This Row],[Column11]] * deployment_raw[[#This Row],[Column5]])/1048576,"")</f>
        <v/>
      </c>
      <c r="L995" s="180" t="str">
        <f>IF(ISNUMBER(deployment_raw[[#This Row],[Column8]]),IF(deployment_raw[[#This Row],[Column5]] &lt;&gt; 0, MAX((deployment_raw[[#This Row],[Column12]] * deployment_raw[[#This Row],[Column5]]), ((deployment_raw[[#This Row],[Column8]] * deployment_raw[[#This Row],[Column5]]) * $L$2), ($H$2 * deployment_raw[[#This Row],[Column5]])), 0),"")</f>
        <v/>
      </c>
      <c r="M995"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95" s="188" t="str">
        <f>IF(ISNUMBER(deployment_raw[[#This Row],[Column14]]), deployment_raw[[#This Row],[Column14]],"")</f>
        <v/>
      </c>
      <c r="O995" s="189" t="str">
        <f>IF(ISNUMBER(deployment_raw[[#This Row],[Column15]]), deployment_raw[[#This Row],[Column15]]/1048576,"")</f>
        <v/>
      </c>
      <c r="P995" s="190" t="str">
        <f>IF(ISNUMBER(deployment_raw[[#This Row],[Column12]]), (deployment_raw[[#This Row],[Column12]] * deployment_raw[[#This Row],[Column5]]),"")</f>
        <v/>
      </c>
      <c r="Q995" s="189" t="str">
        <f>IF(ISNUMBER(deployment_raw[[#This Row],[Column13]]), (deployment_raw[[#This Row],[Column13]] * deployment_raw[[#This Row],[Column5]])/1048576,"")</f>
        <v/>
      </c>
    </row>
    <row r="996" spans="1:17" ht="15" customHeight="1" x14ac:dyDescent="0.25">
      <c r="A996" s="37" t="str">
        <f>IF(ISNONTEXT(deployment_raw[[#This Row],[Column1]]), "", deployment_raw[[#This Row],[Column1]])</f>
        <v/>
      </c>
      <c r="B996" s="38" t="str">
        <f>IF(ISNONTEXT(deployment_raw[[#This Row],[Column2]]), "", deployment_raw[[#This Row],[Column2]])</f>
        <v/>
      </c>
      <c r="C996" s="38" t="str">
        <f>IF(ISNONTEXT(deployment_raw[[#This Row],[Column3]]), "", deployment_raw[[#This Row],[Column3]])</f>
        <v/>
      </c>
      <c r="D996" s="38" t="str">
        <f>IF(ISNONTEXT(deployment_raw[[#This Row],[Column4]]), "", deployment_raw[[#This Row],[Column4]])</f>
        <v/>
      </c>
      <c r="E996" s="39" t="str">
        <f>IF(ISNUMBER(deployment_raw[[#This Row],[Column5]]), deployment_raw[[#This Row],[Column5]],"")</f>
        <v/>
      </c>
      <c r="F996" s="174" t="str">
        <f>IF(ISNUMBER(deployment_raw[[#This Row],[Column6]]), (deployment_raw[[#This Row],[Column6]] * deployment_raw[[#This Row],[Column5]]),"")</f>
        <v/>
      </c>
      <c r="G996" s="175" t="str">
        <f>IF(ISNUMBER(deployment_raw[[#This Row],[Column7]]), (deployment_raw[[#This Row],[Column7]] * deployment_raw[[#This Row],[Column5]])/1048576,"")</f>
        <v/>
      </c>
      <c r="H996" s="175" t="str">
        <f>IF(ISNUMBER(deployment_raw[[#This Row],[Column8]]), (deployment_raw[[#This Row],[Column8]]  * deployment_raw[[#This Row],[Column5]]),"")</f>
        <v/>
      </c>
      <c r="I996" s="176" t="str">
        <f>IF(ISNUMBER(deployment_raw[[#This Row],[Column9]]), (deployment_raw[[#This Row],[Column9]] * deployment_raw[[#This Row],[Column5]])/1048576,"")</f>
        <v/>
      </c>
      <c r="J996" s="57" t="str">
        <f>IF(ISNUMBER(deployment_raw[[#This Row],[Column10]]), (deployment_raw[[#This Row],[Column10]] * deployment_raw[[#This Row],[Column5]]),"")</f>
        <v/>
      </c>
      <c r="K996" s="58" t="str">
        <f>IF(ISNUMBER(deployment_raw[[#This Row],[Column11]]), (deployment_raw[[#This Row],[Column11]] * deployment_raw[[#This Row],[Column5]])/1048576,"")</f>
        <v/>
      </c>
      <c r="L996" s="180" t="str">
        <f>IF(ISNUMBER(deployment_raw[[#This Row],[Column8]]),IF(deployment_raw[[#This Row],[Column5]] &lt;&gt; 0, MAX((deployment_raw[[#This Row],[Column12]] * deployment_raw[[#This Row],[Column5]]), ((deployment_raw[[#This Row],[Column8]] * deployment_raw[[#This Row],[Column5]]) * $L$2), ($H$2 * deployment_raw[[#This Row],[Column5]])), 0),"")</f>
        <v/>
      </c>
      <c r="M996"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96" s="188" t="str">
        <f>IF(ISNUMBER(deployment_raw[[#This Row],[Column14]]), deployment_raw[[#This Row],[Column14]],"")</f>
        <v/>
      </c>
      <c r="O996" s="189" t="str">
        <f>IF(ISNUMBER(deployment_raw[[#This Row],[Column15]]), deployment_raw[[#This Row],[Column15]]/1048576,"")</f>
        <v/>
      </c>
      <c r="P996" s="190" t="str">
        <f>IF(ISNUMBER(deployment_raw[[#This Row],[Column12]]), (deployment_raw[[#This Row],[Column12]] * deployment_raw[[#This Row],[Column5]]),"")</f>
        <v/>
      </c>
      <c r="Q996" s="189" t="str">
        <f>IF(ISNUMBER(deployment_raw[[#This Row],[Column13]]), (deployment_raw[[#This Row],[Column13]] * deployment_raw[[#This Row],[Column5]])/1048576,"")</f>
        <v/>
      </c>
    </row>
    <row r="997" spans="1:17" ht="15" customHeight="1" x14ac:dyDescent="0.25">
      <c r="A997" s="37" t="str">
        <f>IF(ISNONTEXT(deployment_raw[[#This Row],[Column1]]), "", deployment_raw[[#This Row],[Column1]])</f>
        <v/>
      </c>
      <c r="B997" s="38" t="str">
        <f>IF(ISNONTEXT(deployment_raw[[#This Row],[Column2]]), "", deployment_raw[[#This Row],[Column2]])</f>
        <v/>
      </c>
      <c r="C997" s="38" t="str">
        <f>IF(ISNONTEXT(deployment_raw[[#This Row],[Column3]]), "", deployment_raw[[#This Row],[Column3]])</f>
        <v/>
      </c>
      <c r="D997" s="38" t="str">
        <f>IF(ISNONTEXT(deployment_raw[[#This Row],[Column4]]), "", deployment_raw[[#This Row],[Column4]])</f>
        <v/>
      </c>
      <c r="E997" s="39" t="str">
        <f>IF(ISNUMBER(deployment_raw[[#This Row],[Column5]]), deployment_raw[[#This Row],[Column5]],"")</f>
        <v/>
      </c>
      <c r="F997" s="174" t="str">
        <f>IF(ISNUMBER(deployment_raw[[#This Row],[Column6]]), (deployment_raw[[#This Row],[Column6]] * deployment_raw[[#This Row],[Column5]]),"")</f>
        <v/>
      </c>
      <c r="G997" s="175" t="str">
        <f>IF(ISNUMBER(deployment_raw[[#This Row],[Column7]]), (deployment_raw[[#This Row],[Column7]] * deployment_raw[[#This Row],[Column5]])/1048576,"")</f>
        <v/>
      </c>
      <c r="H997" s="175" t="str">
        <f>IF(ISNUMBER(deployment_raw[[#This Row],[Column8]]), (deployment_raw[[#This Row],[Column8]]  * deployment_raw[[#This Row],[Column5]]),"")</f>
        <v/>
      </c>
      <c r="I997" s="176" t="str">
        <f>IF(ISNUMBER(deployment_raw[[#This Row],[Column9]]), (deployment_raw[[#This Row],[Column9]] * deployment_raw[[#This Row],[Column5]])/1048576,"")</f>
        <v/>
      </c>
      <c r="J997" s="57" t="str">
        <f>IF(ISNUMBER(deployment_raw[[#This Row],[Column10]]), (deployment_raw[[#This Row],[Column10]] * deployment_raw[[#This Row],[Column5]]),"")</f>
        <v/>
      </c>
      <c r="K997" s="58" t="str">
        <f>IF(ISNUMBER(deployment_raw[[#This Row],[Column11]]), (deployment_raw[[#This Row],[Column11]] * deployment_raw[[#This Row],[Column5]])/1048576,"")</f>
        <v/>
      </c>
      <c r="L997" s="180" t="str">
        <f>IF(ISNUMBER(deployment_raw[[#This Row],[Column8]]),IF(deployment_raw[[#This Row],[Column5]] &lt;&gt; 0, MAX((deployment_raw[[#This Row],[Column12]] * deployment_raw[[#This Row],[Column5]]), ((deployment_raw[[#This Row],[Column8]] * deployment_raw[[#This Row],[Column5]]) * $L$2), ($H$2 * deployment_raw[[#This Row],[Column5]])), 0),"")</f>
        <v/>
      </c>
      <c r="M997"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97" s="188" t="str">
        <f>IF(ISNUMBER(deployment_raw[[#This Row],[Column14]]), deployment_raw[[#This Row],[Column14]],"")</f>
        <v/>
      </c>
      <c r="O997" s="189" t="str">
        <f>IF(ISNUMBER(deployment_raw[[#This Row],[Column15]]), deployment_raw[[#This Row],[Column15]]/1048576,"")</f>
        <v/>
      </c>
      <c r="P997" s="190" t="str">
        <f>IF(ISNUMBER(deployment_raw[[#This Row],[Column12]]), (deployment_raw[[#This Row],[Column12]] * deployment_raw[[#This Row],[Column5]]),"")</f>
        <v/>
      </c>
      <c r="Q997" s="189" t="str">
        <f>IF(ISNUMBER(deployment_raw[[#This Row],[Column13]]), (deployment_raw[[#This Row],[Column13]] * deployment_raw[[#This Row],[Column5]])/1048576,"")</f>
        <v/>
      </c>
    </row>
    <row r="998" spans="1:17" ht="15" customHeight="1" x14ac:dyDescent="0.25">
      <c r="A998" s="37" t="str">
        <f>IF(ISNONTEXT(deployment_raw[[#This Row],[Column1]]), "", deployment_raw[[#This Row],[Column1]])</f>
        <v/>
      </c>
      <c r="B998" s="38" t="str">
        <f>IF(ISNONTEXT(deployment_raw[[#This Row],[Column2]]), "", deployment_raw[[#This Row],[Column2]])</f>
        <v/>
      </c>
      <c r="C998" s="38" t="str">
        <f>IF(ISNONTEXT(deployment_raw[[#This Row],[Column3]]), "", deployment_raw[[#This Row],[Column3]])</f>
        <v/>
      </c>
      <c r="D998" s="38" t="str">
        <f>IF(ISNONTEXT(deployment_raw[[#This Row],[Column4]]), "", deployment_raw[[#This Row],[Column4]])</f>
        <v/>
      </c>
      <c r="E998" s="39" t="str">
        <f>IF(ISNUMBER(deployment_raw[[#This Row],[Column5]]), deployment_raw[[#This Row],[Column5]],"")</f>
        <v/>
      </c>
      <c r="F998" s="174" t="str">
        <f>IF(ISNUMBER(deployment_raw[[#This Row],[Column6]]), (deployment_raw[[#This Row],[Column6]] * deployment_raw[[#This Row],[Column5]]),"")</f>
        <v/>
      </c>
      <c r="G998" s="175" t="str">
        <f>IF(ISNUMBER(deployment_raw[[#This Row],[Column7]]), (deployment_raw[[#This Row],[Column7]] * deployment_raw[[#This Row],[Column5]])/1048576,"")</f>
        <v/>
      </c>
      <c r="H998" s="175" t="str">
        <f>IF(ISNUMBER(deployment_raw[[#This Row],[Column8]]), (deployment_raw[[#This Row],[Column8]]  * deployment_raw[[#This Row],[Column5]]),"")</f>
        <v/>
      </c>
      <c r="I998" s="176" t="str">
        <f>IF(ISNUMBER(deployment_raw[[#This Row],[Column9]]), (deployment_raw[[#This Row],[Column9]] * deployment_raw[[#This Row],[Column5]])/1048576,"")</f>
        <v/>
      </c>
      <c r="J998" s="57" t="str">
        <f>IF(ISNUMBER(deployment_raw[[#This Row],[Column10]]), (deployment_raw[[#This Row],[Column10]] * deployment_raw[[#This Row],[Column5]]),"")</f>
        <v/>
      </c>
      <c r="K998" s="58" t="str">
        <f>IF(ISNUMBER(deployment_raw[[#This Row],[Column11]]), (deployment_raw[[#This Row],[Column11]] * deployment_raw[[#This Row],[Column5]])/1048576,"")</f>
        <v/>
      </c>
      <c r="L998" s="180" t="str">
        <f>IF(ISNUMBER(deployment_raw[[#This Row],[Column8]]),IF(deployment_raw[[#This Row],[Column5]] &lt;&gt; 0, MAX((deployment_raw[[#This Row],[Column12]] * deployment_raw[[#This Row],[Column5]]), ((deployment_raw[[#This Row],[Column8]] * deployment_raw[[#This Row],[Column5]]) * $L$2), ($H$2 * deployment_raw[[#This Row],[Column5]])), 0),"")</f>
        <v/>
      </c>
      <c r="M998"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98" s="188" t="str">
        <f>IF(ISNUMBER(deployment_raw[[#This Row],[Column14]]), deployment_raw[[#This Row],[Column14]],"")</f>
        <v/>
      </c>
      <c r="O998" s="189" t="str">
        <f>IF(ISNUMBER(deployment_raw[[#This Row],[Column15]]), deployment_raw[[#This Row],[Column15]]/1048576,"")</f>
        <v/>
      </c>
      <c r="P998" s="190" t="str">
        <f>IF(ISNUMBER(deployment_raw[[#This Row],[Column12]]), (deployment_raw[[#This Row],[Column12]] * deployment_raw[[#This Row],[Column5]]),"")</f>
        <v/>
      </c>
      <c r="Q998" s="189" t="str">
        <f>IF(ISNUMBER(deployment_raw[[#This Row],[Column13]]), (deployment_raw[[#This Row],[Column13]] * deployment_raw[[#This Row],[Column5]])/1048576,"")</f>
        <v/>
      </c>
    </row>
    <row r="999" spans="1:17" ht="15" customHeight="1" x14ac:dyDescent="0.25">
      <c r="A999" s="37" t="str">
        <f>IF(ISNONTEXT(deployment_raw[[#This Row],[Column1]]), "", deployment_raw[[#This Row],[Column1]])</f>
        <v/>
      </c>
      <c r="B999" s="38" t="str">
        <f>IF(ISNONTEXT(deployment_raw[[#This Row],[Column2]]), "", deployment_raw[[#This Row],[Column2]])</f>
        <v/>
      </c>
      <c r="C999" s="38" t="str">
        <f>IF(ISNONTEXT(deployment_raw[[#This Row],[Column3]]), "", deployment_raw[[#This Row],[Column3]])</f>
        <v/>
      </c>
      <c r="D999" s="38" t="str">
        <f>IF(ISNONTEXT(deployment_raw[[#This Row],[Column4]]), "", deployment_raw[[#This Row],[Column4]])</f>
        <v/>
      </c>
      <c r="E999" s="39" t="str">
        <f>IF(ISNUMBER(deployment_raw[[#This Row],[Column5]]), deployment_raw[[#This Row],[Column5]],"")</f>
        <v/>
      </c>
      <c r="F999" s="174" t="str">
        <f>IF(ISNUMBER(deployment_raw[[#This Row],[Column6]]), (deployment_raw[[#This Row],[Column6]] * deployment_raw[[#This Row],[Column5]]),"")</f>
        <v/>
      </c>
      <c r="G999" s="175" t="str">
        <f>IF(ISNUMBER(deployment_raw[[#This Row],[Column7]]), (deployment_raw[[#This Row],[Column7]] * deployment_raw[[#This Row],[Column5]])/1048576,"")</f>
        <v/>
      </c>
      <c r="H999" s="175" t="str">
        <f>IF(ISNUMBER(deployment_raw[[#This Row],[Column8]]), (deployment_raw[[#This Row],[Column8]]  * deployment_raw[[#This Row],[Column5]]),"")</f>
        <v/>
      </c>
      <c r="I999" s="176" t="str">
        <f>IF(ISNUMBER(deployment_raw[[#This Row],[Column9]]), (deployment_raw[[#This Row],[Column9]] * deployment_raw[[#This Row],[Column5]])/1048576,"")</f>
        <v/>
      </c>
      <c r="J999" s="57" t="str">
        <f>IF(ISNUMBER(deployment_raw[[#This Row],[Column10]]), (deployment_raw[[#This Row],[Column10]] * deployment_raw[[#This Row],[Column5]]),"")</f>
        <v/>
      </c>
      <c r="K999" s="58" t="str">
        <f>IF(ISNUMBER(deployment_raw[[#This Row],[Column11]]), (deployment_raw[[#This Row],[Column11]] * deployment_raw[[#This Row],[Column5]])/1048576,"")</f>
        <v/>
      </c>
      <c r="L999" s="180" t="str">
        <f>IF(ISNUMBER(deployment_raw[[#This Row],[Column8]]),IF(deployment_raw[[#This Row],[Column5]] &lt;&gt; 0, MAX((deployment_raw[[#This Row],[Column12]] * deployment_raw[[#This Row],[Column5]]), ((deployment_raw[[#This Row],[Column8]] * deployment_raw[[#This Row],[Column5]]) * $L$2), ($H$2 * deployment_raw[[#This Row],[Column5]])), 0),"")</f>
        <v/>
      </c>
      <c r="M999" s="181" t="str">
        <f>IF(ISNUMBER(deployment_raw[[#This Row],[Column9]]),IF(deployment_raw[[#This Row],[Column5]] &lt;&gt; 0, MAX((deployment_raw[[#This Row],[Column13]] * deployment_raw[[#This Row],[Column5]])/1048576, ((deployment_raw[[#This Row],[Column9]] * deployment_raw[[#This Row],[Column5]]) * $M$2)/1048576, ($I$2 * deployment_raw[[#This Row],[Column5]])), 0),"")</f>
        <v/>
      </c>
      <c r="N999" s="188" t="str">
        <f>IF(ISNUMBER(deployment_raw[[#This Row],[Column14]]), deployment_raw[[#This Row],[Column14]],"")</f>
        <v/>
      </c>
      <c r="O999" s="189" t="str">
        <f>IF(ISNUMBER(deployment_raw[[#This Row],[Column15]]), deployment_raw[[#This Row],[Column15]]/1048576,"")</f>
        <v/>
      </c>
      <c r="P999" s="190" t="str">
        <f>IF(ISNUMBER(deployment_raw[[#This Row],[Column12]]), (deployment_raw[[#This Row],[Column12]] * deployment_raw[[#This Row],[Column5]]),"")</f>
        <v/>
      </c>
      <c r="Q999" s="189" t="str">
        <f>IF(ISNUMBER(deployment_raw[[#This Row],[Column13]]), (deployment_raw[[#This Row],[Column13]] * deployment_raw[[#This Row],[Column5]])/1048576,"")</f>
        <v/>
      </c>
    </row>
    <row r="1000" spans="1:17" ht="15" customHeight="1" x14ac:dyDescent="0.25">
      <c r="A1000" s="37" t="str">
        <f>IF(ISNONTEXT(deployment_raw[[#This Row],[Column1]]), "", deployment_raw[[#This Row],[Column1]])</f>
        <v/>
      </c>
      <c r="B1000" s="38" t="str">
        <f>IF(ISNONTEXT(deployment_raw[[#This Row],[Column2]]), "", deployment_raw[[#This Row],[Column2]])</f>
        <v/>
      </c>
      <c r="C1000" s="38" t="str">
        <f>IF(ISNONTEXT(deployment_raw[[#This Row],[Column3]]), "", deployment_raw[[#This Row],[Column3]])</f>
        <v/>
      </c>
      <c r="D1000" s="38" t="str">
        <f>IF(ISNONTEXT(deployment_raw[[#This Row],[Column4]]), "", deployment_raw[[#This Row],[Column4]])</f>
        <v/>
      </c>
      <c r="E1000" s="39" t="str">
        <f>IF(ISNUMBER(deployment_raw[[#This Row],[Column5]]), deployment_raw[[#This Row],[Column5]],"")</f>
        <v/>
      </c>
      <c r="F1000" s="174" t="str">
        <f>IF(ISNUMBER(deployment_raw[[#This Row],[Column6]]), (deployment_raw[[#This Row],[Column6]] * deployment_raw[[#This Row],[Column5]]),"")</f>
        <v/>
      </c>
      <c r="G1000" s="175" t="str">
        <f>IF(ISNUMBER(deployment_raw[[#This Row],[Column7]]), (deployment_raw[[#This Row],[Column7]] * deployment_raw[[#This Row],[Column5]])/1048576,"")</f>
        <v/>
      </c>
      <c r="H1000" s="175" t="str">
        <f>IF(ISNUMBER(deployment_raw[[#This Row],[Column8]]), (deployment_raw[[#This Row],[Column8]]  * deployment_raw[[#This Row],[Column5]]),"")</f>
        <v/>
      </c>
      <c r="I1000" s="176" t="str">
        <f>IF(ISNUMBER(deployment_raw[[#This Row],[Column9]]), (deployment_raw[[#This Row],[Column9]] * deployment_raw[[#This Row],[Column5]])/1048576,"")</f>
        <v/>
      </c>
      <c r="J1000" s="57" t="str">
        <f>IF(ISNUMBER(deployment_raw[[#This Row],[Column10]]), (deployment_raw[[#This Row],[Column10]] * deployment_raw[[#This Row],[Column5]]),"")</f>
        <v/>
      </c>
      <c r="K1000" s="58" t="str">
        <f>IF(ISNUMBER(deployment_raw[[#This Row],[Column11]]), (deployment_raw[[#This Row],[Column11]] * deployment_raw[[#This Row],[Column5]])/1048576,"")</f>
        <v/>
      </c>
      <c r="L1000" s="180" t="str">
        <f>IF(ISNUMBER(deployment_raw[[#This Row],[Column8]]),IF(deployment_raw[[#This Row],[Column5]] &lt;&gt; 0, MAX((deployment_raw[[#This Row],[Column12]] * deployment_raw[[#This Row],[Column5]]), ((deployment_raw[[#This Row],[Column8]] * deployment_raw[[#This Row],[Column5]]) * $L$2), ($H$2 * deployment_raw[[#This Row],[Column5]])), 0),"")</f>
        <v/>
      </c>
      <c r="M1000"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00" s="188" t="str">
        <f>IF(ISNUMBER(deployment_raw[[#This Row],[Column14]]), deployment_raw[[#This Row],[Column14]],"")</f>
        <v/>
      </c>
      <c r="O1000" s="189" t="str">
        <f>IF(ISNUMBER(deployment_raw[[#This Row],[Column15]]), deployment_raw[[#This Row],[Column15]]/1048576,"")</f>
        <v/>
      </c>
      <c r="P1000" s="190" t="str">
        <f>IF(ISNUMBER(deployment_raw[[#This Row],[Column12]]), (deployment_raw[[#This Row],[Column12]] * deployment_raw[[#This Row],[Column5]]),"")</f>
        <v/>
      </c>
      <c r="Q1000" s="189" t="str">
        <f>IF(ISNUMBER(deployment_raw[[#This Row],[Column13]]), (deployment_raw[[#This Row],[Column13]] * deployment_raw[[#This Row],[Column5]])/1048576,"")</f>
        <v/>
      </c>
    </row>
    <row r="1001" spans="1:17" ht="15" customHeight="1" x14ac:dyDescent="0.25">
      <c r="A1001" s="37" t="str">
        <f>IF(ISNONTEXT(deployment_raw[[#This Row],[Column1]]), "", deployment_raw[[#This Row],[Column1]])</f>
        <v/>
      </c>
      <c r="B1001" s="38" t="str">
        <f>IF(ISNONTEXT(deployment_raw[[#This Row],[Column2]]), "", deployment_raw[[#This Row],[Column2]])</f>
        <v/>
      </c>
      <c r="C1001" s="38" t="str">
        <f>IF(ISNONTEXT(deployment_raw[[#This Row],[Column3]]), "", deployment_raw[[#This Row],[Column3]])</f>
        <v/>
      </c>
      <c r="D1001" s="38" t="str">
        <f>IF(ISNONTEXT(deployment_raw[[#This Row],[Column4]]), "", deployment_raw[[#This Row],[Column4]])</f>
        <v/>
      </c>
      <c r="E1001" s="39" t="str">
        <f>IF(ISNUMBER(deployment_raw[[#This Row],[Column5]]), deployment_raw[[#This Row],[Column5]],"")</f>
        <v/>
      </c>
      <c r="F1001" s="174" t="str">
        <f>IF(ISNUMBER(deployment_raw[[#This Row],[Column6]]), (deployment_raw[[#This Row],[Column6]] * deployment_raw[[#This Row],[Column5]]),"")</f>
        <v/>
      </c>
      <c r="G1001" s="175" t="str">
        <f>IF(ISNUMBER(deployment_raw[[#This Row],[Column7]]), (deployment_raw[[#This Row],[Column7]] * deployment_raw[[#This Row],[Column5]])/1048576,"")</f>
        <v/>
      </c>
      <c r="H1001" s="175" t="str">
        <f>IF(ISNUMBER(deployment_raw[[#This Row],[Column8]]), (deployment_raw[[#This Row],[Column8]]  * deployment_raw[[#This Row],[Column5]]),"")</f>
        <v/>
      </c>
      <c r="I1001" s="176" t="str">
        <f>IF(ISNUMBER(deployment_raw[[#This Row],[Column9]]), (deployment_raw[[#This Row],[Column9]] * deployment_raw[[#This Row],[Column5]])/1048576,"")</f>
        <v/>
      </c>
      <c r="J1001" s="57" t="str">
        <f>IF(ISNUMBER(deployment_raw[[#This Row],[Column10]]), (deployment_raw[[#This Row],[Column10]] * deployment_raw[[#This Row],[Column5]]),"")</f>
        <v/>
      </c>
      <c r="K1001" s="58" t="str">
        <f>IF(ISNUMBER(deployment_raw[[#This Row],[Column11]]), (deployment_raw[[#This Row],[Column11]] * deployment_raw[[#This Row],[Column5]])/1048576,"")</f>
        <v/>
      </c>
      <c r="L1001" s="180" t="str">
        <f>IF(ISNUMBER(deployment_raw[[#This Row],[Column8]]),IF(deployment_raw[[#This Row],[Column5]] &lt;&gt; 0, MAX((deployment_raw[[#This Row],[Column12]] * deployment_raw[[#This Row],[Column5]]), ((deployment_raw[[#This Row],[Column8]] * deployment_raw[[#This Row],[Column5]]) * $L$2), ($H$2 * deployment_raw[[#This Row],[Column5]])), 0),"")</f>
        <v/>
      </c>
      <c r="M1001"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01" s="188" t="str">
        <f>IF(ISNUMBER(deployment_raw[[#This Row],[Column14]]), deployment_raw[[#This Row],[Column14]],"")</f>
        <v/>
      </c>
      <c r="O1001" s="189" t="str">
        <f>IF(ISNUMBER(deployment_raw[[#This Row],[Column15]]), deployment_raw[[#This Row],[Column15]]/1048576,"")</f>
        <v/>
      </c>
      <c r="P1001" s="190" t="str">
        <f>IF(ISNUMBER(deployment_raw[[#This Row],[Column12]]), (deployment_raw[[#This Row],[Column12]] * deployment_raw[[#This Row],[Column5]]),"")</f>
        <v/>
      </c>
      <c r="Q1001" s="189" t="str">
        <f>IF(ISNUMBER(deployment_raw[[#This Row],[Column13]]), (deployment_raw[[#This Row],[Column13]] * deployment_raw[[#This Row],[Column5]])/1048576,"")</f>
        <v/>
      </c>
    </row>
    <row r="1002" spans="1:17" ht="15" customHeight="1" x14ac:dyDescent="0.25">
      <c r="A1002" s="37" t="str">
        <f>IF(ISNONTEXT(deployment_raw[[#This Row],[Column1]]), "", deployment_raw[[#This Row],[Column1]])</f>
        <v/>
      </c>
      <c r="B1002" s="38" t="str">
        <f>IF(ISNONTEXT(deployment_raw[[#This Row],[Column2]]), "", deployment_raw[[#This Row],[Column2]])</f>
        <v/>
      </c>
      <c r="C1002" s="38" t="str">
        <f>IF(ISNONTEXT(deployment_raw[[#This Row],[Column3]]), "", deployment_raw[[#This Row],[Column3]])</f>
        <v/>
      </c>
      <c r="D1002" s="38" t="str">
        <f>IF(ISNONTEXT(deployment_raw[[#This Row],[Column4]]), "", deployment_raw[[#This Row],[Column4]])</f>
        <v/>
      </c>
      <c r="E1002" s="39" t="str">
        <f>IF(ISNUMBER(deployment_raw[[#This Row],[Column5]]), deployment_raw[[#This Row],[Column5]],"")</f>
        <v/>
      </c>
      <c r="F1002" s="174" t="str">
        <f>IF(ISNUMBER(deployment_raw[[#This Row],[Column6]]), (deployment_raw[[#This Row],[Column6]] * deployment_raw[[#This Row],[Column5]]),"")</f>
        <v/>
      </c>
      <c r="G1002" s="175" t="str">
        <f>IF(ISNUMBER(deployment_raw[[#This Row],[Column7]]), (deployment_raw[[#This Row],[Column7]] * deployment_raw[[#This Row],[Column5]])/1048576,"")</f>
        <v/>
      </c>
      <c r="H1002" s="175" t="str">
        <f>IF(ISNUMBER(deployment_raw[[#This Row],[Column8]]), (deployment_raw[[#This Row],[Column8]]  * deployment_raw[[#This Row],[Column5]]),"")</f>
        <v/>
      </c>
      <c r="I1002" s="176" t="str">
        <f>IF(ISNUMBER(deployment_raw[[#This Row],[Column9]]), (deployment_raw[[#This Row],[Column9]] * deployment_raw[[#This Row],[Column5]])/1048576,"")</f>
        <v/>
      </c>
      <c r="J1002" s="57" t="str">
        <f>IF(ISNUMBER(deployment_raw[[#This Row],[Column10]]), (deployment_raw[[#This Row],[Column10]] * deployment_raw[[#This Row],[Column5]]),"")</f>
        <v/>
      </c>
      <c r="K1002" s="58" t="str">
        <f>IF(ISNUMBER(deployment_raw[[#This Row],[Column11]]), (deployment_raw[[#This Row],[Column11]] * deployment_raw[[#This Row],[Column5]])/1048576,"")</f>
        <v/>
      </c>
      <c r="L1002" s="180" t="str">
        <f>IF(ISNUMBER(deployment_raw[[#This Row],[Column8]]),IF(deployment_raw[[#This Row],[Column5]] &lt;&gt; 0, MAX((deployment_raw[[#This Row],[Column12]] * deployment_raw[[#This Row],[Column5]]), ((deployment_raw[[#This Row],[Column8]] * deployment_raw[[#This Row],[Column5]]) * $L$2), ($H$2 * deployment_raw[[#This Row],[Column5]])), 0),"")</f>
        <v/>
      </c>
      <c r="M1002" s="181" t="str">
        <f>IF(ISNUMBER(deployment_raw[[#This Row],[Column9]]),IF(deployment_raw[[#This Row],[Column5]] &lt;&gt; 0, MAX((deployment_raw[[#This Row],[Column13]] * deployment_raw[[#This Row],[Column5]])/1048576, ((deployment_raw[[#This Row],[Column9]] * deployment_raw[[#This Row],[Column5]]) * $M$2)/1048576, ($I$2 * deployment_raw[[#This Row],[Column5]])), 0),"")</f>
        <v/>
      </c>
      <c r="N1002" s="188" t="str">
        <f>IF(ISNUMBER(deployment_raw[[#This Row],[Column14]]), deployment_raw[[#This Row],[Column14]],"")</f>
        <v/>
      </c>
      <c r="O1002" s="189" t="str">
        <f>IF(ISNUMBER(deployment_raw[[#This Row],[Column15]]), deployment_raw[[#This Row],[Column15]]/1048576,"")</f>
        <v/>
      </c>
      <c r="P1002" s="190" t="str">
        <f>IF(ISNUMBER(deployment_raw[[#This Row],[Column12]]), (deployment_raw[[#This Row],[Column12]] * deployment_raw[[#This Row],[Column5]]),"")</f>
        <v/>
      </c>
      <c r="Q1002" s="189" t="str">
        <f>IF(ISNUMBER(deployment_raw[[#This Row],[Column13]]), (deployment_raw[[#This Row],[Column13]] * deployment_raw[[#This Row],[Column5]])/1048576,"")</f>
        <v/>
      </c>
    </row>
  </sheetData>
  <autoFilter ref="A3:I29" xr:uid="{00000000-0001-0000-0100-000000000000}"/>
  <dataValidations disablePrompts="1" count="3">
    <dataValidation type="list" allowBlank="1" showInputMessage="1" showErrorMessage="1" sqref="L2:M2" xr:uid="{33F7AE7A-6723-42A1-8409-0896582D3017}">
      <formula1>"0%,20%,50%,70%, 80%, 90%,100%,120%,150%"</formula1>
    </dataValidation>
    <dataValidation type="decimal" showInputMessage="1" showErrorMessage="1" sqref="H2" xr:uid="{593D816F-62CD-428B-9F10-961F10CE9717}">
      <formula1>50</formula1>
      <formula2>128000</formula2>
    </dataValidation>
    <dataValidation type="decimal" showInputMessage="1" showErrorMessage="1" sqref="I2" xr:uid="{B9CA250F-36A6-41CB-91BF-16196FA72518}">
      <formula1>25</formula1>
      <formula2>256000</formula2>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1001"/>
  <sheetViews>
    <sheetView tabSelected="1" zoomScaleNormal="100" workbookViewId="0">
      <pane xSplit="1" topLeftCell="B1" activePane="topRight" state="frozen"/>
      <selection pane="topRight" activeCell="B2" sqref="B2"/>
    </sheetView>
  </sheetViews>
  <sheetFormatPr defaultColWidth="14.42578125" defaultRowHeight="15" customHeight="1" x14ac:dyDescent="0.25"/>
  <cols>
    <col min="1" max="1" width="20.85546875" style="120" customWidth="1"/>
    <col min="2" max="2" width="16.42578125" style="121" customWidth="1"/>
    <col min="3" max="3" width="14.7109375" style="121" customWidth="1"/>
    <col min="4" max="4" width="9.85546875" style="105" customWidth="1"/>
    <col min="5" max="5" width="15.7109375" style="123" hidden="1" customWidth="1"/>
    <col min="6" max="6" width="15.5703125" style="125" hidden="1" customWidth="1"/>
    <col min="7" max="7" width="13.7109375" style="105" hidden="1" customWidth="1"/>
    <col min="8" max="8" width="17.5703125" style="105" hidden="1" customWidth="1"/>
    <col min="9" max="9" width="14.28515625" style="105" hidden="1" customWidth="1"/>
    <col min="10" max="10" width="15.5703125" style="105" hidden="1" customWidth="1"/>
    <col min="11" max="11" width="15.5703125" style="113" customWidth="1"/>
    <col min="12" max="12" width="18.85546875" style="113" customWidth="1"/>
    <col min="13" max="13" width="15.5703125" style="105" customWidth="1"/>
    <col min="14" max="14" width="18.42578125" style="105" customWidth="1"/>
    <col min="15" max="15" width="17.28515625" style="126" customWidth="1"/>
    <col min="16" max="16" width="15.7109375" style="106" customWidth="1"/>
    <col min="17" max="17" width="23.5703125" style="107" customWidth="1"/>
    <col min="18" max="18" width="23.7109375" style="105" hidden="1" customWidth="1"/>
    <col min="19" max="21" width="24.5703125" style="105" hidden="1" customWidth="1"/>
    <col min="22" max="23" width="24.5703125" style="113" customWidth="1"/>
    <col min="24" max="25" width="24.5703125" style="105" customWidth="1"/>
    <col min="26" max="26" width="23.7109375" style="105" hidden="1" customWidth="1"/>
    <col min="27" max="27" width="27.42578125" style="105" hidden="1" customWidth="1"/>
    <col min="28" max="28" width="18" style="133" customWidth="1"/>
    <col min="29" max="29" width="18.5703125" style="105" customWidth="1"/>
    <col min="30" max="30" width="22.7109375" style="132" customWidth="1"/>
    <col min="31" max="31" width="23" style="132" customWidth="1"/>
    <col min="32" max="37" width="8.7109375" style="14" customWidth="1"/>
    <col min="38" max="16384" width="14.42578125" style="14"/>
  </cols>
  <sheetData>
    <row r="1" spans="1:37" ht="19.5" customHeight="1" thickBot="1" x14ac:dyDescent="0.3">
      <c r="A1" s="198" t="s">
        <v>58</v>
      </c>
      <c r="B1" s="22" t="s">
        <v>53</v>
      </c>
      <c r="C1" s="22" t="s">
        <v>54</v>
      </c>
      <c r="D1" s="43"/>
      <c r="E1" s="111"/>
      <c r="F1" s="111"/>
      <c r="G1" s="43"/>
      <c r="H1" s="43"/>
      <c r="I1" s="43"/>
      <c r="J1" s="43"/>
      <c r="K1" s="114"/>
      <c r="L1" s="114"/>
      <c r="M1" s="43"/>
      <c r="N1" s="43"/>
      <c r="O1" s="43"/>
      <c r="P1" s="44"/>
      <c r="Q1" s="108"/>
      <c r="R1" s="108"/>
      <c r="S1" s="108"/>
      <c r="T1" s="108"/>
      <c r="U1" s="108"/>
      <c r="V1" s="108"/>
      <c r="W1" s="108"/>
      <c r="X1" s="108"/>
      <c r="Y1" s="108"/>
      <c r="Z1" s="108"/>
      <c r="AA1" s="108"/>
      <c r="AB1" s="109"/>
      <c r="AC1" s="108"/>
      <c r="AD1" s="110"/>
      <c r="AE1" s="110"/>
    </row>
    <row r="2" spans="1:37" ht="22.5" customHeight="1" thickBot="1" x14ac:dyDescent="0.3">
      <c r="A2" s="199"/>
      <c r="B2" s="45">
        <v>0.7</v>
      </c>
      <c r="C2" s="45">
        <v>0.7</v>
      </c>
      <c r="D2" s="43"/>
      <c r="E2" s="111"/>
      <c r="F2" s="147"/>
      <c r="G2" s="43"/>
      <c r="H2" s="43"/>
      <c r="I2" s="43"/>
      <c r="J2" s="43"/>
      <c r="K2" s="114"/>
      <c r="L2" s="114"/>
      <c r="M2" s="43"/>
      <c r="N2" s="43"/>
      <c r="O2" s="43"/>
      <c r="P2" s="43"/>
      <c r="Q2" s="108"/>
      <c r="R2" s="108"/>
      <c r="S2" s="108"/>
      <c r="T2" s="108"/>
      <c r="U2" s="108"/>
      <c r="V2" s="108"/>
      <c r="W2" s="108"/>
      <c r="X2" s="108"/>
      <c r="Y2" s="108"/>
      <c r="Z2" s="108"/>
      <c r="AA2" s="108"/>
      <c r="AB2" s="109"/>
      <c r="AC2" s="108"/>
      <c r="AD2" s="110"/>
      <c r="AE2" s="110"/>
    </row>
    <row r="3" spans="1:37" customFormat="1" ht="49.5" customHeight="1" thickTop="1" thickBot="1" x14ac:dyDescent="0.3">
      <c r="A3" s="46" t="s">
        <v>4</v>
      </c>
      <c r="B3" s="47" t="s">
        <v>32</v>
      </c>
      <c r="C3" s="47" t="s">
        <v>33</v>
      </c>
      <c r="D3" s="48" t="s">
        <v>5</v>
      </c>
      <c r="E3" s="49" t="s">
        <v>6</v>
      </c>
      <c r="F3" s="50" t="s">
        <v>7</v>
      </c>
      <c r="G3" s="51" t="s">
        <v>10</v>
      </c>
      <c r="H3" s="52" t="s">
        <v>11</v>
      </c>
      <c r="I3" s="47" t="s">
        <v>8</v>
      </c>
      <c r="J3" s="53" t="s">
        <v>9</v>
      </c>
      <c r="K3" s="52" t="s">
        <v>34</v>
      </c>
      <c r="L3" s="52" t="s">
        <v>35</v>
      </c>
      <c r="M3" s="47" t="s">
        <v>36</v>
      </c>
      <c r="N3" s="53" t="s">
        <v>37</v>
      </c>
      <c r="O3" s="54" t="s">
        <v>52</v>
      </c>
      <c r="P3" s="23" t="s">
        <v>85</v>
      </c>
      <c r="Q3" s="24" t="s">
        <v>55</v>
      </c>
      <c r="R3" s="9" t="s">
        <v>38</v>
      </c>
      <c r="S3" s="8" t="s">
        <v>39</v>
      </c>
      <c r="T3" s="6" t="s">
        <v>40</v>
      </c>
      <c r="U3" s="6" t="s">
        <v>41</v>
      </c>
      <c r="V3" s="52" t="s">
        <v>56</v>
      </c>
      <c r="W3" s="52" t="s">
        <v>57</v>
      </c>
      <c r="X3" s="47" t="s">
        <v>42</v>
      </c>
      <c r="Y3" s="47" t="s">
        <v>43</v>
      </c>
      <c r="Z3" s="55" t="s">
        <v>59</v>
      </c>
      <c r="AA3" s="56" t="s">
        <v>60</v>
      </c>
      <c r="AB3" s="140" t="s">
        <v>46</v>
      </c>
      <c r="AC3" s="138" t="s">
        <v>47</v>
      </c>
      <c r="AD3" s="139" t="s">
        <v>48</v>
      </c>
      <c r="AE3" s="143" t="s">
        <v>49</v>
      </c>
      <c r="AF3" s="2"/>
      <c r="AG3" s="2"/>
      <c r="AH3" s="2"/>
      <c r="AI3" s="2"/>
      <c r="AJ3" s="2"/>
      <c r="AK3" s="2"/>
    </row>
    <row r="4" spans="1:37" ht="16.5" thickTop="1" x14ac:dyDescent="0.25">
      <c r="A4" s="115" t="str" cm="1">
        <f t="array" ref="A4">_xlfn.UNIQUE(_xlfn._xlws.FILTER('node-raw'!B2:B6, 'node-raw'!B2:B6&lt;&gt;""))</f>
        <v>&lt;none&gt;</v>
      </c>
      <c r="B4" s="116">
        <f>IF(A4&lt;&gt;"", VLOOKUP(A4, node!$C$2:$D$500, 2, FALSE), "")</f>
        <v>8000</v>
      </c>
      <c r="C4" s="117">
        <f>IF(A4&lt;&gt;"", VLOOKUP(A4, node!$C$2:$E$500, 3, FALSE), "")</f>
        <v>31912.375</v>
      </c>
      <c r="D4" s="118">
        <f>IF(A4&lt;&gt;"",COUNTIFS(node!$C$2:$C$500,"="&amp;A4, node!$C$2:$C$500,"&lt;&gt;"&amp;""),"")</f>
        <v>4</v>
      </c>
      <c r="E4" s="122">
        <f>IF(A4&lt;&gt;"",SUMIFS(node!$F$2:$F$500, node!$C$2:$C$500,"="&amp;A4, node!$C$2:$C$500,"&lt;&gt;"&amp;"")/(B4*D4),"")</f>
        <v>0.38765624999999998</v>
      </c>
      <c r="F4" s="124">
        <f>IF(A4&lt;&gt;"",SUMIFS(node!$H$2:$H$500, node!$C$2:$C$500,"="&amp;A4, node!$C$2:$C$500,"&lt;&gt;"&amp;"")/(C4*D4),"")</f>
        <v>0.25560617158704108</v>
      </c>
      <c r="G4" s="93">
        <f>IF(A4&lt;&gt;"",SUMIFS(deployment!$F$4:$F$502, deployment!$D$4:$D$502,"="&amp;A4, deployment!$D$4:$D$502,"&lt;&gt;"&amp;""),"")</f>
        <v>3900</v>
      </c>
      <c r="H4" s="94">
        <f>IF(A4&lt;&gt;"",SUMIFS(deployment!$G$4:$G$502, deployment!$D$4:$D$502,"="&amp;A4, deployment!$D$4:$D$502,"&lt;&gt;"&amp;""),"")</f>
        <v>6054.0000038146973</v>
      </c>
      <c r="I4" s="95">
        <f>IF(A4&lt;&gt;"",SUMIFS(deployment!$H$4:$H$502, deployment!$D$4:$D$502,"="&amp;A4, deployment!$D$4:$D$502,"&lt;&gt;"&amp;""),"")</f>
        <v>18700</v>
      </c>
      <c r="J4" s="96">
        <f>IF(A4&lt;&gt;"",SUMIFS(deployment!$I$4:$I$502, deployment!$D$4:$D$502,"="&amp;A4, deployment!$D$4:$D$502,"&lt;&gt;"&amp;""),"")</f>
        <v>11552.000003814697</v>
      </c>
      <c r="K4" s="112">
        <f>IF(A4&lt;&gt;"",SUMIFS(deployment!$J$4:$J$502, deployment!$D$4:$D$502,"="&amp;A4, deployment!$D$4:$D$502,"&lt;&gt;"&amp;""),"")</f>
        <v>10240</v>
      </c>
      <c r="L4" s="112">
        <f>IF(A4&lt;&gt;"",SUMIFS(deployment!$K$4:$K$502, deployment!$D$4:$D$502,"="&amp;A4, deployment!$D$4:$D$502,"&lt;&gt;"&amp;""),"")</f>
        <v>4940.0000038146973</v>
      </c>
      <c r="M4" s="97">
        <f>IF(A4&lt;&gt;"",SUMIFS(deployment!$L$4:$L$502, deployment!$D$4:$D$502,"="&amp;A4, deployment!$D$4:$D$502,"&lt;&gt;"&amp;""),"")</f>
        <v>18325</v>
      </c>
      <c r="N4" s="97">
        <f>IF(A4&lt;&gt;"",SUMIFS(deployment!$M$4:$M$502, deployment!$D$4:$D$502,"="&amp;A4, deployment!$D$4:$D$502,"&lt;&gt;"&amp;""),"")</f>
        <v>8786.0000038146973</v>
      </c>
      <c r="O4" s="127">
        <f>IF(A4&lt;&gt;"",MAX(ROUNDUP(K4/(B4*$B$2), 0), ROUNDUP(L4/(C4*$C$2), 0), ROUNDUP(M4/(B4*$B$2), 0), ROUNDUP(N4/(C4*$C$2), 0), 1),"")</f>
        <v>4</v>
      </c>
      <c r="P4" s="98">
        <v>4</v>
      </c>
      <c r="Q4" s="99">
        <f t="shared" ref="Q4:Q67" si="0">IF(A4&lt;&gt;"",(D4-P4)/D4,"")</f>
        <v>0</v>
      </c>
      <c r="R4" s="100">
        <f t="shared" ref="R4:R67" si="1">IF(A4&lt;&gt;"",G4/(P4*B4),"")</f>
        <v>0.121875</v>
      </c>
      <c r="S4" s="100">
        <f t="shared" ref="S4:S67" si="2">IF(A4&lt;&gt;"",H4/(P4*C4),"")</f>
        <v>4.7426742790333667E-2</v>
      </c>
      <c r="T4" s="101">
        <f t="shared" ref="T4:T67" si="3">IF(A4&lt;&gt;"",I4/(P4*B4),"")</f>
        <v>0.58437499999999998</v>
      </c>
      <c r="U4" s="101">
        <f t="shared" ref="U4:U67" si="4">IF(A4&lt;&gt;"",J4/(P4*C4),"")</f>
        <v>9.0497808481934491E-2</v>
      </c>
      <c r="V4" s="128">
        <f t="shared" ref="V4:V67" si="5">IF(A4&lt;&gt;"",K4/(P4*B4),"")</f>
        <v>0.32</v>
      </c>
      <c r="W4" s="128">
        <f t="shared" ref="W4:W67" si="6">IF(A4&lt;&gt;"",L4/(P4*C4),"")</f>
        <v>3.8699720749510946E-2</v>
      </c>
      <c r="X4" s="101">
        <f t="shared" ref="X4:X67" si="7">IF(A4&lt;&gt;"",M4/(P4*B4),"")</f>
        <v>0.57265624999999998</v>
      </c>
      <c r="Y4" s="101">
        <f t="shared" ref="Y4:Y67" si="8">IF(A4&lt;&gt;"",N4/(P4*C4),"")</f>
        <v>6.8829098459568569E-2</v>
      </c>
      <c r="Z4" s="102">
        <f t="shared" ref="Z4:Z67" si="9">IF(A4&lt;&gt;"",(D4*E4)/P4,"")</f>
        <v>0.38765624999999998</v>
      </c>
      <c r="AA4" s="103">
        <f t="shared" ref="AA4:AA67" si="10">IF(A4&lt;&gt;"",(D4*F4)/P4,"")</f>
        <v>0.25560617158704108</v>
      </c>
      <c r="AB4" s="141">
        <f>IF(A4&lt;&gt;"", SUMIFS(node!$J$2:$J$500, node!$C$2:$C$500,"="&amp;A4)/P4, "")</f>
        <v>6.9175E-2</v>
      </c>
      <c r="AC4" s="136">
        <f>IF(A4&lt;&gt;"", SUMIFS(node!$K$2:$K$500, node!$C$2:$C$500,"="&amp;A4)/P4, "")</f>
        <v>4.3487500000000002E-3</v>
      </c>
      <c r="AD4" s="137">
        <f>IF(A4&lt;&gt;"", SUMIFS(node!$L$2:$L$500, node!$C$2:$C$500,"="&amp;A4), "")</f>
        <v>1579573074.9325001</v>
      </c>
      <c r="AE4" s="144">
        <f>IF(A4&lt;&gt;"", SUMIFS(node!$M$2:$M$500, node!$C$2:$C$500,"="&amp;A4), "")</f>
        <v>1516311966.7596998</v>
      </c>
    </row>
    <row r="5" spans="1:37" ht="15.75" x14ac:dyDescent="0.25">
      <c r="A5" s="119"/>
      <c r="B5" s="116" t="str">
        <f>IF(A5&lt;&gt;"", VLOOKUP(A5, node!$C$2:$D$500, 2, FALSE), "")</f>
        <v/>
      </c>
      <c r="C5" s="117" t="str">
        <f>IF(A5&lt;&gt;"", VLOOKUP(A5, node!$C$2:$E$500, 3, FALSE), "")</f>
        <v/>
      </c>
      <c r="D5" s="118" t="str">
        <f>IF(A5&lt;&gt;"",COUNTIFS(node!$C$2:$C$500,"="&amp;A5, node!$C$2:$C$500,"&lt;&gt;"&amp;""),"")</f>
        <v/>
      </c>
      <c r="E5" s="122" t="str">
        <f>IF(A5&lt;&gt;"",SUMIFS(node!$F$2:$F$500, node!$C$2:$C$500,"="&amp;A5, node!$C$2:$C$500,"&lt;&gt;"&amp;"")/(B5*D5),"")</f>
        <v/>
      </c>
      <c r="F5" s="124" t="str">
        <f>IF(A5&lt;&gt;"",SUMIFS(node!$H$2:$H$500, node!$C$2:$C$500,"="&amp;A5, node!$C$2:$C$500,"&lt;&gt;"&amp;"")/(C5*D5),"")</f>
        <v/>
      </c>
      <c r="G5" s="93" t="str">
        <f>IF(A5&lt;&gt;"",SUMIFS(deployment!$F$4:$F$502, deployment!$D$4:$D$502,"="&amp;A5, deployment!$D$4:$D$502,"&lt;&gt;"&amp;""),"")</f>
        <v/>
      </c>
      <c r="H5" s="94" t="str">
        <f>IF(A5&lt;&gt;"",SUMIFS(deployment!$G$4:$G$502, deployment!$D$4:$D$502,"="&amp;A5, deployment!$D$4:$D$502,"&lt;&gt;"&amp;""),"")</f>
        <v/>
      </c>
      <c r="I5" s="95" t="str">
        <f>IF(A5&lt;&gt;"",SUMIFS(deployment!$H$4:$H$502, deployment!$D$4:$D$502,"="&amp;A5, deployment!$D$4:$D$502,"&lt;&gt;"&amp;""),"")</f>
        <v/>
      </c>
      <c r="J5" s="96" t="str">
        <f>IF(A5&lt;&gt;"",SUMIFS(deployment!$I$4:$I$502, deployment!$D$4:$D$502,"="&amp;A5, deployment!$D$4:$D$502,"&lt;&gt;"&amp;""),"")</f>
        <v/>
      </c>
      <c r="K5" s="112" t="str">
        <f>IF(A5&lt;&gt;"",SUMIFS(deployment!$J$4:$J$502, deployment!$D$4:$D$502,"="&amp;A5, deployment!$D$4:$D$502,"&lt;&gt;"&amp;""),"")</f>
        <v/>
      </c>
      <c r="L5" s="112" t="str">
        <f>IF(A5&lt;&gt;"",SUMIFS(deployment!$K$4:$K$502, deployment!$D$4:$D$502,"="&amp;A5, deployment!$D$4:$D$502,"&lt;&gt;"&amp;""),"")</f>
        <v/>
      </c>
      <c r="M5" s="97" t="str">
        <f>IF(A5&lt;&gt;"",SUMIFS(deployment!$L$4:$L$502, deployment!$D$4:$D$502,"="&amp;A5, deployment!$D$4:$D$502,"&lt;&gt;"&amp;""),"")</f>
        <v/>
      </c>
      <c r="N5" s="97" t="str">
        <f>IF(A5&lt;&gt;"",SUMIFS(deployment!$M$4:$M$502, deployment!$D$4:$D$502,"="&amp;A5, deployment!$D$4:$D$502,"&lt;&gt;"&amp;""),"")</f>
        <v/>
      </c>
      <c r="O5" s="127" t="str">
        <f t="shared" ref="O5:O68" si="11">IF(A5&lt;&gt;"",MAX(ROUNDUP(K5/(B5*$B$2), 0), ROUNDUP(L5/(C5*$C$2), 0), ROUNDUP(M5/(B5*$B$2), 0), ROUNDUP(N5/(C5*$C$2), 0), 1),"")</f>
        <v/>
      </c>
      <c r="P5" s="98"/>
      <c r="Q5" s="99" t="str">
        <f t="shared" si="0"/>
        <v/>
      </c>
      <c r="R5" s="100" t="str">
        <f t="shared" si="1"/>
        <v/>
      </c>
      <c r="S5" s="100" t="str">
        <f t="shared" si="2"/>
        <v/>
      </c>
      <c r="T5" s="101" t="str">
        <f t="shared" si="3"/>
        <v/>
      </c>
      <c r="U5" s="101" t="str">
        <f t="shared" si="4"/>
        <v/>
      </c>
      <c r="V5" s="128" t="str">
        <f t="shared" si="5"/>
        <v/>
      </c>
      <c r="W5" s="128" t="str">
        <f t="shared" si="6"/>
        <v/>
      </c>
      <c r="X5" s="101" t="str">
        <f t="shared" si="7"/>
        <v/>
      </c>
      <c r="Y5" s="101" t="str">
        <f t="shared" si="8"/>
        <v/>
      </c>
      <c r="Z5" s="102" t="str">
        <f t="shared" si="9"/>
        <v/>
      </c>
      <c r="AA5" s="103" t="str">
        <f t="shared" si="10"/>
        <v/>
      </c>
      <c r="AB5" s="142" t="str">
        <f>IF(A5&lt;&gt;"", SUMIFS(node!$J$2:$J$500, node!$C$2:$C$500,"="&amp;A5)/P5, "")</f>
        <v/>
      </c>
      <c r="AC5" s="134" t="str">
        <f>IF(A5&lt;&gt;"", SUMIFS(node!$K$2:$K$500, node!$C$2:$C$500,"="&amp;A5)/P5, "")</f>
        <v/>
      </c>
      <c r="AD5" s="135" t="str">
        <f>IF(A5&lt;&gt;"", SUMIFS(node!$L$2:$L$500, node!$C$2:$C$500,"="&amp;A5), "")</f>
        <v/>
      </c>
      <c r="AE5" s="145" t="str">
        <f>IF(A5&lt;&gt;"", SUMIFS(node!$M$2:$M$500, node!$C$2:$C$500,"="&amp;A5), "")</f>
        <v/>
      </c>
    </row>
    <row r="6" spans="1:37" ht="15.75" x14ac:dyDescent="0.25">
      <c r="A6" s="119"/>
      <c r="B6" s="116" t="str">
        <f>IF(A6&lt;&gt;"", VLOOKUP(A6, node!$C$2:$D$500, 2, FALSE), "")</f>
        <v/>
      </c>
      <c r="C6" s="117" t="str">
        <f>IF(A6&lt;&gt;"", VLOOKUP(A6, node!$C$2:$E$500, 3, FALSE), "")</f>
        <v/>
      </c>
      <c r="D6" s="118" t="str">
        <f>IF(A6&lt;&gt;"",COUNTIFS(node!$C$2:$C$500,"="&amp;A6, node!$C$2:$C$500,"&lt;&gt;"&amp;""),"")</f>
        <v/>
      </c>
      <c r="E6" s="122" t="str">
        <f>IF(A6&lt;&gt;"",SUMIFS(node!$F$2:$F$500, node!$C$2:$C$500,"="&amp;A6, node!$C$2:$C$500,"&lt;&gt;"&amp;"")/(B6*D6),"")</f>
        <v/>
      </c>
      <c r="F6" s="124" t="str">
        <f>IF(A6&lt;&gt;"",SUMIFS(node!$H$2:$H$500, node!$C$2:$C$500,"="&amp;A6, node!$C$2:$C$500,"&lt;&gt;"&amp;"")/(C6*D6),"")</f>
        <v/>
      </c>
      <c r="G6" s="93" t="str">
        <f>IF(A6&lt;&gt;"",SUMIFS(deployment!$F$4:$F$502, deployment!$D$4:$D$502,"="&amp;A6, deployment!$D$4:$D$502,"&lt;&gt;"&amp;""),"")</f>
        <v/>
      </c>
      <c r="H6" s="94" t="str">
        <f>IF(A6&lt;&gt;"",SUMIFS(deployment!$G$4:$G$502, deployment!$D$4:$D$502,"="&amp;A6, deployment!$D$4:$D$502,"&lt;&gt;"&amp;""),"")</f>
        <v/>
      </c>
      <c r="I6" s="95" t="str">
        <f>IF(A6&lt;&gt;"",SUMIFS(deployment!$H$4:$H$502, deployment!$D$4:$D$502,"="&amp;A6, deployment!$D$4:$D$502,"&lt;&gt;"&amp;""),"")</f>
        <v/>
      </c>
      <c r="J6" s="96" t="str">
        <f>IF(A6&lt;&gt;"",SUMIFS(deployment!$I$4:$I$502, deployment!$D$4:$D$502,"="&amp;A6, deployment!$D$4:$D$502,"&lt;&gt;"&amp;""),"")</f>
        <v/>
      </c>
      <c r="K6" s="112" t="str">
        <f>IF(A6&lt;&gt;"",SUMIFS(deployment!$J$4:$J$502, deployment!$D$4:$D$502,"="&amp;A6, deployment!$D$4:$D$502,"&lt;&gt;"&amp;""),"")</f>
        <v/>
      </c>
      <c r="L6" s="112" t="str">
        <f>IF(A6&lt;&gt;"",SUMIFS(deployment!$K$4:$K$502, deployment!$D$4:$D$502,"="&amp;A6, deployment!$D$4:$D$502,"&lt;&gt;"&amp;""),"")</f>
        <v/>
      </c>
      <c r="M6" s="97" t="str">
        <f>IF(A6&lt;&gt;"",SUMIFS(deployment!$L$4:$L$502, deployment!$D$4:$D$502,"="&amp;A6, deployment!$D$4:$D$502,"&lt;&gt;"&amp;""),"")</f>
        <v/>
      </c>
      <c r="N6" s="97" t="str">
        <f>IF(A6&lt;&gt;"",SUMIFS(deployment!$M$4:$M$502, deployment!$D$4:$D$502,"="&amp;A6, deployment!$D$4:$D$502,"&lt;&gt;"&amp;""),"")</f>
        <v/>
      </c>
      <c r="O6" s="127" t="str">
        <f t="shared" si="11"/>
        <v/>
      </c>
      <c r="P6" s="98"/>
      <c r="Q6" s="99" t="str">
        <f t="shared" si="0"/>
        <v/>
      </c>
      <c r="R6" s="100" t="str">
        <f t="shared" si="1"/>
        <v/>
      </c>
      <c r="S6" s="100" t="str">
        <f t="shared" si="2"/>
        <v/>
      </c>
      <c r="T6" s="101" t="str">
        <f t="shared" si="3"/>
        <v/>
      </c>
      <c r="U6" s="101" t="str">
        <f t="shared" si="4"/>
        <v/>
      </c>
      <c r="V6" s="128" t="str">
        <f t="shared" si="5"/>
        <v/>
      </c>
      <c r="W6" s="128" t="str">
        <f t="shared" si="6"/>
        <v/>
      </c>
      <c r="X6" s="101" t="str">
        <f t="shared" si="7"/>
        <v/>
      </c>
      <c r="Y6" s="101" t="str">
        <f t="shared" si="8"/>
        <v/>
      </c>
      <c r="Z6" s="102" t="str">
        <f t="shared" si="9"/>
        <v/>
      </c>
      <c r="AA6" s="103" t="str">
        <f t="shared" si="10"/>
        <v/>
      </c>
      <c r="AB6" s="142" t="str">
        <f>IF(A6&lt;&gt;"", SUMIFS(node!$J$2:$J$500, node!$C$2:$C$500,"="&amp;A6)/P6, "")</f>
        <v/>
      </c>
      <c r="AC6" s="134" t="str">
        <f>IF(A6&lt;&gt;"", SUMIFS(node!$K$2:$K$500, node!$C$2:$C$500,"="&amp;A6)/P6, "")</f>
        <v/>
      </c>
      <c r="AD6" s="135" t="str">
        <f>IF(A6&lt;&gt;"", SUMIFS(node!$L$2:$L$500, node!$C$2:$C$500,"="&amp;A6), "")</f>
        <v/>
      </c>
      <c r="AE6" s="145" t="str">
        <f>IF(A6&lt;&gt;"", SUMIFS(node!$M$2:$M$500, node!$C$2:$C$500,"="&amp;A6), "")</f>
        <v/>
      </c>
    </row>
    <row r="7" spans="1:37" ht="15.75" x14ac:dyDescent="0.25">
      <c r="A7" s="119"/>
      <c r="B7" s="116" t="str">
        <f>IF(A7&lt;&gt;"", VLOOKUP(A7, node!$C$2:$D$500, 2, FALSE), "")</f>
        <v/>
      </c>
      <c r="C7" s="117" t="str">
        <f>IF(A7&lt;&gt;"", VLOOKUP(A7, node!$C$2:$E$500, 3, FALSE), "")</f>
        <v/>
      </c>
      <c r="D7" s="118" t="str">
        <f>IF(A7&lt;&gt;"",COUNTIFS(node!$C$2:$C$500,"="&amp;A7, node!$C$2:$C$500,"&lt;&gt;"&amp;""),"")</f>
        <v/>
      </c>
      <c r="E7" s="122" t="str">
        <f>IF(A7&lt;&gt;"",SUMIFS(node!$F$2:$F$500, node!$C$2:$C$500,"="&amp;A7, node!$C$2:$C$500,"&lt;&gt;"&amp;"")/(B7*D7),"")</f>
        <v/>
      </c>
      <c r="F7" s="124" t="str">
        <f>IF(A7&lt;&gt;"",SUMIFS(node!$H$2:$H$500, node!$C$2:$C$500,"="&amp;A7, node!$C$2:$C$500,"&lt;&gt;"&amp;"")/(C7*D7),"")</f>
        <v/>
      </c>
      <c r="G7" s="93" t="str">
        <f>IF(A7&lt;&gt;"",SUMIFS(deployment!$F$4:$F$502, deployment!$D$4:$D$502,"="&amp;A7, deployment!$D$4:$D$502,"&lt;&gt;"&amp;""),"")</f>
        <v/>
      </c>
      <c r="H7" s="94" t="str">
        <f>IF(A7&lt;&gt;"",SUMIFS(deployment!$G$4:$G$502, deployment!$D$4:$D$502,"="&amp;A7, deployment!$D$4:$D$502,"&lt;&gt;"&amp;""),"")</f>
        <v/>
      </c>
      <c r="I7" s="95" t="str">
        <f>IF(A7&lt;&gt;"",SUMIFS(deployment!$H$4:$H$502, deployment!$D$4:$D$502,"="&amp;A7, deployment!$D$4:$D$502,"&lt;&gt;"&amp;""),"")</f>
        <v/>
      </c>
      <c r="J7" s="96" t="str">
        <f>IF(A7&lt;&gt;"",SUMIFS(deployment!$I$4:$I$502, deployment!$D$4:$D$502,"="&amp;A7, deployment!$D$4:$D$502,"&lt;&gt;"&amp;""),"")</f>
        <v/>
      </c>
      <c r="K7" s="112" t="str">
        <f>IF(A7&lt;&gt;"",SUMIFS(deployment!$J$4:$J$502, deployment!$D$4:$D$502,"="&amp;A7, deployment!$D$4:$D$502,"&lt;&gt;"&amp;""),"")</f>
        <v/>
      </c>
      <c r="L7" s="112" t="str">
        <f>IF(A7&lt;&gt;"",SUMIFS(deployment!$K$4:$K$502, deployment!$D$4:$D$502,"="&amp;A7, deployment!$D$4:$D$502,"&lt;&gt;"&amp;""),"")</f>
        <v/>
      </c>
      <c r="M7" s="97" t="str">
        <f>IF(A7&lt;&gt;"",SUMIFS(deployment!$L$4:$L$502, deployment!$D$4:$D$502,"="&amp;A7, deployment!$D$4:$D$502,"&lt;&gt;"&amp;""),"")</f>
        <v/>
      </c>
      <c r="N7" s="97" t="str">
        <f>IF(A7&lt;&gt;"",SUMIFS(deployment!$M$4:$M$502, deployment!$D$4:$D$502,"="&amp;A7, deployment!$D$4:$D$502,"&lt;&gt;"&amp;""),"")</f>
        <v/>
      </c>
      <c r="O7" s="127" t="str">
        <f t="shared" si="11"/>
        <v/>
      </c>
      <c r="P7" s="98"/>
      <c r="Q7" s="99" t="str">
        <f t="shared" si="0"/>
        <v/>
      </c>
      <c r="R7" s="100" t="str">
        <f t="shared" si="1"/>
        <v/>
      </c>
      <c r="S7" s="100" t="str">
        <f t="shared" si="2"/>
        <v/>
      </c>
      <c r="T7" s="101" t="str">
        <f t="shared" si="3"/>
        <v/>
      </c>
      <c r="U7" s="101" t="str">
        <f t="shared" si="4"/>
        <v/>
      </c>
      <c r="V7" s="128" t="str">
        <f t="shared" si="5"/>
        <v/>
      </c>
      <c r="W7" s="128" t="str">
        <f t="shared" si="6"/>
        <v/>
      </c>
      <c r="X7" s="101" t="str">
        <f t="shared" si="7"/>
        <v/>
      </c>
      <c r="Y7" s="101" t="str">
        <f t="shared" si="8"/>
        <v/>
      </c>
      <c r="Z7" s="102" t="str">
        <f t="shared" si="9"/>
        <v/>
      </c>
      <c r="AA7" s="103" t="str">
        <f t="shared" si="10"/>
        <v/>
      </c>
      <c r="AB7" s="142" t="str">
        <f>IF(A7&lt;&gt;"", SUMIFS(node!$J$2:$J$500, node!$C$2:$C$500,"="&amp;A7)/P7, "")</f>
        <v/>
      </c>
      <c r="AC7" s="134" t="str">
        <f>IF(A7&lt;&gt;"", SUMIFS(node!$K$2:$K$500, node!$C$2:$C$500,"="&amp;A7)/P7, "")</f>
        <v/>
      </c>
      <c r="AD7" s="135" t="str">
        <f>IF(A7&lt;&gt;"", SUMIFS(node!$L$2:$L$500, node!$C$2:$C$500,"="&amp;A7), "")</f>
        <v/>
      </c>
      <c r="AE7" s="145" t="str">
        <f>IF(A7&lt;&gt;"", SUMIFS(node!$M$2:$M$500, node!$C$2:$C$500,"="&amp;A7), "")</f>
        <v/>
      </c>
    </row>
    <row r="8" spans="1:37" ht="15.75" x14ac:dyDescent="0.25">
      <c r="A8" s="119"/>
      <c r="B8" s="116" t="str">
        <f>IF(A8&lt;&gt;"", VLOOKUP(A8, node!$C$2:$D$500, 2, FALSE), "")</f>
        <v/>
      </c>
      <c r="C8" s="117" t="str">
        <f>IF(A8&lt;&gt;"", VLOOKUP(A8, node!$C$2:$E$500, 3, FALSE), "")</f>
        <v/>
      </c>
      <c r="D8" s="118" t="str">
        <f>IF(A8&lt;&gt;"",COUNTIFS(node!$C$2:$C$500,"="&amp;A8, node!$C$2:$C$500,"&lt;&gt;"&amp;""),"")</f>
        <v/>
      </c>
      <c r="E8" s="122" t="str">
        <f>IF(A8&lt;&gt;"",SUMIFS(node!$F$2:$F$500, node!$C$2:$C$500,"="&amp;A8, node!$C$2:$C$500,"&lt;&gt;"&amp;"")/(B8*D8),"")</f>
        <v/>
      </c>
      <c r="F8" s="124" t="str">
        <f>IF(A8&lt;&gt;"",SUMIFS(node!$H$2:$H$500, node!$C$2:$C$500,"="&amp;A8, node!$C$2:$C$500,"&lt;&gt;"&amp;"")/(C8*D8),"")</f>
        <v/>
      </c>
      <c r="G8" s="93" t="str">
        <f>IF(A8&lt;&gt;"",SUMIFS(deployment!$F$4:$F$502, deployment!$D$4:$D$502,"="&amp;A8, deployment!$D$4:$D$502,"&lt;&gt;"&amp;""),"")</f>
        <v/>
      </c>
      <c r="H8" s="94" t="str">
        <f>IF(A8&lt;&gt;"",SUMIFS(deployment!$G$4:$G$502, deployment!$D$4:$D$502,"="&amp;A8, deployment!$D$4:$D$502,"&lt;&gt;"&amp;""),"")</f>
        <v/>
      </c>
      <c r="I8" s="95" t="str">
        <f>IF(A8&lt;&gt;"",SUMIFS(deployment!$H$4:$H$502, deployment!$D$4:$D$502,"="&amp;A8, deployment!$D$4:$D$502,"&lt;&gt;"&amp;""),"")</f>
        <v/>
      </c>
      <c r="J8" s="96" t="str">
        <f>IF(A8&lt;&gt;"",SUMIFS(deployment!$I$4:$I$502, deployment!$D$4:$D$502,"="&amp;A8, deployment!$D$4:$D$502,"&lt;&gt;"&amp;""),"")</f>
        <v/>
      </c>
      <c r="K8" s="112" t="str">
        <f>IF(A8&lt;&gt;"",SUMIFS(deployment!$J$4:$J$502, deployment!$D$4:$D$502,"="&amp;A8, deployment!$D$4:$D$502,"&lt;&gt;"&amp;""),"")</f>
        <v/>
      </c>
      <c r="L8" s="112" t="str">
        <f>IF(A8&lt;&gt;"",SUMIFS(deployment!$K$4:$K$502, deployment!$D$4:$D$502,"="&amp;A8, deployment!$D$4:$D$502,"&lt;&gt;"&amp;""),"")</f>
        <v/>
      </c>
      <c r="M8" s="97" t="str">
        <f>IF(A8&lt;&gt;"",SUMIFS(deployment!$L$4:$L$502, deployment!$D$4:$D$502,"="&amp;A8, deployment!$D$4:$D$502,"&lt;&gt;"&amp;""),"")</f>
        <v/>
      </c>
      <c r="N8" s="97" t="str">
        <f>IF(A8&lt;&gt;"",SUMIFS(deployment!$M$4:$M$502, deployment!$D$4:$D$502,"="&amp;A8, deployment!$D$4:$D$502,"&lt;&gt;"&amp;""),"")</f>
        <v/>
      </c>
      <c r="O8" s="127" t="str">
        <f t="shared" si="11"/>
        <v/>
      </c>
      <c r="P8" s="98"/>
      <c r="Q8" s="99" t="str">
        <f t="shared" si="0"/>
        <v/>
      </c>
      <c r="R8" s="100" t="str">
        <f t="shared" si="1"/>
        <v/>
      </c>
      <c r="S8" s="100" t="str">
        <f t="shared" si="2"/>
        <v/>
      </c>
      <c r="T8" s="101" t="str">
        <f t="shared" si="3"/>
        <v/>
      </c>
      <c r="U8" s="101" t="str">
        <f t="shared" si="4"/>
        <v/>
      </c>
      <c r="V8" s="128" t="str">
        <f t="shared" si="5"/>
        <v/>
      </c>
      <c r="W8" s="128" t="str">
        <f t="shared" si="6"/>
        <v/>
      </c>
      <c r="X8" s="101" t="str">
        <f t="shared" si="7"/>
        <v/>
      </c>
      <c r="Y8" s="101" t="str">
        <f t="shared" si="8"/>
        <v/>
      </c>
      <c r="Z8" s="102" t="str">
        <f t="shared" si="9"/>
        <v/>
      </c>
      <c r="AA8" s="103" t="str">
        <f t="shared" si="10"/>
        <v/>
      </c>
      <c r="AB8" s="142" t="str">
        <f>IF(A8&lt;&gt;"", SUMIFS(node!$J$2:$J$500, node!$C$2:$C$500,"="&amp;A8)/P8, "")</f>
        <v/>
      </c>
      <c r="AC8" s="134" t="str">
        <f>IF(A8&lt;&gt;"", SUMIFS(node!$K$2:$K$500, node!$C$2:$C$500,"="&amp;A8)/P8, "")</f>
        <v/>
      </c>
      <c r="AD8" s="135" t="str">
        <f>IF(A8&lt;&gt;"", SUMIFS(node!$L$2:$L$500, node!$C$2:$C$500,"="&amp;A8), "")</f>
        <v/>
      </c>
      <c r="AE8" s="145" t="str">
        <f>IF(A8&lt;&gt;"", SUMIFS(node!$M$2:$M$500, node!$C$2:$C$500,"="&amp;A8), "")</f>
        <v/>
      </c>
    </row>
    <row r="9" spans="1:37" ht="15.75" x14ac:dyDescent="0.25">
      <c r="A9" s="119"/>
      <c r="B9" s="116" t="str">
        <f>IF(A9&lt;&gt;"", VLOOKUP(A9, node!$C$2:$D$500, 2, FALSE), "")</f>
        <v/>
      </c>
      <c r="C9" s="117" t="str">
        <f>IF(A9&lt;&gt;"", VLOOKUP(A9, node!$C$2:$E$500, 3, FALSE), "")</f>
        <v/>
      </c>
      <c r="D9" s="118" t="str">
        <f>IF(A9&lt;&gt;"",COUNTIFS(node!$C$2:$C$500,"="&amp;A9, node!$C$2:$C$500,"&lt;&gt;"&amp;""),"")</f>
        <v/>
      </c>
      <c r="E9" s="122" t="str">
        <f>IF(A9&lt;&gt;"",SUMIFS(node!$F$2:$F$500, node!$C$2:$C$500,"="&amp;A9, node!$C$2:$C$500,"&lt;&gt;"&amp;"")/(B9*D9),"")</f>
        <v/>
      </c>
      <c r="F9" s="124" t="str">
        <f>IF(A9&lt;&gt;"",SUMIFS(node!$H$2:$H$500, node!$C$2:$C$500,"="&amp;A9, node!$C$2:$C$500,"&lt;&gt;"&amp;"")/(C9*D9),"")</f>
        <v/>
      </c>
      <c r="G9" s="93" t="str">
        <f>IF(A9&lt;&gt;"",SUMIFS(deployment!$F$4:$F$502, deployment!$D$4:$D$502,"="&amp;A9, deployment!$D$4:$D$502,"&lt;&gt;"&amp;""),"")</f>
        <v/>
      </c>
      <c r="H9" s="94" t="str">
        <f>IF(A9&lt;&gt;"",SUMIFS(deployment!$G$4:$G$502, deployment!$D$4:$D$502,"="&amp;A9, deployment!$D$4:$D$502,"&lt;&gt;"&amp;""),"")</f>
        <v/>
      </c>
      <c r="I9" s="95" t="str">
        <f>IF(A9&lt;&gt;"",SUMIFS(deployment!$H$4:$H$502, deployment!$D$4:$D$502,"="&amp;A9, deployment!$D$4:$D$502,"&lt;&gt;"&amp;""),"")</f>
        <v/>
      </c>
      <c r="J9" s="96" t="str">
        <f>IF(A9&lt;&gt;"",SUMIFS(deployment!$I$4:$I$502, deployment!$D$4:$D$502,"="&amp;A9, deployment!$D$4:$D$502,"&lt;&gt;"&amp;""),"")</f>
        <v/>
      </c>
      <c r="K9" s="112" t="str">
        <f>IF(A9&lt;&gt;"",SUMIFS(deployment!$J$4:$J$502, deployment!$D$4:$D$502,"="&amp;A9, deployment!$D$4:$D$502,"&lt;&gt;"&amp;""),"")</f>
        <v/>
      </c>
      <c r="L9" s="112" t="str">
        <f>IF(A9&lt;&gt;"",SUMIFS(deployment!$K$4:$K$502, deployment!$D$4:$D$502,"="&amp;A9, deployment!$D$4:$D$502,"&lt;&gt;"&amp;""),"")</f>
        <v/>
      </c>
      <c r="M9" s="97" t="str">
        <f>IF(A9&lt;&gt;"",SUMIFS(deployment!$L$4:$L$502, deployment!$D$4:$D$502,"="&amp;A9, deployment!$D$4:$D$502,"&lt;&gt;"&amp;""),"")</f>
        <v/>
      </c>
      <c r="N9" s="97" t="str">
        <f>IF(A9&lt;&gt;"",SUMIFS(deployment!$M$4:$M$502, deployment!$D$4:$D$502,"="&amp;A9, deployment!$D$4:$D$502,"&lt;&gt;"&amp;""),"")</f>
        <v/>
      </c>
      <c r="O9" s="127" t="str">
        <f t="shared" si="11"/>
        <v/>
      </c>
      <c r="P9" s="98"/>
      <c r="Q9" s="99" t="str">
        <f t="shared" si="0"/>
        <v/>
      </c>
      <c r="R9" s="100" t="str">
        <f t="shared" si="1"/>
        <v/>
      </c>
      <c r="S9" s="100" t="str">
        <f t="shared" si="2"/>
        <v/>
      </c>
      <c r="T9" s="101" t="str">
        <f t="shared" si="3"/>
        <v/>
      </c>
      <c r="U9" s="101" t="str">
        <f t="shared" si="4"/>
        <v/>
      </c>
      <c r="V9" s="128" t="str">
        <f t="shared" si="5"/>
        <v/>
      </c>
      <c r="W9" s="128" t="str">
        <f t="shared" si="6"/>
        <v/>
      </c>
      <c r="X9" s="101" t="str">
        <f t="shared" si="7"/>
        <v/>
      </c>
      <c r="Y9" s="101" t="str">
        <f t="shared" si="8"/>
        <v/>
      </c>
      <c r="Z9" s="102" t="str">
        <f t="shared" si="9"/>
        <v/>
      </c>
      <c r="AA9" s="103" t="str">
        <f t="shared" si="10"/>
        <v/>
      </c>
      <c r="AB9" s="142" t="str">
        <f>IF(A9&lt;&gt;"", SUMIFS(node!$J$2:$J$500, node!$C$2:$C$500,"="&amp;A9)/P9, "")</f>
        <v/>
      </c>
      <c r="AC9" s="134" t="str">
        <f>IF(A9&lt;&gt;"", SUMIFS(node!$K$2:$K$500, node!$C$2:$C$500,"="&amp;A9)/P9, "")</f>
        <v/>
      </c>
      <c r="AD9" s="135" t="str">
        <f>IF(A9&lt;&gt;"", SUMIFS(node!$L$2:$L$500, node!$C$2:$C$500,"="&amp;A9), "")</f>
        <v/>
      </c>
      <c r="AE9" s="145" t="str">
        <f>IF(A9&lt;&gt;"", SUMIFS(node!$M$2:$M$500, node!$C$2:$C$500,"="&amp;A9), "")</f>
        <v/>
      </c>
    </row>
    <row r="10" spans="1:37" ht="15.75" x14ac:dyDescent="0.25">
      <c r="A10" s="119"/>
      <c r="B10" s="116" t="str">
        <f>IF(A10&lt;&gt;"", VLOOKUP(A10, node!$C$2:$D$500, 2, FALSE), "")</f>
        <v/>
      </c>
      <c r="C10" s="117" t="str">
        <f>IF(A10&lt;&gt;"", VLOOKUP(A10, node!$C$2:$E$500, 3, FALSE), "")</f>
        <v/>
      </c>
      <c r="D10" s="118" t="str">
        <f>IF(A10&lt;&gt;"",COUNTIFS(node!$C$2:$C$500,"="&amp;A10, node!$C$2:$C$500,"&lt;&gt;"&amp;""),"")</f>
        <v/>
      </c>
      <c r="E10" s="122" t="str">
        <f>IF(A10&lt;&gt;"",SUMIFS(node!$F$2:$F$500, node!$C$2:$C$500,"="&amp;A10, node!$C$2:$C$500,"&lt;&gt;"&amp;"")/(B10*D10),"")</f>
        <v/>
      </c>
      <c r="F10" s="124" t="str">
        <f>IF(A10&lt;&gt;"",SUMIFS(node!$H$2:$H$500, node!$C$2:$C$500,"="&amp;A10, node!$C$2:$C$500,"&lt;&gt;"&amp;"")/(C10*D10),"")</f>
        <v/>
      </c>
      <c r="G10" s="93" t="str">
        <f>IF(A10&lt;&gt;"",SUMIFS(deployment!$F$4:$F$502, deployment!$D$4:$D$502,"="&amp;A10, deployment!$D$4:$D$502,"&lt;&gt;"&amp;""),"")</f>
        <v/>
      </c>
      <c r="H10" s="94" t="str">
        <f>IF(A10&lt;&gt;"",SUMIFS(deployment!$G$4:$G$502, deployment!$D$4:$D$502,"="&amp;A10, deployment!$D$4:$D$502,"&lt;&gt;"&amp;""),"")</f>
        <v/>
      </c>
      <c r="I10" s="95" t="str">
        <f>IF(A10&lt;&gt;"",SUMIFS(deployment!$H$4:$H$502, deployment!$D$4:$D$502,"="&amp;A10, deployment!$D$4:$D$502,"&lt;&gt;"&amp;""),"")</f>
        <v/>
      </c>
      <c r="J10" s="96" t="str">
        <f>IF(A10&lt;&gt;"",SUMIFS(deployment!$I$4:$I$502, deployment!$D$4:$D$502,"="&amp;A10, deployment!$D$4:$D$502,"&lt;&gt;"&amp;""),"")</f>
        <v/>
      </c>
      <c r="K10" s="112" t="str">
        <f>IF(A10&lt;&gt;"",SUMIFS(deployment!$J$4:$J$502, deployment!$D$4:$D$502,"="&amp;A10, deployment!$D$4:$D$502,"&lt;&gt;"&amp;""),"")</f>
        <v/>
      </c>
      <c r="L10" s="112" t="str">
        <f>IF(A10&lt;&gt;"",SUMIFS(deployment!$K$4:$K$502, deployment!$D$4:$D$502,"="&amp;A10, deployment!$D$4:$D$502,"&lt;&gt;"&amp;""),"")</f>
        <v/>
      </c>
      <c r="M10" s="97" t="str">
        <f>IF(A10&lt;&gt;"",SUMIFS(deployment!$L$4:$L$502, deployment!$D$4:$D$502,"="&amp;A10, deployment!$D$4:$D$502,"&lt;&gt;"&amp;""),"")</f>
        <v/>
      </c>
      <c r="N10" s="97" t="str">
        <f>IF(A10&lt;&gt;"",SUMIFS(deployment!$M$4:$M$502, deployment!$D$4:$D$502,"="&amp;A10, deployment!$D$4:$D$502,"&lt;&gt;"&amp;""),"")</f>
        <v/>
      </c>
      <c r="O10" s="127" t="str">
        <f t="shared" si="11"/>
        <v/>
      </c>
      <c r="P10" s="98"/>
      <c r="Q10" s="99" t="str">
        <f t="shared" si="0"/>
        <v/>
      </c>
      <c r="R10" s="100" t="str">
        <f t="shared" si="1"/>
        <v/>
      </c>
      <c r="S10" s="100" t="str">
        <f t="shared" si="2"/>
        <v/>
      </c>
      <c r="T10" s="101" t="str">
        <f t="shared" si="3"/>
        <v/>
      </c>
      <c r="U10" s="101" t="str">
        <f t="shared" si="4"/>
        <v/>
      </c>
      <c r="V10" s="128" t="str">
        <f t="shared" si="5"/>
        <v/>
      </c>
      <c r="W10" s="128" t="str">
        <f t="shared" si="6"/>
        <v/>
      </c>
      <c r="X10" s="101" t="str">
        <f t="shared" si="7"/>
        <v/>
      </c>
      <c r="Y10" s="101" t="str">
        <f t="shared" si="8"/>
        <v/>
      </c>
      <c r="Z10" s="102" t="str">
        <f t="shared" si="9"/>
        <v/>
      </c>
      <c r="AA10" s="103" t="str">
        <f t="shared" si="10"/>
        <v/>
      </c>
      <c r="AB10" s="142" t="str">
        <f>IF(A10&lt;&gt;"", SUMIFS(node!$J$2:$J$500, node!$C$2:$C$500,"="&amp;A10)/P10, "")</f>
        <v/>
      </c>
      <c r="AC10" s="134" t="str">
        <f>IF(A10&lt;&gt;"", SUMIFS(node!$K$2:$K$500, node!$C$2:$C$500,"="&amp;A10)/P10, "")</f>
        <v/>
      </c>
      <c r="AD10" s="135" t="str">
        <f>IF(A10&lt;&gt;"", SUMIFS(node!$L$2:$L$500, node!$C$2:$C$500,"="&amp;A10), "")</f>
        <v/>
      </c>
      <c r="AE10" s="145" t="str">
        <f>IF(A10&lt;&gt;"", SUMIFS(node!$M$2:$M$500, node!$C$2:$C$500,"="&amp;A10), "")</f>
        <v/>
      </c>
    </row>
    <row r="11" spans="1:37" s="7" customFormat="1" ht="15.75" x14ac:dyDescent="0.25">
      <c r="A11" s="119"/>
      <c r="B11" s="116" t="str">
        <f>IF(A11&lt;&gt;"", VLOOKUP(A11, node!$C$2:$D$500, 2, FALSE), "")</f>
        <v/>
      </c>
      <c r="C11" s="117" t="str">
        <f>IF(A11&lt;&gt;"", VLOOKUP(A11, node!$C$2:$E$500, 3, FALSE), "")</f>
        <v/>
      </c>
      <c r="D11" s="118" t="str">
        <f>IF(A11&lt;&gt;"",COUNTIFS(node!$C$2:$C$500,"="&amp;A11, node!$C$2:$C$500,"&lt;&gt;"&amp;""),"")</f>
        <v/>
      </c>
      <c r="E11" s="122" t="str">
        <f>IF(A11&lt;&gt;"",SUMIFS(node!$F$2:$F$500, node!$C$2:$C$500,"="&amp;A11, node!$C$2:$C$500,"&lt;&gt;"&amp;"")/(B11*D11),"")</f>
        <v/>
      </c>
      <c r="F11" s="124" t="str">
        <f>IF(A11&lt;&gt;"",SUMIFS(node!$H$2:$H$500, node!$C$2:$C$500,"="&amp;A11, node!$C$2:$C$500,"&lt;&gt;"&amp;"")/(C11*D11),"")</f>
        <v/>
      </c>
      <c r="G11" s="93" t="str">
        <f>IF(A11&lt;&gt;"",SUMIFS(deployment!$F$4:$F$502, deployment!$D$4:$D$502,"="&amp;A11, deployment!$D$4:$D$502,"&lt;&gt;"&amp;""),"")</f>
        <v/>
      </c>
      <c r="H11" s="94" t="str">
        <f>IF(A11&lt;&gt;"",SUMIFS(deployment!$G$4:$G$502, deployment!$D$4:$D$502,"="&amp;A11, deployment!$D$4:$D$502,"&lt;&gt;"&amp;""),"")</f>
        <v/>
      </c>
      <c r="I11" s="95" t="str">
        <f>IF(A11&lt;&gt;"",SUMIFS(deployment!$H$4:$H$502, deployment!$D$4:$D$502,"="&amp;A11, deployment!$D$4:$D$502,"&lt;&gt;"&amp;""),"")</f>
        <v/>
      </c>
      <c r="J11" s="96" t="str">
        <f>IF(A11&lt;&gt;"",SUMIFS(deployment!$I$4:$I$502, deployment!$D$4:$D$502,"="&amp;A11, deployment!$D$4:$D$502,"&lt;&gt;"&amp;""),"")</f>
        <v/>
      </c>
      <c r="K11" s="112" t="str">
        <f>IF(A11&lt;&gt;"",SUMIFS(deployment!$J$4:$J$502, deployment!$D$4:$D$502,"="&amp;A11, deployment!$D$4:$D$502,"&lt;&gt;"&amp;""),"")</f>
        <v/>
      </c>
      <c r="L11" s="112" t="str">
        <f>IF(A11&lt;&gt;"",SUMIFS(deployment!$K$4:$K$502, deployment!$D$4:$D$502,"="&amp;A11, deployment!$D$4:$D$502,"&lt;&gt;"&amp;""),"")</f>
        <v/>
      </c>
      <c r="M11" s="97" t="str">
        <f>IF(A11&lt;&gt;"",SUMIFS(deployment!$L$4:$L$502, deployment!$D$4:$D$502,"="&amp;A11, deployment!$D$4:$D$502,"&lt;&gt;"&amp;""),"")</f>
        <v/>
      </c>
      <c r="N11" s="97" t="str">
        <f>IF(A11&lt;&gt;"",SUMIFS(deployment!$M$4:$M$502, deployment!$D$4:$D$502,"="&amp;A11, deployment!$D$4:$D$502,"&lt;&gt;"&amp;""),"")</f>
        <v/>
      </c>
      <c r="O11" s="127" t="str">
        <f t="shared" si="11"/>
        <v/>
      </c>
      <c r="P11" s="98"/>
      <c r="Q11" s="99" t="str">
        <f t="shared" si="0"/>
        <v/>
      </c>
      <c r="R11" s="100" t="str">
        <f t="shared" si="1"/>
        <v/>
      </c>
      <c r="S11" s="100" t="str">
        <f t="shared" si="2"/>
        <v/>
      </c>
      <c r="T11" s="101" t="str">
        <f t="shared" si="3"/>
        <v/>
      </c>
      <c r="U11" s="101" t="str">
        <f t="shared" si="4"/>
        <v/>
      </c>
      <c r="V11" s="128" t="str">
        <f t="shared" si="5"/>
        <v/>
      </c>
      <c r="W11" s="128" t="str">
        <f t="shared" si="6"/>
        <v/>
      </c>
      <c r="X11" s="101" t="str">
        <f t="shared" si="7"/>
        <v/>
      </c>
      <c r="Y11" s="101" t="str">
        <f t="shared" si="8"/>
        <v/>
      </c>
      <c r="Z11" s="102" t="str">
        <f t="shared" si="9"/>
        <v/>
      </c>
      <c r="AA11" s="103" t="str">
        <f t="shared" si="10"/>
        <v/>
      </c>
      <c r="AB11" s="142" t="str">
        <f>IF(A11&lt;&gt;"", SUMIFS(node!$J$2:$J$500, node!$C$2:$C$500,"="&amp;A11)/P11, "")</f>
        <v/>
      </c>
      <c r="AC11" s="134" t="str">
        <f>IF(A11&lt;&gt;"", SUMIFS(node!$K$2:$K$500, node!$C$2:$C$500,"="&amp;A11)/P11, "")</f>
        <v/>
      </c>
      <c r="AD11" s="135" t="str">
        <f>IF(A11&lt;&gt;"", SUMIFS(node!$L$2:$L$500, node!$C$2:$C$500,"="&amp;A11), "")</f>
        <v/>
      </c>
      <c r="AE11" s="145" t="str">
        <f>IF(A11&lt;&gt;"", SUMIFS(node!$M$2:$M$500, node!$C$2:$C$500,"="&amp;A11), "")</f>
        <v/>
      </c>
    </row>
    <row r="12" spans="1:37" ht="15" customHeight="1" x14ac:dyDescent="0.25">
      <c r="A12" s="119"/>
      <c r="B12" s="116" t="str">
        <f>IF(A12&lt;&gt;"", VLOOKUP(A12, node!$C$2:$D$500, 2, FALSE), "")</f>
        <v/>
      </c>
      <c r="C12" s="117" t="str">
        <f>IF(A12&lt;&gt;"", VLOOKUP(A12, node!$C$2:$E$500, 3, FALSE), "")</f>
        <v/>
      </c>
      <c r="D12" s="118" t="str">
        <f>IF(A12&lt;&gt;"",COUNTIFS(node!$C$2:$C$500,"="&amp;A12, node!$C$2:$C$500,"&lt;&gt;"&amp;""),"")</f>
        <v/>
      </c>
      <c r="E12" s="122" t="str">
        <f>IF(A12&lt;&gt;"",SUMIFS(node!$F$2:$F$500, node!$C$2:$C$500,"="&amp;A12, node!$C$2:$C$500,"&lt;&gt;"&amp;"")/(B12*D12),"")</f>
        <v/>
      </c>
      <c r="F12" s="124" t="str">
        <f>IF(A12&lt;&gt;"",SUMIFS(node!$H$2:$H$500, node!$C$2:$C$500,"="&amp;A12, node!$C$2:$C$500,"&lt;&gt;"&amp;"")/(C12*D12),"")</f>
        <v/>
      </c>
      <c r="G12" s="93" t="str">
        <f>IF(A12&lt;&gt;"",SUMIFS(deployment!$F$4:$F$502, deployment!$D$4:$D$502,"="&amp;A12, deployment!$D$4:$D$502,"&lt;&gt;"&amp;""),"")</f>
        <v/>
      </c>
      <c r="H12" s="94" t="str">
        <f>IF(A12&lt;&gt;"",SUMIFS(deployment!$G$4:$G$502, deployment!$D$4:$D$502,"="&amp;A12, deployment!$D$4:$D$502,"&lt;&gt;"&amp;""),"")</f>
        <v/>
      </c>
      <c r="I12" s="95" t="str">
        <f>IF(A12&lt;&gt;"",SUMIFS(deployment!$H$4:$H$502, deployment!$D$4:$D$502,"="&amp;A12, deployment!$D$4:$D$502,"&lt;&gt;"&amp;""),"")</f>
        <v/>
      </c>
      <c r="J12" s="96" t="str">
        <f>IF(A12&lt;&gt;"",SUMIFS(deployment!$I$4:$I$502, deployment!$D$4:$D$502,"="&amp;A12, deployment!$D$4:$D$502,"&lt;&gt;"&amp;""),"")</f>
        <v/>
      </c>
      <c r="K12" s="112" t="str">
        <f>IF(A12&lt;&gt;"",SUMIFS(deployment!$J$4:$J$502, deployment!$D$4:$D$502,"="&amp;A12, deployment!$D$4:$D$502,"&lt;&gt;"&amp;""),"")</f>
        <v/>
      </c>
      <c r="L12" s="112" t="str">
        <f>IF(A12&lt;&gt;"",SUMIFS(deployment!$K$4:$K$502, deployment!$D$4:$D$502,"="&amp;A12, deployment!$D$4:$D$502,"&lt;&gt;"&amp;""),"")</f>
        <v/>
      </c>
      <c r="M12" s="97" t="str">
        <f>IF(A12&lt;&gt;"",SUMIFS(deployment!$L$4:$L$502, deployment!$D$4:$D$502,"="&amp;A12, deployment!$D$4:$D$502,"&lt;&gt;"&amp;""),"")</f>
        <v/>
      </c>
      <c r="N12" s="97" t="str">
        <f>IF(A12&lt;&gt;"",SUMIFS(deployment!$M$4:$M$502, deployment!$D$4:$D$502,"="&amp;A12, deployment!$D$4:$D$502,"&lt;&gt;"&amp;""),"")</f>
        <v/>
      </c>
      <c r="O12" s="127" t="str">
        <f t="shared" si="11"/>
        <v/>
      </c>
      <c r="P12" s="104"/>
      <c r="Q12" s="99" t="str">
        <f t="shared" si="0"/>
        <v/>
      </c>
      <c r="R12" s="100" t="str">
        <f t="shared" si="1"/>
        <v/>
      </c>
      <c r="S12" s="100" t="str">
        <f t="shared" si="2"/>
        <v/>
      </c>
      <c r="T12" s="101" t="str">
        <f t="shared" si="3"/>
        <v/>
      </c>
      <c r="U12" s="101" t="str">
        <f t="shared" si="4"/>
        <v/>
      </c>
      <c r="V12" s="128" t="str">
        <f t="shared" si="5"/>
        <v/>
      </c>
      <c r="W12" s="128" t="str">
        <f t="shared" si="6"/>
        <v/>
      </c>
      <c r="X12" s="101" t="str">
        <f t="shared" si="7"/>
        <v/>
      </c>
      <c r="Y12" s="101" t="str">
        <f t="shared" si="8"/>
        <v/>
      </c>
      <c r="Z12" s="102" t="str">
        <f t="shared" si="9"/>
        <v/>
      </c>
      <c r="AA12" s="103" t="str">
        <f t="shared" si="10"/>
        <v/>
      </c>
      <c r="AB12" s="142" t="str">
        <f>IF(A12&lt;&gt;"", SUMIFS(node!$J$2:$J$500, node!$C$2:$C$500,"="&amp;A12)/P12, "")</f>
        <v/>
      </c>
      <c r="AC12" s="134" t="str">
        <f>IF(A12&lt;&gt;"", SUMIFS(node!$K$2:$K$500, node!$C$2:$C$500,"="&amp;A12)/P12, "")</f>
        <v/>
      </c>
      <c r="AD12" s="135" t="str">
        <f>IF(A12&lt;&gt;"", SUMIFS(node!$L$2:$L$500, node!$C$2:$C$500,"="&amp;A12), "")</f>
        <v/>
      </c>
      <c r="AE12" s="145" t="str">
        <f>IF(A12&lt;&gt;"", SUMIFS(node!$M$2:$M$500, node!$C$2:$C$500,"="&amp;A12), "")</f>
        <v/>
      </c>
    </row>
    <row r="13" spans="1:37" ht="15.75" x14ac:dyDescent="0.25">
      <c r="A13" s="119"/>
      <c r="B13" s="116" t="str">
        <f>IF(A13&lt;&gt;"", VLOOKUP(A13, node!$C$2:$D$500, 2, FALSE), "")</f>
        <v/>
      </c>
      <c r="C13" s="117" t="str">
        <f>IF(A13&lt;&gt;"", VLOOKUP(A13, node!$C$2:$E$500, 3, FALSE), "")</f>
        <v/>
      </c>
      <c r="D13" s="118" t="str">
        <f>IF(A13&lt;&gt;"",COUNTIFS(node!$C$2:$C$500,"="&amp;A13, node!$C$2:$C$500,"&lt;&gt;"&amp;""),"")</f>
        <v/>
      </c>
      <c r="E13" s="122" t="str">
        <f>IF(A13&lt;&gt;"",SUMIFS(node!$F$2:$F$500, node!$C$2:$C$500,"="&amp;A13, node!$C$2:$C$500,"&lt;&gt;"&amp;"")/(B13*D13),"")</f>
        <v/>
      </c>
      <c r="F13" s="124" t="str">
        <f>IF(A13&lt;&gt;"",SUMIFS(node!$H$2:$H$500, node!$C$2:$C$500,"="&amp;A13, node!$C$2:$C$500,"&lt;&gt;"&amp;"")/(C13*D13),"")</f>
        <v/>
      </c>
      <c r="G13" s="93" t="str">
        <f>IF(A13&lt;&gt;"",SUMIFS(deployment!$F$4:$F$502, deployment!$D$4:$D$502,"="&amp;A13, deployment!$D$4:$D$502,"&lt;&gt;"&amp;""),"")</f>
        <v/>
      </c>
      <c r="H13" s="94" t="str">
        <f>IF(A13&lt;&gt;"",SUMIFS(deployment!$G$4:$G$502, deployment!$D$4:$D$502,"="&amp;A13, deployment!$D$4:$D$502,"&lt;&gt;"&amp;""),"")</f>
        <v/>
      </c>
      <c r="I13" s="95" t="str">
        <f>IF(A13&lt;&gt;"",SUMIFS(deployment!$H$4:$H$502, deployment!$D$4:$D$502,"="&amp;A13, deployment!$D$4:$D$502,"&lt;&gt;"&amp;""),"")</f>
        <v/>
      </c>
      <c r="J13" s="96" t="str">
        <f>IF(A13&lt;&gt;"",SUMIFS(deployment!$I$4:$I$502, deployment!$D$4:$D$502,"="&amp;A13, deployment!$D$4:$D$502,"&lt;&gt;"&amp;""),"")</f>
        <v/>
      </c>
      <c r="K13" s="112" t="str">
        <f>IF(A13&lt;&gt;"",SUMIFS(deployment!$J$4:$J$502, deployment!$D$4:$D$502,"="&amp;A13, deployment!$D$4:$D$502,"&lt;&gt;"&amp;""),"")</f>
        <v/>
      </c>
      <c r="L13" s="112" t="str">
        <f>IF(A13&lt;&gt;"",SUMIFS(deployment!$K$4:$K$502, deployment!$D$4:$D$502,"="&amp;A13, deployment!$D$4:$D$502,"&lt;&gt;"&amp;""),"")</f>
        <v/>
      </c>
      <c r="M13" s="97" t="str">
        <f>IF(A13&lt;&gt;"",SUMIFS(deployment!$L$4:$L$502, deployment!$D$4:$D$502,"="&amp;A13, deployment!$D$4:$D$502,"&lt;&gt;"&amp;""),"")</f>
        <v/>
      </c>
      <c r="N13" s="97" t="str">
        <f>IF(A13&lt;&gt;"",SUMIFS(deployment!$M$4:$M$502, deployment!$D$4:$D$502,"="&amp;A13, deployment!$D$4:$D$502,"&lt;&gt;"&amp;""),"")</f>
        <v/>
      </c>
      <c r="O13" s="127" t="str">
        <f t="shared" si="11"/>
        <v/>
      </c>
      <c r="P13" s="104"/>
      <c r="Q13" s="99" t="str">
        <f t="shared" si="0"/>
        <v/>
      </c>
      <c r="R13" s="100" t="str">
        <f t="shared" si="1"/>
        <v/>
      </c>
      <c r="S13" s="100" t="str">
        <f t="shared" si="2"/>
        <v/>
      </c>
      <c r="T13" s="101" t="str">
        <f t="shared" si="3"/>
        <v/>
      </c>
      <c r="U13" s="101" t="str">
        <f t="shared" si="4"/>
        <v/>
      </c>
      <c r="V13" s="128" t="str">
        <f t="shared" si="5"/>
        <v/>
      </c>
      <c r="W13" s="128" t="str">
        <f t="shared" si="6"/>
        <v/>
      </c>
      <c r="X13" s="101" t="str">
        <f t="shared" si="7"/>
        <v/>
      </c>
      <c r="Y13" s="101" t="str">
        <f t="shared" si="8"/>
        <v/>
      </c>
      <c r="Z13" s="102" t="str">
        <f t="shared" si="9"/>
        <v/>
      </c>
      <c r="AA13" s="103" t="str">
        <f t="shared" si="10"/>
        <v/>
      </c>
      <c r="AB13" s="142" t="str">
        <f>IF(A13&lt;&gt;"", SUMIFS(node!$J$2:$J$500, node!$C$2:$C$500,"="&amp;A13)/P13, "")</f>
        <v/>
      </c>
      <c r="AC13" s="134" t="str">
        <f>IF(A13&lt;&gt;"", SUMIFS(node!$K$2:$K$500, node!$C$2:$C$500,"="&amp;A13)/P13, "")</f>
        <v/>
      </c>
      <c r="AD13" s="135" t="str">
        <f>IF(A13&lt;&gt;"", SUMIFS(node!$L$2:$L$500, node!$C$2:$C$500,"="&amp;A13), "")</f>
        <v/>
      </c>
      <c r="AE13" s="145" t="str">
        <f>IF(A13&lt;&gt;"", SUMIFS(node!$M$2:$M$500, node!$C$2:$C$500,"="&amp;A13), "")</f>
        <v/>
      </c>
    </row>
    <row r="14" spans="1:37" ht="15" customHeight="1" x14ac:dyDescent="0.25">
      <c r="A14" s="119"/>
      <c r="B14" s="116" t="str">
        <f>IF(A14&lt;&gt;"", VLOOKUP(A14, node!$C$2:$D$500, 2, FALSE), "")</f>
        <v/>
      </c>
      <c r="C14" s="117" t="str">
        <f>IF(A14&lt;&gt;"", VLOOKUP(A14, node!$C$2:$E$500, 3, FALSE), "")</f>
        <v/>
      </c>
      <c r="D14" s="118" t="str">
        <f>IF(A14&lt;&gt;"",COUNTIFS(node!$C$2:$C$500,"="&amp;A14, node!$C$2:$C$500,"&lt;&gt;"&amp;""),"")</f>
        <v/>
      </c>
      <c r="E14" s="122" t="str">
        <f>IF(A14&lt;&gt;"",SUMIFS(node!$F$2:$F$500, node!$C$2:$C$500,"="&amp;A14, node!$C$2:$C$500,"&lt;&gt;"&amp;"")/(B14*D14),"")</f>
        <v/>
      </c>
      <c r="F14" s="124" t="str">
        <f>IF(A14&lt;&gt;"",SUMIFS(node!$H$2:$H$500, node!$C$2:$C$500,"="&amp;A14, node!$C$2:$C$500,"&lt;&gt;"&amp;"")/(C14*D14),"")</f>
        <v/>
      </c>
      <c r="G14" s="93" t="str">
        <f>IF(A14&lt;&gt;"",SUMIFS(deployment!$F$4:$F$502, deployment!$D$4:$D$502,"="&amp;A14, deployment!$D$4:$D$502,"&lt;&gt;"&amp;""),"")</f>
        <v/>
      </c>
      <c r="H14" s="94" t="str">
        <f>IF(A14&lt;&gt;"",SUMIFS(deployment!$G$4:$G$502, deployment!$D$4:$D$502,"="&amp;A14, deployment!$D$4:$D$502,"&lt;&gt;"&amp;""),"")</f>
        <v/>
      </c>
      <c r="I14" s="95" t="str">
        <f>IF(A14&lt;&gt;"",SUMIFS(deployment!$H$4:$H$502, deployment!$D$4:$D$502,"="&amp;A14, deployment!$D$4:$D$502,"&lt;&gt;"&amp;""),"")</f>
        <v/>
      </c>
      <c r="J14" s="96" t="str">
        <f>IF(A14&lt;&gt;"",SUMIFS(deployment!$I$4:$I$502, deployment!$D$4:$D$502,"="&amp;A14, deployment!$D$4:$D$502,"&lt;&gt;"&amp;""),"")</f>
        <v/>
      </c>
      <c r="K14" s="112" t="str">
        <f>IF(A14&lt;&gt;"",SUMIFS(deployment!$J$4:$J$502, deployment!$D$4:$D$502,"="&amp;A14, deployment!$D$4:$D$502,"&lt;&gt;"&amp;""),"")</f>
        <v/>
      </c>
      <c r="L14" s="112" t="str">
        <f>IF(A14&lt;&gt;"",SUMIFS(deployment!$K$4:$K$502, deployment!$D$4:$D$502,"="&amp;A14, deployment!$D$4:$D$502,"&lt;&gt;"&amp;""),"")</f>
        <v/>
      </c>
      <c r="M14" s="97" t="str">
        <f>IF(A14&lt;&gt;"",SUMIFS(deployment!$L$4:$L$502, deployment!$D$4:$D$502,"="&amp;A14, deployment!$D$4:$D$502,"&lt;&gt;"&amp;""),"")</f>
        <v/>
      </c>
      <c r="N14" s="97" t="str">
        <f>IF(A14&lt;&gt;"",SUMIFS(deployment!$M$4:$M$502, deployment!$D$4:$D$502,"="&amp;A14, deployment!$D$4:$D$502,"&lt;&gt;"&amp;""),"")</f>
        <v/>
      </c>
      <c r="O14" s="127" t="str">
        <f t="shared" si="11"/>
        <v/>
      </c>
      <c r="P14" s="104"/>
      <c r="Q14" s="99" t="str">
        <f t="shared" si="0"/>
        <v/>
      </c>
      <c r="R14" s="100" t="str">
        <f t="shared" si="1"/>
        <v/>
      </c>
      <c r="S14" s="100" t="str">
        <f t="shared" si="2"/>
        <v/>
      </c>
      <c r="T14" s="101" t="str">
        <f t="shared" si="3"/>
        <v/>
      </c>
      <c r="U14" s="101" t="str">
        <f t="shared" si="4"/>
        <v/>
      </c>
      <c r="V14" s="128" t="str">
        <f t="shared" si="5"/>
        <v/>
      </c>
      <c r="W14" s="128" t="str">
        <f t="shared" si="6"/>
        <v/>
      </c>
      <c r="X14" s="101" t="str">
        <f t="shared" si="7"/>
        <v/>
      </c>
      <c r="Y14" s="101" t="str">
        <f t="shared" si="8"/>
        <v/>
      </c>
      <c r="Z14" s="102" t="str">
        <f t="shared" si="9"/>
        <v/>
      </c>
      <c r="AA14" s="103" t="str">
        <f t="shared" si="10"/>
        <v/>
      </c>
      <c r="AB14" s="142" t="str">
        <f>IF(A14&lt;&gt;"", SUMIFS(node!$J$2:$J$500, node!$C$2:$C$500,"="&amp;A14)/P14, "")</f>
        <v/>
      </c>
      <c r="AC14" s="134" t="str">
        <f>IF(A14&lt;&gt;"", SUMIFS(node!$K$2:$K$500, node!$C$2:$C$500,"="&amp;A14)/P14, "")</f>
        <v/>
      </c>
      <c r="AD14" s="135" t="str">
        <f>IF(A14&lt;&gt;"", SUMIFS(node!$L$2:$L$500, node!$C$2:$C$500,"="&amp;A14), "")</f>
        <v/>
      </c>
      <c r="AE14" s="145" t="str">
        <f>IF(A14&lt;&gt;"", SUMIFS(node!$M$2:$M$500, node!$C$2:$C$500,"="&amp;A14), "")</f>
        <v/>
      </c>
    </row>
    <row r="15" spans="1:37" ht="15" customHeight="1" x14ac:dyDescent="0.25">
      <c r="A15" s="119"/>
      <c r="B15" s="116" t="str">
        <f>IF(A15&lt;&gt;"", VLOOKUP(A15, node!$C$2:$D$500, 2, FALSE), "")</f>
        <v/>
      </c>
      <c r="C15" s="117" t="str">
        <f>IF(A15&lt;&gt;"", VLOOKUP(A15, node!$C$2:$E$500, 3, FALSE), "")</f>
        <v/>
      </c>
      <c r="D15" s="118" t="str">
        <f>IF(A15&lt;&gt;"",COUNTIFS(node!$C$2:$C$500,"="&amp;A15, node!$C$2:$C$500,"&lt;&gt;"&amp;""),"")</f>
        <v/>
      </c>
      <c r="E15" s="122" t="str">
        <f>IF(A15&lt;&gt;"",SUMIFS(node!$F$2:$F$500, node!$C$2:$C$500,"="&amp;A15, node!$C$2:$C$500,"&lt;&gt;"&amp;"")/(B15*D15),"")</f>
        <v/>
      </c>
      <c r="F15" s="124" t="str">
        <f>IF(A15&lt;&gt;"",SUMIFS(node!$H$2:$H$500, node!$C$2:$C$500,"="&amp;A15, node!$C$2:$C$500,"&lt;&gt;"&amp;"")/(C15*D15),"")</f>
        <v/>
      </c>
      <c r="G15" s="93" t="str">
        <f>IF(A15&lt;&gt;"",SUMIFS(deployment!$F$4:$F$502, deployment!$D$4:$D$502,"="&amp;A15, deployment!$D$4:$D$502,"&lt;&gt;"&amp;""),"")</f>
        <v/>
      </c>
      <c r="H15" s="94" t="str">
        <f>IF(A15&lt;&gt;"",SUMIFS(deployment!$G$4:$G$502, deployment!$D$4:$D$502,"="&amp;A15, deployment!$D$4:$D$502,"&lt;&gt;"&amp;""),"")</f>
        <v/>
      </c>
      <c r="I15" s="95" t="str">
        <f>IF(A15&lt;&gt;"",SUMIFS(deployment!$H$4:$H$502, deployment!$D$4:$D$502,"="&amp;A15, deployment!$D$4:$D$502,"&lt;&gt;"&amp;""),"")</f>
        <v/>
      </c>
      <c r="J15" s="96" t="str">
        <f>IF(A15&lt;&gt;"",SUMIFS(deployment!$I$4:$I$502, deployment!$D$4:$D$502,"="&amp;A15, deployment!$D$4:$D$502,"&lt;&gt;"&amp;""),"")</f>
        <v/>
      </c>
      <c r="K15" s="112" t="str">
        <f>IF(A15&lt;&gt;"",SUMIFS(deployment!$J$4:$J$502, deployment!$D$4:$D$502,"="&amp;A15, deployment!$D$4:$D$502,"&lt;&gt;"&amp;""),"")</f>
        <v/>
      </c>
      <c r="L15" s="112" t="str">
        <f>IF(A15&lt;&gt;"",SUMIFS(deployment!$K$4:$K$502, deployment!$D$4:$D$502,"="&amp;A15, deployment!$D$4:$D$502,"&lt;&gt;"&amp;""),"")</f>
        <v/>
      </c>
      <c r="M15" s="97" t="str">
        <f>IF(A15&lt;&gt;"",SUMIFS(deployment!$L$4:$L$502, deployment!$D$4:$D$502,"="&amp;A15, deployment!$D$4:$D$502,"&lt;&gt;"&amp;""),"")</f>
        <v/>
      </c>
      <c r="N15" s="97" t="str">
        <f>IF(A15&lt;&gt;"",SUMIFS(deployment!$M$4:$M$502, deployment!$D$4:$D$502,"="&amp;A15, deployment!$D$4:$D$502,"&lt;&gt;"&amp;""),"")</f>
        <v/>
      </c>
      <c r="O15" s="127" t="str">
        <f t="shared" si="11"/>
        <v/>
      </c>
      <c r="P15" s="104"/>
      <c r="Q15" s="99" t="str">
        <f t="shared" si="0"/>
        <v/>
      </c>
      <c r="R15" s="100" t="str">
        <f t="shared" si="1"/>
        <v/>
      </c>
      <c r="S15" s="100" t="str">
        <f t="shared" si="2"/>
        <v/>
      </c>
      <c r="T15" s="101" t="str">
        <f t="shared" si="3"/>
        <v/>
      </c>
      <c r="U15" s="101" t="str">
        <f t="shared" si="4"/>
        <v/>
      </c>
      <c r="V15" s="128" t="str">
        <f t="shared" si="5"/>
        <v/>
      </c>
      <c r="W15" s="128" t="str">
        <f t="shared" si="6"/>
        <v/>
      </c>
      <c r="X15" s="101" t="str">
        <f t="shared" si="7"/>
        <v/>
      </c>
      <c r="Y15" s="101" t="str">
        <f t="shared" si="8"/>
        <v/>
      </c>
      <c r="Z15" s="102" t="str">
        <f t="shared" si="9"/>
        <v/>
      </c>
      <c r="AA15" s="103" t="str">
        <f t="shared" si="10"/>
        <v/>
      </c>
      <c r="AB15" s="142" t="str">
        <f>IF(A15&lt;&gt;"", SUMIFS(node!$J$2:$J$500, node!$C$2:$C$500,"="&amp;A15)/P15, "")</f>
        <v/>
      </c>
      <c r="AC15" s="134" t="str">
        <f>IF(A15&lt;&gt;"", SUMIFS(node!$K$2:$K$500, node!$C$2:$C$500,"="&amp;A15)/P15, "")</f>
        <v/>
      </c>
      <c r="AD15" s="135" t="str">
        <f>IF(A15&lt;&gt;"", SUMIFS(node!$L$2:$L$500, node!$C$2:$C$500,"="&amp;A15), "")</f>
        <v/>
      </c>
      <c r="AE15" s="145" t="str">
        <f>IF(A15&lt;&gt;"", SUMIFS(node!$M$2:$M$500, node!$C$2:$C$500,"="&amp;A15), "")</f>
        <v/>
      </c>
    </row>
    <row r="16" spans="1:37" ht="15" customHeight="1" x14ac:dyDescent="0.25">
      <c r="A16" s="119"/>
      <c r="B16" s="116" t="str">
        <f>IF(A16&lt;&gt;"", VLOOKUP(A16, node!$C$2:$D$500, 2, FALSE), "")</f>
        <v/>
      </c>
      <c r="C16" s="117" t="str">
        <f>IF(A16&lt;&gt;"", VLOOKUP(A16, node!$C$2:$E$500, 3, FALSE), "")</f>
        <v/>
      </c>
      <c r="D16" s="118" t="str">
        <f>IF(A16&lt;&gt;"",COUNTIFS(node!$C$2:$C$500,"="&amp;A16, node!$C$2:$C$500,"&lt;&gt;"&amp;""),"")</f>
        <v/>
      </c>
      <c r="E16" s="122" t="str">
        <f>IF(A16&lt;&gt;"",SUMIFS(node!$F$2:$F$500, node!$C$2:$C$500,"="&amp;A16, node!$C$2:$C$500,"&lt;&gt;"&amp;"")/(B16*D16),"")</f>
        <v/>
      </c>
      <c r="F16" s="124" t="str">
        <f>IF(A16&lt;&gt;"",SUMIFS(node!$H$2:$H$500, node!$C$2:$C$500,"="&amp;A16, node!$C$2:$C$500,"&lt;&gt;"&amp;"")/(C16*D16),"")</f>
        <v/>
      </c>
      <c r="G16" s="93" t="str">
        <f>IF(A16&lt;&gt;"",SUMIFS(deployment!$F$4:$F$502, deployment!$D$4:$D$502,"="&amp;A16, deployment!$D$4:$D$502,"&lt;&gt;"&amp;""),"")</f>
        <v/>
      </c>
      <c r="H16" s="94" t="str">
        <f>IF(A16&lt;&gt;"",SUMIFS(deployment!$G$4:$G$502, deployment!$D$4:$D$502,"="&amp;A16, deployment!$D$4:$D$502,"&lt;&gt;"&amp;""),"")</f>
        <v/>
      </c>
      <c r="I16" s="95" t="str">
        <f>IF(A16&lt;&gt;"",SUMIFS(deployment!$H$4:$H$502, deployment!$D$4:$D$502,"="&amp;A16, deployment!$D$4:$D$502,"&lt;&gt;"&amp;""),"")</f>
        <v/>
      </c>
      <c r="J16" s="96" t="str">
        <f>IF(A16&lt;&gt;"",SUMIFS(deployment!$I$4:$I$502, deployment!$D$4:$D$502,"="&amp;A16, deployment!$D$4:$D$502,"&lt;&gt;"&amp;""),"")</f>
        <v/>
      </c>
      <c r="K16" s="112" t="str">
        <f>IF(A16&lt;&gt;"",SUMIFS(deployment!$J$4:$J$502, deployment!$D$4:$D$502,"="&amp;A16, deployment!$D$4:$D$502,"&lt;&gt;"&amp;""),"")</f>
        <v/>
      </c>
      <c r="L16" s="112" t="str">
        <f>IF(A16&lt;&gt;"",SUMIFS(deployment!$K$4:$K$502, deployment!$D$4:$D$502,"="&amp;A16, deployment!$D$4:$D$502,"&lt;&gt;"&amp;""),"")</f>
        <v/>
      </c>
      <c r="M16" s="97" t="str">
        <f>IF(A16&lt;&gt;"",SUMIFS(deployment!$L$4:$L$502, deployment!$D$4:$D$502,"="&amp;A16, deployment!$D$4:$D$502,"&lt;&gt;"&amp;""),"")</f>
        <v/>
      </c>
      <c r="N16" s="97" t="str">
        <f>IF(A16&lt;&gt;"",SUMIFS(deployment!$M$4:$M$502, deployment!$D$4:$D$502,"="&amp;A16, deployment!$D$4:$D$502,"&lt;&gt;"&amp;""),"")</f>
        <v/>
      </c>
      <c r="O16" s="127" t="str">
        <f t="shared" si="11"/>
        <v/>
      </c>
      <c r="P16" s="104"/>
      <c r="Q16" s="99" t="str">
        <f t="shared" si="0"/>
        <v/>
      </c>
      <c r="R16" s="100" t="str">
        <f t="shared" si="1"/>
        <v/>
      </c>
      <c r="S16" s="100" t="str">
        <f t="shared" si="2"/>
        <v/>
      </c>
      <c r="T16" s="101" t="str">
        <f t="shared" si="3"/>
        <v/>
      </c>
      <c r="U16" s="101" t="str">
        <f t="shared" si="4"/>
        <v/>
      </c>
      <c r="V16" s="128" t="str">
        <f t="shared" si="5"/>
        <v/>
      </c>
      <c r="W16" s="128" t="str">
        <f t="shared" si="6"/>
        <v/>
      </c>
      <c r="X16" s="101" t="str">
        <f t="shared" si="7"/>
        <v/>
      </c>
      <c r="Y16" s="101" t="str">
        <f t="shared" si="8"/>
        <v/>
      </c>
      <c r="Z16" s="102" t="str">
        <f t="shared" si="9"/>
        <v/>
      </c>
      <c r="AA16" s="103" t="str">
        <f t="shared" si="10"/>
        <v/>
      </c>
      <c r="AB16" s="142" t="str">
        <f>IF(A16&lt;&gt;"", SUMIFS(node!$J$2:$J$500, node!$C$2:$C$500,"="&amp;A16)/P16, "")</f>
        <v/>
      </c>
      <c r="AC16" s="134" t="str">
        <f>IF(A16&lt;&gt;"", SUMIFS(node!$K$2:$K$500, node!$C$2:$C$500,"="&amp;A16)/P16, "")</f>
        <v/>
      </c>
      <c r="AD16" s="135" t="str">
        <f>IF(A16&lt;&gt;"", SUMIFS(node!$L$2:$L$500, node!$C$2:$C$500,"="&amp;A16), "")</f>
        <v/>
      </c>
      <c r="AE16" s="145" t="str">
        <f>IF(A16&lt;&gt;"", SUMIFS(node!$M$2:$M$500, node!$C$2:$C$500,"="&amp;A16), "")</f>
        <v/>
      </c>
    </row>
    <row r="17" spans="1:31" ht="15" customHeight="1" x14ac:dyDescent="0.25">
      <c r="A17" s="119"/>
      <c r="B17" s="116" t="str">
        <f>IF(A17&lt;&gt;"", VLOOKUP(A17, node!$C$2:$D$500, 2, FALSE), "")</f>
        <v/>
      </c>
      <c r="C17" s="117" t="str">
        <f>IF(A17&lt;&gt;"", VLOOKUP(A17, node!$C$2:$E$500, 3, FALSE), "")</f>
        <v/>
      </c>
      <c r="D17" s="118" t="str">
        <f>IF(A17&lt;&gt;"",COUNTIFS(node!$C$2:$C$500,"="&amp;A17, node!$C$2:$C$500,"&lt;&gt;"&amp;""),"")</f>
        <v/>
      </c>
      <c r="E17" s="122" t="str">
        <f>IF(A17&lt;&gt;"",SUMIFS(node!$F$2:$F$500, node!$C$2:$C$500,"="&amp;A17, node!$C$2:$C$500,"&lt;&gt;"&amp;"")/(B17*D17),"")</f>
        <v/>
      </c>
      <c r="F17" s="124" t="str">
        <f>IF(A17&lt;&gt;"",SUMIFS(node!$H$2:$H$500, node!$C$2:$C$500,"="&amp;A17, node!$C$2:$C$500,"&lt;&gt;"&amp;"")/(C17*D17),"")</f>
        <v/>
      </c>
      <c r="G17" s="93" t="str">
        <f>IF(A17&lt;&gt;"",SUMIFS(deployment!$F$4:$F$502, deployment!$D$4:$D$502,"="&amp;A17, deployment!$D$4:$D$502,"&lt;&gt;"&amp;""),"")</f>
        <v/>
      </c>
      <c r="H17" s="94" t="str">
        <f>IF(A17&lt;&gt;"",SUMIFS(deployment!$G$4:$G$502, deployment!$D$4:$D$502,"="&amp;A17, deployment!$D$4:$D$502,"&lt;&gt;"&amp;""),"")</f>
        <v/>
      </c>
      <c r="I17" s="95" t="str">
        <f>IF(A17&lt;&gt;"",SUMIFS(deployment!$H$4:$H$502, deployment!$D$4:$D$502,"="&amp;A17, deployment!$D$4:$D$502,"&lt;&gt;"&amp;""),"")</f>
        <v/>
      </c>
      <c r="J17" s="96" t="str">
        <f>IF(A17&lt;&gt;"",SUMIFS(deployment!$I$4:$I$502, deployment!$D$4:$D$502,"="&amp;A17, deployment!$D$4:$D$502,"&lt;&gt;"&amp;""),"")</f>
        <v/>
      </c>
      <c r="K17" s="112" t="str">
        <f>IF(A17&lt;&gt;"",SUMIFS(deployment!$J$4:$J$502, deployment!$D$4:$D$502,"="&amp;A17, deployment!$D$4:$D$502,"&lt;&gt;"&amp;""),"")</f>
        <v/>
      </c>
      <c r="L17" s="112" t="str">
        <f>IF(A17&lt;&gt;"",SUMIFS(deployment!$K$4:$K$502, deployment!$D$4:$D$502,"="&amp;A17, deployment!$D$4:$D$502,"&lt;&gt;"&amp;""),"")</f>
        <v/>
      </c>
      <c r="M17" s="97" t="str">
        <f>IF(A17&lt;&gt;"",SUMIFS(deployment!$L$4:$L$502, deployment!$D$4:$D$502,"="&amp;A17, deployment!$D$4:$D$502,"&lt;&gt;"&amp;""),"")</f>
        <v/>
      </c>
      <c r="N17" s="97" t="str">
        <f>IF(A17&lt;&gt;"",SUMIFS(deployment!$M$4:$M$502, deployment!$D$4:$D$502,"="&amp;A17, deployment!$D$4:$D$502,"&lt;&gt;"&amp;""),"")</f>
        <v/>
      </c>
      <c r="O17" s="127" t="str">
        <f t="shared" si="11"/>
        <v/>
      </c>
      <c r="P17" s="104"/>
      <c r="Q17" s="99" t="str">
        <f t="shared" si="0"/>
        <v/>
      </c>
      <c r="R17" s="100" t="str">
        <f t="shared" si="1"/>
        <v/>
      </c>
      <c r="S17" s="100" t="str">
        <f t="shared" si="2"/>
        <v/>
      </c>
      <c r="T17" s="101" t="str">
        <f t="shared" si="3"/>
        <v/>
      </c>
      <c r="U17" s="101" t="str">
        <f t="shared" si="4"/>
        <v/>
      </c>
      <c r="V17" s="128" t="str">
        <f t="shared" si="5"/>
        <v/>
      </c>
      <c r="W17" s="128" t="str">
        <f t="shared" si="6"/>
        <v/>
      </c>
      <c r="X17" s="101" t="str">
        <f t="shared" si="7"/>
        <v/>
      </c>
      <c r="Y17" s="101" t="str">
        <f t="shared" si="8"/>
        <v/>
      </c>
      <c r="Z17" s="102" t="str">
        <f t="shared" si="9"/>
        <v/>
      </c>
      <c r="AA17" s="103" t="str">
        <f t="shared" si="10"/>
        <v/>
      </c>
      <c r="AB17" s="142" t="str">
        <f>IF(A17&lt;&gt;"", SUMIFS(node!$J$2:$J$500, node!$C$2:$C$500,"="&amp;A17)/P17, "")</f>
        <v/>
      </c>
      <c r="AC17" s="134" t="str">
        <f>IF(A17&lt;&gt;"", SUMIFS(node!$K$2:$K$500, node!$C$2:$C$500,"="&amp;A17)/P17, "")</f>
        <v/>
      </c>
      <c r="AD17" s="135" t="str">
        <f>IF(A17&lt;&gt;"", SUMIFS(node!$L$2:$L$500, node!$C$2:$C$500,"="&amp;A17), "")</f>
        <v/>
      </c>
      <c r="AE17" s="145" t="str">
        <f>IF(A17&lt;&gt;"", SUMIFS(node!$M$2:$M$500, node!$C$2:$C$500,"="&amp;A17), "")</f>
        <v/>
      </c>
    </row>
    <row r="18" spans="1:31" ht="15" customHeight="1" x14ac:dyDescent="0.25">
      <c r="A18" s="119"/>
      <c r="B18" s="116" t="str">
        <f>IF(A18&lt;&gt;"", VLOOKUP(A18, node!$C$2:$D$500, 2, FALSE), "")</f>
        <v/>
      </c>
      <c r="C18" s="117" t="str">
        <f>IF(A18&lt;&gt;"", VLOOKUP(A18, node!$C$2:$E$500, 3, FALSE), "")</f>
        <v/>
      </c>
      <c r="D18" s="118" t="str">
        <f>IF(A18&lt;&gt;"",COUNTIFS(node!$C$2:$C$500,"="&amp;A18, node!$C$2:$C$500,"&lt;&gt;"&amp;""),"")</f>
        <v/>
      </c>
      <c r="E18" s="122" t="str">
        <f>IF(A18&lt;&gt;"",SUMIFS(node!$F$2:$F$500, node!$C$2:$C$500,"="&amp;A18, node!$C$2:$C$500,"&lt;&gt;"&amp;"")/(B18*D18),"")</f>
        <v/>
      </c>
      <c r="F18" s="124" t="str">
        <f>IF(A18&lt;&gt;"",SUMIFS(node!$H$2:$H$500, node!$C$2:$C$500,"="&amp;A18, node!$C$2:$C$500,"&lt;&gt;"&amp;"")/(C18*D18),"")</f>
        <v/>
      </c>
      <c r="G18" s="93" t="str">
        <f>IF(A18&lt;&gt;"",SUMIFS(deployment!$F$4:$F$502, deployment!$D$4:$D$502,"="&amp;A18, deployment!$D$4:$D$502,"&lt;&gt;"&amp;""),"")</f>
        <v/>
      </c>
      <c r="H18" s="94" t="str">
        <f>IF(A18&lt;&gt;"",SUMIFS(deployment!$G$4:$G$502, deployment!$D$4:$D$502,"="&amp;A18, deployment!$D$4:$D$502,"&lt;&gt;"&amp;""),"")</f>
        <v/>
      </c>
      <c r="I18" s="95" t="str">
        <f>IF(A18&lt;&gt;"",SUMIFS(deployment!$H$4:$H$502, deployment!$D$4:$D$502,"="&amp;A18, deployment!$D$4:$D$502,"&lt;&gt;"&amp;""),"")</f>
        <v/>
      </c>
      <c r="J18" s="96" t="str">
        <f>IF(A18&lt;&gt;"",SUMIFS(deployment!$I$4:$I$502, deployment!$D$4:$D$502,"="&amp;A18, deployment!$D$4:$D$502,"&lt;&gt;"&amp;""),"")</f>
        <v/>
      </c>
      <c r="K18" s="112" t="str">
        <f>IF(A18&lt;&gt;"",SUMIFS(deployment!$J$4:$J$502, deployment!$D$4:$D$502,"="&amp;A18, deployment!$D$4:$D$502,"&lt;&gt;"&amp;""),"")</f>
        <v/>
      </c>
      <c r="L18" s="112" t="str">
        <f>IF(A18&lt;&gt;"",SUMIFS(deployment!$K$4:$K$502, deployment!$D$4:$D$502,"="&amp;A18, deployment!$D$4:$D$502,"&lt;&gt;"&amp;""),"")</f>
        <v/>
      </c>
      <c r="M18" s="97" t="str">
        <f>IF(A18&lt;&gt;"",SUMIFS(deployment!$L$4:$L$502, deployment!$D$4:$D$502,"="&amp;A18, deployment!$D$4:$D$502,"&lt;&gt;"&amp;""),"")</f>
        <v/>
      </c>
      <c r="N18" s="97" t="str">
        <f>IF(A18&lt;&gt;"",SUMIFS(deployment!$M$4:$M$502, deployment!$D$4:$D$502,"="&amp;A18, deployment!$D$4:$D$502,"&lt;&gt;"&amp;""),"")</f>
        <v/>
      </c>
      <c r="O18" s="127" t="str">
        <f t="shared" si="11"/>
        <v/>
      </c>
      <c r="P18" s="104"/>
      <c r="Q18" s="99" t="str">
        <f t="shared" si="0"/>
        <v/>
      </c>
      <c r="R18" s="100" t="str">
        <f t="shared" si="1"/>
        <v/>
      </c>
      <c r="S18" s="100" t="str">
        <f t="shared" si="2"/>
        <v/>
      </c>
      <c r="T18" s="101" t="str">
        <f t="shared" si="3"/>
        <v/>
      </c>
      <c r="U18" s="101" t="str">
        <f t="shared" si="4"/>
        <v/>
      </c>
      <c r="V18" s="128" t="str">
        <f t="shared" si="5"/>
        <v/>
      </c>
      <c r="W18" s="128" t="str">
        <f t="shared" si="6"/>
        <v/>
      </c>
      <c r="X18" s="101" t="str">
        <f t="shared" si="7"/>
        <v/>
      </c>
      <c r="Y18" s="101" t="str">
        <f t="shared" si="8"/>
        <v/>
      </c>
      <c r="Z18" s="102" t="str">
        <f t="shared" si="9"/>
        <v/>
      </c>
      <c r="AA18" s="103" t="str">
        <f t="shared" si="10"/>
        <v/>
      </c>
      <c r="AB18" s="142" t="str">
        <f>IF(A18&lt;&gt;"", SUMIFS(node!$J$2:$J$500, node!$C$2:$C$500,"="&amp;A18)/P18, "")</f>
        <v/>
      </c>
      <c r="AC18" s="134" t="str">
        <f>IF(A18&lt;&gt;"", SUMIFS(node!$K$2:$K$500, node!$C$2:$C$500,"="&amp;A18)/P18, "")</f>
        <v/>
      </c>
      <c r="AD18" s="135" t="str">
        <f>IF(A18&lt;&gt;"", SUMIFS(node!$L$2:$L$500, node!$C$2:$C$500,"="&amp;A18), "")</f>
        <v/>
      </c>
      <c r="AE18" s="145" t="str">
        <f>IF(A18&lt;&gt;"", SUMIFS(node!$M$2:$M$500, node!$C$2:$C$500,"="&amp;A18), "")</f>
        <v/>
      </c>
    </row>
    <row r="19" spans="1:31" ht="15" customHeight="1" x14ac:dyDescent="0.25">
      <c r="A19" s="119"/>
      <c r="B19" s="116" t="str">
        <f>IF(A19&lt;&gt;"", VLOOKUP(A19, node!$C$2:$D$500, 2, FALSE), "")</f>
        <v/>
      </c>
      <c r="C19" s="117" t="str">
        <f>IF(A19&lt;&gt;"", VLOOKUP(A19, node!$C$2:$E$500, 3, FALSE), "")</f>
        <v/>
      </c>
      <c r="D19" s="118" t="str">
        <f>IF(A19&lt;&gt;"",COUNTIFS(node!$C$2:$C$500,"="&amp;A19, node!$C$2:$C$500,"&lt;&gt;"&amp;""),"")</f>
        <v/>
      </c>
      <c r="E19" s="122" t="str">
        <f>IF(A19&lt;&gt;"",SUMIFS(node!$F$2:$F$500, node!$C$2:$C$500,"="&amp;A19, node!$C$2:$C$500,"&lt;&gt;"&amp;"")/(B19*D19),"")</f>
        <v/>
      </c>
      <c r="F19" s="124" t="str">
        <f>IF(A19&lt;&gt;"",SUMIFS(node!$H$2:$H$500, node!$C$2:$C$500,"="&amp;A19, node!$C$2:$C$500,"&lt;&gt;"&amp;"")/(C19*D19),"")</f>
        <v/>
      </c>
      <c r="G19" s="93" t="str">
        <f>IF(A19&lt;&gt;"",SUMIFS(deployment!$F$4:$F$502, deployment!$D$4:$D$502,"="&amp;A19, deployment!$D$4:$D$502,"&lt;&gt;"&amp;""),"")</f>
        <v/>
      </c>
      <c r="H19" s="94" t="str">
        <f>IF(A19&lt;&gt;"",SUMIFS(deployment!$G$4:$G$502, deployment!$D$4:$D$502,"="&amp;A19, deployment!$D$4:$D$502,"&lt;&gt;"&amp;""),"")</f>
        <v/>
      </c>
      <c r="I19" s="95" t="str">
        <f>IF(A19&lt;&gt;"",SUMIFS(deployment!$H$4:$H$502, deployment!$D$4:$D$502,"="&amp;A19, deployment!$D$4:$D$502,"&lt;&gt;"&amp;""),"")</f>
        <v/>
      </c>
      <c r="J19" s="96" t="str">
        <f>IF(A19&lt;&gt;"",SUMIFS(deployment!$I$4:$I$502, deployment!$D$4:$D$502,"="&amp;A19, deployment!$D$4:$D$502,"&lt;&gt;"&amp;""),"")</f>
        <v/>
      </c>
      <c r="K19" s="112" t="str">
        <f>IF(A19&lt;&gt;"",SUMIFS(deployment!$J$4:$J$502, deployment!$D$4:$D$502,"="&amp;A19, deployment!$D$4:$D$502,"&lt;&gt;"&amp;""),"")</f>
        <v/>
      </c>
      <c r="L19" s="112" t="str">
        <f>IF(A19&lt;&gt;"",SUMIFS(deployment!$K$4:$K$502, deployment!$D$4:$D$502,"="&amp;A19, deployment!$D$4:$D$502,"&lt;&gt;"&amp;""),"")</f>
        <v/>
      </c>
      <c r="M19" s="97" t="str">
        <f>IF(A19&lt;&gt;"",SUMIFS(deployment!$L$4:$L$502, deployment!$D$4:$D$502,"="&amp;A19, deployment!$D$4:$D$502,"&lt;&gt;"&amp;""),"")</f>
        <v/>
      </c>
      <c r="N19" s="97" t="str">
        <f>IF(A19&lt;&gt;"",SUMIFS(deployment!$M$4:$M$502, deployment!$D$4:$D$502,"="&amp;A19, deployment!$D$4:$D$502,"&lt;&gt;"&amp;""),"")</f>
        <v/>
      </c>
      <c r="O19" s="127" t="str">
        <f t="shared" si="11"/>
        <v/>
      </c>
      <c r="P19" s="104"/>
      <c r="Q19" s="99" t="str">
        <f t="shared" si="0"/>
        <v/>
      </c>
      <c r="R19" s="100" t="str">
        <f t="shared" si="1"/>
        <v/>
      </c>
      <c r="S19" s="100" t="str">
        <f t="shared" si="2"/>
        <v/>
      </c>
      <c r="T19" s="101" t="str">
        <f t="shared" si="3"/>
        <v/>
      </c>
      <c r="U19" s="101" t="str">
        <f t="shared" si="4"/>
        <v/>
      </c>
      <c r="V19" s="128" t="str">
        <f t="shared" si="5"/>
        <v/>
      </c>
      <c r="W19" s="128" t="str">
        <f t="shared" si="6"/>
        <v/>
      </c>
      <c r="X19" s="101" t="str">
        <f t="shared" si="7"/>
        <v/>
      </c>
      <c r="Y19" s="101" t="str">
        <f t="shared" si="8"/>
        <v/>
      </c>
      <c r="Z19" s="102" t="str">
        <f t="shared" si="9"/>
        <v/>
      </c>
      <c r="AA19" s="103" t="str">
        <f t="shared" si="10"/>
        <v/>
      </c>
      <c r="AB19" s="142" t="str">
        <f>IF(A19&lt;&gt;"", SUMIFS(node!$J$2:$J$500, node!$C$2:$C$500,"="&amp;A19)/P19, "")</f>
        <v/>
      </c>
      <c r="AC19" s="134" t="str">
        <f>IF(A19&lt;&gt;"", SUMIFS(node!$K$2:$K$500, node!$C$2:$C$500,"="&amp;A19)/P19, "")</f>
        <v/>
      </c>
      <c r="AD19" s="135" t="str">
        <f>IF(A19&lt;&gt;"", SUMIFS(node!$L$2:$L$500, node!$C$2:$C$500,"="&amp;A19), "")</f>
        <v/>
      </c>
      <c r="AE19" s="145" t="str">
        <f>IF(A19&lt;&gt;"", SUMIFS(node!$M$2:$M$500, node!$C$2:$C$500,"="&amp;A19), "")</f>
        <v/>
      </c>
    </row>
    <row r="20" spans="1:31" ht="15" customHeight="1" x14ac:dyDescent="0.25">
      <c r="A20" s="119"/>
      <c r="B20" s="116" t="str">
        <f>IF(A20&lt;&gt;"", VLOOKUP(A20, node!$C$2:$D$500, 2, FALSE), "")</f>
        <v/>
      </c>
      <c r="C20" s="117" t="str">
        <f>IF(A20&lt;&gt;"", VLOOKUP(A20, node!$C$2:$E$500, 3, FALSE), "")</f>
        <v/>
      </c>
      <c r="D20" s="118" t="str">
        <f>IF(A20&lt;&gt;"",COUNTIFS(node!$C$2:$C$500,"="&amp;A20, node!$C$2:$C$500,"&lt;&gt;"&amp;""),"")</f>
        <v/>
      </c>
      <c r="E20" s="122" t="str">
        <f>IF(A20&lt;&gt;"",SUMIFS(node!$F$2:$F$500, node!$C$2:$C$500,"="&amp;A20, node!$C$2:$C$500,"&lt;&gt;"&amp;"")/(B20*D20),"")</f>
        <v/>
      </c>
      <c r="F20" s="124" t="str">
        <f>IF(A20&lt;&gt;"",SUMIFS(node!$H$2:$H$500, node!$C$2:$C$500,"="&amp;A20, node!$C$2:$C$500,"&lt;&gt;"&amp;"")/(C20*D20),"")</f>
        <v/>
      </c>
      <c r="G20" s="93" t="str">
        <f>IF(A20&lt;&gt;"",SUMIFS(deployment!$F$4:$F$502, deployment!$D$4:$D$502,"="&amp;A20, deployment!$D$4:$D$502,"&lt;&gt;"&amp;""),"")</f>
        <v/>
      </c>
      <c r="H20" s="94" t="str">
        <f>IF(A20&lt;&gt;"",SUMIFS(deployment!$G$4:$G$502, deployment!$D$4:$D$502,"="&amp;A20, deployment!$D$4:$D$502,"&lt;&gt;"&amp;""),"")</f>
        <v/>
      </c>
      <c r="I20" s="95" t="str">
        <f>IF(A20&lt;&gt;"",SUMIFS(deployment!$H$4:$H$502, deployment!$D$4:$D$502,"="&amp;A20, deployment!$D$4:$D$502,"&lt;&gt;"&amp;""),"")</f>
        <v/>
      </c>
      <c r="J20" s="96" t="str">
        <f>IF(A20&lt;&gt;"",SUMIFS(deployment!$I$4:$I$502, deployment!$D$4:$D$502,"="&amp;A20, deployment!$D$4:$D$502,"&lt;&gt;"&amp;""),"")</f>
        <v/>
      </c>
      <c r="K20" s="112" t="str">
        <f>IF(A20&lt;&gt;"",SUMIFS(deployment!$J$4:$J$502, deployment!$D$4:$D$502,"="&amp;A20, deployment!$D$4:$D$502,"&lt;&gt;"&amp;""),"")</f>
        <v/>
      </c>
      <c r="L20" s="112" t="str">
        <f>IF(A20&lt;&gt;"",SUMIFS(deployment!$K$4:$K$502, deployment!$D$4:$D$502,"="&amp;A20, deployment!$D$4:$D$502,"&lt;&gt;"&amp;""),"")</f>
        <v/>
      </c>
      <c r="M20" s="97" t="str">
        <f>IF(A20&lt;&gt;"",SUMIFS(deployment!$L$4:$L$502, deployment!$D$4:$D$502,"="&amp;A20, deployment!$D$4:$D$502,"&lt;&gt;"&amp;""),"")</f>
        <v/>
      </c>
      <c r="N20" s="97" t="str">
        <f>IF(A20&lt;&gt;"",SUMIFS(deployment!$M$4:$M$502, deployment!$D$4:$D$502,"="&amp;A20, deployment!$D$4:$D$502,"&lt;&gt;"&amp;""),"")</f>
        <v/>
      </c>
      <c r="O20" s="127" t="str">
        <f t="shared" si="11"/>
        <v/>
      </c>
      <c r="P20" s="104"/>
      <c r="Q20" s="99" t="str">
        <f t="shared" si="0"/>
        <v/>
      </c>
      <c r="R20" s="100" t="str">
        <f t="shared" si="1"/>
        <v/>
      </c>
      <c r="S20" s="100" t="str">
        <f t="shared" si="2"/>
        <v/>
      </c>
      <c r="T20" s="101" t="str">
        <f t="shared" si="3"/>
        <v/>
      </c>
      <c r="U20" s="101" t="str">
        <f t="shared" si="4"/>
        <v/>
      </c>
      <c r="V20" s="128" t="str">
        <f t="shared" si="5"/>
        <v/>
      </c>
      <c r="W20" s="128" t="str">
        <f t="shared" si="6"/>
        <v/>
      </c>
      <c r="X20" s="101" t="str">
        <f t="shared" si="7"/>
        <v/>
      </c>
      <c r="Y20" s="101" t="str">
        <f t="shared" si="8"/>
        <v/>
      </c>
      <c r="Z20" s="102" t="str">
        <f t="shared" si="9"/>
        <v/>
      </c>
      <c r="AA20" s="103" t="str">
        <f t="shared" si="10"/>
        <v/>
      </c>
      <c r="AB20" s="142" t="str">
        <f>IF(A20&lt;&gt;"", SUMIFS(node!$J$2:$J$500, node!$C$2:$C$500,"="&amp;A20)/P20, "")</f>
        <v/>
      </c>
      <c r="AC20" s="134" t="str">
        <f>IF(A20&lt;&gt;"", SUMIFS(node!$K$2:$K$500, node!$C$2:$C$500,"="&amp;A20)/P20, "")</f>
        <v/>
      </c>
      <c r="AD20" s="135" t="str">
        <f>IF(A20&lt;&gt;"", SUMIFS(node!$L$2:$L$500, node!$C$2:$C$500,"="&amp;A20), "")</f>
        <v/>
      </c>
      <c r="AE20" s="145" t="str">
        <f>IF(A20&lt;&gt;"", SUMIFS(node!$M$2:$M$500, node!$C$2:$C$500,"="&amp;A20), "")</f>
        <v/>
      </c>
    </row>
    <row r="21" spans="1:31" ht="15" customHeight="1" x14ac:dyDescent="0.25">
      <c r="A21" s="119"/>
      <c r="B21" s="116" t="str">
        <f>IF(A21&lt;&gt;"", VLOOKUP(A21, node!$C$2:$D$500, 2, FALSE), "")</f>
        <v/>
      </c>
      <c r="C21" s="117" t="str">
        <f>IF(A21&lt;&gt;"", VLOOKUP(A21, node!$C$2:$E$500, 3, FALSE), "")</f>
        <v/>
      </c>
      <c r="D21" s="118" t="str">
        <f>IF(A21&lt;&gt;"",COUNTIFS(node!$C$2:$C$500,"="&amp;A21, node!$C$2:$C$500,"&lt;&gt;"&amp;""),"")</f>
        <v/>
      </c>
      <c r="E21" s="122" t="str">
        <f>IF(A21&lt;&gt;"",SUMIFS(node!$F$2:$F$500, node!$C$2:$C$500,"="&amp;A21, node!$C$2:$C$500,"&lt;&gt;"&amp;"")/(B21*D21),"")</f>
        <v/>
      </c>
      <c r="F21" s="124" t="str">
        <f>IF(A21&lt;&gt;"",SUMIFS(node!$H$2:$H$500, node!$C$2:$C$500,"="&amp;A21, node!$C$2:$C$500,"&lt;&gt;"&amp;"")/(C21*D21),"")</f>
        <v/>
      </c>
      <c r="G21" s="93" t="str">
        <f>IF(A21&lt;&gt;"",SUMIFS(deployment!$F$4:$F$502, deployment!$D$4:$D$502,"="&amp;A21, deployment!$D$4:$D$502,"&lt;&gt;"&amp;""),"")</f>
        <v/>
      </c>
      <c r="H21" s="94" t="str">
        <f>IF(A21&lt;&gt;"",SUMIFS(deployment!$G$4:$G$502, deployment!$D$4:$D$502,"="&amp;A21, deployment!$D$4:$D$502,"&lt;&gt;"&amp;""),"")</f>
        <v/>
      </c>
      <c r="I21" s="95" t="str">
        <f>IF(A21&lt;&gt;"",SUMIFS(deployment!$H$4:$H$502, deployment!$D$4:$D$502,"="&amp;A21, deployment!$D$4:$D$502,"&lt;&gt;"&amp;""),"")</f>
        <v/>
      </c>
      <c r="J21" s="96" t="str">
        <f>IF(A21&lt;&gt;"",SUMIFS(deployment!$I$4:$I$502, deployment!$D$4:$D$502,"="&amp;A21, deployment!$D$4:$D$502,"&lt;&gt;"&amp;""),"")</f>
        <v/>
      </c>
      <c r="K21" s="112" t="str">
        <f>IF(A21&lt;&gt;"",SUMIFS(deployment!$J$4:$J$502, deployment!$D$4:$D$502,"="&amp;A21, deployment!$D$4:$D$502,"&lt;&gt;"&amp;""),"")</f>
        <v/>
      </c>
      <c r="L21" s="112" t="str">
        <f>IF(A21&lt;&gt;"",SUMIFS(deployment!$K$4:$K$502, deployment!$D$4:$D$502,"="&amp;A21, deployment!$D$4:$D$502,"&lt;&gt;"&amp;""),"")</f>
        <v/>
      </c>
      <c r="M21" s="97" t="str">
        <f>IF(A21&lt;&gt;"",SUMIFS(deployment!$L$4:$L$502, deployment!$D$4:$D$502,"="&amp;A21, deployment!$D$4:$D$502,"&lt;&gt;"&amp;""),"")</f>
        <v/>
      </c>
      <c r="N21" s="97" t="str">
        <f>IF(A21&lt;&gt;"",SUMIFS(deployment!$M$4:$M$502, deployment!$D$4:$D$502,"="&amp;A21, deployment!$D$4:$D$502,"&lt;&gt;"&amp;""),"")</f>
        <v/>
      </c>
      <c r="O21" s="127" t="str">
        <f t="shared" si="11"/>
        <v/>
      </c>
      <c r="P21" s="104"/>
      <c r="Q21" s="99" t="str">
        <f t="shared" si="0"/>
        <v/>
      </c>
      <c r="R21" s="100" t="str">
        <f t="shared" si="1"/>
        <v/>
      </c>
      <c r="S21" s="100" t="str">
        <f t="shared" si="2"/>
        <v/>
      </c>
      <c r="T21" s="101" t="str">
        <f t="shared" si="3"/>
        <v/>
      </c>
      <c r="U21" s="101" t="str">
        <f t="shared" si="4"/>
        <v/>
      </c>
      <c r="V21" s="128" t="str">
        <f t="shared" si="5"/>
        <v/>
      </c>
      <c r="W21" s="128" t="str">
        <f t="shared" si="6"/>
        <v/>
      </c>
      <c r="X21" s="101" t="str">
        <f t="shared" si="7"/>
        <v/>
      </c>
      <c r="Y21" s="101" t="str">
        <f t="shared" si="8"/>
        <v/>
      </c>
      <c r="Z21" s="102" t="str">
        <f t="shared" si="9"/>
        <v/>
      </c>
      <c r="AA21" s="103" t="str">
        <f t="shared" si="10"/>
        <v/>
      </c>
      <c r="AB21" s="142" t="str">
        <f>IF(A21&lt;&gt;"", SUMIFS(node!$J$2:$J$500, node!$C$2:$C$500,"="&amp;A21)/P21, "")</f>
        <v/>
      </c>
      <c r="AC21" s="134" t="str">
        <f>IF(A21&lt;&gt;"", SUMIFS(node!$K$2:$K$500, node!$C$2:$C$500,"="&amp;A21)/P21, "")</f>
        <v/>
      </c>
      <c r="AD21" s="135" t="str">
        <f>IF(A21&lt;&gt;"", SUMIFS(node!$L$2:$L$500, node!$C$2:$C$500,"="&amp;A21), "")</f>
        <v/>
      </c>
      <c r="AE21" s="145" t="str">
        <f>IF(A21&lt;&gt;"", SUMIFS(node!$M$2:$M$500, node!$C$2:$C$500,"="&amp;A21), "")</f>
        <v/>
      </c>
    </row>
    <row r="22" spans="1:31" ht="15" customHeight="1" x14ac:dyDescent="0.25">
      <c r="A22" s="119"/>
      <c r="B22" s="116" t="str">
        <f>IF(A22&lt;&gt;"", VLOOKUP(A22, node!$C$2:$D$500, 2, FALSE), "")</f>
        <v/>
      </c>
      <c r="C22" s="117" t="str">
        <f>IF(A22&lt;&gt;"", VLOOKUP(A22, node!$C$2:$E$500, 3, FALSE), "")</f>
        <v/>
      </c>
      <c r="D22" s="118" t="str">
        <f>IF(A22&lt;&gt;"",COUNTIFS(node!$C$2:$C$500,"="&amp;A22, node!$C$2:$C$500,"&lt;&gt;"&amp;""),"")</f>
        <v/>
      </c>
      <c r="E22" s="122" t="str">
        <f>IF(A22&lt;&gt;"",SUMIFS(node!$F$2:$F$500, node!$C$2:$C$500,"="&amp;A22, node!$C$2:$C$500,"&lt;&gt;"&amp;"")/(B22*D22),"")</f>
        <v/>
      </c>
      <c r="F22" s="124" t="str">
        <f>IF(A22&lt;&gt;"",SUMIFS(node!$H$2:$H$500, node!$C$2:$C$500,"="&amp;A22, node!$C$2:$C$500,"&lt;&gt;"&amp;"")/(C22*D22),"")</f>
        <v/>
      </c>
      <c r="G22" s="93" t="str">
        <f>IF(A22&lt;&gt;"",SUMIFS(deployment!$F$4:$F$502, deployment!$D$4:$D$502,"="&amp;A22, deployment!$D$4:$D$502,"&lt;&gt;"&amp;""),"")</f>
        <v/>
      </c>
      <c r="H22" s="94" t="str">
        <f>IF(A22&lt;&gt;"",SUMIFS(deployment!$G$4:$G$502, deployment!$D$4:$D$502,"="&amp;A22, deployment!$D$4:$D$502,"&lt;&gt;"&amp;""),"")</f>
        <v/>
      </c>
      <c r="I22" s="95" t="str">
        <f>IF(A22&lt;&gt;"",SUMIFS(deployment!$H$4:$H$502, deployment!$D$4:$D$502,"="&amp;A22, deployment!$D$4:$D$502,"&lt;&gt;"&amp;""),"")</f>
        <v/>
      </c>
      <c r="J22" s="96" t="str">
        <f>IF(A22&lt;&gt;"",SUMIFS(deployment!$I$4:$I$502, deployment!$D$4:$D$502,"="&amp;A22, deployment!$D$4:$D$502,"&lt;&gt;"&amp;""),"")</f>
        <v/>
      </c>
      <c r="K22" s="112" t="str">
        <f>IF(A22&lt;&gt;"",SUMIFS(deployment!$J$4:$J$502, deployment!$D$4:$D$502,"="&amp;A22, deployment!$D$4:$D$502,"&lt;&gt;"&amp;""),"")</f>
        <v/>
      </c>
      <c r="L22" s="112" t="str">
        <f>IF(A22&lt;&gt;"",SUMIFS(deployment!$K$4:$K$502, deployment!$D$4:$D$502,"="&amp;A22, deployment!$D$4:$D$502,"&lt;&gt;"&amp;""),"")</f>
        <v/>
      </c>
      <c r="M22" s="97" t="str">
        <f>IF(A22&lt;&gt;"",SUMIFS(deployment!$L$4:$L$502, deployment!$D$4:$D$502,"="&amp;A22, deployment!$D$4:$D$502,"&lt;&gt;"&amp;""),"")</f>
        <v/>
      </c>
      <c r="N22" s="97" t="str">
        <f>IF(A22&lt;&gt;"",SUMIFS(deployment!$M$4:$M$502, deployment!$D$4:$D$502,"="&amp;A22, deployment!$D$4:$D$502,"&lt;&gt;"&amp;""),"")</f>
        <v/>
      </c>
      <c r="O22" s="127" t="str">
        <f t="shared" si="11"/>
        <v/>
      </c>
      <c r="P22" s="104"/>
      <c r="Q22" s="99" t="str">
        <f t="shared" si="0"/>
        <v/>
      </c>
      <c r="R22" s="100" t="str">
        <f t="shared" si="1"/>
        <v/>
      </c>
      <c r="S22" s="100" t="str">
        <f t="shared" si="2"/>
        <v/>
      </c>
      <c r="T22" s="101" t="str">
        <f t="shared" si="3"/>
        <v/>
      </c>
      <c r="U22" s="101" t="str">
        <f t="shared" si="4"/>
        <v/>
      </c>
      <c r="V22" s="128" t="str">
        <f t="shared" si="5"/>
        <v/>
      </c>
      <c r="W22" s="128" t="str">
        <f t="shared" si="6"/>
        <v/>
      </c>
      <c r="X22" s="101" t="str">
        <f t="shared" si="7"/>
        <v/>
      </c>
      <c r="Y22" s="101" t="str">
        <f t="shared" si="8"/>
        <v/>
      </c>
      <c r="Z22" s="102" t="str">
        <f t="shared" si="9"/>
        <v/>
      </c>
      <c r="AA22" s="103" t="str">
        <f t="shared" si="10"/>
        <v/>
      </c>
      <c r="AB22" s="142" t="str">
        <f>IF(A22&lt;&gt;"", SUMIFS(node!$J$2:$J$500, node!$C$2:$C$500,"="&amp;A22)/P22, "")</f>
        <v/>
      </c>
      <c r="AC22" s="134" t="str">
        <f>IF(A22&lt;&gt;"", SUMIFS(node!$K$2:$K$500, node!$C$2:$C$500,"="&amp;A22)/P22, "")</f>
        <v/>
      </c>
      <c r="AD22" s="135" t="str">
        <f>IF(A22&lt;&gt;"", SUMIFS(node!$L$2:$L$500, node!$C$2:$C$500,"="&amp;A22), "")</f>
        <v/>
      </c>
      <c r="AE22" s="145" t="str">
        <f>IF(A22&lt;&gt;"", SUMIFS(node!$M$2:$M$500, node!$C$2:$C$500,"="&amp;A22), "")</f>
        <v/>
      </c>
    </row>
    <row r="23" spans="1:31" ht="15.75" customHeight="1" x14ac:dyDescent="0.25">
      <c r="A23" s="119"/>
      <c r="B23" s="116" t="str">
        <f>IF(A23&lt;&gt;"", VLOOKUP(A23, node!$C$2:$D$500, 2, FALSE), "")</f>
        <v/>
      </c>
      <c r="C23" s="117" t="str">
        <f>IF(A23&lt;&gt;"", VLOOKUP(A23, node!$C$2:$E$500, 3, FALSE), "")</f>
        <v/>
      </c>
      <c r="D23" s="118" t="str">
        <f>IF(A23&lt;&gt;"",COUNTIFS(node!$C$2:$C$500,"="&amp;A23, node!$C$2:$C$500,"&lt;&gt;"&amp;""),"")</f>
        <v/>
      </c>
      <c r="E23" s="122" t="str">
        <f>IF(A23&lt;&gt;"",SUMIFS(node!$F$2:$F$500, node!$C$2:$C$500,"="&amp;A23, node!$C$2:$C$500,"&lt;&gt;"&amp;"")/(B23*D23),"")</f>
        <v/>
      </c>
      <c r="F23" s="124" t="str">
        <f>IF(A23&lt;&gt;"",SUMIFS(node!$H$2:$H$500, node!$C$2:$C$500,"="&amp;A23, node!$C$2:$C$500,"&lt;&gt;"&amp;"")/(C23*D23),"")</f>
        <v/>
      </c>
      <c r="G23" s="93" t="str">
        <f>IF(A23&lt;&gt;"",SUMIFS(deployment!$F$4:$F$502, deployment!$D$4:$D$502,"="&amp;A23, deployment!$D$4:$D$502,"&lt;&gt;"&amp;""),"")</f>
        <v/>
      </c>
      <c r="H23" s="94" t="str">
        <f>IF(A23&lt;&gt;"",SUMIFS(deployment!$G$4:$G$502, deployment!$D$4:$D$502,"="&amp;A23, deployment!$D$4:$D$502,"&lt;&gt;"&amp;""),"")</f>
        <v/>
      </c>
      <c r="I23" s="95" t="str">
        <f>IF(A23&lt;&gt;"",SUMIFS(deployment!$H$4:$H$502, deployment!$D$4:$D$502,"="&amp;A23, deployment!$D$4:$D$502,"&lt;&gt;"&amp;""),"")</f>
        <v/>
      </c>
      <c r="J23" s="96" t="str">
        <f>IF(A23&lt;&gt;"",SUMIFS(deployment!$I$4:$I$502, deployment!$D$4:$D$502,"="&amp;A23, deployment!$D$4:$D$502,"&lt;&gt;"&amp;""),"")</f>
        <v/>
      </c>
      <c r="K23" s="112" t="str">
        <f>IF(A23&lt;&gt;"",SUMIFS(deployment!$J$4:$J$502, deployment!$D$4:$D$502,"="&amp;A23, deployment!$D$4:$D$502,"&lt;&gt;"&amp;""),"")</f>
        <v/>
      </c>
      <c r="L23" s="112" t="str">
        <f>IF(A23&lt;&gt;"",SUMIFS(deployment!$K$4:$K$502, deployment!$D$4:$D$502,"="&amp;A23, deployment!$D$4:$D$502,"&lt;&gt;"&amp;""),"")</f>
        <v/>
      </c>
      <c r="M23" s="97" t="str">
        <f>IF(A23&lt;&gt;"",SUMIFS(deployment!$L$4:$L$502, deployment!$D$4:$D$502,"="&amp;A23, deployment!$D$4:$D$502,"&lt;&gt;"&amp;""),"")</f>
        <v/>
      </c>
      <c r="N23" s="97" t="str">
        <f>IF(A23&lt;&gt;"",SUMIFS(deployment!$M$4:$M$502, deployment!$D$4:$D$502,"="&amp;A23, deployment!$D$4:$D$502,"&lt;&gt;"&amp;""),"")</f>
        <v/>
      </c>
      <c r="O23" s="127" t="str">
        <f t="shared" si="11"/>
        <v/>
      </c>
      <c r="P23" s="104"/>
      <c r="Q23" s="99" t="str">
        <f t="shared" si="0"/>
        <v/>
      </c>
      <c r="R23" s="100" t="str">
        <f t="shared" si="1"/>
        <v/>
      </c>
      <c r="S23" s="100" t="str">
        <f t="shared" si="2"/>
        <v/>
      </c>
      <c r="T23" s="101" t="str">
        <f t="shared" si="3"/>
        <v/>
      </c>
      <c r="U23" s="101" t="str">
        <f t="shared" si="4"/>
        <v/>
      </c>
      <c r="V23" s="128" t="str">
        <f t="shared" si="5"/>
        <v/>
      </c>
      <c r="W23" s="128" t="str">
        <f t="shared" si="6"/>
        <v/>
      </c>
      <c r="X23" s="101" t="str">
        <f t="shared" si="7"/>
        <v/>
      </c>
      <c r="Y23" s="101" t="str">
        <f t="shared" si="8"/>
        <v/>
      </c>
      <c r="Z23" s="102" t="str">
        <f t="shared" si="9"/>
        <v/>
      </c>
      <c r="AA23" s="103" t="str">
        <f t="shared" si="10"/>
        <v/>
      </c>
      <c r="AB23" s="142" t="str">
        <f>IF(A23&lt;&gt;"", SUMIFS(node!$J$2:$J$500, node!$C$2:$C$500,"="&amp;A23)/P23, "")</f>
        <v/>
      </c>
      <c r="AC23" s="134" t="str">
        <f>IF(A23&lt;&gt;"", SUMIFS(node!$K$2:$K$500, node!$C$2:$C$500,"="&amp;A23)/P23, "")</f>
        <v/>
      </c>
      <c r="AD23" s="135" t="str">
        <f>IF(A23&lt;&gt;"", SUMIFS(node!$L$2:$L$500, node!$C$2:$C$500,"="&amp;A23), "")</f>
        <v/>
      </c>
      <c r="AE23" s="145" t="str">
        <f>IF(A23&lt;&gt;"", SUMIFS(node!$M$2:$M$500, node!$C$2:$C$500,"="&amp;A23), "")</f>
        <v/>
      </c>
    </row>
    <row r="24" spans="1:31" ht="15.75" customHeight="1" x14ac:dyDescent="0.25">
      <c r="A24" s="119"/>
      <c r="B24" s="116" t="str">
        <f>IF(A24&lt;&gt;"", VLOOKUP(A24, node!$C$2:$D$500, 2, FALSE), "")</f>
        <v/>
      </c>
      <c r="C24" s="117" t="str">
        <f>IF(A24&lt;&gt;"", VLOOKUP(A24, node!$C$2:$E$500, 3, FALSE), "")</f>
        <v/>
      </c>
      <c r="D24" s="118" t="str">
        <f>IF(A24&lt;&gt;"",COUNTIFS(node!$C$2:$C$500,"="&amp;A24, node!$C$2:$C$500,"&lt;&gt;"&amp;""),"")</f>
        <v/>
      </c>
      <c r="E24" s="122" t="str">
        <f>IF(A24&lt;&gt;"",SUMIFS(node!$F$2:$F$500, node!$C$2:$C$500,"="&amp;A24, node!$C$2:$C$500,"&lt;&gt;"&amp;"")/(B24*D24),"")</f>
        <v/>
      </c>
      <c r="F24" s="124" t="str">
        <f>IF(A24&lt;&gt;"",SUMIFS(node!$H$2:$H$500, node!$C$2:$C$500,"="&amp;A24, node!$C$2:$C$500,"&lt;&gt;"&amp;"")/(C24*D24),"")</f>
        <v/>
      </c>
      <c r="G24" s="93" t="str">
        <f>IF(A24&lt;&gt;"",SUMIFS(deployment!$F$4:$F$502, deployment!$D$4:$D$502,"="&amp;A24, deployment!$D$4:$D$502,"&lt;&gt;"&amp;""),"")</f>
        <v/>
      </c>
      <c r="H24" s="94" t="str">
        <f>IF(A24&lt;&gt;"",SUMIFS(deployment!$G$4:$G$502, deployment!$D$4:$D$502,"="&amp;A24, deployment!$D$4:$D$502,"&lt;&gt;"&amp;""),"")</f>
        <v/>
      </c>
      <c r="I24" s="95" t="str">
        <f>IF(A24&lt;&gt;"",SUMIFS(deployment!$H$4:$H$502, deployment!$D$4:$D$502,"="&amp;A24, deployment!$D$4:$D$502,"&lt;&gt;"&amp;""),"")</f>
        <v/>
      </c>
      <c r="J24" s="96" t="str">
        <f>IF(A24&lt;&gt;"",SUMIFS(deployment!$I$4:$I$502, deployment!$D$4:$D$502,"="&amp;A24, deployment!$D$4:$D$502,"&lt;&gt;"&amp;""),"")</f>
        <v/>
      </c>
      <c r="K24" s="112" t="str">
        <f>IF(A24&lt;&gt;"",SUMIFS(deployment!$J$4:$J$502, deployment!$D$4:$D$502,"="&amp;A24, deployment!$D$4:$D$502,"&lt;&gt;"&amp;""),"")</f>
        <v/>
      </c>
      <c r="L24" s="112" t="str">
        <f>IF(A24&lt;&gt;"",SUMIFS(deployment!$K$4:$K$502, deployment!$D$4:$D$502,"="&amp;A24, deployment!$D$4:$D$502,"&lt;&gt;"&amp;""),"")</f>
        <v/>
      </c>
      <c r="M24" s="97" t="str">
        <f>IF(A24&lt;&gt;"",SUMIFS(deployment!$L$4:$L$502, deployment!$D$4:$D$502,"="&amp;A24, deployment!$D$4:$D$502,"&lt;&gt;"&amp;""),"")</f>
        <v/>
      </c>
      <c r="N24" s="97" t="str">
        <f>IF(A24&lt;&gt;"",SUMIFS(deployment!$M$4:$M$502, deployment!$D$4:$D$502,"="&amp;A24, deployment!$D$4:$D$502,"&lt;&gt;"&amp;""),"")</f>
        <v/>
      </c>
      <c r="O24" s="127" t="str">
        <f t="shared" si="11"/>
        <v/>
      </c>
      <c r="P24" s="104"/>
      <c r="Q24" s="99" t="str">
        <f t="shared" si="0"/>
        <v/>
      </c>
      <c r="R24" s="100" t="str">
        <f t="shared" si="1"/>
        <v/>
      </c>
      <c r="S24" s="100" t="str">
        <f t="shared" si="2"/>
        <v/>
      </c>
      <c r="T24" s="101" t="str">
        <f t="shared" si="3"/>
        <v/>
      </c>
      <c r="U24" s="101" t="str">
        <f t="shared" si="4"/>
        <v/>
      </c>
      <c r="V24" s="128" t="str">
        <f t="shared" si="5"/>
        <v/>
      </c>
      <c r="W24" s="128" t="str">
        <f t="shared" si="6"/>
        <v/>
      </c>
      <c r="X24" s="101" t="str">
        <f t="shared" si="7"/>
        <v/>
      </c>
      <c r="Y24" s="101" t="str">
        <f t="shared" si="8"/>
        <v/>
      </c>
      <c r="Z24" s="102" t="str">
        <f t="shared" si="9"/>
        <v/>
      </c>
      <c r="AA24" s="103" t="str">
        <f t="shared" si="10"/>
        <v/>
      </c>
      <c r="AB24" s="142" t="str">
        <f>IF(A24&lt;&gt;"", SUMIFS(node!$J$2:$J$500, node!$C$2:$C$500,"="&amp;A24)/P24, "")</f>
        <v/>
      </c>
      <c r="AC24" s="134" t="str">
        <f>IF(A24&lt;&gt;"", SUMIFS(node!$K$2:$K$500, node!$C$2:$C$500,"="&amp;A24)/P24, "")</f>
        <v/>
      </c>
      <c r="AD24" s="135" t="str">
        <f>IF(A24&lt;&gt;"", SUMIFS(node!$L$2:$L$500, node!$C$2:$C$500,"="&amp;A24), "")</f>
        <v/>
      </c>
      <c r="AE24" s="145" t="str">
        <f>IF(A24&lt;&gt;"", SUMIFS(node!$M$2:$M$500, node!$C$2:$C$500,"="&amp;A24), "")</f>
        <v/>
      </c>
    </row>
    <row r="25" spans="1:31" ht="15.75" customHeight="1" x14ac:dyDescent="0.25">
      <c r="A25" s="119"/>
      <c r="B25" s="116" t="str">
        <f>IF(A25&lt;&gt;"", VLOOKUP(A25, node!$C$2:$D$500, 2, FALSE), "")</f>
        <v/>
      </c>
      <c r="C25" s="117" t="str">
        <f>IF(A25&lt;&gt;"", VLOOKUP(A25, node!$C$2:$E$500, 3, FALSE), "")</f>
        <v/>
      </c>
      <c r="D25" s="118" t="str">
        <f>IF(A25&lt;&gt;"",COUNTIFS(node!$C$2:$C$500,"="&amp;A25, node!$C$2:$C$500,"&lt;&gt;"&amp;""),"")</f>
        <v/>
      </c>
      <c r="E25" s="122" t="str">
        <f>IF(A25&lt;&gt;"",SUMIFS(node!$F$2:$F$500, node!$C$2:$C$500,"="&amp;A25, node!$C$2:$C$500,"&lt;&gt;"&amp;"")/(B25*D25),"")</f>
        <v/>
      </c>
      <c r="F25" s="124" t="str">
        <f>IF(A25&lt;&gt;"",SUMIFS(node!$H$2:$H$500, node!$C$2:$C$500,"="&amp;A25, node!$C$2:$C$500,"&lt;&gt;"&amp;"")/(C25*D25),"")</f>
        <v/>
      </c>
      <c r="G25" s="93" t="str">
        <f>IF(A25&lt;&gt;"",SUMIFS(deployment!$F$4:$F$502, deployment!$D$4:$D$502,"="&amp;A25, deployment!$D$4:$D$502,"&lt;&gt;"&amp;""),"")</f>
        <v/>
      </c>
      <c r="H25" s="94" t="str">
        <f>IF(A25&lt;&gt;"",SUMIFS(deployment!$G$4:$G$502, deployment!$D$4:$D$502,"="&amp;A25, deployment!$D$4:$D$502,"&lt;&gt;"&amp;""),"")</f>
        <v/>
      </c>
      <c r="I25" s="95" t="str">
        <f>IF(A25&lt;&gt;"",SUMIFS(deployment!$H$4:$H$502, deployment!$D$4:$D$502,"="&amp;A25, deployment!$D$4:$D$502,"&lt;&gt;"&amp;""),"")</f>
        <v/>
      </c>
      <c r="J25" s="96" t="str">
        <f>IF(A25&lt;&gt;"",SUMIFS(deployment!$I$4:$I$502, deployment!$D$4:$D$502,"="&amp;A25, deployment!$D$4:$D$502,"&lt;&gt;"&amp;""),"")</f>
        <v/>
      </c>
      <c r="K25" s="112" t="str">
        <f>IF(A25&lt;&gt;"",SUMIFS(deployment!$J$4:$J$502, deployment!$D$4:$D$502,"="&amp;A25, deployment!$D$4:$D$502,"&lt;&gt;"&amp;""),"")</f>
        <v/>
      </c>
      <c r="L25" s="112" t="str">
        <f>IF(A25&lt;&gt;"",SUMIFS(deployment!$K$4:$K$502, deployment!$D$4:$D$502,"="&amp;A25, deployment!$D$4:$D$502,"&lt;&gt;"&amp;""),"")</f>
        <v/>
      </c>
      <c r="M25" s="97" t="str">
        <f>IF(A25&lt;&gt;"",SUMIFS(deployment!$L$4:$L$502, deployment!$D$4:$D$502,"="&amp;A25, deployment!$D$4:$D$502,"&lt;&gt;"&amp;""),"")</f>
        <v/>
      </c>
      <c r="N25" s="97" t="str">
        <f>IF(A25&lt;&gt;"",SUMIFS(deployment!$M$4:$M$502, deployment!$D$4:$D$502,"="&amp;A25, deployment!$D$4:$D$502,"&lt;&gt;"&amp;""),"")</f>
        <v/>
      </c>
      <c r="O25" s="127" t="str">
        <f t="shared" si="11"/>
        <v/>
      </c>
      <c r="P25" s="104"/>
      <c r="Q25" s="99" t="str">
        <f t="shared" si="0"/>
        <v/>
      </c>
      <c r="R25" s="100" t="str">
        <f t="shared" si="1"/>
        <v/>
      </c>
      <c r="S25" s="100" t="str">
        <f t="shared" si="2"/>
        <v/>
      </c>
      <c r="T25" s="101" t="str">
        <f t="shared" si="3"/>
        <v/>
      </c>
      <c r="U25" s="101" t="str">
        <f t="shared" si="4"/>
        <v/>
      </c>
      <c r="V25" s="128" t="str">
        <f t="shared" si="5"/>
        <v/>
      </c>
      <c r="W25" s="128" t="str">
        <f t="shared" si="6"/>
        <v/>
      </c>
      <c r="X25" s="101" t="str">
        <f t="shared" si="7"/>
        <v/>
      </c>
      <c r="Y25" s="101" t="str">
        <f t="shared" si="8"/>
        <v/>
      </c>
      <c r="Z25" s="102" t="str">
        <f t="shared" si="9"/>
        <v/>
      </c>
      <c r="AA25" s="103" t="str">
        <f t="shared" si="10"/>
        <v/>
      </c>
      <c r="AB25" s="142" t="str">
        <f>IF(A25&lt;&gt;"", SUMIFS(node!$J$2:$J$500, node!$C$2:$C$500,"="&amp;A25)/P25, "")</f>
        <v/>
      </c>
      <c r="AC25" s="134" t="str">
        <f>IF(A25&lt;&gt;"", SUMIFS(node!$K$2:$K$500, node!$C$2:$C$500,"="&amp;A25)/P25, "")</f>
        <v/>
      </c>
      <c r="AD25" s="135" t="str">
        <f>IF(A25&lt;&gt;"", SUMIFS(node!$L$2:$L$500, node!$C$2:$C$500,"="&amp;A25), "")</f>
        <v/>
      </c>
      <c r="AE25" s="145" t="str">
        <f>IF(A25&lt;&gt;"", SUMIFS(node!$M$2:$M$500, node!$C$2:$C$500,"="&amp;A25), "")</f>
        <v/>
      </c>
    </row>
    <row r="26" spans="1:31" ht="15.75" customHeight="1" x14ac:dyDescent="0.25">
      <c r="A26" s="119"/>
      <c r="B26" s="116" t="str">
        <f>IF(A26&lt;&gt;"", VLOOKUP(A26, node!$C$2:$D$500, 2, FALSE), "")</f>
        <v/>
      </c>
      <c r="C26" s="117" t="str">
        <f>IF(A26&lt;&gt;"", VLOOKUP(A26, node!$C$2:$E$500, 3, FALSE), "")</f>
        <v/>
      </c>
      <c r="D26" s="118" t="str">
        <f>IF(A26&lt;&gt;"",COUNTIFS(node!$C$2:$C$500,"="&amp;A26, node!$C$2:$C$500,"&lt;&gt;"&amp;""),"")</f>
        <v/>
      </c>
      <c r="E26" s="122" t="str">
        <f>IF(A26&lt;&gt;"",SUMIFS(node!$F$2:$F$500, node!$C$2:$C$500,"="&amp;A26, node!$C$2:$C$500,"&lt;&gt;"&amp;"")/(B26*D26),"")</f>
        <v/>
      </c>
      <c r="F26" s="124" t="str">
        <f>IF(A26&lt;&gt;"",SUMIFS(node!$H$2:$H$500, node!$C$2:$C$500,"="&amp;A26, node!$C$2:$C$500,"&lt;&gt;"&amp;"")/(C26*D26),"")</f>
        <v/>
      </c>
      <c r="G26" s="93" t="str">
        <f>IF(A26&lt;&gt;"",SUMIFS(deployment!$F$4:$F$502, deployment!$D$4:$D$502,"="&amp;A26, deployment!$D$4:$D$502,"&lt;&gt;"&amp;""),"")</f>
        <v/>
      </c>
      <c r="H26" s="94" t="str">
        <f>IF(A26&lt;&gt;"",SUMIFS(deployment!$G$4:$G$502, deployment!$D$4:$D$502,"="&amp;A26, deployment!$D$4:$D$502,"&lt;&gt;"&amp;""),"")</f>
        <v/>
      </c>
      <c r="I26" s="95" t="str">
        <f>IF(A26&lt;&gt;"",SUMIFS(deployment!$H$4:$H$502, deployment!$D$4:$D$502,"="&amp;A26, deployment!$D$4:$D$502,"&lt;&gt;"&amp;""),"")</f>
        <v/>
      </c>
      <c r="J26" s="96" t="str">
        <f>IF(A26&lt;&gt;"",SUMIFS(deployment!$I$4:$I$502, deployment!$D$4:$D$502,"="&amp;A26, deployment!$D$4:$D$502,"&lt;&gt;"&amp;""),"")</f>
        <v/>
      </c>
      <c r="K26" s="112" t="str">
        <f>IF(A26&lt;&gt;"",SUMIFS(deployment!$J$4:$J$502, deployment!$D$4:$D$502,"="&amp;A26, deployment!$D$4:$D$502,"&lt;&gt;"&amp;""),"")</f>
        <v/>
      </c>
      <c r="L26" s="112" t="str">
        <f>IF(A26&lt;&gt;"",SUMIFS(deployment!$K$4:$K$502, deployment!$D$4:$D$502,"="&amp;A26, deployment!$D$4:$D$502,"&lt;&gt;"&amp;""),"")</f>
        <v/>
      </c>
      <c r="M26" s="97" t="str">
        <f>IF(A26&lt;&gt;"",SUMIFS(deployment!$L$4:$L$502, deployment!$D$4:$D$502,"="&amp;A26, deployment!$D$4:$D$502,"&lt;&gt;"&amp;""),"")</f>
        <v/>
      </c>
      <c r="N26" s="97" t="str">
        <f>IF(A26&lt;&gt;"",SUMIFS(deployment!$M$4:$M$502, deployment!$D$4:$D$502,"="&amp;A26, deployment!$D$4:$D$502,"&lt;&gt;"&amp;""),"")</f>
        <v/>
      </c>
      <c r="O26" s="127" t="str">
        <f t="shared" si="11"/>
        <v/>
      </c>
      <c r="P26" s="104"/>
      <c r="Q26" s="99" t="str">
        <f t="shared" si="0"/>
        <v/>
      </c>
      <c r="R26" s="100" t="str">
        <f t="shared" si="1"/>
        <v/>
      </c>
      <c r="S26" s="100" t="str">
        <f t="shared" si="2"/>
        <v/>
      </c>
      <c r="T26" s="101" t="str">
        <f t="shared" si="3"/>
        <v/>
      </c>
      <c r="U26" s="101" t="str">
        <f t="shared" si="4"/>
        <v/>
      </c>
      <c r="V26" s="128" t="str">
        <f t="shared" si="5"/>
        <v/>
      </c>
      <c r="W26" s="128" t="str">
        <f t="shared" si="6"/>
        <v/>
      </c>
      <c r="X26" s="101" t="str">
        <f t="shared" si="7"/>
        <v/>
      </c>
      <c r="Y26" s="101" t="str">
        <f t="shared" si="8"/>
        <v/>
      </c>
      <c r="Z26" s="102" t="str">
        <f t="shared" si="9"/>
        <v/>
      </c>
      <c r="AA26" s="103" t="str">
        <f t="shared" si="10"/>
        <v/>
      </c>
      <c r="AB26" s="142" t="str">
        <f>IF(A26&lt;&gt;"", SUMIFS(node!$J$2:$J$500, node!$C$2:$C$500,"="&amp;A26)/P26, "")</f>
        <v/>
      </c>
      <c r="AC26" s="134" t="str">
        <f>IF(A26&lt;&gt;"", SUMIFS(node!$K$2:$K$500, node!$C$2:$C$500,"="&amp;A26)/P26, "")</f>
        <v/>
      </c>
      <c r="AD26" s="135" t="str">
        <f>IF(A26&lt;&gt;"", SUMIFS(node!$L$2:$L$500, node!$C$2:$C$500,"="&amp;A26), "")</f>
        <v/>
      </c>
      <c r="AE26" s="145" t="str">
        <f>IF(A26&lt;&gt;"", SUMIFS(node!$M$2:$M$500, node!$C$2:$C$500,"="&amp;A26), "")</f>
        <v/>
      </c>
    </row>
    <row r="27" spans="1:31" ht="15.75" customHeight="1" x14ac:dyDescent="0.25">
      <c r="A27" s="119"/>
      <c r="B27" s="116" t="str">
        <f>IF(A27&lt;&gt;"", VLOOKUP(A27, node!$C$2:$D$500, 2, FALSE), "")</f>
        <v/>
      </c>
      <c r="C27" s="117" t="str">
        <f>IF(A27&lt;&gt;"", VLOOKUP(A27, node!$C$2:$E$500, 3, FALSE), "")</f>
        <v/>
      </c>
      <c r="D27" s="118" t="str">
        <f>IF(A27&lt;&gt;"",COUNTIFS(node!$C$2:$C$500,"="&amp;A27, node!$C$2:$C$500,"&lt;&gt;"&amp;""),"")</f>
        <v/>
      </c>
      <c r="E27" s="122" t="str">
        <f>IF(A27&lt;&gt;"",SUMIFS(node!$F$2:$F$500, node!$C$2:$C$500,"="&amp;A27, node!$C$2:$C$500,"&lt;&gt;"&amp;"")/(B27*D27),"")</f>
        <v/>
      </c>
      <c r="F27" s="124" t="str">
        <f>IF(A27&lt;&gt;"",SUMIFS(node!$H$2:$H$500, node!$C$2:$C$500,"="&amp;A27, node!$C$2:$C$500,"&lt;&gt;"&amp;"")/(C27*D27),"")</f>
        <v/>
      </c>
      <c r="G27" s="93" t="str">
        <f>IF(A27&lt;&gt;"",SUMIFS(deployment!$F$4:$F$502, deployment!$D$4:$D$502,"="&amp;A27, deployment!$D$4:$D$502,"&lt;&gt;"&amp;""),"")</f>
        <v/>
      </c>
      <c r="H27" s="94" t="str">
        <f>IF(A27&lt;&gt;"",SUMIFS(deployment!$G$4:$G$502, deployment!$D$4:$D$502,"="&amp;A27, deployment!$D$4:$D$502,"&lt;&gt;"&amp;""),"")</f>
        <v/>
      </c>
      <c r="I27" s="95" t="str">
        <f>IF(A27&lt;&gt;"",SUMIFS(deployment!$H$4:$H$502, deployment!$D$4:$D$502,"="&amp;A27, deployment!$D$4:$D$502,"&lt;&gt;"&amp;""),"")</f>
        <v/>
      </c>
      <c r="J27" s="96" t="str">
        <f>IF(A27&lt;&gt;"",SUMIFS(deployment!$I$4:$I$502, deployment!$D$4:$D$502,"="&amp;A27, deployment!$D$4:$D$502,"&lt;&gt;"&amp;""),"")</f>
        <v/>
      </c>
      <c r="K27" s="112" t="str">
        <f>IF(A27&lt;&gt;"",SUMIFS(deployment!$J$4:$J$502, deployment!$D$4:$D$502,"="&amp;A27, deployment!$D$4:$D$502,"&lt;&gt;"&amp;""),"")</f>
        <v/>
      </c>
      <c r="L27" s="112" t="str">
        <f>IF(A27&lt;&gt;"",SUMIFS(deployment!$K$4:$K$502, deployment!$D$4:$D$502,"="&amp;A27, deployment!$D$4:$D$502,"&lt;&gt;"&amp;""),"")</f>
        <v/>
      </c>
      <c r="M27" s="97" t="str">
        <f>IF(A27&lt;&gt;"",SUMIFS(deployment!$L$4:$L$502, deployment!$D$4:$D$502,"="&amp;A27, deployment!$D$4:$D$502,"&lt;&gt;"&amp;""),"")</f>
        <v/>
      </c>
      <c r="N27" s="97" t="str">
        <f>IF(A27&lt;&gt;"",SUMIFS(deployment!$M$4:$M$502, deployment!$D$4:$D$502,"="&amp;A27, deployment!$D$4:$D$502,"&lt;&gt;"&amp;""),"")</f>
        <v/>
      </c>
      <c r="O27" s="127" t="str">
        <f t="shared" si="11"/>
        <v/>
      </c>
      <c r="P27" s="104"/>
      <c r="Q27" s="99" t="str">
        <f t="shared" si="0"/>
        <v/>
      </c>
      <c r="R27" s="100" t="str">
        <f t="shared" si="1"/>
        <v/>
      </c>
      <c r="S27" s="100" t="str">
        <f t="shared" si="2"/>
        <v/>
      </c>
      <c r="T27" s="101" t="str">
        <f t="shared" si="3"/>
        <v/>
      </c>
      <c r="U27" s="101" t="str">
        <f t="shared" si="4"/>
        <v/>
      </c>
      <c r="V27" s="128" t="str">
        <f t="shared" si="5"/>
        <v/>
      </c>
      <c r="W27" s="128" t="str">
        <f t="shared" si="6"/>
        <v/>
      </c>
      <c r="X27" s="101" t="str">
        <f t="shared" si="7"/>
        <v/>
      </c>
      <c r="Y27" s="101" t="str">
        <f t="shared" si="8"/>
        <v/>
      </c>
      <c r="Z27" s="102" t="str">
        <f t="shared" si="9"/>
        <v/>
      </c>
      <c r="AA27" s="103" t="str">
        <f t="shared" si="10"/>
        <v/>
      </c>
      <c r="AB27" s="142" t="str">
        <f>IF(A27&lt;&gt;"", SUMIFS(node!$J$2:$J$500, node!$C$2:$C$500,"="&amp;A27)/P27, "")</f>
        <v/>
      </c>
      <c r="AC27" s="134" t="str">
        <f>IF(A27&lt;&gt;"", SUMIFS(node!$K$2:$K$500, node!$C$2:$C$500,"="&amp;A27)/P27, "")</f>
        <v/>
      </c>
      <c r="AD27" s="135" t="str">
        <f>IF(A27&lt;&gt;"", SUMIFS(node!$L$2:$L$500, node!$C$2:$C$500,"="&amp;A27), "")</f>
        <v/>
      </c>
      <c r="AE27" s="145" t="str">
        <f>IF(A27&lt;&gt;"", SUMIFS(node!$M$2:$M$500, node!$C$2:$C$500,"="&amp;A27), "")</f>
        <v/>
      </c>
    </row>
    <row r="28" spans="1:31" ht="15.75" customHeight="1" x14ac:dyDescent="0.25">
      <c r="A28" s="119"/>
      <c r="B28" s="116" t="str">
        <f>IF(A28&lt;&gt;"", VLOOKUP(A28, node!$C$2:$D$500, 2, FALSE), "")</f>
        <v/>
      </c>
      <c r="C28" s="117" t="str">
        <f>IF(A28&lt;&gt;"", VLOOKUP(A28, node!$C$2:$E$500, 3, FALSE), "")</f>
        <v/>
      </c>
      <c r="D28" s="118" t="str">
        <f>IF(A28&lt;&gt;"",COUNTIFS(node!$C$2:$C$500,"="&amp;A28, node!$C$2:$C$500,"&lt;&gt;"&amp;""),"")</f>
        <v/>
      </c>
      <c r="E28" s="122" t="str">
        <f>IF(A28&lt;&gt;"",SUMIFS(node!$F$2:$F$500, node!$C$2:$C$500,"="&amp;A28, node!$C$2:$C$500,"&lt;&gt;"&amp;"")/(B28*D28),"")</f>
        <v/>
      </c>
      <c r="F28" s="124" t="str">
        <f>IF(A28&lt;&gt;"",SUMIFS(node!$H$2:$H$500, node!$C$2:$C$500,"="&amp;A28, node!$C$2:$C$500,"&lt;&gt;"&amp;"")/(C28*D28),"")</f>
        <v/>
      </c>
      <c r="G28" s="93" t="str">
        <f>IF(A28&lt;&gt;"",SUMIFS(deployment!$F$4:$F$502, deployment!$D$4:$D$502,"="&amp;A28, deployment!$D$4:$D$502,"&lt;&gt;"&amp;""),"")</f>
        <v/>
      </c>
      <c r="H28" s="94" t="str">
        <f>IF(A28&lt;&gt;"",SUMIFS(deployment!$G$4:$G$502, deployment!$D$4:$D$502,"="&amp;A28, deployment!$D$4:$D$502,"&lt;&gt;"&amp;""),"")</f>
        <v/>
      </c>
      <c r="I28" s="95" t="str">
        <f>IF(A28&lt;&gt;"",SUMIFS(deployment!$H$4:$H$502, deployment!$D$4:$D$502,"="&amp;A28, deployment!$D$4:$D$502,"&lt;&gt;"&amp;""),"")</f>
        <v/>
      </c>
      <c r="J28" s="96" t="str">
        <f>IF(A28&lt;&gt;"",SUMIFS(deployment!$I$4:$I$502, deployment!$D$4:$D$502,"="&amp;A28, deployment!$D$4:$D$502,"&lt;&gt;"&amp;""),"")</f>
        <v/>
      </c>
      <c r="K28" s="112" t="str">
        <f>IF(A28&lt;&gt;"",SUMIFS(deployment!$J$4:$J$502, deployment!$D$4:$D$502,"="&amp;A28, deployment!$D$4:$D$502,"&lt;&gt;"&amp;""),"")</f>
        <v/>
      </c>
      <c r="L28" s="112" t="str">
        <f>IF(A28&lt;&gt;"",SUMIFS(deployment!$K$4:$K$502, deployment!$D$4:$D$502,"="&amp;A28, deployment!$D$4:$D$502,"&lt;&gt;"&amp;""),"")</f>
        <v/>
      </c>
      <c r="M28" s="97" t="str">
        <f>IF(A28&lt;&gt;"",SUMIFS(deployment!$L$4:$L$502, deployment!$D$4:$D$502,"="&amp;A28, deployment!$D$4:$D$502,"&lt;&gt;"&amp;""),"")</f>
        <v/>
      </c>
      <c r="N28" s="97" t="str">
        <f>IF(A28&lt;&gt;"",SUMIFS(deployment!$M$4:$M$502, deployment!$D$4:$D$502,"="&amp;A28, deployment!$D$4:$D$502,"&lt;&gt;"&amp;""),"")</f>
        <v/>
      </c>
      <c r="O28" s="127" t="str">
        <f t="shared" si="11"/>
        <v/>
      </c>
      <c r="P28" s="104"/>
      <c r="Q28" s="99" t="str">
        <f t="shared" si="0"/>
        <v/>
      </c>
      <c r="R28" s="100" t="str">
        <f t="shared" si="1"/>
        <v/>
      </c>
      <c r="S28" s="100" t="str">
        <f t="shared" si="2"/>
        <v/>
      </c>
      <c r="T28" s="101" t="str">
        <f t="shared" si="3"/>
        <v/>
      </c>
      <c r="U28" s="101" t="str">
        <f t="shared" si="4"/>
        <v/>
      </c>
      <c r="V28" s="128" t="str">
        <f t="shared" si="5"/>
        <v/>
      </c>
      <c r="W28" s="128" t="str">
        <f t="shared" si="6"/>
        <v/>
      </c>
      <c r="X28" s="101" t="str">
        <f t="shared" si="7"/>
        <v/>
      </c>
      <c r="Y28" s="101" t="str">
        <f t="shared" si="8"/>
        <v/>
      </c>
      <c r="Z28" s="102" t="str">
        <f t="shared" si="9"/>
        <v/>
      </c>
      <c r="AA28" s="103" t="str">
        <f t="shared" si="10"/>
        <v/>
      </c>
      <c r="AB28" s="142" t="str">
        <f>IF(A28&lt;&gt;"", SUMIFS(node!$J$2:$J$500, node!$C$2:$C$500,"="&amp;A28)/P28, "")</f>
        <v/>
      </c>
      <c r="AC28" s="134" t="str">
        <f>IF(A28&lt;&gt;"", SUMIFS(node!$K$2:$K$500, node!$C$2:$C$500,"="&amp;A28)/P28, "")</f>
        <v/>
      </c>
      <c r="AD28" s="135" t="str">
        <f>IF(A28&lt;&gt;"", SUMIFS(node!$L$2:$L$500, node!$C$2:$C$500,"="&amp;A28), "")</f>
        <v/>
      </c>
      <c r="AE28" s="145" t="str">
        <f>IF(A28&lt;&gt;"", SUMIFS(node!$M$2:$M$500, node!$C$2:$C$500,"="&amp;A28), "")</f>
        <v/>
      </c>
    </row>
    <row r="29" spans="1:31" ht="15.75" customHeight="1" x14ac:dyDescent="0.25">
      <c r="A29" s="119"/>
      <c r="B29" s="116" t="str">
        <f>IF(A29&lt;&gt;"", VLOOKUP(A29, node!$C$2:$D$500, 2, FALSE), "")</f>
        <v/>
      </c>
      <c r="C29" s="117" t="str">
        <f>IF(A29&lt;&gt;"", VLOOKUP(A29, node!$C$2:$E$500, 3, FALSE), "")</f>
        <v/>
      </c>
      <c r="D29" s="118" t="str">
        <f>IF(A29&lt;&gt;"",COUNTIFS(node!$C$2:$C$500,"="&amp;A29, node!$C$2:$C$500,"&lt;&gt;"&amp;""),"")</f>
        <v/>
      </c>
      <c r="E29" s="122" t="str">
        <f>IF(A29&lt;&gt;"",SUMIFS(node!$F$2:$F$500, node!$C$2:$C$500,"="&amp;A29, node!$C$2:$C$500,"&lt;&gt;"&amp;"")/(B29*D29),"")</f>
        <v/>
      </c>
      <c r="F29" s="124" t="str">
        <f>IF(A29&lt;&gt;"",SUMIFS(node!$H$2:$H$500, node!$C$2:$C$500,"="&amp;A29, node!$C$2:$C$500,"&lt;&gt;"&amp;"")/(C29*D29),"")</f>
        <v/>
      </c>
      <c r="G29" s="93" t="str">
        <f>IF(A29&lt;&gt;"",SUMIFS(deployment!$F$4:$F$502, deployment!$D$4:$D$502,"="&amp;A29, deployment!$D$4:$D$502,"&lt;&gt;"&amp;""),"")</f>
        <v/>
      </c>
      <c r="H29" s="94" t="str">
        <f>IF(A29&lt;&gt;"",SUMIFS(deployment!$G$4:$G$502, deployment!$D$4:$D$502,"="&amp;A29, deployment!$D$4:$D$502,"&lt;&gt;"&amp;""),"")</f>
        <v/>
      </c>
      <c r="I29" s="95" t="str">
        <f>IF(A29&lt;&gt;"",SUMIFS(deployment!$H$4:$H$502, deployment!$D$4:$D$502,"="&amp;A29, deployment!$D$4:$D$502,"&lt;&gt;"&amp;""),"")</f>
        <v/>
      </c>
      <c r="J29" s="96" t="str">
        <f>IF(A29&lt;&gt;"",SUMIFS(deployment!$I$4:$I$502, deployment!$D$4:$D$502,"="&amp;A29, deployment!$D$4:$D$502,"&lt;&gt;"&amp;""),"")</f>
        <v/>
      </c>
      <c r="K29" s="112" t="str">
        <f>IF(A29&lt;&gt;"",SUMIFS(deployment!$J$4:$J$502, deployment!$D$4:$D$502,"="&amp;A29, deployment!$D$4:$D$502,"&lt;&gt;"&amp;""),"")</f>
        <v/>
      </c>
      <c r="L29" s="112" t="str">
        <f>IF(A29&lt;&gt;"",SUMIFS(deployment!$K$4:$K$502, deployment!$D$4:$D$502,"="&amp;A29, deployment!$D$4:$D$502,"&lt;&gt;"&amp;""),"")</f>
        <v/>
      </c>
      <c r="M29" s="97" t="str">
        <f>IF(A29&lt;&gt;"",SUMIFS(deployment!$L$4:$L$502, deployment!$D$4:$D$502,"="&amp;A29, deployment!$D$4:$D$502,"&lt;&gt;"&amp;""),"")</f>
        <v/>
      </c>
      <c r="N29" s="97" t="str">
        <f>IF(A29&lt;&gt;"",SUMIFS(deployment!$M$4:$M$502, deployment!$D$4:$D$502,"="&amp;A29, deployment!$D$4:$D$502,"&lt;&gt;"&amp;""),"")</f>
        <v/>
      </c>
      <c r="O29" s="127" t="str">
        <f t="shared" si="11"/>
        <v/>
      </c>
      <c r="P29" s="104"/>
      <c r="Q29" s="99" t="str">
        <f t="shared" si="0"/>
        <v/>
      </c>
      <c r="R29" s="100" t="str">
        <f t="shared" si="1"/>
        <v/>
      </c>
      <c r="S29" s="100" t="str">
        <f t="shared" si="2"/>
        <v/>
      </c>
      <c r="T29" s="101" t="str">
        <f t="shared" si="3"/>
        <v/>
      </c>
      <c r="U29" s="101" t="str">
        <f t="shared" si="4"/>
        <v/>
      </c>
      <c r="V29" s="128" t="str">
        <f t="shared" si="5"/>
        <v/>
      </c>
      <c r="W29" s="128" t="str">
        <f t="shared" si="6"/>
        <v/>
      </c>
      <c r="X29" s="101" t="str">
        <f t="shared" si="7"/>
        <v/>
      </c>
      <c r="Y29" s="101" t="str">
        <f t="shared" si="8"/>
        <v/>
      </c>
      <c r="Z29" s="102" t="str">
        <f t="shared" si="9"/>
        <v/>
      </c>
      <c r="AA29" s="103" t="str">
        <f t="shared" si="10"/>
        <v/>
      </c>
      <c r="AB29" s="142" t="str">
        <f>IF(A29&lt;&gt;"", SUMIFS(node!$J$2:$J$500, node!$C$2:$C$500,"="&amp;A29)/P29, "")</f>
        <v/>
      </c>
      <c r="AC29" s="134" t="str">
        <f>IF(A29&lt;&gt;"", SUMIFS(node!$K$2:$K$500, node!$C$2:$C$500,"="&amp;A29)/P29, "")</f>
        <v/>
      </c>
      <c r="AD29" s="135" t="str">
        <f>IF(A29&lt;&gt;"", SUMIFS(node!$L$2:$L$500, node!$C$2:$C$500,"="&amp;A29), "")</f>
        <v/>
      </c>
      <c r="AE29" s="145" t="str">
        <f>IF(A29&lt;&gt;"", SUMIFS(node!$M$2:$M$500, node!$C$2:$C$500,"="&amp;A29), "")</f>
        <v/>
      </c>
    </row>
    <row r="30" spans="1:31" ht="15.75" customHeight="1" x14ac:dyDescent="0.25">
      <c r="A30" s="119"/>
      <c r="B30" s="116" t="str">
        <f>IF(A30&lt;&gt;"", VLOOKUP(A30, node!$C$2:$D$500, 2, FALSE), "")</f>
        <v/>
      </c>
      <c r="C30" s="117" t="str">
        <f>IF(A30&lt;&gt;"", VLOOKUP(A30, node!$C$2:$E$500, 3, FALSE), "")</f>
        <v/>
      </c>
      <c r="D30" s="118" t="str">
        <f>IF(A30&lt;&gt;"",COUNTIFS(node!$C$2:$C$500,"="&amp;A30, node!$C$2:$C$500,"&lt;&gt;"&amp;""),"")</f>
        <v/>
      </c>
      <c r="E30" s="122" t="str">
        <f>IF(A30&lt;&gt;"",SUMIFS(node!$F$2:$F$500, node!$C$2:$C$500,"="&amp;A30, node!$C$2:$C$500,"&lt;&gt;"&amp;"")/(B30*D30),"")</f>
        <v/>
      </c>
      <c r="F30" s="124" t="str">
        <f>IF(A30&lt;&gt;"",SUMIFS(node!$H$2:$H$500, node!$C$2:$C$500,"="&amp;A30, node!$C$2:$C$500,"&lt;&gt;"&amp;"")/(C30*D30),"")</f>
        <v/>
      </c>
      <c r="G30" s="93" t="str">
        <f>IF(A30&lt;&gt;"",SUMIFS(deployment!$F$4:$F$502, deployment!$D$4:$D$502,"="&amp;A30, deployment!$D$4:$D$502,"&lt;&gt;"&amp;""),"")</f>
        <v/>
      </c>
      <c r="H30" s="94" t="str">
        <f>IF(A30&lt;&gt;"",SUMIFS(deployment!$G$4:$G$502, deployment!$D$4:$D$502,"="&amp;A30, deployment!$D$4:$D$502,"&lt;&gt;"&amp;""),"")</f>
        <v/>
      </c>
      <c r="I30" s="95" t="str">
        <f>IF(A30&lt;&gt;"",SUMIFS(deployment!$H$4:$H$502, deployment!$D$4:$D$502,"="&amp;A30, deployment!$D$4:$D$502,"&lt;&gt;"&amp;""),"")</f>
        <v/>
      </c>
      <c r="J30" s="96" t="str">
        <f>IF(A30&lt;&gt;"",SUMIFS(deployment!$I$4:$I$502, deployment!$D$4:$D$502,"="&amp;A30, deployment!$D$4:$D$502,"&lt;&gt;"&amp;""),"")</f>
        <v/>
      </c>
      <c r="K30" s="112" t="str">
        <f>IF(A30&lt;&gt;"",SUMIFS(deployment!$J$4:$J$502, deployment!$D$4:$D$502,"="&amp;A30, deployment!$D$4:$D$502,"&lt;&gt;"&amp;""),"")</f>
        <v/>
      </c>
      <c r="L30" s="112" t="str">
        <f>IF(A30&lt;&gt;"",SUMIFS(deployment!$K$4:$K$502, deployment!$D$4:$D$502,"="&amp;A30, deployment!$D$4:$D$502,"&lt;&gt;"&amp;""),"")</f>
        <v/>
      </c>
      <c r="M30" s="97" t="str">
        <f>IF(A30&lt;&gt;"",SUMIFS(deployment!$L$4:$L$502, deployment!$D$4:$D$502,"="&amp;A30, deployment!$D$4:$D$502,"&lt;&gt;"&amp;""),"")</f>
        <v/>
      </c>
      <c r="N30" s="97" t="str">
        <f>IF(A30&lt;&gt;"",SUMIFS(deployment!$M$4:$M$502, deployment!$D$4:$D$502,"="&amp;A30, deployment!$D$4:$D$502,"&lt;&gt;"&amp;""),"")</f>
        <v/>
      </c>
      <c r="O30" s="127" t="str">
        <f t="shared" si="11"/>
        <v/>
      </c>
      <c r="P30" s="104"/>
      <c r="Q30" s="99" t="str">
        <f t="shared" si="0"/>
        <v/>
      </c>
      <c r="R30" s="100" t="str">
        <f t="shared" si="1"/>
        <v/>
      </c>
      <c r="S30" s="100" t="str">
        <f t="shared" si="2"/>
        <v/>
      </c>
      <c r="T30" s="101" t="str">
        <f t="shared" si="3"/>
        <v/>
      </c>
      <c r="U30" s="101" t="str">
        <f t="shared" si="4"/>
        <v/>
      </c>
      <c r="V30" s="128" t="str">
        <f t="shared" si="5"/>
        <v/>
      </c>
      <c r="W30" s="128" t="str">
        <f t="shared" si="6"/>
        <v/>
      </c>
      <c r="X30" s="101" t="str">
        <f t="shared" si="7"/>
        <v/>
      </c>
      <c r="Y30" s="101" t="str">
        <f t="shared" si="8"/>
        <v/>
      </c>
      <c r="Z30" s="102" t="str">
        <f t="shared" si="9"/>
        <v/>
      </c>
      <c r="AA30" s="103" t="str">
        <f t="shared" si="10"/>
        <v/>
      </c>
      <c r="AB30" s="142" t="str">
        <f>IF(A30&lt;&gt;"", SUMIFS(node!$J$2:$J$500, node!$C$2:$C$500,"="&amp;A30)/P30, "")</f>
        <v/>
      </c>
      <c r="AC30" s="134" t="str">
        <f>IF(A30&lt;&gt;"", SUMIFS(node!$K$2:$K$500, node!$C$2:$C$500,"="&amp;A30)/P30, "")</f>
        <v/>
      </c>
      <c r="AD30" s="135" t="str">
        <f>IF(A30&lt;&gt;"", SUMIFS(node!$L$2:$L$500, node!$C$2:$C$500,"="&amp;A30), "")</f>
        <v/>
      </c>
      <c r="AE30" s="145" t="str">
        <f>IF(A30&lt;&gt;"", SUMIFS(node!$M$2:$M$500, node!$C$2:$C$500,"="&amp;A30), "")</f>
        <v/>
      </c>
    </row>
    <row r="31" spans="1:31" ht="15.75" customHeight="1" x14ac:dyDescent="0.25">
      <c r="A31" s="119"/>
      <c r="B31" s="116" t="str">
        <f>IF(A31&lt;&gt;"", VLOOKUP(A31, node!$C$2:$D$500, 2, FALSE), "")</f>
        <v/>
      </c>
      <c r="C31" s="117" t="str">
        <f>IF(A31&lt;&gt;"", VLOOKUP(A31, node!$C$2:$E$500, 3, FALSE), "")</f>
        <v/>
      </c>
      <c r="D31" s="118" t="str">
        <f>IF(A31&lt;&gt;"",COUNTIFS(node!$C$2:$C$500,"="&amp;A31, node!$C$2:$C$500,"&lt;&gt;"&amp;""),"")</f>
        <v/>
      </c>
      <c r="E31" s="122" t="str">
        <f>IF(A31&lt;&gt;"",SUMIFS(node!$F$2:$F$500, node!$C$2:$C$500,"="&amp;A31, node!$C$2:$C$500,"&lt;&gt;"&amp;"")/(B31*D31),"")</f>
        <v/>
      </c>
      <c r="F31" s="124" t="str">
        <f>IF(A31&lt;&gt;"",SUMIFS(node!$H$2:$H$500, node!$C$2:$C$500,"="&amp;A31, node!$C$2:$C$500,"&lt;&gt;"&amp;"")/(C31*D31),"")</f>
        <v/>
      </c>
      <c r="G31" s="93" t="str">
        <f>IF(A31&lt;&gt;"",SUMIFS(deployment!$F$4:$F$502, deployment!$D$4:$D$502,"="&amp;A31, deployment!$D$4:$D$502,"&lt;&gt;"&amp;""),"")</f>
        <v/>
      </c>
      <c r="H31" s="94" t="str">
        <f>IF(A31&lt;&gt;"",SUMIFS(deployment!$G$4:$G$502, deployment!$D$4:$D$502,"="&amp;A31, deployment!$D$4:$D$502,"&lt;&gt;"&amp;""),"")</f>
        <v/>
      </c>
      <c r="I31" s="95" t="str">
        <f>IF(A31&lt;&gt;"",SUMIFS(deployment!$H$4:$H$502, deployment!$D$4:$D$502,"="&amp;A31, deployment!$D$4:$D$502,"&lt;&gt;"&amp;""),"")</f>
        <v/>
      </c>
      <c r="J31" s="96" t="str">
        <f>IF(A31&lt;&gt;"",SUMIFS(deployment!$I$4:$I$502, deployment!$D$4:$D$502,"="&amp;A31, deployment!$D$4:$D$502,"&lt;&gt;"&amp;""),"")</f>
        <v/>
      </c>
      <c r="K31" s="112" t="str">
        <f>IF(A31&lt;&gt;"",SUMIFS(deployment!$J$4:$J$502, deployment!$D$4:$D$502,"="&amp;A31, deployment!$D$4:$D$502,"&lt;&gt;"&amp;""),"")</f>
        <v/>
      </c>
      <c r="L31" s="112" t="str">
        <f>IF(A31&lt;&gt;"",SUMIFS(deployment!$K$4:$K$502, deployment!$D$4:$D$502,"="&amp;A31, deployment!$D$4:$D$502,"&lt;&gt;"&amp;""),"")</f>
        <v/>
      </c>
      <c r="M31" s="97" t="str">
        <f>IF(A31&lt;&gt;"",SUMIFS(deployment!$L$4:$L$502, deployment!$D$4:$D$502,"="&amp;A31, deployment!$D$4:$D$502,"&lt;&gt;"&amp;""),"")</f>
        <v/>
      </c>
      <c r="N31" s="97" t="str">
        <f>IF(A31&lt;&gt;"",SUMIFS(deployment!$M$4:$M$502, deployment!$D$4:$D$502,"="&amp;A31, deployment!$D$4:$D$502,"&lt;&gt;"&amp;""),"")</f>
        <v/>
      </c>
      <c r="O31" s="127" t="str">
        <f t="shared" si="11"/>
        <v/>
      </c>
      <c r="P31" s="104"/>
      <c r="Q31" s="99" t="str">
        <f t="shared" si="0"/>
        <v/>
      </c>
      <c r="R31" s="100" t="str">
        <f t="shared" si="1"/>
        <v/>
      </c>
      <c r="S31" s="100" t="str">
        <f t="shared" si="2"/>
        <v/>
      </c>
      <c r="T31" s="101" t="str">
        <f t="shared" si="3"/>
        <v/>
      </c>
      <c r="U31" s="101" t="str">
        <f t="shared" si="4"/>
        <v/>
      </c>
      <c r="V31" s="128" t="str">
        <f t="shared" si="5"/>
        <v/>
      </c>
      <c r="W31" s="128" t="str">
        <f t="shared" si="6"/>
        <v/>
      </c>
      <c r="X31" s="101" t="str">
        <f t="shared" si="7"/>
        <v/>
      </c>
      <c r="Y31" s="101" t="str">
        <f t="shared" si="8"/>
        <v/>
      </c>
      <c r="Z31" s="102" t="str">
        <f t="shared" si="9"/>
        <v/>
      </c>
      <c r="AA31" s="103" t="str">
        <f t="shared" si="10"/>
        <v/>
      </c>
      <c r="AB31" s="142" t="str">
        <f>IF(A31&lt;&gt;"", SUMIFS(node!$J$2:$J$500, node!$C$2:$C$500,"="&amp;A31)/P31, "")</f>
        <v/>
      </c>
      <c r="AC31" s="134" t="str">
        <f>IF(A31&lt;&gt;"", SUMIFS(node!$K$2:$K$500, node!$C$2:$C$500,"="&amp;A31)/P31, "")</f>
        <v/>
      </c>
      <c r="AD31" s="135" t="str">
        <f>IF(A31&lt;&gt;"", SUMIFS(node!$L$2:$L$500, node!$C$2:$C$500,"="&amp;A31), "")</f>
        <v/>
      </c>
      <c r="AE31" s="145" t="str">
        <f>IF(A31&lt;&gt;"", SUMIFS(node!$M$2:$M$500, node!$C$2:$C$500,"="&amp;A31), "")</f>
        <v/>
      </c>
    </row>
    <row r="32" spans="1:31" ht="15.75" customHeight="1" x14ac:dyDescent="0.25">
      <c r="A32" s="119"/>
      <c r="B32" s="116" t="str">
        <f>IF(A32&lt;&gt;"", VLOOKUP(A32, node!$C$2:$D$500, 2, FALSE), "")</f>
        <v/>
      </c>
      <c r="C32" s="117" t="str">
        <f>IF(A32&lt;&gt;"", VLOOKUP(A32, node!$C$2:$E$500, 3, FALSE), "")</f>
        <v/>
      </c>
      <c r="D32" s="118" t="str">
        <f>IF(A32&lt;&gt;"",COUNTIFS(node!$C$2:$C$500,"="&amp;A32, node!$C$2:$C$500,"&lt;&gt;"&amp;""),"")</f>
        <v/>
      </c>
      <c r="E32" s="122" t="str">
        <f>IF(A32&lt;&gt;"",SUMIFS(node!$F$2:$F$500, node!$C$2:$C$500,"="&amp;A32, node!$C$2:$C$500,"&lt;&gt;"&amp;"")/(B32*D32),"")</f>
        <v/>
      </c>
      <c r="F32" s="124" t="str">
        <f>IF(A32&lt;&gt;"",SUMIFS(node!$H$2:$H$500, node!$C$2:$C$500,"="&amp;A32, node!$C$2:$C$500,"&lt;&gt;"&amp;"")/(C32*D32),"")</f>
        <v/>
      </c>
      <c r="G32" s="93" t="str">
        <f>IF(A32&lt;&gt;"",SUMIFS(deployment!$F$4:$F$502, deployment!$D$4:$D$502,"="&amp;A32, deployment!$D$4:$D$502,"&lt;&gt;"&amp;""),"")</f>
        <v/>
      </c>
      <c r="H32" s="94" t="str">
        <f>IF(A32&lt;&gt;"",SUMIFS(deployment!$G$4:$G$502, deployment!$D$4:$D$502,"="&amp;A32, deployment!$D$4:$D$502,"&lt;&gt;"&amp;""),"")</f>
        <v/>
      </c>
      <c r="I32" s="95" t="str">
        <f>IF(A32&lt;&gt;"",SUMIFS(deployment!$H$4:$H$502, deployment!$D$4:$D$502,"="&amp;A32, deployment!$D$4:$D$502,"&lt;&gt;"&amp;""),"")</f>
        <v/>
      </c>
      <c r="J32" s="96" t="str">
        <f>IF(A32&lt;&gt;"",SUMIFS(deployment!$I$4:$I$502, deployment!$D$4:$D$502,"="&amp;A32, deployment!$D$4:$D$502,"&lt;&gt;"&amp;""),"")</f>
        <v/>
      </c>
      <c r="K32" s="112" t="str">
        <f>IF(A32&lt;&gt;"",SUMIFS(deployment!$J$4:$J$502, deployment!$D$4:$D$502,"="&amp;A32, deployment!$D$4:$D$502,"&lt;&gt;"&amp;""),"")</f>
        <v/>
      </c>
      <c r="L32" s="112" t="str">
        <f>IF(A32&lt;&gt;"",SUMIFS(deployment!$K$4:$K$502, deployment!$D$4:$D$502,"="&amp;A32, deployment!$D$4:$D$502,"&lt;&gt;"&amp;""),"")</f>
        <v/>
      </c>
      <c r="M32" s="97" t="str">
        <f>IF(A32&lt;&gt;"",SUMIFS(deployment!$L$4:$L$502, deployment!$D$4:$D$502,"="&amp;A32, deployment!$D$4:$D$502,"&lt;&gt;"&amp;""),"")</f>
        <v/>
      </c>
      <c r="N32" s="97" t="str">
        <f>IF(A32&lt;&gt;"",SUMIFS(deployment!$M$4:$M$502, deployment!$D$4:$D$502,"="&amp;A32, deployment!$D$4:$D$502,"&lt;&gt;"&amp;""),"")</f>
        <v/>
      </c>
      <c r="O32" s="127" t="str">
        <f t="shared" si="11"/>
        <v/>
      </c>
      <c r="P32" s="104"/>
      <c r="Q32" s="99" t="str">
        <f t="shared" si="0"/>
        <v/>
      </c>
      <c r="R32" s="100" t="str">
        <f t="shared" si="1"/>
        <v/>
      </c>
      <c r="S32" s="100" t="str">
        <f t="shared" si="2"/>
        <v/>
      </c>
      <c r="T32" s="101" t="str">
        <f t="shared" si="3"/>
        <v/>
      </c>
      <c r="U32" s="101" t="str">
        <f t="shared" si="4"/>
        <v/>
      </c>
      <c r="V32" s="128" t="str">
        <f t="shared" si="5"/>
        <v/>
      </c>
      <c r="W32" s="128" t="str">
        <f t="shared" si="6"/>
        <v/>
      </c>
      <c r="X32" s="101" t="str">
        <f t="shared" si="7"/>
        <v/>
      </c>
      <c r="Y32" s="101" t="str">
        <f t="shared" si="8"/>
        <v/>
      </c>
      <c r="Z32" s="102" t="str">
        <f t="shared" si="9"/>
        <v/>
      </c>
      <c r="AA32" s="103" t="str">
        <f t="shared" si="10"/>
        <v/>
      </c>
      <c r="AB32" s="142" t="str">
        <f>IF(A32&lt;&gt;"", SUMIFS(node!$J$2:$J$500, node!$C$2:$C$500,"="&amp;A32)/P32, "")</f>
        <v/>
      </c>
      <c r="AC32" s="134" t="str">
        <f>IF(A32&lt;&gt;"", SUMIFS(node!$K$2:$K$500, node!$C$2:$C$500,"="&amp;A32)/P32, "")</f>
        <v/>
      </c>
      <c r="AD32" s="135" t="str">
        <f>IF(A32&lt;&gt;"", SUMIFS(node!$L$2:$L$500, node!$C$2:$C$500,"="&amp;A32), "")</f>
        <v/>
      </c>
      <c r="AE32" s="145" t="str">
        <f>IF(A32&lt;&gt;"", SUMIFS(node!$M$2:$M$500, node!$C$2:$C$500,"="&amp;A32), "")</f>
        <v/>
      </c>
    </row>
    <row r="33" spans="1:31" ht="15.75" customHeight="1" x14ac:dyDescent="0.25">
      <c r="A33" s="119"/>
      <c r="B33" s="116" t="str">
        <f>IF(A33&lt;&gt;"", VLOOKUP(A33, node!$C$2:$D$500, 2, FALSE), "")</f>
        <v/>
      </c>
      <c r="C33" s="117" t="str">
        <f>IF(A33&lt;&gt;"", VLOOKUP(A33, node!$C$2:$E$500, 3, FALSE), "")</f>
        <v/>
      </c>
      <c r="D33" s="118" t="str">
        <f>IF(A33&lt;&gt;"",COUNTIFS(node!$C$2:$C$500,"="&amp;A33, node!$C$2:$C$500,"&lt;&gt;"&amp;""),"")</f>
        <v/>
      </c>
      <c r="E33" s="122" t="str">
        <f>IF(A33&lt;&gt;"",SUMIFS(node!$F$2:$F$500, node!$C$2:$C$500,"="&amp;A33, node!$C$2:$C$500,"&lt;&gt;"&amp;"")/(B33*D33),"")</f>
        <v/>
      </c>
      <c r="F33" s="124" t="str">
        <f>IF(A33&lt;&gt;"",SUMIFS(node!$H$2:$H$500, node!$C$2:$C$500,"="&amp;A33, node!$C$2:$C$500,"&lt;&gt;"&amp;"")/(C33*D33),"")</f>
        <v/>
      </c>
      <c r="G33" s="93" t="str">
        <f>IF(A33&lt;&gt;"",SUMIFS(deployment!$F$4:$F$502, deployment!$D$4:$D$502,"="&amp;A33, deployment!$D$4:$D$502,"&lt;&gt;"&amp;""),"")</f>
        <v/>
      </c>
      <c r="H33" s="94" t="str">
        <f>IF(A33&lt;&gt;"",SUMIFS(deployment!$G$4:$G$502, deployment!$D$4:$D$502,"="&amp;A33, deployment!$D$4:$D$502,"&lt;&gt;"&amp;""),"")</f>
        <v/>
      </c>
      <c r="I33" s="95" t="str">
        <f>IF(A33&lt;&gt;"",SUMIFS(deployment!$H$4:$H$502, deployment!$D$4:$D$502,"="&amp;A33, deployment!$D$4:$D$502,"&lt;&gt;"&amp;""),"")</f>
        <v/>
      </c>
      <c r="J33" s="96" t="str">
        <f>IF(A33&lt;&gt;"",SUMIFS(deployment!$I$4:$I$502, deployment!$D$4:$D$502,"="&amp;A33, deployment!$D$4:$D$502,"&lt;&gt;"&amp;""),"")</f>
        <v/>
      </c>
      <c r="K33" s="112" t="str">
        <f>IF(A33&lt;&gt;"",SUMIFS(deployment!$J$4:$J$502, deployment!$D$4:$D$502,"="&amp;A33, deployment!$D$4:$D$502,"&lt;&gt;"&amp;""),"")</f>
        <v/>
      </c>
      <c r="L33" s="112" t="str">
        <f>IF(A33&lt;&gt;"",SUMIFS(deployment!$K$4:$K$502, deployment!$D$4:$D$502,"="&amp;A33, deployment!$D$4:$D$502,"&lt;&gt;"&amp;""),"")</f>
        <v/>
      </c>
      <c r="M33" s="97" t="str">
        <f>IF(A33&lt;&gt;"",SUMIFS(deployment!$L$4:$L$502, deployment!$D$4:$D$502,"="&amp;A33, deployment!$D$4:$D$502,"&lt;&gt;"&amp;""),"")</f>
        <v/>
      </c>
      <c r="N33" s="97" t="str">
        <f>IF(A33&lt;&gt;"",SUMIFS(deployment!$M$4:$M$502, deployment!$D$4:$D$502,"="&amp;A33, deployment!$D$4:$D$502,"&lt;&gt;"&amp;""),"")</f>
        <v/>
      </c>
      <c r="O33" s="127" t="str">
        <f t="shared" si="11"/>
        <v/>
      </c>
      <c r="P33" s="104"/>
      <c r="Q33" s="99" t="str">
        <f t="shared" si="0"/>
        <v/>
      </c>
      <c r="R33" s="100" t="str">
        <f t="shared" si="1"/>
        <v/>
      </c>
      <c r="S33" s="100" t="str">
        <f t="shared" si="2"/>
        <v/>
      </c>
      <c r="T33" s="101" t="str">
        <f t="shared" si="3"/>
        <v/>
      </c>
      <c r="U33" s="101" t="str">
        <f t="shared" si="4"/>
        <v/>
      </c>
      <c r="V33" s="128" t="str">
        <f t="shared" si="5"/>
        <v/>
      </c>
      <c r="W33" s="128" t="str">
        <f t="shared" si="6"/>
        <v/>
      </c>
      <c r="X33" s="101" t="str">
        <f t="shared" si="7"/>
        <v/>
      </c>
      <c r="Y33" s="101" t="str">
        <f t="shared" si="8"/>
        <v/>
      </c>
      <c r="Z33" s="102" t="str">
        <f t="shared" si="9"/>
        <v/>
      </c>
      <c r="AA33" s="103" t="str">
        <f t="shared" si="10"/>
        <v/>
      </c>
      <c r="AB33" s="142" t="str">
        <f>IF(A33&lt;&gt;"", SUMIFS(node!$J$2:$J$500, node!$C$2:$C$500,"="&amp;A33)/P33, "")</f>
        <v/>
      </c>
      <c r="AC33" s="134" t="str">
        <f>IF(A33&lt;&gt;"", SUMIFS(node!$K$2:$K$500, node!$C$2:$C$500,"="&amp;A33)/P33, "")</f>
        <v/>
      </c>
      <c r="AD33" s="135" t="str">
        <f>IF(A33&lt;&gt;"", SUMIFS(node!$L$2:$L$500, node!$C$2:$C$500,"="&amp;A33), "")</f>
        <v/>
      </c>
      <c r="AE33" s="145" t="str">
        <f>IF(A33&lt;&gt;"", SUMIFS(node!$M$2:$M$500, node!$C$2:$C$500,"="&amp;A33), "")</f>
        <v/>
      </c>
    </row>
    <row r="34" spans="1:31" ht="15.75" customHeight="1" x14ac:dyDescent="0.25">
      <c r="A34" s="119"/>
      <c r="B34" s="116" t="str">
        <f>IF(A34&lt;&gt;"", VLOOKUP(A34, node!$C$2:$D$500, 2, FALSE), "")</f>
        <v/>
      </c>
      <c r="C34" s="117" t="str">
        <f>IF(A34&lt;&gt;"", VLOOKUP(A34, node!$C$2:$E$500, 3, FALSE), "")</f>
        <v/>
      </c>
      <c r="D34" s="118" t="str">
        <f>IF(A34&lt;&gt;"",COUNTIFS(node!$C$2:$C$500,"="&amp;A34, node!$C$2:$C$500,"&lt;&gt;"&amp;""),"")</f>
        <v/>
      </c>
      <c r="E34" s="122" t="str">
        <f>IF(A34&lt;&gt;"",SUMIFS(node!$F$2:$F$500, node!$C$2:$C$500,"="&amp;A34, node!$C$2:$C$500,"&lt;&gt;"&amp;"")/(B34*D34),"")</f>
        <v/>
      </c>
      <c r="F34" s="124" t="str">
        <f>IF(A34&lt;&gt;"",SUMIFS(node!$H$2:$H$500, node!$C$2:$C$500,"="&amp;A34, node!$C$2:$C$500,"&lt;&gt;"&amp;"")/(C34*D34),"")</f>
        <v/>
      </c>
      <c r="G34" s="93" t="str">
        <f>IF(A34&lt;&gt;"",SUMIFS(deployment!$F$4:$F$502, deployment!$D$4:$D$502,"="&amp;A34, deployment!$D$4:$D$502,"&lt;&gt;"&amp;""),"")</f>
        <v/>
      </c>
      <c r="H34" s="94" t="str">
        <f>IF(A34&lt;&gt;"",SUMIFS(deployment!$G$4:$G$502, deployment!$D$4:$D$502,"="&amp;A34, deployment!$D$4:$D$502,"&lt;&gt;"&amp;""),"")</f>
        <v/>
      </c>
      <c r="I34" s="95" t="str">
        <f>IF(A34&lt;&gt;"",SUMIFS(deployment!$H$4:$H$502, deployment!$D$4:$D$502,"="&amp;A34, deployment!$D$4:$D$502,"&lt;&gt;"&amp;""),"")</f>
        <v/>
      </c>
      <c r="J34" s="96" t="str">
        <f>IF(A34&lt;&gt;"",SUMIFS(deployment!$I$4:$I$502, deployment!$D$4:$D$502,"="&amp;A34, deployment!$D$4:$D$502,"&lt;&gt;"&amp;""),"")</f>
        <v/>
      </c>
      <c r="K34" s="112" t="str">
        <f>IF(A34&lt;&gt;"",SUMIFS(deployment!$J$4:$J$502, deployment!$D$4:$D$502,"="&amp;A34, deployment!$D$4:$D$502,"&lt;&gt;"&amp;""),"")</f>
        <v/>
      </c>
      <c r="L34" s="112" t="str">
        <f>IF(A34&lt;&gt;"",SUMIFS(deployment!$K$4:$K$502, deployment!$D$4:$D$502,"="&amp;A34, deployment!$D$4:$D$502,"&lt;&gt;"&amp;""),"")</f>
        <v/>
      </c>
      <c r="M34" s="97" t="str">
        <f>IF(A34&lt;&gt;"",SUMIFS(deployment!$L$4:$L$502, deployment!$D$4:$D$502,"="&amp;A34, deployment!$D$4:$D$502,"&lt;&gt;"&amp;""),"")</f>
        <v/>
      </c>
      <c r="N34" s="97" t="str">
        <f>IF(A34&lt;&gt;"",SUMIFS(deployment!$M$4:$M$502, deployment!$D$4:$D$502,"="&amp;A34, deployment!$D$4:$D$502,"&lt;&gt;"&amp;""),"")</f>
        <v/>
      </c>
      <c r="O34" s="127" t="str">
        <f t="shared" si="11"/>
        <v/>
      </c>
      <c r="P34" s="104"/>
      <c r="Q34" s="99" t="str">
        <f t="shared" si="0"/>
        <v/>
      </c>
      <c r="R34" s="100" t="str">
        <f t="shared" si="1"/>
        <v/>
      </c>
      <c r="S34" s="100" t="str">
        <f t="shared" si="2"/>
        <v/>
      </c>
      <c r="T34" s="101" t="str">
        <f t="shared" si="3"/>
        <v/>
      </c>
      <c r="U34" s="101" t="str">
        <f t="shared" si="4"/>
        <v/>
      </c>
      <c r="V34" s="128" t="str">
        <f t="shared" si="5"/>
        <v/>
      </c>
      <c r="W34" s="128" t="str">
        <f t="shared" si="6"/>
        <v/>
      </c>
      <c r="X34" s="101" t="str">
        <f t="shared" si="7"/>
        <v/>
      </c>
      <c r="Y34" s="101" t="str">
        <f t="shared" si="8"/>
        <v/>
      </c>
      <c r="Z34" s="102" t="str">
        <f t="shared" si="9"/>
        <v/>
      </c>
      <c r="AA34" s="103" t="str">
        <f t="shared" si="10"/>
        <v/>
      </c>
      <c r="AB34" s="142" t="str">
        <f>IF(A34&lt;&gt;"", SUMIFS(node!$J$2:$J$500, node!$C$2:$C$500,"="&amp;A34)/P34, "")</f>
        <v/>
      </c>
      <c r="AC34" s="134" t="str">
        <f>IF(A34&lt;&gt;"", SUMIFS(node!$K$2:$K$500, node!$C$2:$C$500,"="&amp;A34)/P34, "")</f>
        <v/>
      </c>
      <c r="AD34" s="135" t="str">
        <f>IF(A34&lt;&gt;"", SUMIFS(node!$L$2:$L$500, node!$C$2:$C$500,"="&amp;A34), "")</f>
        <v/>
      </c>
      <c r="AE34" s="145" t="str">
        <f>IF(A34&lt;&gt;"", SUMIFS(node!$M$2:$M$500, node!$C$2:$C$500,"="&amp;A34), "")</f>
        <v/>
      </c>
    </row>
    <row r="35" spans="1:31" ht="15.75" customHeight="1" x14ac:dyDescent="0.25">
      <c r="A35" s="119"/>
      <c r="B35" s="116" t="str">
        <f>IF(A35&lt;&gt;"", VLOOKUP(A35, node!$C$2:$D$500, 2, FALSE), "")</f>
        <v/>
      </c>
      <c r="C35" s="117" t="str">
        <f>IF(A35&lt;&gt;"", VLOOKUP(A35, node!$C$2:$E$500, 3, FALSE), "")</f>
        <v/>
      </c>
      <c r="D35" s="118" t="str">
        <f>IF(A35&lt;&gt;"",COUNTIFS(node!$C$2:$C$500,"="&amp;A35, node!$C$2:$C$500,"&lt;&gt;"&amp;""),"")</f>
        <v/>
      </c>
      <c r="E35" s="122" t="str">
        <f>IF(A35&lt;&gt;"",SUMIFS(node!$F$2:$F$500, node!$C$2:$C$500,"="&amp;A35, node!$C$2:$C$500,"&lt;&gt;"&amp;"")/(B35*D35),"")</f>
        <v/>
      </c>
      <c r="F35" s="124" t="str">
        <f>IF(A35&lt;&gt;"",SUMIFS(node!$H$2:$H$500, node!$C$2:$C$500,"="&amp;A35, node!$C$2:$C$500,"&lt;&gt;"&amp;"")/(C35*D35),"")</f>
        <v/>
      </c>
      <c r="G35" s="93" t="str">
        <f>IF(A35&lt;&gt;"",SUMIFS(deployment!$F$4:$F$502, deployment!$D$4:$D$502,"="&amp;A35, deployment!$D$4:$D$502,"&lt;&gt;"&amp;""),"")</f>
        <v/>
      </c>
      <c r="H35" s="94" t="str">
        <f>IF(A35&lt;&gt;"",SUMIFS(deployment!$G$4:$G$502, deployment!$D$4:$D$502,"="&amp;A35, deployment!$D$4:$D$502,"&lt;&gt;"&amp;""),"")</f>
        <v/>
      </c>
      <c r="I35" s="95" t="str">
        <f>IF(A35&lt;&gt;"",SUMIFS(deployment!$H$4:$H$502, deployment!$D$4:$D$502,"="&amp;A35, deployment!$D$4:$D$502,"&lt;&gt;"&amp;""),"")</f>
        <v/>
      </c>
      <c r="J35" s="96" t="str">
        <f>IF(A35&lt;&gt;"",SUMIFS(deployment!$I$4:$I$502, deployment!$D$4:$D$502,"="&amp;A35, deployment!$D$4:$D$502,"&lt;&gt;"&amp;""),"")</f>
        <v/>
      </c>
      <c r="K35" s="112" t="str">
        <f>IF(A35&lt;&gt;"",SUMIFS(deployment!$J$4:$J$502, deployment!$D$4:$D$502,"="&amp;A35, deployment!$D$4:$D$502,"&lt;&gt;"&amp;""),"")</f>
        <v/>
      </c>
      <c r="L35" s="112" t="str">
        <f>IF(A35&lt;&gt;"",SUMIFS(deployment!$K$4:$K$502, deployment!$D$4:$D$502,"="&amp;A35, deployment!$D$4:$D$502,"&lt;&gt;"&amp;""),"")</f>
        <v/>
      </c>
      <c r="M35" s="97" t="str">
        <f>IF(A35&lt;&gt;"",SUMIFS(deployment!$L$4:$L$502, deployment!$D$4:$D$502,"="&amp;A35, deployment!$D$4:$D$502,"&lt;&gt;"&amp;""),"")</f>
        <v/>
      </c>
      <c r="N35" s="97" t="str">
        <f>IF(A35&lt;&gt;"",SUMIFS(deployment!$M$4:$M$502, deployment!$D$4:$D$502,"="&amp;A35, deployment!$D$4:$D$502,"&lt;&gt;"&amp;""),"")</f>
        <v/>
      </c>
      <c r="O35" s="127" t="str">
        <f t="shared" si="11"/>
        <v/>
      </c>
      <c r="P35" s="104"/>
      <c r="Q35" s="99" t="str">
        <f t="shared" si="0"/>
        <v/>
      </c>
      <c r="R35" s="100" t="str">
        <f t="shared" si="1"/>
        <v/>
      </c>
      <c r="S35" s="100" t="str">
        <f t="shared" si="2"/>
        <v/>
      </c>
      <c r="T35" s="101" t="str">
        <f t="shared" si="3"/>
        <v/>
      </c>
      <c r="U35" s="101" t="str">
        <f t="shared" si="4"/>
        <v/>
      </c>
      <c r="V35" s="128" t="str">
        <f t="shared" si="5"/>
        <v/>
      </c>
      <c r="W35" s="128" t="str">
        <f t="shared" si="6"/>
        <v/>
      </c>
      <c r="X35" s="101" t="str">
        <f t="shared" si="7"/>
        <v/>
      </c>
      <c r="Y35" s="101" t="str">
        <f t="shared" si="8"/>
        <v/>
      </c>
      <c r="Z35" s="102" t="str">
        <f t="shared" si="9"/>
        <v/>
      </c>
      <c r="AA35" s="103" t="str">
        <f t="shared" si="10"/>
        <v/>
      </c>
      <c r="AB35" s="142" t="str">
        <f>IF(A35&lt;&gt;"", SUMIFS(node!$J$2:$J$500, node!$C$2:$C$500,"="&amp;A35)/P35, "")</f>
        <v/>
      </c>
      <c r="AC35" s="134" t="str">
        <f>IF(A35&lt;&gt;"", SUMIFS(node!$K$2:$K$500, node!$C$2:$C$500,"="&amp;A35)/P35, "")</f>
        <v/>
      </c>
      <c r="AD35" s="135" t="str">
        <f>IF(A35&lt;&gt;"", SUMIFS(node!$L$2:$L$500, node!$C$2:$C$500,"="&amp;A35), "")</f>
        <v/>
      </c>
      <c r="AE35" s="145" t="str">
        <f>IF(A35&lt;&gt;"", SUMIFS(node!$M$2:$M$500, node!$C$2:$C$500,"="&amp;A35), "")</f>
        <v/>
      </c>
    </row>
    <row r="36" spans="1:31" ht="15.75" customHeight="1" x14ac:dyDescent="0.25">
      <c r="A36" s="119"/>
      <c r="B36" s="116" t="str">
        <f>IF(A36&lt;&gt;"", VLOOKUP(A36, node!$C$2:$D$500, 2, FALSE), "")</f>
        <v/>
      </c>
      <c r="C36" s="117" t="str">
        <f>IF(A36&lt;&gt;"", VLOOKUP(A36, node!$C$2:$E$500, 3, FALSE), "")</f>
        <v/>
      </c>
      <c r="D36" s="118" t="str">
        <f>IF(A36&lt;&gt;"",COUNTIFS(node!$C$2:$C$500,"="&amp;A36, node!$C$2:$C$500,"&lt;&gt;"&amp;""),"")</f>
        <v/>
      </c>
      <c r="E36" s="122" t="str">
        <f>IF(A36&lt;&gt;"",SUMIFS(node!$F$2:$F$500, node!$C$2:$C$500,"="&amp;A36, node!$C$2:$C$500,"&lt;&gt;"&amp;"")/(B36*D36),"")</f>
        <v/>
      </c>
      <c r="F36" s="124" t="str">
        <f>IF(A36&lt;&gt;"",SUMIFS(node!$H$2:$H$500, node!$C$2:$C$500,"="&amp;A36, node!$C$2:$C$500,"&lt;&gt;"&amp;"")/(C36*D36),"")</f>
        <v/>
      </c>
      <c r="G36" s="93" t="str">
        <f>IF(A36&lt;&gt;"",SUMIFS(deployment!$F$4:$F$502, deployment!$D$4:$D$502,"="&amp;A36, deployment!$D$4:$D$502,"&lt;&gt;"&amp;""),"")</f>
        <v/>
      </c>
      <c r="H36" s="94" t="str">
        <f>IF(A36&lt;&gt;"",SUMIFS(deployment!$G$4:$G$502, deployment!$D$4:$D$502,"="&amp;A36, deployment!$D$4:$D$502,"&lt;&gt;"&amp;""),"")</f>
        <v/>
      </c>
      <c r="I36" s="95" t="str">
        <f>IF(A36&lt;&gt;"",SUMIFS(deployment!$H$4:$H$502, deployment!$D$4:$D$502,"="&amp;A36, deployment!$D$4:$D$502,"&lt;&gt;"&amp;""),"")</f>
        <v/>
      </c>
      <c r="J36" s="96" t="str">
        <f>IF(A36&lt;&gt;"",SUMIFS(deployment!$I$4:$I$502, deployment!$D$4:$D$502,"="&amp;A36, deployment!$D$4:$D$502,"&lt;&gt;"&amp;""),"")</f>
        <v/>
      </c>
      <c r="K36" s="112" t="str">
        <f>IF(A36&lt;&gt;"",SUMIFS(deployment!$J$4:$J$502, deployment!$D$4:$D$502,"="&amp;A36, deployment!$D$4:$D$502,"&lt;&gt;"&amp;""),"")</f>
        <v/>
      </c>
      <c r="L36" s="112" t="str">
        <f>IF(A36&lt;&gt;"",SUMIFS(deployment!$K$4:$K$502, deployment!$D$4:$D$502,"="&amp;A36, deployment!$D$4:$D$502,"&lt;&gt;"&amp;""),"")</f>
        <v/>
      </c>
      <c r="M36" s="97" t="str">
        <f>IF(A36&lt;&gt;"",SUMIFS(deployment!$L$4:$L$502, deployment!$D$4:$D$502,"="&amp;A36, deployment!$D$4:$D$502,"&lt;&gt;"&amp;""),"")</f>
        <v/>
      </c>
      <c r="N36" s="97" t="str">
        <f>IF(A36&lt;&gt;"",SUMIFS(deployment!$M$4:$M$502, deployment!$D$4:$D$502,"="&amp;A36, deployment!$D$4:$D$502,"&lt;&gt;"&amp;""),"")</f>
        <v/>
      </c>
      <c r="O36" s="127" t="str">
        <f t="shared" si="11"/>
        <v/>
      </c>
      <c r="P36" s="104"/>
      <c r="Q36" s="99" t="str">
        <f t="shared" si="0"/>
        <v/>
      </c>
      <c r="R36" s="100" t="str">
        <f t="shared" si="1"/>
        <v/>
      </c>
      <c r="S36" s="100" t="str">
        <f t="shared" si="2"/>
        <v/>
      </c>
      <c r="T36" s="101" t="str">
        <f t="shared" si="3"/>
        <v/>
      </c>
      <c r="U36" s="101" t="str">
        <f t="shared" si="4"/>
        <v/>
      </c>
      <c r="V36" s="128" t="str">
        <f t="shared" si="5"/>
        <v/>
      </c>
      <c r="W36" s="128" t="str">
        <f t="shared" si="6"/>
        <v/>
      </c>
      <c r="X36" s="101" t="str">
        <f t="shared" si="7"/>
        <v/>
      </c>
      <c r="Y36" s="101" t="str">
        <f t="shared" si="8"/>
        <v/>
      </c>
      <c r="Z36" s="102" t="str">
        <f t="shared" si="9"/>
        <v/>
      </c>
      <c r="AA36" s="103" t="str">
        <f t="shared" si="10"/>
        <v/>
      </c>
      <c r="AB36" s="142" t="str">
        <f>IF(A36&lt;&gt;"", SUMIFS(node!$J$2:$J$500, node!$C$2:$C$500,"="&amp;A36)/P36, "")</f>
        <v/>
      </c>
      <c r="AC36" s="134" t="str">
        <f>IF(A36&lt;&gt;"", SUMIFS(node!$K$2:$K$500, node!$C$2:$C$500,"="&amp;A36)/P36, "")</f>
        <v/>
      </c>
      <c r="AD36" s="135" t="str">
        <f>IF(A36&lt;&gt;"", SUMIFS(node!$L$2:$L$500, node!$C$2:$C$500,"="&amp;A36), "")</f>
        <v/>
      </c>
      <c r="AE36" s="145" t="str">
        <f>IF(A36&lt;&gt;"", SUMIFS(node!$M$2:$M$500, node!$C$2:$C$500,"="&amp;A36), "")</f>
        <v/>
      </c>
    </row>
    <row r="37" spans="1:31" ht="15.75" customHeight="1" x14ac:dyDescent="0.25">
      <c r="A37" s="119"/>
      <c r="B37" s="116" t="str">
        <f>IF(A37&lt;&gt;"", VLOOKUP(A37, node!$C$2:$D$500, 2, FALSE), "")</f>
        <v/>
      </c>
      <c r="C37" s="117" t="str">
        <f>IF(A37&lt;&gt;"", VLOOKUP(A37, node!$C$2:$E$500, 3, FALSE), "")</f>
        <v/>
      </c>
      <c r="D37" s="118" t="str">
        <f>IF(A37&lt;&gt;"",COUNTIFS(node!$C$2:$C$500,"="&amp;A37, node!$C$2:$C$500,"&lt;&gt;"&amp;""),"")</f>
        <v/>
      </c>
      <c r="E37" s="122" t="str">
        <f>IF(A37&lt;&gt;"",SUMIFS(node!$F$2:$F$500, node!$C$2:$C$500,"="&amp;A37, node!$C$2:$C$500,"&lt;&gt;"&amp;"")/(B37*D37),"")</f>
        <v/>
      </c>
      <c r="F37" s="124" t="str">
        <f>IF(A37&lt;&gt;"",SUMIFS(node!$H$2:$H$500, node!$C$2:$C$500,"="&amp;A37, node!$C$2:$C$500,"&lt;&gt;"&amp;"")/(C37*D37),"")</f>
        <v/>
      </c>
      <c r="G37" s="93" t="str">
        <f>IF(A37&lt;&gt;"",SUMIFS(deployment!$F$4:$F$502, deployment!$D$4:$D$502,"="&amp;A37, deployment!$D$4:$D$502,"&lt;&gt;"&amp;""),"")</f>
        <v/>
      </c>
      <c r="H37" s="94" t="str">
        <f>IF(A37&lt;&gt;"",SUMIFS(deployment!$G$4:$G$502, deployment!$D$4:$D$502,"="&amp;A37, deployment!$D$4:$D$502,"&lt;&gt;"&amp;""),"")</f>
        <v/>
      </c>
      <c r="I37" s="95" t="str">
        <f>IF(A37&lt;&gt;"",SUMIFS(deployment!$H$4:$H$502, deployment!$D$4:$D$502,"="&amp;A37, deployment!$D$4:$D$502,"&lt;&gt;"&amp;""),"")</f>
        <v/>
      </c>
      <c r="J37" s="96" t="str">
        <f>IF(A37&lt;&gt;"",SUMIFS(deployment!$I$4:$I$502, deployment!$D$4:$D$502,"="&amp;A37, deployment!$D$4:$D$502,"&lt;&gt;"&amp;""),"")</f>
        <v/>
      </c>
      <c r="K37" s="112" t="str">
        <f>IF(A37&lt;&gt;"",SUMIFS(deployment!$J$4:$J$502, deployment!$D$4:$D$502,"="&amp;A37, deployment!$D$4:$D$502,"&lt;&gt;"&amp;""),"")</f>
        <v/>
      </c>
      <c r="L37" s="112" t="str">
        <f>IF(A37&lt;&gt;"",SUMIFS(deployment!$K$4:$K$502, deployment!$D$4:$D$502,"="&amp;A37, deployment!$D$4:$D$502,"&lt;&gt;"&amp;""),"")</f>
        <v/>
      </c>
      <c r="M37" s="97" t="str">
        <f>IF(A37&lt;&gt;"",SUMIFS(deployment!$L$4:$L$502, deployment!$D$4:$D$502,"="&amp;A37, deployment!$D$4:$D$502,"&lt;&gt;"&amp;""),"")</f>
        <v/>
      </c>
      <c r="N37" s="97" t="str">
        <f>IF(A37&lt;&gt;"",SUMIFS(deployment!$M$4:$M$502, deployment!$D$4:$D$502,"="&amp;A37, deployment!$D$4:$D$502,"&lt;&gt;"&amp;""),"")</f>
        <v/>
      </c>
      <c r="O37" s="127" t="str">
        <f t="shared" si="11"/>
        <v/>
      </c>
      <c r="P37" s="104"/>
      <c r="Q37" s="99" t="str">
        <f t="shared" si="0"/>
        <v/>
      </c>
      <c r="R37" s="100" t="str">
        <f t="shared" si="1"/>
        <v/>
      </c>
      <c r="S37" s="100" t="str">
        <f t="shared" si="2"/>
        <v/>
      </c>
      <c r="T37" s="101" t="str">
        <f t="shared" si="3"/>
        <v/>
      </c>
      <c r="U37" s="101" t="str">
        <f t="shared" si="4"/>
        <v/>
      </c>
      <c r="V37" s="128" t="str">
        <f t="shared" si="5"/>
        <v/>
      </c>
      <c r="W37" s="128" t="str">
        <f t="shared" si="6"/>
        <v/>
      </c>
      <c r="X37" s="101" t="str">
        <f t="shared" si="7"/>
        <v/>
      </c>
      <c r="Y37" s="101" t="str">
        <f t="shared" si="8"/>
        <v/>
      </c>
      <c r="Z37" s="102" t="str">
        <f t="shared" si="9"/>
        <v/>
      </c>
      <c r="AA37" s="103" t="str">
        <f t="shared" si="10"/>
        <v/>
      </c>
      <c r="AB37" s="142" t="str">
        <f>IF(A37&lt;&gt;"", SUMIFS(node!$J$2:$J$500, node!$C$2:$C$500,"="&amp;A37)/P37, "")</f>
        <v/>
      </c>
      <c r="AC37" s="134" t="str">
        <f>IF(A37&lt;&gt;"", SUMIFS(node!$K$2:$K$500, node!$C$2:$C$500,"="&amp;A37)/P37, "")</f>
        <v/>
      </c>
      <c r="AD37" s="135" t="str">
        <f>IF(A37&lt;&gt;"", SUMIFS(node!$L$2:$L$500, node!$C$2:$C$500,"="&amp;A37), "")</f>
        <v/>
      </c>
      <c r="AE37" s="145" t="str">
        <f>IF(A37&lt;&gt;"", SUMIFS(node!$M$2:$M$500, node!$C$2:$C$500,"="&amp;A37), "")</f>
        <v/>
      </c>
    </row>
    <row r="38" spans="1:31" ht="15.75" customHeight="1" x14ac:dyDescent="0.25">
      <c r="A38" s="119"/>
      <c r="B38" s="116" t="str">
        <f>IF(A38&lt;&gt;"", VLOOKUP(A38, node!$C$2:$D$500, 2, FALSE), "")</f>
        <v/>
      </c>
      <c r="C38" s="117" t="str">
        <f>IF(A38&lt;&gt;"", VLOOKUP(A38, node!$C$2:$E$500, 3, FALSE), "")</f>
        <v/>
      </c>
      <c r="D38" s="118" t="str">
        <f>IF(A38&lt;&gt;"",COUNTIFS(node!$C$2:$C$500,"="&amp;A38, node!$C$2:$C$500,"&lt;&gt;"&amp;""),"")</f>
        <v/>
      </c>
      <c r="E38" s="122" t="str">
        <f>IF(A38&lt;&gt;"",SUMIFS(node!$F$2:$F$500, node!$C$2:$C$500,"="&amp;A38, node!$C$2:$C$500,"&lt;&gt;"&amp;"")/(B38*D38),"")</f>
        <v/>
      </c>
      <c r="F38" s="124" t="str">
        <f>IF(A38&lt;&gt;"",SUMIFS(node!$H$2:$H$500, node!$C$2:$C$500,"="&amp;A38, node!$C$2:$C$500,"&lt;&gt;"&amp;"")/(C38*D38),"")</f>
        <v/>
      </c>
      <c r="G38" s="93" t="str">
        <f>IF(A38&lt;&gt;"",SUMIFS(deployment!$F$4:$F$502, deployment!$D$4:$D$502,"="&amp;A38, deployment!$D$4:$D$502,"&lt;&gt;"&amp;""),"")</f>
        <v/>
      </c>
      <c r="H38" s="94" t="str">
        <f>IF(A38&lt;&gt;"",SUMIFS(deployment!$G$4:$G$502, deployment!$D$4:$D$502,"="&amp;A38, deployment!$D$4:$D$502,"&lt;&gt;"&amp;""),"")</f>
        <v/>
      </c>
      <c r="I38" s="95" t="str">
        <f>IF(A38&lt;&gt;"",SUMIFS(deployment!$H$4:$H$502, deployment!$D$4:$D$502,"="&amp;A38, deployment!$D$4:$D$502,"&lt;&gt;"&amp;""),"")</f>
        <v/>
      </c>
      <c r="J38" s="96" t="str">
        <f>IF(A38&lt;&gt;"",SUMIFS(deployment!$I$4:$I$502, deployment!$D$4:$D$502,"="&amp;A38, deployment!$D$4:$D$502,"&lt;&gt;"&amp;""),"")</f>
        <v/>
      </c>
      <c r="K38" s="112" t="str">
        <f>IF(A38&lt;&gt;"",SUMIFS(deployment!$J$4:$J$502, deployment!$D$4:$D$502,"="&amp;A38, deployment!$D$4:$D$502,"&lt;&gt;"&amp;""),"")</f>
        <v/>
      </c>
      <c r="L38" s="112" t="str">
        <f>IF(A38&lt;&gt;"",SUMIFS(deployment!$K$4:$K$502, deployment!$D$4:$D$502,"="&amp;A38, deployment!$D$4:$D$502,"&lt;&gt;"&amp;""),"")</f>
        <v/>
      </c>
      <c r="M38" s="97" t="str">
        <f>IF(A38&lt;&gt;"",SUMIFS(deployment!$L$4:$L$502, deployment!$D$4:$D$502,"="&amp;A38, deployment!$D$4:$D$502,"&lt;&gt;"&amp;""),"")</f>
        <v/>
      </c>
      <c r="N38" s="97" t="str">
        <f>IF(A38&lt;&gt;"",SUMIFS(deployment!$M$4:$M$502, deployment!$D$4:$D$502,"="&amp;A38, deployment!$D$4:$D$502,"&lt;&gt;"&amp;""),"")</f>
        <v/>
      </c>
      <c r="O38" s="127" t="str">
        <f t="shared" si="11"/>
        <v/>
      </c>
      <c r="P38" s="104"/>
      <c r="Q38" s="99" t="str">
        <f t="shared" si="0"/>
        <v/>
      </c>
      <c r="R38" s="100" t="str">
        <f t="shared" si="1"/>
        <v/>
      </c>
      <c r="S38" s="100" t="str">
        <f t="shared" si="2"/>
        <v/>
      </c>
      <c r="T38" s="101" t="str">
        <f t="shared" si="3"/>
        <v/>
      </c>
      <c r="U38" s="101" t="str">
        <f t="shared" si="4"/>
        <v/>
      </c>
      <c r="V38" s="128" t="str">
        <f t="shared" si="5"/>
        <v/>
      </c>
      <c r="W38" s="128" t="str">
        <f t="shared" si="6"/>
        <v/>
      </c>
      <c r="X38" s="101" t="str">
        <f t="shared" si="7"/>
        <v/>
      </c>
      <c r="Y38" s="101" t="str">
        <f t="shared" si="8"/>
        <v/>
      </c>
      <c r="Z38" s="102" t="str">
        <f t="shared" si="9"/>
        <v/>
      </c>
      <c r="AA38" s="103" t="str">
        <f t="shared" si="10"/>
        <v/>
      </c>
      <c r="AB38" s="142" t="str">
        <f>IF(A38&lt;&gt;"", SUMIFS(node!$J$2:$J$500, node!$C$2:$C$500,"="&amp;A38)/P38, "")</f>
        <v/>
      </c>
      <c r="AC38" s="134" t="str">
        <f>IF(A38&lt;&gt;"", SUMIFS(node!$K$2:$K$500, node!$C$2:$C$500,"="&amp;A38)/P38, "")</f>
        <v/>
      </c>
      <c r="AD38" s="135" t="str">
        <f>IF(A38&lt;&gt;"", SUMIFS(node!$L$2:$L$500, node!$C$2:$C$500,"="&amp;A38), "")</f>
        <v/>
      </c>
      <c r="AE38" s="145" t="str">
        <f>IF(A38&lt;&gt;"", SUMIFS(node!$M$2:$M$500, node!$C$2:$C$500,"="&amp;A38), "")</f>
        <v/>
      </c>
    </row>
    <row r="39" spans="1:31" ht="15.75" customHeight="1" x14ac:dyDescent="0.25">
      <c r="A39" s="119"/>
      <c r="B39" s="116" t="str">
        <f>IF(A39&lt;&gt;"", VLOOKUP(A39, node!$C$2:$D$500, 2, FALSE), "")</f>
        <v/>
      </c>
      <c r="C39" s="117" t="str">
        <f>IF(A39&lt;&gt;"", VLOOKUP(A39, node!$C$2:$E$500, 3, FALSE), "")</f>
        <v/>
      </c>
      <c r="D39" s="118" t="str">
        <f>IF(A39&lt;&gt;"",COUNTIFS(node!$C$2:$C$500,"="&amp;A39, node!$C$2:$C$500,"&lt;&gt;"&amp;""),"")</f>
        <v/>
      </c>
      <c r="E39" s="122" t="str">
        <f>IF(A39&lt;&gt;"",SUMIFS(node!$F$2:$F$500, node!$C$2:$C$500,"="&amp;A39, node!$C$2:$C$500,"&lt;&gt;"&amp;"")/(B39*D39),"")</f>
        <v/>
      </c>
      <c r="F39" s="124" t="str">
        <f>IF(A39&lt;&gt;"",SUMIFS(node!$H$2:$H$500, node!$C$2:$C$500,"="&amp;A39, node!$C$2:$C$500,"&lt;&gt;"&amp;"")/(C39*D39),"")</f>
        <v/>
      </c>
      <c r="G39" s="93" t="str">
        <f>IF(A39&lt;&gt;"",SUMIFS(deployment!$F$4:$F$502, deployment!$D$4:$D$502,"="&amp;A39, deployment!$D$4:$D$502,"&lt;&gt;"&amp;""),"")</f>
        <v/>
      </c>
      <c r="H39" s="94" t="str">
        <f>IF(A39&lt;&gt;"",SUMIFS(deployment!$G$4:$G$502, deployment!$D$4:$D$502,"="&amp;A39, deployment!$D$4:$D$502,"&lt;&gt;"&amp;""),"")</f>
        <v/>
      </c>
      <c r="I39" s="95" t="str">
        <f>IF(A39&lt;&gt;"",SUMIFS(deployment!$H$4:$H$502, deployment!$D$4:$D$502,"="&amp;A39, deployment!$D$4:$D$502,"&lt;&gt;"&amp;""),"")</f>
        <v/>
      </c>
      <c r="J39" s="96" t="str">
        <f>IF(A39&lt;&gt;"",SUMIFS(deployment!$I$4:$I$502, deployment!$D$4:$D$502,"="&amp;A39, deployment!$D$4:$D$502,"&lt;&gt;"&amp;""),"")</f>
        <v/>
      </c>
      <c r="K39" s="112" t="str">
        <f>IF(A39&lt;&gt;"",SUMIFS(deployment!$J$4:$J$502, deployment!$D$4:$D$502,"="&amp;A39, deployment!$D$4:$D$502,"&lt;&gt;"&amp;""),"")</f>
        <v/>
      </c>
      <c r="L39" s="112" t="str">
        <f>IF(A39&lt;&gt;"",SUMIFS(deployment!$K$4:$K$502, deployment!$D$4:$D$502,"="&amp;A39, deployment!$D$4:$D$502,"&lt;&gt;"&amp;""),"")</f>
        <v/>
      </c>
      <c r="M39" s="97" t="str">
        <f>IF(A39&lt;&gt;"",SUMIFS(deployment!$L$4:$L$502, deployment!$D$4:$D$502,"="&amp;A39, deployment!$D$4:$D$502,"&lt;&gt;"&amp;""),"")</f>
        <v/>
      </c>
      <c r="N39" s="97" t="str">
        <f>IF(A39&lt;&gt;"",SUMIFS(deployment!$M$4:$M$502, deployment!$D$4:$D$502,"="&amp;A39, deployment!$D$4:$D$502,"&lt;&gt;"&amp;""),"")</f>
        <v/>
      </c>
      <c r="O39" s="127" t="str">
        <f t="shared" si="11"/>
        <v/>
      </c>
      <c r="P39" s="104"/>
      <c r="Q39" s="99" t="str">
        <f t="shared" si="0"/>
        <v/>
      </c>
      <c r="R39" s="100" t="str">
        <f t="shared" si="1"/>
        <v/>
      </c>
      <c r="S39" s="100" t="str">
        <f t="shared" si="2"/>
        <v/>
      </c>
      <c r="T39" s="101" t="str">
        <f t="shared" si="3"/>
        <v/>
      </c>
      <c r="U39" s="101" t="str">
        <f t="shared" si="4"/>
        <v/>
      </c>
      <c r="V39" s="128" t="str">
        <f t="shared" si="5"/>
        <v/>
      </c>
      <c r="W39" s="128" t="str">
        <f t="shared" si="6"/>
        <v/>
      </c>
      <c r="X39" s="101" t="str">
        <f t="shared" si="7"/>
        <v/>
      </c>
      <c r="Y39" s="101" t="str">
        <f t="shared" si="8"/>
        <v/>
      </c>
      <c r="Z39" s="102" t="str">
        <f t="shared" si="9"/>
        <v/>
      </c>
      <c r="AA39" s="103" t="str">
        <f t="shared" si="10"/>
        <v/>
      </c>
      <c r="AB39" s="142" t="str">
        <f>IF(A39&lt;&gt;"", SUMIFS(node!$J$2:$J$500, node!$C$2:$C$500,"="&amp;A39)/P39, "")</f>
        <v/>
      </c>
      <c r="AC39" s="134" t="str">
        <f>IF(A39&lt;&gt;"", SUMIFS(node!$K$2:$K$500, node!$C$2:$C$500,"="&amp;A39)/P39, "")</f>
        <v/>
      </c>
      <c r="AD39" s="135" t="str">
        <f>IF(A39&lt;&gt;"", SUMIFS(node!$L$2:$L$500, node!$C$2:$C$500,"="&amp;A39), "")</f>
        <v/>
      </c>
      <c r="AE39" s="145" t="str">
        <f>IF(A39&lt;&gt;"", SUMIFS(node!$M$2:$M$500, node!$C$2:$C$500,"="&amp;A39), "")</f>
        <v/>
      </c>
    </row>
    <row r="40" spans="1:31" ht="15.75" customHeight="1" x14ac:dyDescent="0.25">
      <c r="A40" s="119"/>
      <c r="B40" s="116" t="str">
        <f>IF(A40&lt;&gt;"", VLOOKUP(A40, node!$C$2:$D$500, 2, FALSE), "")</f>
        <v/>
      </c>
      <c r="C40" s="117" t="str">
        <f>IF(A40&lt;&gt;"", VLOOKUP(A40, node!$C$2:$E$500, 3, FALSE), "")</f>
        <v/>
      </c>
      <c r="D40" s="118" t="str">
        <f>IF(A40&lt;&gt;"",COUNTIFS(node!$C$2:$C$500,"="&amp;A40, node!$C$2:$C$500,"&lt;&gt;"&amp;""),"")</f>
        <v/>
      </c>
      <c r="E40" s="122" t="str">
        <f>IF(A40&lt;&gt;"",SUMIFS(node!$F$2:$F$500, node!$C$2:$C$500,"="&amp;A40, node!$C$2:$C$500,"&lt;&gt;"&amp;"")/(B40*D40),"")</f>
        <v/>
      </c>
      <c r="F40" s="124" t="str">
        <f>IF(A40&lt;&gt;"",SUMIFS(node!$H$2:$H$500, node!$C$2:$C$500,"="&amp;A40, node!$C$2:$C$500,"&lt;&gt;"&amp;"")/(C40*D40),"")</f>
        <v/>
      </c>
      <c r="G40" s="93" t="str">
        <f>IF(A40&lt;&gt;"",SUMIFS(deployment!$F$4:$F$502, deployment!$D$4:$D$502,"="&amp;A40, deployment!$D$4:$D$502,"&lt;&gt;"&amp;""),"")</f>
        <v/>
      </c>
      <c r="H40" s="94" t="str">
        <f>IF(A40&lt;&gt;"",SUMIFS(deployment!$G$4:$G$502, deployment!$D$4:$D$502,"="&amp;A40, deployment!$D$4:$D$502,"&lt;&gt;"&amp;""),"")</f>
        <v/>
      </c>
      <c r="I40" s="95" t="str">
        <f>IF(A40&lt;&gt;"",SUMIFS(deployment!$H$4:$H$502, deployment!$D$4:$D$502,"="&amp;A40, deployment!$D$4:$D$502,"&lt;&gt;"&amp;""),"")</f>
        <v/>
      </c>
      <c r="J40" s="96" t="str">
        <f>IF(A40&lt;&gt;"",SUMIFS(deployment!$I$4:$I$502, deployment!$D$4:$D$502,"="&amp;A40, deployment!$D$4:$D$502,"&lt;&gt;"&amp;""),"")</f>
        <v/>
      </c>
      <c r="K40" s="112" t="str">
        <f>IF(A40&lt;&gt;"",SUMIFS(deployment!$J$4:$J$502, deployment!$D$4:$D$502,"="&amp;A40, deployment!$D$4:$D$502,"&lt;&gt;"&amp;""),"")</f>
        <v/>
      </c>
      <c r="L40" s="112" t="str">
        <f>IF(A40&lt;&gt;"",SUMIFS(deployment!$K$4:$K$502, deployment!$D$4:$D$502,"="&amp;A40, deployment!$D$4:$D$502,"&lt;&gt;"&amp;""),"")</f>
        <v/>
      </c>
      <c r="M40" s="97" t="str">
        <f>IF(A40&lt;&gt;"",SUMIFS(deployment!$L$4:$L$502, deployment!$D$4:$D$502,"="&amp;A40, deployment!$D$4:$D$502,"&lt;&gt;"&amp;""),"")</f>
        <v/>
      </c>
      <c r="N40" s="97" t="str">
        <f>IF(A40&lt;&gt;"",SUMIFS(deployment!$M$4:$M$502, deployment!$D$4:$D$502,"="&amp;A40, deployment!$D$4:$D$502,"&lt;&gt;"&amp;""),"")</f>
        <v/>
      </c>
      <c r="O40" s="127" t="str">
        <f t="shared" si="11"/>
        <v/>
      </c>
      <c r="P40" s="104"/>
      <c r="Q40" s="99" t="str">
        <f t="shared" si="0"/>
        <v/>
      </c>
      <c r="R40" s="100" t="str">
        <f t="shared" si="1"/>
        <v/>
      </c>
      <c r="S40" s="100" t="str">
        <f t="shared" si="2"/>
        <v/>
      </c>
      <c r="T40" s="101" t="str">
        <f t="shared" si="3"/>
        <v/>
      </c>
      <c r="U40" s="101" t="str">
        <f t="shared" si="4"/>
        <v/>
      </c>
      <c r="V40" s="128" t="str">
        <f t="shared" si="5"/>
        <v/>
      </c>
      <c r="W40" s="128" t="str">
        <f t="shared" si="6"/>
        <v/>
      </c>
      <c r="X40" s="101" t="str">
        <f t="shared" si="7"/>
        <v/>
      </c>
      <c r="Y40" s="101" t="str">
        <f t="shared" si="8"/>
        <v/>
      </c>
      <c r="Z40" s="102" t="str">
        <f t="shared" si="9"/>
        <v/>
      </c>
      <c r="AA40" s="103" t="str">
        <f t="shared" si="10"/>
        <v/>
      </c>
      <c r="AB40" s="142" t="str">
        <f>IF(A40&lt;&gt;"", SUMIFS(node!$J$2:$J$500, node!$C$2:$C$500,"="&amp;A40)/P40, "")</f>
        <v/>
      </c>
      <c r="AC40" s="134" t="str">
        <f>IF(A40&lt;&gt;"", SUMIFS(node!$K$2:$K$500, node!$C$2:$C$500,"="&amp;A40)/P40, "")</f>
        <v/>
      </c>
      <c r="AD40" s="135" t="str">
        <f>IF(A40&lt;&gt;"", SUMIFS(node!$L$2:$L$500, node!$C$2:$C$500,"="&amp;A40), "")</f>
        <v/>
      </c>
      <c r="AE40" s="145" t="str">
        <f>IF(A40&lt;&gt;"", SUMIFS(node!$M$2:$M$500, node!$C$2:$C$500,"="&amp;A40), "")</f>
        <v/>
      </c>
    </row>
    <row r="41" spans="1:31" ht="15.75" customHeight="1" x14ac:dyDescent="0.25">
      <c r="A41" s="119"/>
      <c r="B41" s="116" t="str">
        <f>IF(A41&lt;&gt;"", VLOOKUP(A41, node!$C$2:$D$500, 2, FALSE), "")</f>
        <v/>
      </c>
      <c r="C41" s="117" t="str">
        <f>IF(A41&lt;&gt;"", VLOOKUP(A41, node!$C$2:$E$500, 3, FALSE), "")</f>
        <v/>
      </c>
      <c r="D41" s="118" t="str">
        <f>IF(A41&lt;&gt;"",COUNTIFS(node!$C$2:$C$500,"="&amp;A41, node!$C$2:$C$500,"&lt;&gt;"&amp;""),"")</f>
        <v/>
      </c>
      <c r="E41" s="122" t="str">
        <f>IF(A41&lt;&gt;"",SUMIFS(node!$F$2:$F$500, node!$C$2:$C$500,"="&amp;A41, node!$C$2:$C$500,"&lt;&gt;"&amp;"")/(B41*D41),"")</f>
        <v/>
      </c>
      <c r="F41" s="124" t="str">
        <f>IF(A41&lt;&gt;"",SUMIFS(node!$H$2:$H$500, node!$C$2:$C$500,"="&amp;A41, node!$C$2:$C$500,"&lt;&gt;"&amp;"")/(C41*D41),"")</f>
        <v/>
      </c>
      <c r="G41" s="93" t="str">
        <f>IF(A41&lt;&gt;"",SUMIFS(deployment!$F$4:$F$502, deployment!$D$4:$D$502,"="&amp;A41, deployment!$D$4:$D$502,"&lt;&gt;"&amp;""),"")</f>
        <v/>
      </c>
      <c r="H41" s="94" t="str">
        <f>IF(A41&lt;&gt;"",SUMIFS(deployment!$G$4:$G$502, deployment!$D$4:$D$502,"="&amp;A41, deployment!$D$4:$D$502,"&lt;&gt;"&amp;""),"")</f>
        <v/>
      </c>
      <c r="I41" s="95" t="str">
        <f>IF(A41&lt;&gt;"",SUMIFS(deployment!$H$4:$H$502, deployment!$D$4:$D$502,"="&amp;A41, deployment!$D$4:$D$502,"&lt;&gt;"&amp;""),"")</f>
        <v/>
      </c>
      <c r="J41" s="96" t="str">
        <f>IF(A41&lt;&gt;"",SUMIFS(deployment!$I$4:$I$502, deployment!$D$4:$D$502,"="&amp;A41, deployment!$D$4:$D$502,"&lt;&gt;"&amp;""),"")</f>
        <v/>
      </c>
      <c r="K41" s="112" t="str">
        <f>IF(A41&lt;&gt;"",SUMIFS(deployment!$J$4:$J$502, deployment!$D$4:$D$502,"="&amp;A41, deployment!$D$4:$D$502,"&lt;&gt;"&amp;""),"")</f>
        <v/>
      </c>
      <c r="L41" s="112" t="str">
        <f>IF(A41&lt;&gt;"",SUMIFS(deployment!$K$4:$K$502, deployment!$D$4:$D$502,"="&amp;A41, deployment!$D$4:$D$502,"&lt;&gt;"&amp;""),"")</f>
        <v/>
      </c>
      <c r="M41" s="97" t="str">
        <f>IF(A41&lt;&gt;"",SUMIFS(deployment!$L$4:$L$502, deployment!$D$4:$D$502,"="&amp;A41, deployment!$D$4:$D$502,"&lt;&gt;"&amp;""),"")</f>
        <v/>
      </c>
      <c r="N41" s="97" t="str">
        <f>IF(A41&lt;&gt;"",SUMIFS(deployment!$M$4:$M$502, deployment!$D$4:$D$502,"="&amp;A41, deployment!$D$4:$D$502,"&lt;&gt;"&amp;""),"")</f>
        <v/>
      </c>
      <c r="O41" s="127" t="str">
        <f t="shared" si="11"/>
        <v/>
      </c>
      <c r="P41" s="104"/>
      <c r="Q41" s="99" t="str">
        <f t="shared" si="0"/>
        <v/>
      </c>
      <c r="R41" s="100" t="str">
        <f t="shared" si="1"/>
        <v/>
      </c>
      <c r="S41" s="100" t="str">
        <f t="shared" si="2"/>
        <v/>
      </c>
      <c r="T41" s="101" t="str">
        <f t="shared" si="3"/>
        <v/>
      </c>
      <c r="U41" s="101" t="str">
        <f t="shared" si="4"/>
        <v/>
      </c>
      <c r="V41" s="128" t="str">
        <f t="shared" si="5"/>
        <v/>
      </c>
      <c r="W41" s="128" t="str">
        <f t="shared" si="6"/>
        <v/>
      </c>
      <c r="X41" s="101" t="str">
        <f t="shared" si="7"/>
        <v/>
      </c>
      <c r="Y41" s="101" t="str">
        <f t="shared" si="8"/>
        <v/>
      </c>
      <c r="Z41" s="102" t="str">
        <f t="shared" si="9"/>
        <v/>
      </c>
      <c r="AA41" s="103" t="str">
        <f t="shared" si="10"/>
        <v/>
      </c>
      <c r="AB41" s="142" t="str">
        <f>IF(A41&lt;&gt;"", SUMIFS(node!$J$2:$J$500, node!$C$2:$C$500,"="&amp;A41)/P41, "")</f>
        <v/>
      </c>
      <c r="AC41" s="134" t="str">
        <f>IF(A41&lt;&gt;"", SUMIFS(node!$K$2:$K$500, node!$C$2:$C$500,"="&amp;A41)/P41, "")</f>
        <v/>
      </c>
      <c r="AD41" s="135" t="str">
        <f>IF(A41&lt;&gt;"", SUMIFS(node!$L$2:$L$500, node!$C$2:$C$500,"="&amp;A41), "")</f>
        <v/>
      </c>
      <c r="AE41" s="145" t="str">
        <f>IF(A41&lt;&gt;"", SUMIFS(node!$M$2:$M$500, node!$C$2:$C$500,"="&amp;A41), "")</f>
        <v/>
      </c>
    </row>
    <row r="42" spans="1:31" ht="15.75" customHeight="1" x14ac:dyDescent="0.25">
      <c r="A42" s="119"/>
      <c r="B42" s="116" t="str">
        <f>IF(A42&lt;&gt;"", VLOOKUP(A42, node!$C$2:$D$500, 2, FALSE), "")</f>
        <v/>
      </c>
      <c r="C42" s="117" t="str">
        <f>IF(A42&lt;&gt;"", VLOOKUP(A42, node!$C$2:$E$500, 3, FALSE), "")</f>
        <v/>
      </c>
      <c r="D42" s="118" t="str">
        <f>IF(A42&lt;&gt;"",COUNTIFS(node!$C$2:$C$500,"="&amp;A42, node!$C$2:$C$500,"&lt;&gt;"&amp;""),"")</f>
        <v/>
      </c>
      <c r="E42" s="122" t="str">
        <f>IF(A42&lt;&gt;"",SUMIFS(node!$F$2:$F$500, node!$C$2:$C$500,"="&amp;A42, node!$C$2:$C$500,"&lt;&gt;"&amp;"")/(B42*D42),"")</f>
        <v/>
      </c>
      <c r="F42" s="124" t="str">
        <f>IF(A42&lt;&gt;"",SUMIFS(node!$H$2:$H$500, node!$C$2:$C$500,"="&amp;A42, node!$C$2:$C$500,"&lt;&gt;"&amp;"")/(C42*D42),"")</f>
        <v/>
      </c>
      <c r="G42" s="93" t="str">
        <f>IF(A42&lt;&gt;"",SUMIFS(deployment!$F$4:$F$502, deployment!$D$4:$D$502,"="&amp;A42, deployment!$D$4:$D$502,"&lt;&gt;"&amp;""),"")</f>
        <v/>
      </c>
      <c r="H42" s="94" t="str">
        <f>IF(A42&lt;&gt;"",SUMIFS(deployment!$G$4:$G$502, deployment!$D$4:$D$502,"="&amp;A42, deployment!$D$4:$D$502,"&lt;&gt;"&amp;""),"")</f>
        <v/>
      </c>
      <c r="I42" s="95" t="str">
        <f>IF(A42&lt;&gt;"",SUMIFS(deployment!$H$4:$H$502, deployment!$D$4:$D$502,"="&amp;A42, deployment!$D$4:$D$502,"&lt;&gt;"&amp;""),"")</f>
        <v/>
      </c>
      <c r="J42" s="96" t="str">
        <f>IF(A42&lt;&gt;"",SUMIFS(deployment!$I$4:$I$502, deployment!$D$4:$D$502,"="&amp;A42, deployment!$D$4:$D$502,"&lt;&gt;"&amp;""),"")</f>
        <v/>
      </c>
      <c r="K42" s="112" t="str">
        <f>IF(A42&lt;&gt;"",SUMIFS(deployment!$J$4:$J$502, deployment!$D$4:$D$502,"="&amp;A42, deployment!$D$4:$D$502,"&lt;&gt;"&amp;""),"")</f>
        <v/>
      </c>
      <c r="L42" s="112" t="str">
        <f>IF(A42&lt;&gt;"",SUMIFS(deployment!$K$4:$K$502, deployment!$D$4:$D$502,"="&amp;A42, deployment!$D$4:$D$502,"&lt;&gt;"&amp;""),"")</f>
        <v/>
      </c>
      <c r="M42" s="97" t="str">
        <f>IF(A42&lt;&gt;"",SUMIFS(deployment!$L$4:$L$502, deployment!$D$4:$D$502,"="&amp;A42, deployment!$D$4:$D$502,"&lt;&gt;"&amp;""),"")</f>
        <v/>
      </c>
      <c r="N42" s="97" t="str">
        <f>IF(A42&lt;&gt;"",SUMIFS(deployment!$M$4:$M$502, deployment!$D$4:$D$502,"="&amp;A42, deployment!$D$4:$D$502,"&lt;&gt;"&amp;""),"")</f>
        <v/>
      </c>
      <c r="O42" s="127" t="str">
        <f t="shared" si="11"/>
        <v/>
      </c>
      <c r="P42" s="104"/>
      <c r="Q42" s="99" t="str">
        <f t="shared" si="0"/>
        <v/>
      </c>
      <c r="R42" s="100" t="str">
        <f t="shared" si="1"/>
        <v/>
      </c>
      <c r="S42" s="100" t="str">
        <f t="shared" si="2"/>
        <v/>
      </c>
      <c r="T42" s="101" t="str">
        <f t="shared" si="3"/>
        <v/>
      </c>
      <c r="U42" s="101" t="str">
        <f t="shared" si="4"/>
        <v/>
      </c>
      <c r="V42" s="128" t="str">
        <f t="shared" si="5"/>
        <v/>
      </c>
      <c r="W42" s="128" t="str">
        <f t="shared" si="6"/>
        <v/>
      </c>
      <c r="X42" s="101" t="str">
        <f t="shared" si="7"/>
        <v/>
      </c>
      <c r="Y42" s="101" t="str">
        <f t="shared" si="8"/>
        <v/>
      </c>
      <c r="Z42" s="102" t="str">
        <f t="shared" si="9"/>
        <v/>
      </c>
      <c r="AA42" s="103" t="str">
        <f t="shared" si="10"/>
        <v/>
      </c>
      <c r="AB42" s="142" t="str">
        <f>IF(A42&lt;&gt;"", SUMIFS(node!$J$2:$J$500, node!$C$2:$C$500,"="&amp;A42)/P42, "")</f>
        <v/>
      </c>
      <c r="AC42" s="134" t="str">
        <f>IF(A42&lt;&gt;"", SUMIFS(node!$K$2:$K$500, node!$C$2:$C$500,"="&amp;A42)/P42, "")</f>
        <v/>
      </c>
      <c r="AD42" s="135" t="str">
        <f>IF(A42&lt;&gt;"", SUMIFS(node!$L$2:$L$500, node!$C$2:$C$500,"="&amp;A42), "")</f>
        <v/>
      </c>
      <c r="AE42" s="145" t="str">
        <f>IF(A42&lt;&gt;"", SUMIFS(node!$M$2:$M$500, node!$C$2:$C$500,"="&amp;A42), "")</f>
        <v/>
      </c>
    </row>
    <row r="43" spans="1:31" ht="15.75" customHeight="1" x14ac:dyDescent="0.25">
      <c r="A43" s="119"/>
      <c r="B43" s="116" t="str">
        <f>IF(A43&lt;&gt;"", VLOOKUP(A43, node!$C$2:$D$500, 2, FALSE), "")</f>
        <v/>
      </c>
      <c r="C43" s="117" t="str">
        <f>IF(A43&lt;&gt;"", VLOOKUP(A43, node!$C$2:$E$500, 3, FALSE), "")</f>
        <v/>
      </c>
      <c r="D43" s="118" t="str">
        <f>IF(A43&lt;&gt;"",COUNTIFS(node!$C$2:$C$500,"="&amp;A43, node!$C$2:$C$500,"&lt;&gt;"&amp;""),"")</f>
        <v/>
      </c>
      <c r="E43" s="122" t="str">
        <f>IF(A43&lt;&gt;"",SUMIFS(node!$F$2:$F$500, node!$C$2:$C$500,"="&amp;A43, node!$C$2:$C$500,"&lt;&gt;"&amp;"")/(B43*D43),"")</f>
        <v/>
      </c>
      <c r="F43" s="124" t="str">
        <f>IF(A43&lt;&gt;"",SUMIFS(node!$H$2:$H$500, node!$C$2:$C$500,"="&amp;A43, node!$C$2:$C$500,"&lt;&gt;"&amp;"")/(C43*D43),"")</f>
        <v/>
      </c>
      <c r="G43" s="93" t="str">
        <f>IF(A43&lt;&gt;"",SUMIFS(deployment!$F$4:$F$502, deployment!$D$4:$D$502,"="&amp;A43, deployment!$D$4:$D$502,"&lt;&gt;"&amp;""),"")</f>
        <v/>
      </c>
      <c r="H43" s="94" t="str">
        <f>IF(A43&lt;&gt;"",SUMIFS(deployment!$G$4:$G$502, deployment!$D$4:$D$502,"="&amp;A43, deployment!$D$4:$D$502,"&lt;&gt;"&amp;""),"")</f>
        <v/>
      </c>
      <c r="I43" s="95" t="str">
        <f>IF(A43&lt;&gt;"",SUMIFS(deployment!$H$4:$H$502, deployment!$D$4:$D$502,"="&amp;A43, deployment!$D$4:$D$502,"&lt;&gt;"&amp;""),"")</f>
        <v/>
      </c>
      <c r="J43" s="96" t="str">
        <f>IF(A43&lt;&gt;"",SUMIFS(deployment!$I$4:$I$502, deployment!$D$4:$D$502,"="&amp;A43, deployment!$D$4:$D$502,"&lt;&gt;"&amp;""),"")</f>
        <v/>
      </c>
      <c r="K43" s="112" t="str">
        <f>IF(A43&lt;&gt;"",SUMIFS(deployment!$J$4:$J$502, deployment!$D$4:$D$502,"="&amp;A43, deployment!$D$4:$D$502,"&lt;&gt;"&amp;""),"")</f>
        <v/>
      </c>
      <c r="L43" s="112" t="str">
        <f>IF(A43&lt;&gt;"",SUMIFS(deployment!$K$4:$K$502, deployment!$D$4:$D$502,"="&amp;A43, deployment!$D$4:$D$502,"&lt;&gt;"&amp;""),"")</f>
        <v/>
      </c>
      <c r="M43" s="97" t="str">
        <f>IF(A43&lt;&gt;"",SUMIFS(deployment!$L$4:$L$502, deployment!$D$4:$D$502,"="&amp;A43, deployment!$D$4:$D$502,"&lt;&gt;"&amp;""),"")</f>
        <v/>
      </c>
      <c r="N43" s="97" t="str">
        <f>IF(A43&lt;&gt;"",SUMIFS(deployment!$M$4:$M$502, deployment!$D$4:$D$502,"="&amp;A43, deployment!$D$4:$D$502,"&lt;&gt;"&amp;""),"")</f>
        <v/>
      </c>
      <c r="O43" s="127" t="str">
        <f t="shared" si="11"/>
        <v/>
      </c>
      <c r="P43" s="104"/>
      <c r="Q43" s="99" t="str">
        <f t="shared" si="0"/>
        <v/>
      </c>
      <c r="R43" s="100" t="str">
        <f t="shared" si="1"/>
        <v/>
      </c>
      <c r="S43" s="100" t="str">
        <f t="shared" si="2"/>
        <v/>
      </c>
      <c r="T43" s="101" t="str">
        <f t="shared" si="3"/>
        <v/>
      </c>
      <c r="U43" s="101" t="str">
        <f t="shared" si="4"/>
        <v/>
      </c>
      <c r="V43" s="128" t="str">
        <f t="shared" si="5"/>
        <v/>
      </c>
      <c r="W43" s="128" t="str">
        <f t="shared" si="6"/>
        <v/>
      </c>
      <c r="X43" s="101" t="str">
        <f t="shared" si="7"/>
        <v/>
      </c>
      <c r="Y43" s="101" t="str">
        <f t="shared" si="8"/>
        <v/>
      </c>
      <c r="Z43" s="102" t="str">
        <f t="shared" si="9"/>
        <v/>
      </c>
      <c r="AA43" s="103" t="str">
        <f t="shared" si="10"/>
        <v/>
      </c>
      <c r="AB43" s="142" t="str">
        <f>IF(A43&lt;&gt;"", SUMIFS(node!$J$2:$J$500, node!$C$2:$C$500,"="&amp;A43)/P43, "")</f>
        <v/>
      </c>
      <c r="AC43" s="134" t="str">
        <f>IF(A43&lt;&gt;"", SUMIFS(node!$K$2:$K$500, node!$C$2:$C$500,"="&amp;A43)/P43, "")</f>
        <v/>
      </c>
      <c r="AD43" s="135" t="str">
        <f>IF(A43&lt;&gt;"", SUMIFS(node!$L$2:$L$500, node!$C$2:$C$500,"="&amp;A43), "")</f>
        <v/>
      </c>
      <c r="AE43" s="145" t="str">
        <f>IF(A43&lt;&gt;"", SUMIFS(node!$M$2:$M$500, node!$C$2:$C$500,"="&amp;A43), "")</f>
        <v/>
      </c>
    </row>
    <row r="44" spans="1:31" ht="15.75" customHeight="1" x14ac:dyDescent="0.25">
      <c r="A44" s="119"/>
      <c r="B44" s="116" t="str">
        <f>IF(A44&lt;&gt;"", VLOOKUP(A44, node!$C$2:$D$500, 2, FALSE), "")</f>
        <v/>
      </c>
      <c r="C44" s="117" t="str">
        <f>IF(A44&lt;&gt;"", VLOOKUP(A44, node!$C$2:$E$500, 3, FALSE), "")</f>
        <v/>
      </c>
      <c r="D44" s="118" t="str">
        <f>IF(A44&lt;&gt;"",COUNTIFS(node!$C$2:$C$500,"="&amp;A44, node!$C$2:$C$500,"&lt;&gt;"&amp;""),"")</f>
        <v/>
      </c>
      <c r="E44" s="122" t="str">
        <f>IF(A44&lt;&gt;"",SUMIFS(node!$F$2:$F$500, node!$C$2:$C$500,"="&amp;A44, node!$C$2:$C$500,"&lt;&gt;"&amp;"")/(B44*D44),"")</f>
        <v/>
      </c>
      <c r="F44" s="124" t="str">
        <f>IF(A44&lt;&gt;"",SUMIFS(node!$H$2:$H$500, node!$C$2:$C$500,"="&amp;A44, node!$C$2:$C$500,"&lt;&gt;"&amp;"")/(C44*D44),"")</f>
        <v/>
      </c>
      <c r="G44" s="93" t="str">
        <f>IF(A44&lt;&gt;"",SUMIFS(deployment!$F$4:$F$502, deployment!$D$4:$D$502,"="&amp;A44, deployment!$D$4:$D$502,"&lt;&gt;"&amp;""),"")</f>
        <v/>
      </c>
      <c r="H44" s="94" t="str">
        <f>IF(A44&lt;&gt;"",SUMIFS(deployment!$G$4:$G$502, deployment!$D$4:$D$502,"="&amp;A44, deployment!$D$4:$D$502,"&lt;&gt;"&amp;""),"")</f>
        <v/>
      </c>
      <c r="I44" s="95" t="str">
        <f>IF(A44&lt;&gt;"",SUMIFS(deployment!$H$4:$H$502, deployment!$D$4:$D$502,"="&amp;A44, deployment!$D$4:$D$502,"&lt;&gt;"&amp;""),"")</f>
        <v/>
      </c>
      <c r="J44" s="96" t="str">
        <f>IF(A44&lt;&gt;"",SUMIFS(deployment!$I$4:$I$502, deployment!$D$4:$D$502,"="&amp;A44, deployment!$D$4:$D$502,"&lt;&gt;"&amp;""),"")</f>
        <v/>
      </c>
      <c r="K44" s="112" t="str">
        <f>IF(A44&lt;&gt;"",SUMIFS(deployment!$J$4:$J$502, deployment!$D$4:$D$502,"="&amp;A44, deployment!$D$4:$D$502,"&lt;&gt;"&amp;""),"")</f>
        <v/>
      </c>
      <c r="L44" s="112" t="str">
        <f>IF(A44&lt;&gt;"",SUMIFS(deployment!$K$4:$K$502, deployment!$D$4:$D$502,"="&amp;A44, deployment!$D$4:$D$502,"&lt;&gt;"&amp;""),"")</f>
        <v/>
      </c>
      <c r="M44" s="97" t="str">
        <f>IF(A44&lt;&gt;"",SUMIFS(deployment!$L$4:$L$502, deployment!$D$4:$D$502,"="&amp;A44, deployment!$D$4:$D$502,"&lt;&gt;"&amp;""),"")</f>
        <v/>
      </c>
      <c r="N44" s="97" t="str">
        <f>IF(A44&lt;&gt;"",SUMIFS(deployment!$M$4:$M$502, deployment!$D$4:$D$502,"="&amp;A44, deployment!$D$4:$D$502,"&lt;&gt;"&amp;""),"")</f>
        <v/>
      </c>
      <c r="O44" s="127" t="str">
        <f t="shared" si="11"/>
        <v/>
      </c>
      <c r="P44" s="104"/>
      <c r="Q44" s="99" t="str">
        <f t="shared" si="0"/>
        <v/>
      </c>
      <c r="R44" s="100" t="str">
        <f t="shared" si="1"/>
        <v/>
      </c>
      <c r="S44" s="100" t="str">
        <f t="shared" si="2"/>
        <v/>
      </c>
      <c r="T44" s="101" t="str">
        <f t="shared" si="3"/>
        <v/>
      </c>
      <c r="U44" s="101" t="str">
        <f t="shared" si="4"/>
        <v/>
      </c>
      <c r="V44" s="128" t="str">
        <f t="shared" si="5"/>
        <v/>
      </c>
      <c r="W44" s="128" t="str">
        <f t="shared" si="6"/>
        <v/>
      </c>
      <c r="X44" s="101" t="str">
        <f t="shared" si="7"/>
        <v/>
      </c>
      <c r="Y44" s="101" t="str">
        <f t="shared" si="8"/>
        <v/>
      </c>
      <c r="Z44" s="102" t="str">
        <f t="shared" si="9"/>
        <v/>
      </c>
      <c r="AA44" s="103" t="str">
        <f t="shared" si="10"/>
        <v/>
      </c>
      <c r="AB44" s="142" t="str">
        <f>IF(A44&lt;&gt;"", SUMIFS(node!$J$2:$J$500, node!$C$2:$C$500,"="&amp;A44)/P44, "")</f>
        <v/>
      </c>
      <c r="AC44" s="134" t="str">
        <f>IF(A44&lt;&gt;"", SUMIFS(node!$K$2:$K$500, node!$C$2:$C$500,"="&amp;A44)/P44, "")</f>
        <v/>
      </c>
      <c r="AD44" s="135" t="str">
        <f>IF(A44&lt;&gt;"", SUMIFS(node!$L$2:$L$500, node!$C$2:$C$500,"="&amp;A44), "")</f>
        <v/>
      </c>
      <c r="AE44" s="145" t="str">
        <f>IF(A44&lt;&gt;"", SUMIFS(node!$M$2:$M$500, node!$C$2:$C$500,"="&amp;A44), "")</f>
        <v/>
      </c>
    </row>
    <row r="45" spans="1:31" ht="15.75" customHeight="1" x14ac:dyDescent="0.25">
      <c r="A45" s="119"/>
      <c r="B45" s="116" t="str">
        <f>IF(A45&lt;&gt;"", VLOOKUP(A45, node!$C$2:$D$500, 2, FALSE), "")</f>
        <v/>
      </c>
      <c r="C45" s="117" t="str">
        <f>IF(A45&lt;&gt;"", VLOOKUP(A45, node!$C$2:$E$500, 3, FALSE), "")</f>
        <v/>
      </c>
      <c r="D45" s="118" t="str">
        <f>IF(A45&lt;&gt;"",COUNTIFS(node!$C$2:$C$500,"="&amp;A45, node!$C$2:$C$500,"&lt;&gt;"&amp;""),"")</f>
        <v/>
      </c>
      <c r="E45" s="122" t="str">
        <f>IF(A45&lt;&gt;"",SUMIFS(node!$F$2:$F$500, node!$C$2:$C$500,"="&amp;A45, node!$C$2:$C$500,"&lt;&gt;"&amp;"")/(B45*D45),"")</f>
        <v/>
      </c>
      <c r="F45" s="124" t="str">
        <f>IF(A45&lt;&gt;"",SUMIFS(node!$H$2:$H$500, node!$C$2:$C$500,"="&amp;A45, node!$C$2:$C$500,"&lt;&gt;"&amp;"")/(C45*D45),"")</f>
        <v/>
      </c>
      <c r="G45" s="93" t="str">
        <f>IF(A45&lt;&gt;"",SUMIFS(deployment!$F$4:$F$502, deployment!$D$4:$D$502,"="&amp;A45, deployment!$D$4:$D$502,"&lt;&gt;"&amp;""),"")</f>
        <v/>
      </c>
      <c r="H45" s="94" t="str">
        <f>IF(A45&lt;&gt;"",SUMIFS(deployment!$G$4:$G$502, deployment!$D$4:$D$502,"="&amp;A45, deployment!$D$4:$D$502,"&lt;&gt;"&amp;""),"")</f>
        <v/>
      </c>
      <c r="I45" s="95" t="str">
        <f>IF(A45&lt;&gt;"",SUMIFS(deployment!$H$4:$H$502, deployment!$D$4:$D$502,"="&amp;A45, deployment!$D$4:$D$502,"&lt;&gt;"&amp;""),"")</f>
        <v/>
      </c>
      <c r="J45" s="96" t="str">
        <f>IF(A45&lt;&gt;"",SUMIFS(deployment!$I$4:$I$502, deployment!$D$4:$D$502,"="&amp;A45, deployment!$D$4:$D$502,"&lt;&gt;"&amp;""),"")</f>
        <v/>
      </c>
      <c r="K45" s="112" t="str">
        <f>IF(A45&lt;&gt;"",SUMIFS(deployment!$J$4:$J$502, deployment!$D$4:$D$502,"="&amp;A45, deployment!$D$4:$D$502,"&lt;&gt;"&amp;""),"")</f>
        <v/>
      </c>
      <c r="L45" s="112" t="str">
        <f>IF(A45&lt;&gt;"",SUMIFS(deployment!$K$4:$K$502, deployment!$D$4:$D$502,"="&amp;A45, deployment!$D$4:$D$502,"&lt;&gt;"&amp;""),"")</f>
        <v/>
      </c>
      <c r="M45" s="97" t="str">
        <f>IF(A45&lt;&gt;"",SUMIFS(deployment!$L$4:$L$502, deployment!$D$4:$D$502,"="&amp;A45, deployment!$D$4:$D$502,"&lt;&gt;"&amp;""),"")</f>
        <v/>
      </c>
      <c r="N45" s="97" t="str">
        <f>IF(A45&lt;&gt;"",SUMIFS(deployment!$M$4:$M$502, deployment!$D$4:$D$502,"="&amp;A45, deployment!$D$4:$D$502,"&lt;&gt;"&amp;""),"")</f>
        <v/>
      </c>
      <c r="O45" s="127" t="str">
        <f t="shared" si="11"/>
        <v/>
      </c>
      <c r="P45" s="104"/>
      <c r="Q45" s="99" t="str">
        <f t="shared" si="0"/>
        <v/>
      </c>
      <c r="R45" s="100" t="str">
        <f t="shared" si="1"/>
        <v/>
      </c>
      <c r="S45" s="100" t="str">
        <f t="shared" si="2"/>
        <v/>
      </c>
      <c r="T45" s="101" t="str">
        <f t="shared" si="3"/>
        <v/>
      </c>
      <c r="U45" s="101" t="str">
        <f t="shared" si="4"/>
        <v/>
      </c>
      <c r="V45" s="128" t="str">
        <f t="shared" si="5"/>
        <v/>
      </c>
      <c r="W45" s="128" t="str">
        <f t="shared" si="6"/>
        <v/>
      </c>
      <c r="X45" s="101" t="str">
        <f t="shared" si="7"/>
        <v/>
      </c>
      <c r="Y45" s="101" t="str">
        <f t="shared" si="8"/>
        <v/>
      </c>
      <c r="Z45" s="102" t="str">
        <f t="shared" si="9"/>
        <v/>
      </c>
      <c r="AA45" s="103" t="str">
        <f t="shared" si="10"/>
        <v/>
      </c>
      <c r="AB45" s="142" t="str">
        <f>IF(A45&lt;&gt;"", SUMIFS(node!$J$2:$J$500, node!$C$2:$C$500,"="&amp;A45)/P45, "")</f>
        <v/>
      </c>
      <c r="AC45" s="134" t="str">
        <f>IF(A45&lt;&gt;"", SUMIFS(node!$K$2:$K$500, node!$C$2:$C$500,"="&amp;A45)/P45, "")</f>
        <v/>
      </c>
      <c r="AD45" s="135" t="str">
        <f>IF(A45&lt;&gt;"", SUMIFS(node!$L$2:$L$500, node!$C$2:$C$500,"="&amp;A45), "")</f>
        <v/>
      </c>
      <c r="AE45" s="145" t="str">
        <f>IF(A45&lt;&gt;"", SUMIFS(node!$M$2:$M$500, node!$C$2:$C$500,"="&amp;A45), "")</f>
        <v/>
      </c>
    </row>
    <row r="46" spans="1:31" ht="15.75" customHeight="1" x14ac:dyDescent="0.25">
      <c r="A46" s="119"/>
      <c r="B46" s="116" t="str">
        <f>IF(A46&lt;&gt;"", VLOOKUP(A46, node!$C$2:$D$500, 2, FALSE), "")</f>
        <v/>
      </c>
      <c r="C46" s="117" t="str">
        <f>IF(A46&lt;&gt;"", VLOOKUP(A46, node!$C$2:$E$500, 3, FALSE), "")</f>
        <v/>
      </c>
      <c r="D46" s="118" t="str">
        <f>IF(A46&lt;&gt;"",COUNTIFS(node!$C$2:$C$500,"="&amp;A46, node!$C$2:$C$500,"&lt;&gt;"&amp;""),"")</f>
        <v/>
      </c>
      <c r="E46" s="122" t="str">
        <f>IF(A46&lt;&gt;"",SUMIFS(node!$F$2:$F$500, node!$C$2:$C$500,"="&amp;A46, node!$C$2:$C$500,"&lt;&gt;"&amp;"")/(B46*D46),"")</f>
        <v/>
      </c>
      <c r="F46" s="124" t="str">
        <f>IF(A46&lt;&gt;"",SUMIFS(node!$H$2:$H$500, node!$C$2:$C$500,"="&amp;A46, node!$C$2:$C$500,"&lt;&gt;"&amp;"")/(C46*D46),"")</f>
        <v/>
      </c>
      <c r="G46" s="93" t="str">
        <f>IF(A46&lt;&gt;"",SUMIFS(deployment!$F$4:$F$502, deployment!$D$4:$D$502,"="&amp;A46, deployment!$D$4:$D$502,"&lt;&gt;"&amp;""),"")</f>
        <v/>
      </c>
      <c r="H46" s="94" t="str">
        <f>IF(A46&lt;&gt;"",SUMIFS(deployment!$G$4:$G$502, deployment!$D$4:$D$502,"="&amp;A46, deployment!$D$4:$D$502,"&lt;&gt;"&amp;""),"")</f>
        <v/>
      </c>
      <c r="I46" s="95" t="str">
        <f>IF(A46&lt;&gt;"",SUMIFS(deployment!$H$4:$H$502, deployment!$D$4:$D$502,"="&amp;A46, deployment!$D$4:$D$502,"&lt;&gt;"&amp;""),"")</f>
        <v/>
      </c>
      <c r="J46" s="96" t="str">
        <f>IF(A46&lt;&gt;"",SUMIFS(deployment!$I$4:$I$502, deployment!$D$4:$D$502,"="&amp;A46, deployment!$D$4:$D$502,"&lt;&gt;"&amp;""),"")</f>
        <v/>
      </c>
      <c r="K46" s="112" t="str">
        <f>IF(A46&lt;&gt;"",SUMIFS(deployment!$J$4:$J$502, deployment!$D$4:$D$502,"="&amp;A46, deployment!$D$4:$D$502,"&lt;&gt;"&amp;""),"")</f>
        <v/>
      </c>
      <c r="L46" s="112" t="str">
        <f>IF(A46&lt;&gt;"",SUMIFS(deployment!$K$4:$K$502, deployment!$D$4:$D$502,"="&amp;A46, deployment!$D$4:$D$502,"&lt;&gt;"&amp;""),"")</f>
        <v/>
      </c>
      <c r="M46" s="97" t="str">
        <f>IF(A46&lt;&gt;"",SUMIFS(deployment!$L$4:$L$502, deployment!$D$4:$D$502,"="&amp;A46, deployment!$D$4:$D$502,"&lt;&gt;"&amp;""),"")</f>
        <v/>
      </c>
      <c r="N46" s="97" t="str">
        <f>IF(A46&lt;&gt;"",SUMIFS(deployment!$M$4:$M$502, deployment!$D$4:$D$502,"="&amp;A46, deployment!$D$4:$D$502,"&lt;&gt;"&amp;""),"")</f>
        <v/>
      </c>
      <c r="O46" s="127" t="str">
        <f t="shared" si="11"/>
        <v/>
      </c>
      <c r="P46" s="104"/>
      <c r="Q46" s="99" t="str">
        <f t="shared" si="0"/>
        <v/>
      </c>
      <c r="R46" s="100" t="str">
        <f t="shared" si="1"/>
        <v/>
      </c>
      <c r="S46" s="100" t="str">
        <f t="shared" si="2"/>
        <v/>
      </c>
      <c r="T46" s="101" t="str">
        <f t="shared" si="3"/>
        <v/>
      </c>
      <c r="U46" s="101" t="str">
        <f t="shared" si="4"/>
        <v/>
      </c>
      <c r="V46" s="128" t="str">
        <f t="shared" si="5"/>
        <v/>
      </c>
      <c r="W46" s="128" t="str">
        <f t="shared" si="6"/>
        <v/>
      </c>
      <c r="X46" s="101" t="str">
        <f t="shared" si="7"/>
        <v/>
      </c>
      <c r="Y46" s="101" t="str">
        <f t="shared" si="8"/>
        <v/>
      </c>
      <c r="Z46" s="102" t="str">
        <f t="shared" si="9"/>
        <v/>
      </c>
      <c r="AA46" s="103" t="str">
        <f t="shared" si="10"/>
        <v/>
      </c>
      <c r="AB46" s="142" t="str">
        <f>IF(A46&lt;&gt;"", SUMIFS(node!$J$2:$J$500, node!$C$2:$C$500,"="&amp;A46)/P46, "")</f>
        <v/>
      </c>
      <c r="AC46" s="134" t="str">
        <f>IF(A46&lt;&gt;"", SUMIFS(node!$K$2:$K$500, node!$C$2:$C$500,"="&amp;A46)/P46, "")</f>
        <v/>
      </c>
      <c r="AD46" s="135" t="str">
        <f>IF(A46&lt;&gt;"", SUMIFS(node!$L$2:$L$500, node!$C$2:$C$500,"="&amp;A46), "")</f>
        <v/>
      </c>
      <c r="AE46" s="145" t="str">
        <f>IF(A46&lt;&gt;"", SUMIFS(node!$M$2:$M$500, node!$C$2:$C$500,"="&amp;A46), "")</f>
        <v/>
      </c>
    </row>
    <row r="47" spans="1:31" ht="15.75" customHeight="1" x14ac:dyDescent="0.25">
      <c r="A47" s="119"/>
      <c r="B47" s="116" t="str">
        <f>IF(A47&lt;&gt;"", VLOOKUP(A47, node!$C$2:$D$500, 2, FALSE), "")</f>
        <v/>
      </c>
      <c r="C47" s="117" t="str">
        <f>IF(A47&lt;&gt;"", VLOOKUP(A47, node!$C$2:$E$500, 3, FALSE), "")</f>
        <v/>
      </c>
      <c r="D47" s="118" t="str">
        <f>IF(A47&lt;&gt;"",COUNTIFS(node!$C$2:$C$500,"="&amp;A47, node!$C$2:$C$500,"&lt;&gt;"&amp;""),"")</f>
        <v/>
      </c>
      <c r="E47" s="122" t="str">
        <f>IF(A47&lt;&gt;"",SUMIFS(node!$F$2:$F$500, node!$C$2:$C$500,"="&amp;A47, node!$C$2:$C$500,"&lt;&gt;"&amp;"")/(B47*D47),"")</f>
        <v/>
      </c>
      <c r="F47" s="124" t="str">
        <f>IF(A47&lt;&gt;"",SUMIFS(node!$H$2:$H$500, node!$C$2:$C$500,"="&amp;A47, node!$C$2:$C$500,"&lt;&gt;"&amp;"")/(C47*D47),"")</f>
        <v/>
      </c>
      <c r="G47" s="93" t="str">
        <f>IF(A47&lt;&gt;"",SUMIFS(deployment!$F$4:$F$502, deployment!$D$4:$D$502,"="&amp;A47, deployment!$D$4:$D$502,"&lt;&gt;"&amp;""),"")</f>
        <v/>
      </c>
      <c r="H47" s="94" t="str">
        <f>IF(A47&lt;&gt;"",SUMIFS(deployment!$G$4:$G$502, deployment!$D$4:$D$502,"="&amp;A47, deployment!$D$4:$D$502,"&lt;&gt;"&amp;""),"")</f>
        <v/>
      </c>
      <c r="I47" s="95" t="str">
        <f>IF(A47&lt;&gt;"",SUMIFS(deployment!$H$4:$H$502, deployment!$D$4:$D$502,"="&amp;A47, deployment!$D$4:$D$502,"&lt;&gt;"&amp;""),"")</f>
        <v/>
      </c>
      <c r="J47" s="96" t="str">
        <f>IF(A47&lt;&gt;"",SUMIFS(deployment!$I$4:$I$502, deployment!$D$4:$D$502,"="&amp;A47, deployment!$D$4:$D$502,"&lt;&gt;"&amp;""),"")</f>
        <v/>
      </c>
      <c r="K47" s="112" t="str">
        <f>IF(A47&lt;&gt;"",SUMIFS(deployment!$J$4:$J$502, deployment!$D$4:$D$502,"="&amp;A47, deployment!$D$4:$D$502,"&lt;&gt;"&amp;""),"")</f>
        <v/>
      </c>
      <c r="L47" s="112" t="str">
        <f>IF(A47&lt;&gt;"",SUMIFS(deployment!$K$4:$K$502, deployment!$D$4:$D$502,"="&amp;A47, deployment!$D$4:$D$502,"&lt;&gt;"&amp;""),"")</f>
        <v/>
      </c>
      <c r="M47" s="97" t="str">
        <f>IF(A47&lt;&gt;"",SUMIFS(deployment!$L$4:$L$502, deployment!$D$4:$D$502,"="&amp;A47, deployment!$D$4:$D$502,"&lt;&gt;"&amp;""),"")</f>
        <v/>
      </c>
      <c r="N47" s="97" t="str">
        <f>IF(A47&lt;&gt;"",SUMIFS(deployment!$M$4:$M$502, deployment!$D$4:$D$502,"="&amp;A47, deployment!$D$4:$D$502,"&lt;&gt;"&amp;""),"")</f>
        <v/>
      </c>
      <c r="O47" s="127" t="str">
        <f t="shared" si="11"/>
        <v/>
      </c>
      <c r="P47" s="104"/>
      <c r="Q47" s="99" t="str">
        <f t="shared" si="0"/>
        <v/>
      </c>
      <c r="R47" s="100" t="str">
        <f t="shared" si="1"/>
        <v/>
      </c>
      <c r="S47" s="100" t="str">
        <f t="shared" si="2"/>
        <v/>
      </c>
      <c r="T47" s="101" t="str">
        <f t="shared" si="3"/>
        <v/>
      </c>
      <c r="U47" s="101" t="str">
        <f t="shared" si="4"/>
        <v/>
      </c>
      <c r="V47" s="128" t="str">
        <f t="shared" si="5"/>
        <v/>
      </c>
      <c r="W47" s="128" t="str">
        <f t="shared" si="6"/>
        <v/>
      </c>
      <c r="X47" s="101" t="str">
        <f t="shared" si="7"/>
        <v/>
      </c>
      <c r="Y47" s="101" t="str">
        <f t="shared" si="8"/>
        <v/>
      </c>
      <c r="Z47" s="102" t="str">
        <f t="shared" si="9"/>
        <v/>
      </c>
      <c r="AA47" s="103" t="str">
        <f t="shared" si="10"/>
        <v/>
      </c>
      <c r="AB47" s="142" t="str">
        <f>IF(A47&lt;&gt;"", SUMIFS(node!$J$2:$J$500, node!$C$2:$C$500,"="&amp;A47)/P47, "")</f>
        <v/>
      </c>
      <c r="AC47" s="134" t="str">
        <f>IF(A47&lt;&gt;"", SUMIFS(node!$K$2:$K$500, node!$C$2:$C$500,"="&amp;A47)/P47, "")</f>
        <v/>
      </c>
      <c r="AD47" s="135" t="str">
        <f>IF(A47&lt;&gt;"", SUMIFS(node!$L$2:$L$500, node!$C$2:$C$500,"="&amp;A47), "")</f>
        <v/>
      </c>
      <c r="AE47" s="145" t="str">
        <f>IF(A47&lt;&gt;"", SUMIFS(node!$M$2:$M$500, node!$C$2:$C$500,"="&amp;A47), "")</f>
        <v/>
      </c>
    </row>
    <row r="48" spans="1:31" ht="15.75" customHeight="1" x14ac:dyDescent="0.25">
      <c r="A48" s="119"/>
      <c r="B48" s="116" t="str">
        <f>IF(A48&lt;&gt;"", VLOOKUP(A48, node!$C$2:$D$500, 2, FALSE), "")</f>
        <v/>
      </c>
      <c r="C48" s="117" t="str">
        <f>IF(A48&lt;&gt;"", VLOOKUP(A48, node!$C$2:$E$500, 3, FALSE), "")</f>
        <v/>
      </c>
      <c r="D48" s="118" t="str">
        <f>IF(A48&lt;&gt;"",COUNTIFS(node!$C$2:$C$500,"="&amp;A48, node!$C$2:$C$500,"&lt;&gt;"&amp;""),"")</f>
        <v/>
      </c>
      <c r="E48" s="122" t="str">
        <f>IF(A48&lt;&gt;"",SUMIFS(node!$F$2:$F$500, node!$C$2:$C$500,"="&amp;A48, node!$C$2:$C$500,"&lt;&gt;"&amp;"")/(B48*D48),"")</f>
        <v/>
      </c>
      <c r="F48" s="124" t="str">
        <f>IF(A48&lt;&gt;"",SUMIFS(node!$H$2:$H$500, node!$C$2:$C$500,"="&amp;A48, node!$C$2:$C$500,"&lt;&gt;"&amp;"")/(C48*D48),"")</f>
        <v/>
      </c>
      <c r="G48" s="93" t="str">
        <f>IF(A48&lt;&gt;"",SUMIFS(deployment!$F$4:$F$502, deployment!$D$4:$D$502,"="&amp;A48, deployment!$D$4:$D$502,"&lt;&gt;"&amp;""),"")</f>
        <v/>
      </c>
      <c r="H48" s="94" t="str">
        <f>IF(A48&lt;&gt;"",SUMIFS(deployment!$G$4:$G$502, deployment!$D$4:$D$502,"="&amp;A48, deployment!$D$4:$D$502,"&lt;&gt;"&amp;""),"")</f>
        <v/>
      </c>
      <c r="I48" s="95" t="str">
        <f>IF(A48&lt;&gt;"",SUMIFS(deployment!$H$4:$H$502, deployment!$D$4:$D$502,"="&amp;A48, deployment!$D$4:$D$502,"&lt;&gt;"&amp;""),"")</f>
        <v/>
      </c>
      <c r="J48" s="96" t="str">
        <f>IF(A48&lt;&gt;"",SUMIFS(deployment!$I$4:$I$502, deployment!$D$4:$D$502,"="&amp;A48, deployment!$D$4:$D$502,"&lt;&gt;"&amp;""),"")</f>
        <v/>
      </c>
      <c r="K48" s="112" t="str">
        <f>IF(A48&lt;&gt;"",SUMIFS(deployment!$J$4:$J$502, deployment!$D$4:$D$502,"="&amp;A48, deployment!$D$4:$D$502,"&lt;&gt;"&amp;""),"")</f>
        <v/>
      </c>
      <c r="L48" s="112" t="str">
        <f>IF(A48&lt;&gt;"",SUMIFS(deployment!$K$4:$K$502, deployment!$D$4:$D$502,"="&amp;A48, deployment!$D$4:$D$502,"&lt;&gt;"&amp;""),"")</f>
        <v/>
      </c>
      <c r="M48" s="97" t="str">
        <f>IF(A48&lt;&gt;"",SUMIFS(deployment!$L$4:$L$502, deployment!$D$4:$D$502,"="&amp;A48, deployment!$D$4:$D$502,"&lt;&gt;"&amp;""),"")</f>
        <v/>
      </c>
      <c r="N48" s="97" t="str">
        <f>IF(A48&lt;&gt;"",SUMIFS(deployment!$M$4:$M$502, deployment!$D$4:$D$502,"="&amp;A48, deployment!$D$4:$D$502,"&lt;&gt;"&amp;""),"")</f>
        <v/>
      </c>
      <c r="O48" s="127" t="str">
        <f t="shared" si="11"/>
        <v/>
      </c>
      <c r="P48" s="104"/>
      <c r="Q48" s="99" t="str">
        <f t="shared" si="0"/>
        <v/>
      </c>
      <c r="R48" s="100" t="str">
        <f t="shared" si="1"/>
        <v/>
      </c>
      <c r="S48" s="100" t="str">
        <f t="shared" si="2"/>
        <v/>
      </c>
      <c r="T48" s="101" t="str">
        <f t="shared" si="3"/>
        <v/>
      </c>
      <c r="U48" s="101" t="str">
        <f t="shared" si="4"/>
        <v/>
      </c>
      <c r="V48" s="128" t="str">
        <f t="shared" si="5"/>
        <v/>
      </c>
      <c r="W48" s="128" t="str">
        <f t="shared" si="6"/>
        <v/>
      </c>
      <c r="X48" s="101" t="str">
        <f t="shared" si="7"/>
        <v/>
      </c>
      <c r="Y48" s="101" t="str">
        <f t="shared" si="8"/>
        <v/>
      </c>
      <c r="Z48" s="102" t="str">
        <f t="shared" si="9"/>
        <v/>
      </c>
      <c r="AA48" s="103" t="str">
        <f t="shared" si="10"/>
        <v/>
      </c>
      <c r="AB48" s="142" t="str">
        <f>IF(A48&lt;&gt;"", SUMIFS(node!$J$2:$J$500, node!$C$2:$C$500,"="&amp;A48)/P48, "")</f>
        <v/>
      </c>
      <c r="AC48" s="134" t="str">
        <f>IF(A48&lt;&gt;"", SUMIFS(node!$K$2:$K$500, node!$C$2:$C$500,"="&amp;A48)/P48, "")</f>
        <v/>
      </c>
      <c r="AD48" s="135" t="str">
        <f>IF(A48&lt;&gt;"", SUMIFS(node!$L$2:$L$500, node!$C$2:$C$500,"="&amp;A48), "")</f>
        <v/>
      </c>
      <c r="AE48" s="145" t="str">
        <f>IF(A48&lt;&gt;"", SUMIFS(node!$M$2:$M$500, node!$C$2:$C$500,"="&amp;A48), "")</f>
        <v/>
      </c>
    </row>
    <row r="49" spans="1:31" ht="15.75" customHeight="1" x14ac:dyDescent="0.25">
      <c r="A49" s="119"/>
      <c r="B49" s="116" t="str">
        <f>IF(A49&lt;&gt;"", VLOOKUP(A49, node!$C$2:$D$500, 2, FALSE), "")</f>
        <v/>
      </c>
      <c r="C49" s="117" t="str">
        <f>IF(A49&lt;&gt;"", VLOOKUP(A49, node!$C$2:$E$500, 3, FALSE), "")</f>
        <v/>
      </c>
      <c r="D49" s="118" t="str">
        <f>IF(A49&lt;&gt;"",COUNTIFS(node!$C$2:$C$500,"="&amp;A49, node!$C$2:$C$500,"&lt;&gt;"&amp;""),"")</f>
        <v/>
      </c>
      <c r="E49" s="122" t="str">
        <f>IF(A49&lt;&gt;"",SUMIFS(node!$F$2:$F$500, node!$C$2:$C$500,"="&amp;A49, node!$C$2:$C$500,"&lt;&gt;"&amp;"")/(B49*D49),"")</f>
        <v/>
      </c>
      <c r="F49" s="124" t="str">
        <f>IF(A49&lt;&gt;"",SUMIFS(node!$H$2:$H$500, node!$C$2:$C$500,"="&amp;A49, node!$C$2:$C$500,"&lt;&gt;"&amp;"")/(C49*D49),"")</f>
        <v/>
      </c>
      <c r="G49" s="93" t="str">
        <f>IF(A49&lt;&gt;"",SUMIFS(deployment!$F$4:$F$502, deployment!$D$4:$D$502,"="&amp;A49, deployment!$D$4:$D$502,"&lt;&gt;"&amp;""),"")</f>
        <v/>
      </c>
      <c r="H49" s="94" t="str">
        <f>IF(A49&lt;&gt;"",SUMIFS(deployment!$G$4:$G$502, deployment!$D$4:$D$502,"="&amp;A49, deployment!$D$4:$D$502,"&lt;&gt;"&amp;""),"")</f>
        <v/>
      </c>
      <c r="I49" s="95" t="str">
        <f>IF(A49&lt;&gt;"",SUMIFS(deployment!$H$4:$H$502, deployment!$D$4:$D$502,"="&amp;A49, deployment!$D$4:$D$502,"&lt;&gt;"&amp;""),"")</f>
        <v/>
      </c>
      <c r="J49" s="96" t="str">
        <f>IF(A49&lt;&gt;"",SUMIFS(deployment!$I$4:$I$502, deployment!$D$4:$D$502,"="&amp;A49, deployment!$D$4:$D$502,"&lt;&gt;"&amp;""),"")</f>
        <v/>
      </c>
      <c r="K49" s="112" t="str">
        <f>IF(A49&lt;&gt;"",SUMIFS(deployment!$J$4:$J$502, deployment!$D$4:$D$502,"="&amp;A49, deployment!$D$4:$D$502,"&lt;&gt;"&amp;""),"")</f>
        <v/>
      </c>
      <c r="L49" s="112" t="str">
        <f>IF(A49&lt;&gt;"",SUMIFS(deployment!$K$4:$K$502, deployment!$D$4:$D$502,"="&amp;A49, deployment!$D$4:$D$502,"&lt;&gt;"&amp;""),"")</f>
        <v/>
      </c>
      <c r="M49" s="97" t="str">
        <f>IF(A49&lt;&gt;"",SUMIFS(deployment!$L$4:$L$502, deployment!$D$4:$D$502,"="&amp;A49, deployment!$D$4:$D$502,"&lt;&gt;"&amp;""),"")</f>
        <v/>
      </c>
      <c r="N49" s="97" t="str">
        <f>IF(A49&lt;&gt;"",SUMIFS(deployment!$M$4:$M$502, deployment!$D$4:$D$502,"="&amp;A49, deployment!$D$4:$D$502,"&lt;&gt;"&amp;""),"")</f>
        <v/>
      </c>
      <c r="O49" s="127" t="str">
        <f t="shared" si="11"/>
        <v/>
      </c>
      <c r="P49" s="104"/>
      <c r="Q49" s="99" t="str">
        <f t="shared" si="0"/>
        <v/>
      </c>
      <c r="R49" s="100" t="str">
        <f t="shared" si="1"/>
        <v/>
      </c>
      <c r="S49" s="100" t="str">
        <f t="shared" si="2"/>
        <v/>
      </c>
      <c r="T49" s="101" t="str">
        <f t="shared" si="3"/>
        <v/>
      </c>
      <c r="U49" s="101" t="str">
        <f t="shared" si="4"/>
        <v/>
      </c>
      <c r="V49" s="128" t="str">
        <f t="shared" si="5"/>
        <v/>
      </c>
      <c r="W49" s="128" t="str">
        <f t="shared" si="6"/>
        <v/>
      </c>
      <c r="X49" s="101" t="str">
        <f t="shared" si="7"/>
        <v/>
      </c>
      <c r="Y49" s="101" t="str">
        <f t="shared" si="8"/>
        <v/>
      </c>
      <c r="Z49" s="102" t="str">
        <f t="shared" si="9"/>
        <v/>
      </c>
      <c r="AA49" s="103" t="str">
        <f t="shared" si="10"/>
        <v/>
      </c>
      <c r="AB49" s="142" t="str">
        <f>IF(A49&lt;&gt;"", SUMIFS(node!$J$2:$J$500, node!$C$2:$C$500,"="&amp;A49)/P49, "")</f>
        <v/>
      </c>
      <c r="AC49" s="134" t="str">
        <f>IF(A49&lt;&gt;"", SUMIFS(node!$K$2:$K$500, node!$C$2:$C$500,"="&amp;A49)/P49, "")</f>
        <v/>
      </c>
      <c r="AD49" s="135" t="str">
        <f>IF(A49&lt;&gt;"", SUMIFS(node!$L$2:$L$500, node!$C$2:$C$500,"="&amp;A49), "")</f>
        <v/>
      </c>
      <c r="AE49" s="145" t="str">
        <f>IF(A49&lt;&gt;"", SUMIFS(node!$M$2:$M$500, node!$C$2:$C$500,"="&amp;A49), "")</f>
        <v/>
      </c>
    </row>
    <row r="50" spans="1:31" ht="15.75" customHeight="1" x14ac:dyDescent="0.25">
      <c r="A50" s="119"/>
      <c r="B50" s="116" t="str">
        <f>IF(A50&lt;&gt;"", VLOOKUP(A50, node!$C$2:$D$500, 2, FALSE), "")</f>
        <v/>
      </c>
      <c r="C50" s="117" t="str">
        <f>IF(A50&lt;&gt;"", VLOOKUP(A50, node!$C$2:$E$500, 3, FALSE), "")</f>
        <v/>
      </c>
      <c r="D50" s="118" t="str">
        <f>IF(A50&lt;&gt;"",COUNTIFS(node!$C$2:$C$500,"="&amp;A50, node!$C$2:$C$500,"&lt;&gt;"&amp;""),"")</f>
        <v/>
      </c>
      <c r="E50" s="122" t="str">
        <f>IF(A50&lt;&gt;"",SUMIFS(node!$F$2:$F$500, node!$C$2:$C$500,"="&amp;A50, node!$C$2:$C$500,"&lt;&gt;"&amp;"")/(B50*D50),"")</f>
        <v/>
      </c>
      <c r="F50" s="124" t="str">
        <f>IF(A50&lt;&gt;"",SUMIFS(node!$H$2:$H$500, node!$C$2:$C$500,"="&amp;A50, node!$C$2:$C$500,"&lt;&gt;"&amp;"")/(C50*D50),"")</f>
        <v/>
      </c>
      <c r="G50" s="93" t="str">
        <f>IF(A50&lt;&gt;"",SUMIFS(deployment!$F$4:$F$502, deployment!$D$4:$D$502,"="&amp;A50, deployment!$D$4:$D$502,"&lt;&gt;"&amp;""),"")</f>
        <v/>
      </c>
      <c r="H50" s="94" t="str">
        <f>IF(A50&lt;&gt;"",SUMIFS(deployment!$G$4:$G$502, deployment!$D$4:$D$502,"="&amp;A50, deployment!$D$4:$D$502,"&lt;&gt;"&amp;""),"")</f>
        <v/>
      </c>
      <c r="I50" s="95" t="str">
        <f>IF(A50&lt;&gt;"",SUMIFS(deployment!$H$4:$H$502, deployment!$D$4:$D$502,"="&amp;A50, deployment!$D$4:$D$502,"&lt;&gt;"&amp;""),"")</f>
        <v/>
      </c>
      <c r="J50" s="96" t="str">
        <f>IF(A50&lt;&gt;"",SUMIFS(deployment!$I$4:$I$502, deployment!$D$4:$D$502,"="&amp;A50, deployment!$D$4:$D$502,"&lt;&gt;"&amp;""),"")</f>
        <v/>
      </c>
      <c r="K50" s="112" t="str">
        <f>IF(A50&lt;&gt;"",SUMIFS(deployment!$J$4:$J$502, deployment!$D$4:$D$502,"="&amp;A50, deployment!$D$4:$D$502,"&lt;&gt;"&amp;""),"")</f>
        <v/>
      </c>
      <c r="L50" s="112" t="str">
        <f>IF(A50&lt;&gt;"",SUMIFS(deployment!$K$4:$K$502, deployment!$D$4:$D$502,"="&amp;A50, deployment!$D$4:$D$502,"&lt;&gt;"&amp;""),"")</f>
        <v/>
      </c>
      <c r="M50" s="97" t="str">
        <f>IF(A50&lt;&gt;"",SUMIFS(deployment!$L$4:$L$502, deployment!$D$4:$D$502,"="&amp;A50, deployment!$D$4:$D$502,"&lt;&gt;"&amp;""),"")</f>
        <v/>
      </c>
      <c r="N50" s="97" t="str">
        <f>IF(A50&lt;&gt;"",SUMIFS(deployment!$M$4:$M$502, deployment!$D$4:$D$502,"="&amp;A50, deployment!$D$4:$D$502,"&lt;&gt;"&amp;""),"")</f>
        <v/>
      </c>
      <c r="O50" s="127" t="str">
        <f t="shared" si="11"/>
        <v/>
      </c>
      <c r="P50" s="104"/>
      <c r="Q50" s="99" t="str">
        <f t="shared" si="0"/>
        <v/>
      </c>
      <c r="R50" s="100" t="str">
        <f t="shared" si="1"/>
        <v/>
      </c>
      <c r="S50" s="100" t="str">
        <f t="shared" si="2"/>
        <v/>
      </c>
      <c r="T50" s="101" t="str">
        <f t="shared" si="3"/>
        <v/>
      </c>
      <c r="U50" s="101" t="str">
        <f t="shared" si="4"/>
        <v/>
      </c>
      <c r="V50" s="128" t="str">
        <f t="shared" si="5"/>
        <v/>
      </c>
      <c r="W50" s="128" t="str">
        <f t="shared" si="6"/>
        <v/>
      </c>
      <c r="X50" s="101" t="str">
        <f t="shared" si="7"/>
        <v/>
      </c>
      <c r="Y50" s="101" t="str">
        <f t="shared" si="8"/>
        <v/>
      </c>
      <c r="Z50" s="102" t="str">
        <f t="shared" si="9"/>
        <v/>
      </c>
      <c r="AA50" s="103" t="str">
        <f t="shared" si="10"/>
        <v/>
      </c>
      <c r="AB50" s="142" t="str">
        <f>IF(A50&lt;&gt;"", SUMIFS(node!$J$2:$J$500, node!$C$2:$C$500,"="&amp;A50)/P50, "")</f>
        <v/>
      </c>
      <c r="AC50" s="134" t="str">
        <f>IF(A50&lt;&gt;"", SUMIFS(node!$K$2:$K$500, node!$C$2:$C$500,"="&amp;A50)/P50, "")</f>
        <v/>
      </c>
      <c r="AD50" s="135" t="str">
        <f>IF(A50&lt;&gt;"", SUMIFS(node!$L$2:$L$500, node!$C$2:$C$500,"="&amp;A50), "")</f>
        <v/>
      </c>
      <c r="AE50" s="145" t="str">
        <f>IF(A50&lt;&gt;"", SUMIFS(node!$M$2:$M$500, node!$C$2:$C$500,"="&amp;A50), "")</f>
        <v/>
      </c>
    </row>
    <row r="51" spans="1:31" ht="15.75" customHeight="1" x14ac:dyDescent="0.25">
      <c r="A51" s="119"/>
      <c r="B51" s="116" t="str">
        <f>IF(A51&lt;&gt;"", VLOOKUP(A51, node!$C$2:$D$500, 2, FALSE), "")</f>
        <v/>
      </c>
      <c r="C51" s="117" t="str">
        <f>IF(A51&lt;&gt;"", VLOOKUP(A51, node!$C$2:$E$500, 3, FALSE), "")</f>
        <v/>
      </c>
      <c r="D51" s="118" t="str">
        <f>IF(A51&lt;&gt;"",COUNTIFS(node!$C$2:$C$500,"="&amp;A51, node!$C$2:$C$500,"&lt;&gt;"&amp;""),"")</f>
        <v/>
      </c>
      <c r="E51" s="122" t="str">
        <f>IF(A51&lt;&gt;"",SUMIFS(node!$F$2:$F$500, node!$C$2:$C$500,"="&amp;A51, node!$C$2:$C$500,"&lt;&gt;"&amp;"")/(B51*D51),"")</f>
        <v/>
      </c>
      <c r="F51" s="124" t="str">
        <f>IF(A51&lt;&gt;"",SUMIFS(node!$H$2:$H$500, node!$C$2:$C$500,"="&amp;A51, node!$C$2:$C$500,"&lt;&gt;"&amp;"")/(C51*D51),"")</f>
        <v/>
      </c>
      <c r="G51" s="93" t="str">
        <f>IF(A51&lt;&gt;"",SUMIFS(deployment!$F$4:$F$502, deployment!$D$4:$D$502,"="&amp;A51, deployment!$D$4:$D$502,"&lt;&gt;"&amp;""),"")</f>
        <v/>
      </c>
      <c r="H51" s="94" t="str">
        <f>IF(A51&lt;&gt;"",SUMIFS(deployment!$G$4:$G$502, deployment!$D$4:$D$502,"="&amp;A51, deployment!$D$4:$D$502,"&lt;&gt;"&amp;""),"")</f>
        <v/>
      </c>
      <c r="I51" s="95" t="str">
        <f>IF(A51&lt;&gt;"",SUMIFS(deployment!$H$4:$H$502, deployment!$D$4:$D$502,"="&amp;A51, deployment!$D$4:$D$502,"&lt;&gt;"&amp;""),"")</f>
        <v/>
      </c>
      <c r="J51" s="96" t="str">
        <f>IF(A51&lt;&gt;"",SUMIFS(deployment!$I$4:$I$502, deployment!$D$4:$D$502,"="&amp;A51, deployment!$D$4:$D$502,"&lt;&gt;"&amp;""),"")</f>
        <v/>
      </c>
      <c r="K51" s="112" t="str">
        <f>IF(A51&lt;&gt;"",SUMIFS(deployment!$J$4:$J$502, deployment!$D$4:$D$502,"="&amp;A51, deployment!$D$4:$D$502,"&lt;&gt;"&amp;""),"")</f>
        <v/>
      </c>
      <c r="L51" s="112" t="str">
        <f>IF(A51&lt;&gt;"",SUMIFS(deployment!$K$4:$K$502, deployment!$D$4:$D$502,"="&amp;A51, deployment!$D$4:$D$502,"&lt;&gt;"&amp;""),"")</f>
        <v/>
      </c>
      <c r="M51" s="97" t="str">
        <f>IF(A51&lt;&gt;"",SUMIFS(deployment!$L$4:$L$502, deployment!$D$4:$D$502,"="&amp;A51, deployment!$D$4:$D$502,"&lt;&gt;"&amp;""),"")</f>
        <v/>
      </c>
      <c r="N51" s="97" t="str">
        <f>IF(A51&lt;&gt;"",SUMIFS(deployment!$M$4:$M$502, deployment!$D$4:$D$502,"="&amp;A51, deployment!$D$4:$D$502,"&lt;&gt;"&amp;""),"")</f>
        <v/>
      </c>
      <c r="O51" s="127" t="str">
        <f t="shared" si="11"/>
        <v/>
      </c>
      <c r="P51" s="104"/>
      <c r="Q51" s="99" t="str">
        <f t="shared" si="0"/>
        <v/>
      </c>
      <c r="R51" s="100" t="str">
        <f t="shared" si="1"/>
        <v/>
      </c>
      <c r="S51" s="100" t="str">
        <f t="shared" si="2"/>
        <v/>
      </c>
      <c r="T51" s="101" t="str">
        <f t="shared" si="3"/>
        <v/>
      </c>
      <c r="U51" s="101" t="str">
        <f t="shared" si="4"/>
        <v/>
      </c>
      <c r="V51" s="128" t="str">
        <f t="shared" si="5"/>
        <v/>
      </c>
      <c r="W51" s="128" t="str">
        <f t="shared" si="6"/>
        <v/>
      </c>
      <c r="X51" s="101" t="str">
        <f t="shared" si="7"/>
        <v/>
      </c>
      <c r="Y51" s="101" t="str">
        <f t="shared" si="8"/>
        <v/>
      </c>
      <c r="Z51" s="102" t="str">
        <f t="shared" si="9"/>
        <v/>
      </c>
      <c r="AA51" s="103" t="str">
        <f t="shared" si="10"/>
        <v/>
      </c>
      <c r="AB51" s="142" t="str">
        <f>IF(A51&lt;&gt;"", SUMIFS(node!$J$2:$J$500, node!$C$2:$C$500,"="&amp;A51)/P51, "")</f>
        <v/>
      </c>
      <c r="AC51" s="134" t="str">
        <f>IF(A51&lt;&gt;"", SUMIFS(node!$K$2:$K$500, node!$C$2:$C$500,"="&amp;A51)/P51, "")</f>
        <v/>
      </c>
      <c r="AD51" s="135" t="str">
        <f>IF(A51&lt;&gt;"", SUMIFS(node!$L$2:$L$500, node!$C$2:$C$500,"="&amp;A51), "")</f>
        <v/>
      </c>
      <c r="AE51" s="145" t="str">
        <f>IF(A51&lt;&gt;"", SUMIFS(node!$M$2:$M$500, node!$C$2:$C$500,"="&amp;A51), "")</f>
        <v/>
      </c>
    </row>
    <row r="52" spans="1:31" ht="15.75" customHeight="1" x14ac:dyDescent="0.25">
      <c r="A52" s="119"/>
      <c r="B52" s="116" t="str">
        <f>IF(A52&lt;&gt;"", VLOOKUP(A52, node!$C$2:$D$500, 2, FALSE), "")</f>
        <v/>
      </c>
      <c r="C52" s="117" t="str">
        <f>IF(A52&lt;&gt;"", VLOOKUP(A52, node!$C$2:$E$500, 3, FALSE), "")</f>
        <v/>
      </c>
      <c r="D52" s="118" t="str">
        <f>IF(A52&lt;&gt;"",COUNTIFS(node!$C$2:$C$500,"="&amp;A52, node!$C$2:$C$500,"&lt;&gt;"&amp;""),"")</f>
        <v/>
      </c>
      <c r="E52" s="122" t="str">
        <f>IF(A52&lt;&gt;"",SUMIFS(node!$F$2:$F$500, node!$C$2:$C$500,"="&amp;A52, node!$C$2:$C$500,"&lt;&gt;"&amp;"")/(B52*D52),"")</f>
        <v/>
      </c>
      <c r="F52" s="124" t="str">
        <f>IF(A52&lt;&gt;"",SUMIFS(node!$H$2:$H$500, node!$C$2:$C$500,"="&amp;A52, node!$C$2:$C$500,"&lt;&gt;"&amp;"")/(C52*D52),"")</f>
        <v/>
      </c>
      <c r="G52" s="93" t="str">
        <f>IF(A52&lt;&gt;"",SUMIFS(deployment!$F$4:$F$502, deployment!$D$4:$D$502,"="&amp;A52, deployment!$D$4:$D$502,"&lt;&gt;"&amp;""),"")</f>
        <v/>
      </c>
      <c r="H52" s="94" t="str">
        <f>IF(A52&lt;&gt;"",SUMIFS(deployment!$G$4:$G$502, deployment!$D$4:$D$502,"="&amp;A52, deployment!$D$4:$D$502,"&lt;&gt;"&amp;""),"")</f>
        <v/>
      </c>
      <c r="I52" s="95" t="str">
        <f>IF(A52&lt;&gt;"",SUMIFS(deployment!$H$4:$H$502, deployment!$D$4:$D$502,"="&amp;A52, deployment!$D$4:$D$502,"&lt;&gt;"&amp;""),"")</f>
        <v/>
      </c>
      <c r="J52" s="96" t="str">
        <f>IF(A52&lt;&gt;"",SUMIFS(deployment!$I$4:$I$502, deployment!$D$4:$D$502,"="&amp;A52, deployment!$D$4:$D$502,"&lt;&gt;"&amp;""),"")</f>
        <v/>
      </c>
      <c r="K52" s="112" t="str">
        <f>IF(A52&lt;&gt;"",SUMIFS(deployment!$J$4:$J$502, deployment!$D$4:$D$502,"="&amp;A52, deployment!$D$4:$D$502,"&lt;&gt;"&amp;""),"")</f>
        <v/>
      </c>
      <c r="L52" s="112" t="str">
        <f>IF(A52&lt;&gt;"",SUMIFS(deployment!$K$4:$K$502, deployment!$D$4:$D$502,"="&amp;A52, deployment!$D$4:$D$502,"&lt;&gt;"&amp;""),"")</f>
        <v/>
      </c>
      <c r="M52" s="97" t="str">
        <f>IF(A52&lt;&gt;"",SUMIFS(deployment!$L$4:$L$502, deployment!$D$4:$D$502,"="&amp;A52, deployment!$D$4:$D$502,"&lt;&gt;"&amp;""),"")</f>
        <v/>
      </c>
      <c r="N52" s="97" t="str">
        <f>IF(A52&lt;&gt;"",SUMIFS(deployment!$M$4:$M$502, deployment!$D$4:$D$502,"="&amp;A52, deployment!$D$4:$D$502,"&lt;&gt;"&amp;""),"")</f>
        <v/>
      </c>
      <c r="O52" s="127" t="str">
        <f t="shared" si="11"/>
        <v/>
      </c>
      <c r="P52" s="104"/>
      <c r="Q52" s="99" t="str">
        <f t="shared" si="0"/>
        <v/>
      </c>
      <c r="R52" s="100" t="str">
        <f t="shared" si="1"/>
        <v/>
      </c>
      <c r="S52" s="100" t="str">
        <f t="shared" si="2"/>
        <v/>
      </c>
      <c r="T52" s="101" t="str">
        <f t="shared" si="3"/>
        <v/>
      </c>
      <c r="U52" s="101" t="str">
        <f t="shared" si="4"/>
        <v/>
      </c>
      <c r="V52" s="128" t="str">
        <f t="shared" si="5"/>
        <v/>
      </c>
      <c r="W52" s="128" t="str">
        <f t="shared" si="6"/>
        <v/>
      </c>
      <c r="X52" s="101" t="str">
        <f t="shared" si="7"/>
        <v/>
      </c>
      <c r="Y52" s="101" t="str">
        <f t="shared" si="8"/>
        <v/>
      </c>
      <c r="Z52" s="102" t="str">
        <f t="shared" si="9"/>
        <v/>
      </c>
      <c r="AA52" s="103" t="str">
        <f t="shared" si="10"/>
        <v/>
      </c>
      <c r="AB52" s="142" t="str">
        <f>IF(A52&lt;&gt;"", SUMIFS(node!$J$2:$J$500, node!$C$2:$C$500,"="&amp;A52)/P52, "")</f>
        <v/>
      </c>
      <c r="AC52" s="134" t="str">
        <f>IF(A52&lt;&gt;"", SUMIFS(node!$K$2:$K$500, node!$C$2:$C$500,"="&amp;A52)/P52, "")</f>
        <v/>
      </c>
      <c r="AD52" s="135" t="str">
        <f>IF(A52&lt;&gt;"", SUMIFS(node!$L$2:$L$500, node!$C$2:$C$500,"="&amp;A52), "")</f>
        <v/>
      </c>
      <c r="AE52" s="145" t="str">
        <f>IF(A52&lt;&gt;"", SUMIFS(node!$M$2:$M$500, node!$C$2:$C$500,"="&amp;A52), "")</f>
        <v/>
      </c>
    </row>
    <row r="53" spans="1:31" ht="15.75" customHeight="1" x14ac:dyDescent="0.25">
      <c r="A53" s="119"/>
      <c r="B53" s="116" t="str">
        <f>IF(A53&lt;&gt;"", VLOOKUP(A53, node!$C$2:$D$500, 2, FALSE), "")</f>
        <v/>
      </c>
      <c r="C53" s="117" t="str">
        <f>IF(A53&lt;&gt;"", VLOOKUP(A53, node!$C$2:$E$500, 3, FALSE), "")</f>
        <v/>
      </c>
      <c r="D53" s="118" t="str">
        <f>IF(A53&lt;&gt;"",COUNTIFS(node!$C$2:$C$500,"="&amp;A53, node!$C$2:$C$500,"&lt;&gt;"&amp;""),"")</f>
        <v/>
      </c>
      <c r="E53" s="122" t="str">
        <f>IF(A53&lt;&gt;"",SUMIFS(node!$F$2:$F$500, node!$C$2:$C$500,"="&amp;A53, node!$C$2:$C$500,"&lt;&gt;"&amp;"")/(B53*D53),"")</f>
        <v/>
      </c>
      <c r="F53" s="124" t="str">
        <f>IF(A53&lt;&gt;"",SUMIFS(node!$H$2:$H$500, node!$C$2:$C$500,"="&amp;A53, node!$C$2:$C$500,"&lt;&gt;"&amp;"")/(C53*D53),"")</f>
        <v/>
      </c>
      <c r="G53" s="93" t="str">
        <f>IF(A53&lt;&gt;"",SUMIFS(deployment!$F$4:$F$502, deployment!$D$4:$D$502,"="&amp;A53, deployment!$D$4:$D$502,"&lt;&gt;"&amp;""),"")</f>
        <v/>
      </c>
      <c r="H53" s="94" t="str">
        <f>IF(A53&lt;&gt;"",SUMIFS(deployment!$G$4:$G$502, deployment!$D$4:$D$502,"="&amp;A53, deployment!$D$4:$D$502,"&lt;&gt;"&amp;""),"")</f>
        <v/>
      </c>
      <c r="I53" s="95" t="str">
        <f>IF(A53&lt;&gt;"",SUMIFS(deployment!$H$4:$H$502, deployment!$D$4:$D$502,"="&amp;A53, deployment!$D$4:$D$502,"&lt;&gt;"&amp;""),"")</f>
        <v/>
      </c>
      <c r="J53" s="96" t="str">
        <f>IF(A53&lt;&gt;"",SUMIFS(deployment!$I$4:$I$502, deployment!$D$4:$D$502,"="&amp;A53, deployment!$D$4:$D$502,"&lt;&gt;"&amp;""),"")</f>
        <v/>
      </c>
      <c r="K53" s="112" t="str">
        <f>IF(A53&lt;&gt;"",SUMIFS(deployment!$J$4:$J$502, deployment!$D$4:$D$502,"="&amp;A53, deployment!$D$4:$D$502,"&lt;&gt;"&amp;""),"")</f>
        <v/>
      </c>
      <c r="L53" s="112" t="str">
        <f>IF(A53&lt;&gt;"",SUMIFS(deployment!$K$4:$K$502, deployment!$D$4:$D$502,"="&amp;A53, deployment!$D$4:$D$502,"&lt;&gt;"&amp;""),"")</f>
        <v/>
      </c>
      <c r="M53" s="97" t="str">
        <f>IF(A53&lt;&gt;"",SUMIFS(deployment!$L$4:$L$502, deployment!$D$4:$D$502,"="&amp;A53, deployment!$D$4:$D$502,"&lt;&gt;"&amp;""),"")</f>
        <v/>
      </c>
      <c r="N53" s="97" t="str">
        <f>IF(A53&lt;&gt;"",SUMIFS(deployment!$M$4:$M$502, deployment!$D$4:$D$502,"="&amp;A53, deployment!$D$4:$D$502,"&lt;&gt;"&amp;""),"")</f>
        <v/>
      </c>
      <c r="O53" s="127" t="str">
        <f t="shared" si="11"/>
        <v/>
      </c>
      <c r="P53" s="104"/>
      <c r="Q53" s="99" t="str">
        <f t="shared" si="0"/>
        <v/>
      </c>
      <c r="R53" s="100" t="str">
        <f t="shared" si="1"/>
        <v/>
      </c>
      <c r="S53" s="100" t="str">
        <f t="shared" si="2"/>
        <v/>
      </c>
      <c r="T53" s="101" t="str">
        <f t="shared" si="3"/>
        <v/>
      </c>
      <c r="U53" s="101" t="str">
        <f t="shared" si="4"/>
        <v/>
      </c>
      <c r="V53" s="128" t="str">
        <f t="shared" si="5"/>
        <v/>
      </c>
      <c r="W53" s="128" t="str">
        <f t="shared" si="6"/>
        <v/>
      </c>
      <c r="X53" s="101" t="str">
        <f t="shared" si="7"/>
        <v/>
      </c>
      <c r="Y53" s="101" t="str">
        <f t="shared" si="8"/>
        <v/>
      </c>
      <c r="Z53" s="102" t="str">
        <f t="shared" si="9"/>
        <v/>
      </c>
      <c r="AA53" s="103" t="str">
        <f t="shared" si="10"/>
        <v/>
      </c>
      <c r="AB53" s="142" t="str">
        <f>IF(A53&lt;&gt;"", SUMIFS(node!$J$2:$J$500, node!$C$2:$C$500,"="&amp;A53)/P53, "")</f>
        <v/>
      </c>
      <c r="AC53" s="134" t="str">
        <f>IF(A53&lt;&gt;"", SUMIFS(node!$K$2:$K$500, node!$C$2:$C$500,"="&amp;A53)/P53, "")</f>
        <v/>
      </c>
      <c r="AD53" s="135" t="str">
        <f>IF(A53&lt;&gt;"", SUMIFS(node!$L$2:$L$500, node!$C$2:$C$500,"="&amp;A53), "")</f>
        <v/>
      </c>
      <c r="AE53" s="145" t="str">
        <f>IF(A53&lt;&gt;"", SUMIFS(node!$M$2:$M$500, node!$C$2:$C$500,"="&amp;A53), "")</f>
        <v/>
      </c>
    </row>
    <row r="54" spans="1:31" ht="15.75" customHeight="1" x14ac:dyDescent="0.25">
      <c r="A54" s="119" t="str">
        <f>IF(ISNONTEXT(node_raw[[#This Row],[Column2]]), "", node_raw[[#This Row],[Column2]])</f>
        <v/>
      </c>
      <c r="B54" s="116" t="str">
        <f>IF(A54&lt;&gt;"", VLOOKUP(A54, node!$C$2:$D$500, 2, FALSE), "")</f>
        <v/>
      </c>
      <c r="C54" s="117" t="str">
        <f>IF(A54&lt;&gt;"", VLOOKUP(A54, node!$C$2:$E$500, 3, FALSE), "")</f>
        <v/>
      </c>
      <c r="D54" s="118" t="str">
        <f>IF(A54&lt;&gt;"",COUNTIFS(node!$C$2:$C$500,"="&amp;A54, node!$C$2:$C$500,"&lt;&gt;"&amp;""),"")</f>
        <v/>
      </c>
      <c r="E54" s="122" t="str">
        <f>IF(A54&lt;&gt;"",SUMIFS(node!$F$2:$F$500, node!$C$2:$C$500,"="&amp;A54, node!$C$2:$C$500,"&lt;&gt;"&amp;"")/(B54*D54),"")</f>
        <v/>
      </c>
      <c r="F54" s="124" t="str">
        <f>IF(A54&lt;&gt;"",SUMIFS(node!$H$2:$H$500, node!$C$2:$C$500,"="&amp;A54, node!$C$2:$C$500,"&lt;&gt;"&amp;"")/(C54*D54),"")</f>
        <v/>
      </c>
      <c r="G54" s="93" t="str">
        <f>IF(A54&lt;&gt;"",SUMIFS(deployment!$F$4:$F$502, deployment!$D$4:$D$502,"="&amp;A54, deployment!$D$4:$D$502,"&lt;&gt;"&amp;""),"")</f>
        <v/>
      </c>
      <c r="H54" s="94" t="str">
        <f>IF(A54&lt;&gt;"",SUMIFS(deployment!$G$4:$G$502, deployment!$D$4:$D$502,"="&amp;A54, deployment!$D$4:$D$502,"&lt;&gt;"&amp;""),"")</f>
        <v/>
      </c>
      <c r="I54" s="95" t="str">
        <f>IF(A54&lt;&gt;"",SUMIFS(deployment!$H$4:$H$502, deployment!$D$4:$D$502,"="&amp;A54, deployment!$D$4:$D$502,"&lt;&gt;"&amp;""),"")</f>
        <v/>
      </c>
      <c r="J54" s="96" t="str">
        <f>IF(A54&lt;&gt;"",SUMIFS(deployment!$I$4:$I$502, deployment!$D$4:$D$502,"="&amp;A54, deployment!$D$4:$D$502,"&lt;&gt;"&amp;""),"")</f>
        <v/>
      </c>
      <c r="K54" s="112" t="str">
        <f>IF(A54&lt;&gt;"",SUMIFS(deployment!$J$4:$J$502, deployment!$D$4:$D$502,"="&amp;A54, deployment!$D$4:$D$502,"&lt;&gt;"&amp;""),"")</f>
        <v/>
      </c>
      <c r="L54" s="112" t="str">
        <f>IF(A54&lt;&gt;"",SUMIFS(deployment!$K$4:$K$502, deployment!$D$4:$D$502,"="&amp;A54, deployment!$D$4:$D$502,"&lt;&gt;"&amp;""),"")</f>
        <v/>
      </c>
      <c r="M54" s="97" t="str">
        <f>IF(A54&lt;&gt;"",SUMIFS(deployment!$L$4:$L$502, deployment!$D$4:$D$502,"="&amp;A54, deployment!$D$4:$D$502,"&lt;&gt;"&amp;""),"")</f>
        <v/>
      </c>
      <c r="N54" s="97" t="str">
        <f>IF(A54&lt;&gt;"",SUMIFS(deployment!$M$4:$M$502, deployment!$D$4:$D$502,"="&amp;A54, deployment!$D$4:$D$502,"&lt;&gt;"&amp;""),"")</f>
        <v/>
      </c>
      <c r="O54" s="127" t="str">
        <f t="shared" si="11"/>
        <v/>
      </c>
      <c r="P54" s="104"/>
      <c r="Q54" s="99" t="str">
        <f t="shared" si="0"/>
        <v/>
      </c>
      <c r="R54" s="100" t="str">
        <f t="shared" si="1"/>
        <v/>
      </c>
      <c r="S54" s="100" t="str">
        <f t="shared" si="2"/>
        <v/>
      </c>
      <c r="T54" s="101" t="str">
        <f t="shared" si="3"/>
        <v/>
      </c>
      <c r="U54" s="101" t="str">
        <f t="shared" si="4"/>
        <v/>
      </c>
      <c r="V54" s="128" t="str">
        <f t="shared" si="5"/>
        <v/>
      </c>
      <c r="W54" s="128" t="str">
        <f t="shared" si="6"/>
        <v/>
      </c>
      <c r="X54" s="101" t="str">
        <f t="shared" si="7"/>
        <v/>
      </c>
      <c r="Y54" s="101" t="str">
        <f t="shared" si="8"/>
        <v/>
      </c>
      <c r="Z54" s="102" t="str">
        <f t="shared" si="9"/>
        <v/>
      </c>
      <c r="AA54" s="103" t="str">
        <f t="shared" si="10"/>
        <v/>
      </c>
      <c r="AB54" s="142" t="str">
        <f>IF(A54&lt;&gt;"", SUMIFS(node!$J$2:$J$500, node!$C$2:$C$500,"="&amp;A54)/P54, "")</f>
        <v/>
      </c>
      <c r="AC54" s="134" t="str">
        <f>IF(A54&lt;&gt;"", SUMIFS(node!$K$2:$K$500, node!$C$2:$C$500,"="&amp;A54)/P54, "")</f>
        <v/>
      </c>
      <c r="AD54" s="135" t="str">
        <f>IF(A54&lt;&gt;"", SUMIFS(node!$L$2:$L$500, node!$C$2:$C$500,"="&amp;A54), "")</f>
        <v/>
      </c>
      <c r="AE54" s="145" t="str">
        <f>IF(A54&lt;&gt;"", SUMIFS(node!$M$2:$M$500, node!$C$2:$C$500,"="&amp;A54), "")</f>
        <v/>
      </c>
    </row>
    <row r="55" spans="1:31" ht="15.75" customHeight="1" x14ac:dyDescent="0.25">
      <c r="A55" s="119" t="str">
        <f>IF(ISNONTEXT(node_raw[[#This Row],[Column2]]), "", node_raw[[#This Row],[Column2]])</f>
        <v/>
      </c>
      <c r="B55" s="116" t="str">
        <f>IF(A55&lt;&gt;"", VLOOKUP(A55, node!$C$2:$D$500, 2, FALSE), "")</f>
        <v/>
      </c>
      <c r="C55" s="117" t="str">
        <f>IF(A55&lt;&gt;"", VLOOKUP(A55, node!$C$2:$E$500, 3, FALSE), "")</f>
        <v/>
      </c>
      <c r="D55" s="118" t="str">
        <f>IF(A55&lt;&gt;"",COUNTIFS(node!$C$2:$C$500,"="&amp;A55, node!$C$2:$C$500,"&lt;&gt;"&amp;""),"")</f>
        <v/>
      </c>
      <c r="E55" s="122" t="str">
        <f>IF(A55&lt;&gt;"",SUMIFS(node!$F$2:$F$500, node!$C$2:$C$500,"="&amp;A55, node!$C$2:$C$500,"&lt;&gt;"&amp;"")/(B55*D55),"")</f>
        <v/>
      </c>
      <c r="F55" s="124" t="str">
        <f>IF(A55&lt;&gt;"",SUMIFS(node!$H$2:$H$500, node!$C$2:$C$500,"="&amp;A55, node!$C$2:$C$500,"&lt;&gt;"&amp;"")/(C55*D55),"")</f>
        <v/>
      </c>
      <c r="G55" s="93" t="str">
        <f>IF(A55&lt;&gt;"",SUMIFS(deployment!$F$4:$F$502, deployment!$D$4:$D$502,"="&amp;A55, deployment!$D$4:$D$502,"&lt;&gt;"&amp;""),"")</f>
        <v/>
      </c>
      <c r="H55" s="94" t="str">
        <f>IF(A55&lt;&gt;"",SUMIFS(deployment!$G$4:$G$502, deployment!$D$4:$D$502,"="&amp;A55, deployment!$D$4:$D$502,"&lt;&gt;"&amp;""),"")</f>
        <v/>
      </c>
      <c r="I55" s="95" t="str">
        <f>IF(A55&lt;&gt;"",SUMIFS(deployment!$H$4:$H$502, deployment!$D$4:$D$502,"="&amp;A55, deployment!$D$4:$D$502,"&lt;&gt;"&amp;""),"")</f>
        <v/>
      </c>
      <c r="J55" s="96" t="str">
        <f>IF(A55&lt;&gt;"",SUMIFS(deployment!$I$4:$I$502, deployment!$D$4:$D$502,"="&amp;A55, deployment!$D$4:$D$502,"&lt;&gt;"&amp;""),"")</f>
        <v/>
      </c>
      <c r="K55" s="112" t="str">
        <f>IF(A55&lt;&gt;"",SUMIFS(deployment!$J$4:$J$502, deployment!$D$4:$D$502,"="&amp;A55, deployment!$D$4:$D$502,"&lt;&gt;"&amp;""),"")</f>
        <v/>
      </c>
      <c r="L55" s="112" t="str">
        <f>IF(A55&lt;&gt;"",SUMIFS(deployment!$K$4:$K$502, deployment!$D$4:$D$502,"="&amp;A55, deployment!$D$4:$D$502,"&lt;&gt;"&amp;""),"")</f>
        <v/>
      </c>
      <c r="M55" s="97" t="str">
        <f>IF(A55&lt;&gt;"",SUMIFS(deployment!$L$4:$L$502, deployment!$D$4:$D$502,"="&amp;A55, deployment!$D$4:$D$502,"&lt;&gt;"&amp;""),"")</f>
        <v/>
      </c>
      <c r="N55" s="97" t="str">
        <f>IF(A55&lt;&gt;"",SUMIFS(deployment!$M$4:$M$502, deployment!$D$4:$D$502,"="&amp;A55, deployment!$D$4:$D$502,"&lt;&gt;"&amp;""),"")</f>
        <v/>
      </c>
      <c r="O55" s="127" t="str">
        <f t="shared" si="11"/>
        <v/>
      </c>
      <c r="P55" s="104"/>
      <c r="Q55" s="99" t="str">
        <f t="shared" si="0"/>
        <v/>
      </c>
      <c r="R55" s="100" t="str">
        <f t="shared" si="1"/>
        <v/>
      </c>
      <c r="S55" s="100" t="str">
        <f t="shared" si="2"/>
        <v/>
      </c>
      <c r="T55" s="101" t="str">
        <f t="shared" si="3"/>
        <v/>
      </c>
      <c r="U55" s="101" t="str">
        <f t="shared" si="4"/>
        <v/>
      </c>
      <c r="V55" s="128" t="str">
        <f t="shared" si="5"/>
        <v/>
      </c>
      <c r="W55" s="128" t="str">
        <f t="shared" si="6"/>
        <v/>
      </c>
      <c r="X55" s="101" t="str">
        <f t="shared" si="7"/>
        <v/>
      </c>
      <c r="Y55" s="101" t="str">
        <f t="shared" si="8"/>
        <v/>
      </c>
      <c r="Z55" s="102" t="str">
        <f t="shared" si="9"/>
        <v/>
      </c>
      <c r="AA55" s="103" t="str">
        <f t="shared" si="10"/>
        <v/>
      </c>
      <c r="AB55" s="142" t="str">
        <f>IF(A55&lt;&gt;"", SUMIFS(node!$J$2:$J$500, node!$C$2:$C$500,"="&amp;A55)/P55, "")</f>
        <v/>
      </c>
      <c r="AC55" s="134" t="str">
        <f>IF(A55&lt;&gt;"", SUMIFS(node!$K$2:$K$500, node!$C$2:$C$500,"="&amp;A55)/P55, "")</f>
        <v/>
      </c>
      <c r="AD55" s="135" t="str">
        <f>IF(A55&lt;&gt;"", SUMIFS(node!$L$2:$L$500, node!$C$2:$C$500,"="&amp;A55), "")</f>
        <v/>
      </c>
      <c r="AE55" s="145" t="str">
        <f>IF(A55&lt;&gt;"", SUMIFS(node!$M$2:$M$500, node!$C$2:$C$500,"="&amp;A55), "")</f>
        <v/>
      </c>
    </row>
    <row r="56" spans="1:31" ht="15.75" customHeight="1" x14ac:dyDescent="0.25">
      <c r="A56" s="119" t="str">
        <f>IF(ISNONTEXT(node_raw[[#This Row],[Column2]]), "", node_raw[[#This Row],[Column2]])</f>
        <v/>
      </c>
      <c r="B56" s="116" t="str">
        <f>IF(A56&lt;&gt;"", VLOOKUP(A56, node!$C$2:$D$500, 2, FALSE), "")</f>
        <v/>
      </c>
      <c r="C56" s="117" t="str">
        <f>IF(A56&lt;&gt;"", VLOOKUP(A56, node!$C$2:$E$500, 3, FALSE), "")</f>
        <v/>
      </c>
      <c r="D56" s="118" t="str">
        <f>IF(A56&lt;&gt;"",COUNTIFS(node!$C$2:$C$500,"="&amp;A56, node!$C$2:$C$500,"&lt;&gt;"&amp;""),"")</f>
        <v/>
      </c>
      <c r="E56" s="122" t="str">
        <f>IF(A56&lt;&gt;"",SUMIFS(node!$F$2:$F$500, node!$C$2:$C$500,"="&amp;A56, node!$C$2:$C$500,"&lt;&gt;"&amp;"")/(B56*D56),"")</f>
        <v/>
      </c>
      <c r="F56" s="124" t="str">
        <f>IF(A56&lt;&gt;"",SUMIFS(node!$H$2:$H$500, node!$C$2:$C$500,"="&amp;A56, node!$C$2:$C$500,"&lt;&gt;"&amp;"")/(C56*D56),"")</f>
        <v/>
      </c>
      <c r="G56" s="93" t="str">
        <f>IF(A56&lt;&gt;"",SUMIFS(deployment!$F$4:$F$502, deployment!$D$4:$D$502,"="&amp;A56, deployment!$D$4:$D$502,"&lt;&gt;"&amp;""),"")</f>
        <v/>
      </c>
      <c r="H56" s="94" t="str">
        <f>IF(A56&lt;&gt;"",SUMIFS(deployment!$G$4:$G$502, deployment!$D$4:$D$502,"="&amp;A56, deployment!$D$4:$D$502,"&lt;&gt;"&amp;""),"")</f>
        <v/>
      </c>
      <c r="I56" s="95" t="str">
        <f>IF(A56&lt;&gt;"",SUMIFS(deployment!$H$4:$H$502, deployment!$D$4:$D$502,"="&amp;A56, deployment!$D$4:$D$502,"&lt;&gt;"&amp;""),"")</f>
        <v/>
      </c>
      <c r="J56" s="96" t="str">
        <f>IF(A56&lt;&gt;"",SUMIFS(deployment!$I$4:$I$502, deployment!$D$4:$D$502,"="&amp;A56, deployment!$D$4:$D$502,"&lt;&gt;"&amp;""),"")</f>
        <v/>
      </c>
      <c r="K56" s="112" t="str">
        <f>IF(A56&lt;&gt;"",SUMIFS(deployment!$J$4:$J$502, deployment!$D$4:$D$502,"="&amp;A56, deployment!$D$4:$D$502,"&lt;&gt;"&amp;""),"")</f>
        <v/>
      </c>
      <c r="L56" s="112" t="str">
        <f>IF(A56&lt;&gt;"",SUMIFS(deployment!$K$4:$K$502, deployment!$D$4:$D$502,"="&amp;A56, deployment!$D$4:$D$502,"&lt;&gt;"&amp;""),"")</f>
        <v/>
      </c>
      <c r="M56" s="97" t="str">
        <f>IF(A56&lt;&gt;"",SUMIFS(deployment!$L$4:$L$502, deployment!$D$4:$D$502,"="&amp;A56, deployment!$D$4:$D$502,"&lt;&gt;"&amp;""),"")</f>
        <v/>
      </c>
      <c r="N56" s="97" t="str">
        <f>IF(A56&lt;&gt;"",SUMIFS(deployment!$M$4:$M$502, deployment!$D$4:$D$502,"="&amp;A56, deployment!$D$4:$D$502,"&lt;&gt;"&amp;""),"")</f>
        <v/>
      </c>
      <c r="O56" s="127" t="str">
        <f t="shared" si="11"/>
        <v/>
      </c>
      <c r="P56" s="104"/>
      <c r="Q56" s="99" t="str">
        <f t="shared" si="0"/>
        <v/>
      </c>
      <c r="R56" s="100" t="str">
        <f t="shared" si="1"/>
        <v/>
      </c>
      <c r="S56" s="100" t="str">
        <f t="shared" si="2"/>
        <v/>
      </c>
      <c r="T56" s="101" t="str">
        <f t="shared" si="3"/>
        <v/>
      </c>
      <c r="U56" s="101" t="str">
        <f t="shared" si="4"/>
        <v/>
      </c>
      <c r="V56" s="128" t="str">
        <f t="shared" si="5"/>
        <v/>
      </c>
      <c r="W56" s="128" t="str">
        <f t="shared" si="6"/>
        <v/>
      </c>
      <c r="X56" s="101" t="str">
        <f t="shared" si="7"/>
        <v/>
      </c>
      <c r="Y56" s="101" t="str">
        <f t="shared" si="8"/>
        <v/>
      </c>
      <c r="Z56" s="102" t="str">
        <f t="shared" si="9"/>
        <v/>
      </c>
      <c r="AA56" s="103" t="str">
        <f t="shared" si="10"/>
        <v/>
      </c>
      <c r="AB56" s="142" t="str">
        <f>IF(A56&lt;&gt;"", SUMIFS(node!$J$2:$J$500, node!$C$2:$C$500,"="&amp;A56)/P56, "")</f>
        <v/>
      </c>
      <c r="AC56" s="134" t="str">
        <f>IF(A56&lt;&gt;"", SUMIFS(node!$K$2:$K$500, node!$C$2:$C$500,"="&amp;A56)/P56, "")</f>
        <v/>
      </c>
      <c r="AD56" s="135" t="str">
        <f>IF(A56&lt;&gt;"", SUMIFS(node!$L$2:$L$500, node!$C$2:$C$500,"="&amp;A56), "")</f>
        <v/>
      </c>
      <c r="AE56" s="145" t="str">
        <f>IF(A56&lt;&gt;"", SUMIFS(node!$M$2:$M$500, node!$C$2:$C$500,"="&amp;A56), "")</f>
        <v/>
      </c>
    </row>
    <row r="57" spans="1:31" ht="15.75" customHeight="1" x14ac:dyDescent="0.25">
      <c r="A57" s="119" t="str">
        <f>IF(ISNONTEXT(node_raw[[#This Row],[Column2]]), "", node_raw[[#This Row],[Column2]])</f>
        <v/>
      </c>
      <c r="B57" s="116" t="str">
        <f>IF(A57&lt;&gt;"", VLOOKUP(A57, node!$C$2:$D$500, 2, FALSE), "")</f>
        <v/>
      </c>
      <c r="C57" s="117" t="str">
        <f>IF(A57&lt;&gt;"", VLOOKUP(A57, node!$C$2:$E$500, 3, FALSE), "")</f>
        <v/>
      </c>
      <c r="D57" s="118" t="str">
        <f>IF(A57&lt;&gt;"",COUNTIFS(node!$C$2:$C$500,"="&amp;A57, node!$C$2:$C$500,"&lt;&gt;"&amp;""),"")</f>
        <v/>
      </c>
      <c r="E57" s="122" t="str">
        <f>IF(A57&lt;&gt;"",SUMIFS(node!$F$2:$F$500, node!$C$2:$C$500,"="&amp;A57, node!$C$2:$C$500,"&lt;&gt;"&amp;"")/(B57*D57),"")</f>
        <v/>
      </c>
      <c r="F57" s="124" t="str">
        <f>IF(A57&lt;&gt;"",SUMIFS(node!$H$2:$H$500, node!$C$2:$C$500,"="&amp;A57, node!$C$2:$C$500,"&lt;&gt;"&amp;"")/(C57*D57),"")</f>
        <v/>
      </c>
      <c r="G57" s="93" t="str">
        <f>IF(A57&lt;&gt;"",SUMIFS(deployment!$F$4:$F$502, deployment!$D$4:$D$502,"="&amp;A57, deployment!$D$4:$D$502,"&lt;&gt;"&amp;""),"")</f>
        <v/>
      </c>
      <c r="H57" s="94" t="str">
        <f>IF(A57&lt;&gt;"",SUMIFS(deployment!$G$4:$G$502, deployment!$D$4:$D$502,"="&amp;A57, deployment!$D$4:$D$502,"&lt;&gt;"&amp;""),"")</f>
        <v/>
      </c>
      <c r="I57" s="95" t="str">
        <f>IF(A57&lt;&gt;"",SUMIFS(deployment!$H$4:$H$502, deployment!$D$4:$D$502,"="&amp;A57, deployment!$D$4:$D$502,"&lt;&gt;"&amp;""),"")</f>
        <v/>
      </c>
      <c r="J57" s="96" t="str">
        <f>IF(A57&lt;&gt;"",SUMIFS(deployment!$I$4:$I$502, deployment!$D$4:$D$502,"="&amp;A57, deployment!$D$4:$D$502,"&lt;&gt;"&amp;""),"")</f>
        <v/>
      </c>
      <c r="K57" s="112" t="str">
        <f>IF(A57&lt;&gt;"",SUMIFS(deployment!$J$4:$J$502, deployment!$D$4:$D$502,"="&amp;A57, deployment!$D$4:$D$502,"&lt;&gt;"&amp;""),"")</f>
        <v/>
      </c>
      <c r="L57" s="112" t="str">
        <f>IF(A57&lt;&gt;"",SUMIFS(deployment!$K$4:$K$502, deployment!$D$4:$D$502,"="&amp;A57, deployment!$D$4:$D$502,"&lt;&gt;"&amp;""),"")</f>
        <v/>
      </c>
      <c r="M57" s="97" t="str">
        <f>IF(A57&lt;&gt;"",SUMIFS(deployment!$L$4:$L$502, deployment!$D$4:$D$502,"="&amp;A57, deployment!$D$4:$D$502,"&lt;&gt;"&amp;""),"")</f>
        <v/>
      </c>
      <c r="N57" s="97" t="str">
        <f>IF(A57&lt;&gt;"",SUMIFS(deployment!$M$4:$M$502, deployment!$D$4:$D$502,"="&amp;A57, deployment!$D$4:$D$502,"&lt;&gt;"&amp;""),"")</f>
        <v/>
      </c>
      <c r="O57" s="127" t="str">
        <f t="shared" si="11"/>
        <v/>
      </c>
      <c r="P57" s="104"/>
      <c r="Q57" s="99" t="str">
        <f t="shared" si="0"/>
        <v/>
      </c>
      <c r="R57" s="100" t="str">
        <f t="shared" si="1"/>
        <v/>
      </c>
      <c r="S57" s="100" t="str">
        <f t="shared" si="2"/>
        <v/>
      </c>
      <c r="T57" s="101" t="str">
        <f t="shared" si="3"/>
        <v/>
      </c>
      <c r="U57" s="101" t="str">
        <f t="shared" si="4"/>
        <v/>
      </c>
      <c r="V57" s="128" t="str">
        <f t="shared" si="5"/>
        <v/>
      </c>
      <c r="W57" s="128" t="str">
        <f t="shared" si="6"/>
        <v/>
      </c>
      <c r="X57" s="101" t="str">
        <f t="shared" si="7"/>
        <v/>
      </c>
      <c r="Y57" s="101" t="str">
        <f t="shared" si="8"/>
        <v/>
      </c>
      <c r="Z57" s="102" t="str">
        <f t="shared" si="9"/>
        <v/>
      </c>
      <c r="AA57" s="103" t="str">
        <f t="shared" si="10"/>
        <v/>
      </c>
      <c r="AB57" s="142" t="str">
        <f>IF(A57&lt;&gt;"", SUMIFS(node!$J$2:$J$500, node!$C$2:$C$500,"="&amp;A57)/P57, "")</f>
        <v/>
      </c>
      <c r="AC57" s="134" t="str">
        <f>IF(A57&lt;&gt;"", SUMIFS(node!$K$2:$K$500, node!$C$2:$C$500,"="&amp;A57)/P57, "")</f>
        <v/>
      </c>
      <c r="AD57" s="135" t="str">
        <f>IF(A57&lt;&gt;"", SUMIFS(node!$L$2:$L$500, node!$C$2:$C$500,"="&amp;A57), "")</f>
        <v/>
      </c>
      <c r="AE57" s="145" t="str">
        <f>IF(A57&lt;&gt;"", SUMIFS(node!$M$2:$M$500, node!$C$2:$C$500,"="&amp;A57), "")</f>
        <v/>
      </c>
    </row>
    <row r="58" spans="1:31" ht="15.75" customHeight="1" x14ac:dyDescent="0.25">
      <c r="A58" s="119" t="str">
        <f>IF(ISNONTEXT(node_raw[[#This Row],[Column2]]), "", node_raw[[#This Row],[Column2]])</f>
        <v/>
      </c>
      <c r="B58" s="116" t="str">
        <f>IF(A58&lt;&gt;"", VLOOKUP(A58, node!$C$2:$D$500, 2, FALSE), "")</f>
        <v/>
      </c>
      <c r="C58" s="117" t="str">
        <f>IF(A58&lt;&gt;"", VLOOKUP(A58, node!$C$2:$E$500, 3, FALSE), "")</f>
        <v/>
      </c>
      <c r="D58" s="118" t="str">
        <f>IF(A58&lt;&gt;"",COUNTIFS(node!$C$2:$C$500,"="&amp;A58, node!$C$2:$C$500,"&lt;&gt;"&amp;""),"")</f>
        <v/>
      </c>
      <c r="E58" s="122" t="str">
        <f>IF(A58&lt;&gt;"",SUMIFS(node!$F$2:$F$500, node!$C$2:$C$500,"="&amp;A58, node!$C$2:$C$500,"&lt;&gt;"&amp;"")/(B58*D58),"")</f>
        <v/>
      </c>
      <c r="F58" s="124" t="str">
        <f>IF(A58&lt;&gt;"",SUMIFS(node!$H$2:$H$500, node!$C$2:$C$500,"="&amp;A58, node!$C$2:$C$500,"&lt;&gt;"&amp;"")/(C58*D58),"")</f>
        <v/>
      </c>
      <c r="G58" s="93" t="str">
        <f>IF(A58&lt;&gt;"",SUMIFS(deployment!$F$4:$F$502, deployment!$D$4:$D$502,"="&amp;A58, deployment!$D$4:$D$502,"&lt;&gt;"&amp;""),"")</f>
        <v/>
      </c>
      <c r="H58" s="94" t="str">
        <f>IF(A58&lt;&gt;"",SUMIFS(deployment!$G$4:$G$502, deployment!$D$4:$D$502,"="&amp;A58, deployment!$D$4:$D$502,"&lt;&gt;"&amp;""),"")</f>
        <v/>
      </c>
      <c r="I58" s="95" t="str">
        <f>IF(A58&lt;&gt;"",SUMIFS(deployment!$H$4:$H$502, deployment!$D$4:$D$502,"="&amp;A58, deployment!$D$4:$D$502,"&lt;&gt;"&amp;""),"")</f>
        <v/>
      </c>
      <c r="J58" s="96" t="str">
        <f>IF(A58&lt;&gt;"",SUMIFS(deployment!$I$4:$I$502, deployment!$D$4:$D$502,"="&amp;A58, deployment!$D$4:$D$502,"&lt;&gt;"&amp;""),"")</f>
        <v/>
      </c>
      <c r="K58" s="112" t="str">
        <f>IF(A58&lt;&gt;"",SUMIFS(deployment!$J$4:$J$502, deployment!$D$4:$D$502,"="&amp;A58, deployment!$D$4:$D$502,"&lt;&gt;"&amp;""),"")</f>
        <v/>
      </c>
      <c r="L58" s="112" t="str">
        <f>IF(A58&lt;&gt;"",SUMIFS(deployment!$K$4:$K$502, deployment!$D$4:$D$502,"="&amp;A58, deployment!$D$4:$D$502,"&lt;&gt;"&amp;""),"")</f>
        <v/>
      </c>
      <c r="M58" s="97" t="str">
        <f>IF(A58&lt;&gt;"",SUMIFS(deployment!$L$4:$L$502, deployment!$D$4:$D$502,"="&amp;A58, deployment!$D$4:$D$502,"&lt;&gt;"&amp;""),"")</f>
        <v/>
      </c>
      <c r="N58" s="97" t="str">
        <f>IF(A58&lt;&gt;"",SUMIFS(deployment!$M$4:$M$502, deployment!$D$4:$D$502,"="&amp;A58, deployment!$D$4:$D$502,"&lt;&gt;"&amp;""),"")</f>
        <v/>
      </c>
      <c r="O58" s="127" t="str">
        <f t="shared" si="11"/>
        <v/>
      </c>
      <c r="P58" s="104"/>
      <c r="Q58" s="99" t="str">
        <f t="shared" si="0"/>
        <v/>
      </c>
      <c r="R58" s="100" t="str">
        <f t="shared" si="1"/>
        <v/>
      </c>
      <c r="S58" s="100" t="str">
        <f t="shared" si="2"/>
        <v/>
      </c>
      <c r="T58" s="101" t="str">
        <f t="shared" si="3"/>
        <v/>
      </c>
      <c r="U58" s="101" t="str">
        <f t="shared" si="4"/>
        <v/>
      </c>
      <c r="V58" s="128" t="str">
        <f t="shared" si="5"/>
        <v/>
      </c>
      <c r="W58" s="128" t="str">
        <f t="shared" si="6"/>
        <v/>
      </c>
      <c r="X58" s="101" t="str">
        <f t="shared" si="7"/>
        <v/>
      </c>
      <c r="Y58" s="101" t="str">
        <f t="shared" si="8"/>
        <v/>
      </c>
      <c r="Z58" s="102" t="str">
        <f t="shared" si="9"/>
        <v/>
      </c>
      <c r="AA58" s="103" t="str">
        <f t="shared" si="10"/>
        <v/>
      </c>
      <c r="AB58" s="142" t="str">
        <f>IF(A58&lt;&gt;"", SUMIFS(node!$J$2:$J$500, node!$C$2:$C$500,"="&amp;A58)/P58, "")</f>
        <v/>
      </c>
      <c r="AC58" s="134" t="str">
        <f>IF(A58&lt;&gt;"", SUMIFS(node!$K$2:$K$500, node!$C$2:$C$500,"="&amp;A58)/P58, "")</f>
        <v/>
      </c>
      <c r="AD58" s="135" t="str">
        <f>IF(A58&lt;&gt;"", SUMIFS(node!$L$2:$L$500, node!$C$2:$C$500,"="&amp;A58), "")</f>
        <v/>
      </c>
      <c r="AE58" s="145" t="str">
        <f>IF(A58&lt;&gt;"", SUMIFS(node!$M$2:$M$500, node!$C$2:$C$500,"="&amp;A58), "")</f>
        <v/>
      </c>
    </row>
    <row r="59" spans="1:31" ht="15.75" customHeight="1" x14ac:dyDescent="0.25">
      <c r="A59" s="119" t="str">
        <f>IF(ISNONTEXT(node_raw[[#This Row],[Column2]]), "", node_raw[[#This Row],[Column2]])</f>
        <v/>
      </c>
      <c r="B59" s="116" t="str">
        <f>IF(A59&lt;&gt;"", VLOOKUP(A59, node!$C$2:$D$500, 2, FALSE), "")</f>
        <v/>
      </c>
      <c r="C59" s="117" t="str">
        <f>IF(A59&lt;&gt;"", VLOOKUP(A59, node!$C$2:$E$500, 3, FALSE), "")</f>
        <v/>
      </c>
      <c r="D59" s="118" t="str">
        <f>IF(A59&lt;&gt;"",COUNTIFS(node!$C$2:$C$500,"="&amp;A59, node!$C$2:$C$500,"&lt;&gt;"&amp;""),"")</f>
        <v/>
      </c>
      <c r="E59" s="122" t="str">
        <f>IF(A59&lt;&gt;"",SUMIFS(node!$F$2:$F$500, node!$C$2:$C$500,"="&amp;A59, node!$C$2:$C$500,"&lt;&gt;"&amp;"")/(B59*D59),"")</f>
        <v/>
      </c>
      <c r="F59" s="124" t="str">
        <f>IF(A59&lt;&gt;"",SUMIFS(node!$H$2:$H$500, node!$C$2:$C$500,"="&amp;A59, node!$C$2:$C$500,"&lt;&gt;"&amp;"")/(C59*D59),"")</f>
        <v/>
      </c>
      <c r="G59" s="93" t="str">
        <f>IF(A59&lt;&gt;"",SUMIFS(deployment!$F$4:$F$502, deployment!$D$4:$D$502,"="&amp;A59, deployment!$D$4:$D$502,"&lt;&gt;"&amp;""),"")</f>
        <v/>
      </c>
      <c r="H59" s="94" t="str">
        <f>IF(A59&lt;&gt;"",SUMIFS(deployment!$G$4:$G$502, deployment!$D$4:$D$502,"="&amp;A59, deployment!$D$4:$D$502,"&lt;&gt;"&amp;""),"")</f>
        <v/>
      </c>
      <c r="I59" s="95" t="str">
        <f>IF(A59&lt;&gt;"",SUMIFS(deployment!$H$4:$H$502, deployment!$D$4:$D$502,"="&amp;A59, deployment!$D$4:$D$502,"&lt;&gt;"&amp;""),"")</f>
        <v/>
      </c>
      <c r="J59" s="96" t="str">
        <f>IF(A59&lt;&gt;"",SUMIFS(deployment!$I$4:$I$502, deployment!$D$4:$D$502,"="&amp;A59, deployment!$D$4:$D$502,"&lt;&gt;"&amp;""),"")</f>
        <v/>
      </c>
      <c r="K59" s="112" t="str">
        <f>IF(A59&lt;&gt;"",SUMIFS(deployment!$J$4:$J$502, deployment!$D$4:$D$502,"="&amp;A59, deployment!$D$4:$D$502,"&lt;&gt;"&amp;""),"")</f>
        <v/>
      </c>
      <c r="L59" s="112" t="str">
        <f>IF(A59&lt;&gt;"",SUMIFS(deployment!$K$4:$K$502, deployment!$D$4:$D$502,"="&amp;A59, deployment!$D$4:$D$502,"&lt;&gt;"&amp;""),"")</f>
        <v/>
      </c>
      <c r="M59" s="97" t="str">
        <f>IF(A59&lt;&gt;"",SUMIFS(deployment!$L$4:$L$502, deployment!$D$4:$D$502,"="&amp;A59, deployment!$D$4:$D$502,"&lt;&gt;"&amp;""),"")</f>
        <v/>
      </c>
      <c r="N59" s="97" t="str">
        <f>IF(A59&lt;&gt;"",SUMIFS(deployment!$M$4:$M$502, deployment!$D$4:$D$502,"="&amp;A59, deployment!$D$4:$D$502,"&lt;&gt;"&amp;""),"")</f>
        <v/>
      </c>
      <c r="O59" s="127" t="str">
        <f t="shared" si="11"/>
        <v/>
      </c>
      <c r="P59" s="104"/>
      <c r="Q59" s="99" t="str">
        <f t="shared" si="0"/>
        <v/>
      </c>
      <c r="R59" s="100" t="str">
        <f t="shared" si="1"/>
        <v/>
      </c>
      <c r="S59" s="100" t="str">
        <f t="shared" si="2"/>
        <v/>
      </c>
      <c r="T59" s="101" t="str">
        <f t="shared" si="3"/>
        <v/>
      </c>
      <c r="U59" s="101" t="str">
        <f t="shared" si="4"/>
        <v/>
      </c>
      <c r="V59" s="128" t="str">
        <f t="shared" si="5"/>
        <v/>
      </c>
      <c r="W59" s="128" t="str">
        <f t="shared" si="6"/>
        <v/>
      </c>
      <c r="X59" s="101" t="str">
        <f t="shared" si="7"/>
        <v/>
      </c>
      <c r="Y59" s="101" t="str">
        <f t="shared" si="8"/>
        <v/>
      </c>
      <c r="Z59" s="102" t="str">
        <f t="shared" si="9"/>
        <v/>
      </c>
      <c r="AA59" s="103" t="str">
        <f t="shared" si="10"/>
        <v/>
      </c>
      <c r="AB59" s="142" t="str">
        <f>IF(A59&lt;&gt;"", SUMIFS(node!$J$2:$J$500, node!$C$2:$C$500,"="&amp;A59)/P59, "")</f>
        <v/>
      </c>
      <c r="AC59" s="134" t="str">
        <f>IF(A59&lt;&gt;"", SUMIFS(node!$K$2:$K$500, node!$C$2:$C$500,"="&amp;A59)/P59, "")</f>
        <v/>
      </c>
      <c r="AD59" s="135" t="str">
        <f>IF(A59&lt;&gt;"", SUMIFS(node!$L$2:$L$500, node!$C$2:$C$500,"="&amp;A59), "")</f>
        <v/>
      </c>
      <c r="AE59" s="145" t="str">
        <f>IF(A59&lt;&gt;"", SUMIFS(node!$M$2:$M$500, node!$C$2:$C$500,"="&amp;A59), "")</f>
        <v/>
      </c>
    </row>
    <row r="60" spans="1:31" ht="15.75" customHeight="1" x14ac:dyDescent="0.25">
      <c r="A60" s="119" t="str">
        <f>IF(ISNONTEXT(node_raw[[#This Row],[Column2]]), "", node_raw[[#This Row],[Column2]])</f>
        <v/>
      </c>
      <c r="B60" s="116" t="str">
        <f>IF(A60&lt;&gt;"", VLOOKUP(A60, node!$C$2:$D$500, 2, FALSE), "")</f>
        <v/>
      </c>
      <c r="C60" s="117" t="str">
        <f>IF(A60&lt;&gt;"", VLOOKUP(A60, node!$C$2:$E$500, 3, FALSE), "")</f>
        <v/>
      </c>
      <c r="D60" s="118" t="str">
        <f>IF(A60&lt;&gt;"",COUNTIFS(node!$C$2:$C$500,"="&amp;A60, node!$C$2:$C$500,"&lt;&gt;"&amp;""),"")</f>
        <v/>
      </c>
      <c r="E60" s="122" t="str">
        <f>IF(A60&lt;&gt;"",SUMIFS(node!$F$2:$F$500, node!$C$2:$C$500,"="&amp;A60, node!$C$2:$C$500,"&lt;&gt;"&amp;"")/(B60*D60),"")</f>
        <v/>
      </c>
      <c r="F60" s="124" t="str">
        <f>IF(A60&lt;&gt;"",SUMIFS(node!$H$2:$H$500, node!$C$2:$C$500,"="&amp;A60, node!$C$2:$C$500,"&lt;&gt;"&amp;"")/(C60*D60),"")</f>
        <v/>
      </c>
      <c r="G60" s="93" t="str">
        <f>IF(A60&lt;&gt;"",SUMIFS(deployment!$F$4:$F$502, deployment!$D$4:$D$502,"="&amp;A60, deployment!$D$4:$D$502,"&lt;&gt;"&amp;""),"")</f>
        <v/>
      </c>
      <c r="H60" s="94" t="str">
        <f>IF(A60&lt;&gt;"",SUMIFS(deployment!$G$4:$G$502, deployment!$D$4:$D$502,"="&amp;A60, deployment!$D$4:$D$502,"&lt;&gt;"&amp;""),"")</f>
        <v/>
      </c>
      <c r="I60" s="95" t="str">
        <f>IF(A60&lt;&gt;"",SUMIFS(deployment!$H$4:$H$502, deployment!$D$4:$D$502,"="&amp;A60, deployment!$D$4:$D$502,"&lt;&gt;"&amp;""),"")</f>
        <v/>
      </c>
      <c r="J60" s="96" t="str">
        <f>IF(A60&lt;&gt;"",SUMIFS(deployment!$I$4:$I$502, deployment!$D$4:$D$502,"="&amp;A60, deployment!$D$4:$D$502,"&lt;&gt;"&amp;""),"")</f>
        <v/>
      </c>
      <c r="K60" s="112" t="str">
        <f>IF(A60&lt;&gt;"",SUMIFS(deployment!$J$4:$J$502, deployment!$D$4:$D$502,"="&amp;A60, deployment!$D$4:$D$502,"&lt;&gt;"&amp;""),"")</f>
        <v/>
      </c>
      <c r="L60" s="112" t="str">
        <f>IF(A60&lt;&gt;"",SUMIFS(deployment!$K$4:$K$502, deployment!$D$4:$D$502,"="&amp;A60, deployment!$D$4:$D$502,"&lt;&gt;"&amp;""),"")</f>
        <v/>
      </c>
      <c r="M60" s="97" t="str">
        <f>IF(A60&lt;&gt;"",SUMIFS(deployment!$L$4:$L$502, deployment!$D$4:$D$502,"="&amp;A60, deployment!$D$4:$D$502,"&lt;&gt;"&amp;""),"")</f>
        <v/>
      </c>
      <c r="N60" s="97" t="str">
        <f>IF(A60&lt;&gt;"",SUMIFS(deployment!$M$4:$M$502, deployment!$D$4:$D$502,"="&amp;A60, deployment!$D$4:$D$502,"&lt;&gt;"&amp;""),"")</f>
        <v/>
      </c>
      <c r="O60" s="127" t="str">
        <f t="shared" si="11"/>
        <v/>
      </c>
      <c r="P60" s="104"/>
      <c r="Q60" s="99" t="str">
        <f t="shared" si="0"/>
        <v/>
      </c>
      <c r="R60" s="100" t="str">
        <f t="shared" si="1"/>
        <v/>
      </c>
      <c r="S60" s="100" t="str">
        <f t="shared" si="2"/>
        <v/>
      </c>
      <c r="T60" s="101" t="str">
        <f t="shared" si="3"/>
        <v/>
      </c>
      <c r="U60" s="101" t="str">
        <f t="shared" si="4"/>
        <v/>
      </c>
      <c r="V60" s="128" t="str">
        <f t="shared" si="5"/>
        <v/>
      </c>
      <c r="W60" s="128" t="str">
        <f t="shared" si="6"/>
        <v/>
      </c>
      <c r="X60" s="101" t="str">
        <f t="shared" si="7"/>
        <v/>
      </c>
      <c r="Y60" s="101" t="str">
        <f t="shared" si="8"/>
        <v/>
      </c>
      <c r="Z60" s="102" t="str">
        <f t="shared" si="9"/>
        <v/>
      </c>
      <c r="AA60" s="103" t="str">
        <f t="shared" si="10"/>
        <v/>
      </c>
      <c r="AB60" s="142" t="str">
        <f>IF(A60&lt;&gt;"", SUMIFS(node!$J$2:$J$500, node!$C$2:$C$500,"="&amp;A60)/P60, "")</f>
        <v/>
      </c>
      <c r="AC60" s="134" t="str">
        <f>IF(A60&lt;&gt;"", SUMIFS(node!$K$2:$K$500, node!$C$2:$C$500,"="&amp;A60)/P60, "")</f>
        <v/>
      </c>
      <c r="AD60" s="135" t="str">
        <f>IF(A60&lt;&gt;"", SUMIFS(node!$L$2:$L$500, node!$C$2:$C$500,"="&amp;A60), "")</f>
        <v/>
      </c>
      <c r="AE60" s="145" t="str">
        <f>IF(A60&lt;&gt;"", SUMIFS(node!$M$2:$M$500, node!$C$2:$C$500,"="&amp;A60), "")</f>
        <v/>
      </c>
    </row>
    <row r="61" spans="1:31" ht="15.75" customHeight="1" x14ac:dyDescent="0.25">
      <c r="A61" s="119" t="str">
        <f>IF(ISNONTEXT(node_raw[[#This Row],[Column2]]), "", node_raw[[#This Row],[Column2]])</f>
        <v/>
      </c>
      <c r="B61" s="116" t="str">
        <f>IF(A61&lt;&gt;"", VLOOKUP(A61, node!$C$2:$D$500, 2, FALSE), "")</f>
        <v/>
      </c>
      <c r="C61" s="117" t="str">
        <f>IF(A61&lt;&gt;"", VLOOKUP(A61, node!$C$2:$E$500, 3, FALSE), "")</f>
        <v/>
      </c>
      <c r="D61" s="118" t="str">
        <f>IF(A61&lt;&gt;"",COUNTIFS(node!$C$2:$C$500,"="&amp;A61, node!$C$2:$C$500,"&lt;&gt;"&amp;""),"")</f>
        <v/>
      </c>
      <c r="E61" s="122" t="str">
        <f>IF(A61&lt;&gt;"",SUMIFS(node!$F$2:$F$500, node!$C$2:$C$500,"="&amp;A61, node!$C$2:$C$500,"&lt;&gt;"&amp;"")/(B61*D61),"")</f>
        <v/>
      </c>
      <c r="F61" s="124" t="str">
        <f>IF(A61&lt;&gt;"",SUMIFS(node!$H$2:$H$500, node!$C$2:$C$500,"="&amp;A61, node!$C$2:$C$500,"&lt;&gt;"&amp;"")/(C61*D61),"")</f>
        <v/>
      </c>
      <c r="G61" s="93" t="str">
        <f>IF(A61&lt;&gt;"",SUMIFS(deployment!$F$4:$F$502, deployment!$D$4:$D$502,"="&amp;A61, deployment!$D$4:$D$502,"&lt;&gt;"&amp;""),"")</f>
        <v/>
      </c>
      <c r="H61" s="94" t="str">
        <f>IF(A61&lt;&gt;"",SUMIFS(deployment!$G$4:$G$502, deployment!$D$4:$D$502,"="&amp;A61, deployment!$D$4:$D$502,"&lt;&gt;"&amp;""),"")</f>
        <v/>
      </c>
      <c r="I61" s="95" t="str">
        <f>IF(A61&lt;&gt;"",SUMIFS(deployment!$H$4:$H$502, deployment!$D$4:$D$502,"="&amp;A61, deployment!$D$4:$D$502,"&lt;&gt;"&amp;""),"")</f>
        <v/>
      </c>
      <c r="J61" s="96" t="str">
        <f>IF(A61&lt;&gt;"",SUMIFS(deployment!$I$4:$I$502, deployment!$D$4:$D$502,"="&amp;A61, deployment!$D$4:$D$502,"&lt;&gt;"&amp;""),"")</f>
        <v/>
      </c>
      <c r="K61" s="112" t="str">
        <f>IF(A61&lt;&gt;"",SUMIFS(deployment!$J$4:$J$502, deployment!$D$4:$D$502,"="&amp;A61, deployment!$D$4:$D$502,"&lt;&gt;"&amp;""),"")</f>
        <v/>
      </c>
      <c r="L61" s="112" t="str">
        <f>IF(A61&lt;&gt;"",SUMIFS(deployment!$K$4:$K$502, deployment!$D$4:$D$502,"="&amp;A61, deployment!$D$4:$D$502,"&lt;&gt;"&amp;""),"")</f>
        <v/>
      </c>
      <c r="M61" s="97" t="str">
        <f>IF(A61&lt;&gt;"",SUMIFS(deployment!$L$4:$L$502, deployment!$D$4:$D$502,"="&amp;A61, deployment!$D$4:$D$502,"&lt;&gt;"&amp;""),"")</f>
        <v/>
      </c>
      <c r="N61" s="97" t="str">
        <f>IF(A61&lt;&gt;"",SUMIFS(deployment!$M$4:$M$502, deployment!$D$4:$D$502,"="&amp;A61, deployment!$D$4:$D$502,"&lt;&gt;"&amp;""),"")</f>
        <v/>
      </c>
      <c r="O61" s="127" t="str">
        <f t="shared" si="11"/>
        <v/>
      </c>
      <c r="P61" s="104"/>
      <c r="Q61" s="99" t="str">
        <f t="shared" si="0"/>
        <v/>
      </c>
      <c r="R61" s="100" t="str">
        <f t="shared" si="1"/>
        <v/>
      </c>
      <c r="S61" s="100" t="str">
        <f t="shared" si="2"/>
        <v/>
      </c>
      <c r="T61" s="101" t="str">
        <f t="shared" si="3"/>
        <v/>
      </c>
      <c r="U61" s="101" t="str">
        <f t="shared" si="4"/>
        <v/>
      </c>
      <c r="V61" s="128" t="str">
        <f t="shared" si="5"/>
        <v/>
      </c>
      <c r="W61" s="128" t="str">
        <f t="shared" si="6"/>
        <v/>
      </c>
      <c r="X61" s="101" t="str">
        <f t="shared" si="7"/>
        <v/>
      </c>
      <c r="Y61" s="101" t="str">
        <f t="shared" si="8"/>
        <v/>
      </c>
      <c r="Z61" s="102" t="str">
        <f t="shared" si="9"/>
        <v/>
      </c>
      <c r="AA61" s="103" t="str">
        <f t="shared" si="10"/>
        <v/>
      </c>
      <c r="AB61" s="142" t="str">
        <f>IF(A61&lt;&gt;"", SUMIFS(node!$J$2:$J$500, node!$C$2:$C$500,"="&amp;A61)/P61, "")</f>
        <v/>
      </c>
      <c r="AC61" s="134" t="str">
        <f>IF(A61&lt;&gt;"", SUMIFS(node!$K$2:$K$500, node!$C$2:$C$500,"="&amp;A61)/P61, "")</f>
        <v/>
      </c>
      <c r="AD61" s="135" t="str">
        <f>IF(A61&lt;&gt;"", SUMIFS(node!$L$2:$L$500, node!$C$2:$C$500,"="&amp;A61), "")</f>
        <v/>
      </c>
      <c r="AE61" s="145" t="str">
        <f>IF(A61&lt;&gt;"", SUMIFS(node!$M$2:$M$500, node!$C$2:$C$500,"="&amp;A61), "")</f>
        <v/>
      </c>
    </row>
    <row r="62" spans="1:31" ht="15.75" customHeight="1" x14ac:dyDescent="0.25">
      <c r="A62" s="119" t="str">
        <f>IF(ISNONTEXT(node_raw[[#This Row],[Column2]]), "", node_raw[[#This Row],[Column2]])</f>
        <v/>
      </c>
      <c r="B62" s="116" t="str">
        <f>IF(A62&lt;&gt;"", VLOOKUP(A62, node!$C$2:$D$500, 2, FALSE), "")</f>
        <v/>
      </c>
      <c r="C62" s="117" t="str">
        <f>IF(A62&lt;&gt;"", VLOOKUP(A62, node!$C$2:$E$500, 3, FALSE), "")</f>
        <v/>
      </c>
      <c r="D62" s="118" t="str">
        <f>IF(A62&lt;&gt;"",COUNTIFS(node!$C$2:$C$500,"="&amp;A62, node!$C$2:$C$500,"&lt;&gt;"&amp;""),"")</f>
        <v/>
      </c>
      <c r="E62" s="122" t="str">
        <f>IF(A62&lt;&gt;"",SUMIFS(node!$F$2:$F$500, node!$C$2:$C$500,"="&amp;A62, node!$C$2:$C$500,"&lt;&gt;"&amp;"")/(B62*D62),"")</f>
        <v/>
      </c>
      <c r="F62" s="124" t="str">
        <f>IF(A62&lt;&gt;"",SUMIFS(node!$H$2:$H$500, node!$C$2:$C$500,"="&amp;A62, node!$C$2:$C$500,"&lt;&gt;"&amp;"")/(C62*D62),"")</f>
        <v/>
      </c>
      <c r="G62" s="93" t="str">
        <f>IF(A62&lt;&gt;"",SUMIFS(deployment!$F$4:$F$502, deployment!$D$4:$D$502,"="&amp;A62, deployment!$D$4:$D$502,"&lt;&gt;"&amp;""),"")</f>
        <v/>
      </c>
      <c r="H62" s="94" t="str">
        <f>IF(A62&lt;&gt;"",SUMIFS(deployment!$G$4:$G$502, deployment!$D$4:$D$502,"="&amp;A62, deployment!$D$4:$D$502,"&lt;&gt;"&amp;""),"")</f>
        <v/>
      </c>
      <c r="I62" s="95" t="str">
        <f>IF(A62&lt;&gt;"",SUMIFS(deployment!$H$4:$H$502, deployment!$D$4:$D$502,"="&amp;A62, deployment!$D$4:$D$502,"&lt;&gt;"&amp;""),"")</f>
        <v/>
      </c>
      <c r="J62" s="96" t="str">
        <f>IF(A62&lt;&gt;"",SUMIFS(deployment!$I$4:$I$502, deployment!$D$4:$D$502,"="&amp;A62, deployment!$D$4:$D$502,"&lt;&gt;"&amp;""),"")</f>
        <v/>
      </c>
      <c r="K62" s="112" t="str">
        <f>IF(A62&lt;&gt;"",SUMIFS(deployment!$J$4:$J$502, deployment!$D$4:$D$502,"="&amp;A62, deployment!$D$4:$D$502,"&lt;&gt;"&amp;""),"")</f>
        <v/>
      </c>
      <c r="L62" s="112" t="str">
        <f>IF(A62&lt;&gt;"",SUMIFS(deployment!$K$4:$K$502, deployment!$D$4:$D$502,"="&amp;A62, deployment!$D$4:$D$502,"&lt;&gt;"&amp;""),"")</f>
        <v/>
      </c>
      <c r="M62" s="97" t="str">
        <f>IF(A62&lt;&gt;"",SUMIFS(deployment!$L$4:$L$502, deployment!$D$4:$D$502,"="&amp;A62, deployment!$D$4:$D$502,"&lt;&gt;"&amp;""),"")</f>
        <v/>
      </c>
      <c r="N62" s="97" t="str">
        <f>IF(A62&lt;&gt;"",SUMIFS(deployment!$M$4:$M$502, deployment!$D$4:$D$502,"="&amp;A62, deployment!$D$4:$D$502,"&lt;&gt;"&amp;""),"")</f>
        <v/>
      </c>
      <c r="O62" s="127" t="str">
        <f t="shared" si="11"/>
        <v/>
      </c>
      <c r="P62" s="104"/>
      <c r="Q62" s="99" t="str">
        <f t="shared" si="0"/>
        <v/>
      </c>
      <c r="R62" s="100" t="str">
        <f t="shared" si="1"/>
        <v/>
      </c>
      <c r="S62" s="100" t="str">
        <f t="shared" si="2"/>
        <v/>
      </c>
      <c r="T62" s="101" t="str">
        <f t="shared" si="3"/>
        <v/>
      </c>
      <c r="U62" s="101" t="str">
        <f t="shared" si="4"/>
        <v/>
      </c>
      <c r="V62" s="128" t="str">
        <f t="shared" si="5"/>
        <v/>
      </c>
      <c r="W62" s="128" t="str">
        <f t="shared" si="6"/>
        <v/>
      </c>
      <c r="X62" s="101" t="str">
        <f t="shared" si="7"/>
        <v/>
      </c>
      <c r="Y62" s="101" t="str">
        <f t="shared" si="8"/>
        <v/>
      </c>
      <c r="Z62" s="102" t="str">
        <f t="shared" si="9"/>
        <v/>
      </c>
      <c r="AA62" s="103" t="str">
        <f t="shared" si="10"/>
        <v/>
      </c>
      <c r="AB62" s="142" t="str">
        <f>IF(A62&lt;&gt;"", SUMIFS(node!$J$2:$J$500, node!$C$2:$C$500,"="&amp;A62)/P62, "")</f>
        <v/>
      </c>
      <c r="AC62" s="134" t="str">
        <f>IF(A62&lt;&gt;"", SUMIFS(node!$K$2:$K$500, node!$C$2:$C$500,"="&amp;A62)/P62, "")</f>
        <v/>
      </c>
      <c r="AD62" s="135" t="str">
        <f>IF(A62&lt;&gt;"", SUMIFS(node!$L$2:$L$500, node!$C$2:$C$500,"="&amp;A62), "")</f>
        <v/>
      </c>
      <c r="AE62" s="145" t="str">
        <f>IF(A62&lt;&gt;"", SUMIFS(node!$M$2:$M$500, node!$C$2:$C$500,"="&amp;A62), "")</f>
        <v/>
      </c>
    </row>
    <row r="63" spans="1:31" ht="15.75" customHeight="1" x14ac:dyDescent="0.25">
      <c r="A63" s="119" t="str">
        <f>IF(ISNONTEXT(node_raw[[#This Row],[Column2]]), "", node_raw[[#This Row],[Column2]])</f>
        <v/>
      </c>
      <c r="B63" s="116" t="str">
        <f>IF(A63&lt;&gt;"", VLOOKUP(A63, node!$C$2:$D$500, 2, FALSE), "")</f>
        <v/>
      </c>
      <c r="C63" s="117" t="str">
        <f>IF(A63&lt;&gt;"", VLOOKUP(A63, node!$C$2:$E$500, 3, FALSE), "")</f>
        <v/>
      </c>
      <c r="D63" s="118" t="str">
        <f>IF(A63&lt;&gt;"",COUNTIFS(node!$C$2:$C$500,"="&amp;A63, node!$C$2:$C$500,"&lt;&gt;"&amp;""),"")</f>
        <v/>
      </c>
      <c r="E63" s="122" t="str">
        <f>IF(A63&lt;&gt;"",SUMIFS(node!$F$2:$F$500, node!$C$2:$C$500,"="&amp;A63, node!$C$2:$C$500,"&lt;&gt;"&amp;"")/(B63*D63),"")</f>
        <v/>
      </c>
      <c r="F63" s="124" t="str">
        <f>IF(A63&lt;&gt;"",SUMIFS(node!$H$2:$H$500, node!$C$2:$C$500,"="&amp;A63, node!$C$2:$C$500,"&lt;&gt;"&amp;"")/(C63*D63),"")</f>
        <v/>
      </c>
      <c r="G63" s="93" t="str">
        <f>IF(A63&lt;&gt;"",SUMIFS(deployment!$F$4:$F$502, deployment!$D$4:$D$502,"="&amp;A63, deployment!$D$4:$D$502,"&lt;&gt;"&amp;""),"")</f>
        <v/>
      </c>
      <c r="H63" s="94" t="str">
        <f>IF(A63&lt;&gt;"",SUMIFS(deployment!$G$4:$G$502, deployment!$D$4:$D$502,"="&amp;A63, deployment!$D$4:$D$502,"&lt;&gt;"&amp;""),"")</f>
        <v/>
      </c>
      <c r="I63" s="95" t="str">
        <f>IF(A63&lt;&gt;"",SUMIFS(deployment!$H$4:$H$502, deployment!$D$4:$D$502,"="&amp;A63, deployment!$D$4:$D$502,"&lt;&gt;"&amp;""),"")</f>
        <v/>
      </c>
      <c r="J63" s="96" t="str">
        <f>IF(A63&lt;&gt;"",SUMIFS(deployment!$I$4:$I$502, deployment!$D$4:$D$502,"="&amp;A63, deployment!$D$4:$D$502,"&lt;&gt;"&amp;""),"")</f>
        <v/>
      </c>
      <c r="K63" s="112" t="str">
        <f>IF(A63&lt;&gt;"",SUMIFS(deployment!$J$4:$J$502, deployment!$D$4:$D$502,"="&amp;A63, deployment!$D$4:$D$502,"&lt;&gt;"&amp;""),"")</f>
        <v/>
      </c>
      <c r="L63" s="112" t="str">
        <f>IF(A63&lt;&gt;"",SUMIFS(deployment!$K$4:$K$502, deployment!$D$4:$D$502,"="&amp;A63, deployment!$D$4:$D$502,"&lt;&gt;"&amp;""),"")</f>
        <v/>
      </c>
      <c r="M63" s="97" t="str">
        <f>IF(A63&lt;&gt;"",SUMIFS(deployment!$L$4:$L$502, deployment!$D$4:$D$502,"="&amp;A63, deployment!$D$4:$D$502,"&lt;&gt;"&amp;""),"")</f>
        <v/>
      </c>
      <c r="N63" s="97" t="str">
        <f>IF(A63&lt;&gt;"",SUMIFS(deployment!$M$4:$M$502, deployment!$D$4:$D$502,"="&amp;A63, deployment!$D$4:$D$502,"&lt;&gt;"&amp;""),"")</f>
        <v/>
      </c>
      <c r="O63" s="127" t="str">
        <f t="shared" si="11"/>
        <v/>
      </c>
      <c r="P63" s="104"/>
      <c r="Q63" s="99" t="str">
        <f t="shared" si="0"/>
        <v/>
      </c>
      <c r="R63" s="100" t="str">
        <f t="shared" si="1"/>
        <v/>
      </c>
      <c r="S63" s="100" t="str">
        <f t="shared" si="2"/>
        <v/>
      </c>
      <c r="T63" s="101" t="str">
        <f t="shared" si="3"/>
        <v/>
      </c>
      <c r="U63" s="101" t="str">
        <f t="shared" si="4"/>
        <v/>
      </c>
      <c r="V63" s="128" t="str">
        <f t="shared" si="5"/>
        <v/>
      </c>
      <c r="W63" s="128" t="str">
        <f t="shared" si="6"/>
        <v/>
      </c>
      <c r="X63" s="101" t="str">
        <f t="shared" si="7"/>
        <v/>
      </c>
      <c r="Y63" s="101" t="str">
        <f t="shared" si="8"/>
        <v/>
      </c>
      <c r="Z63" s="102" t="str">
        <f t="shared" si="9"/>
        <v/>
      </c>
      <c r="AA63" s="103" t="str">
        <f t="shared" si="10"/>
        <v/>
      </c>
      <c r="AB63" s="142" t="str">
        <f>IF(A63&lt;&gt;"", SUMIFS(node!$J$2:$J$500, node!$C$2:$C$500,"="&amp;A63)/P63, "")</f>
        <v/>
      </c>
      <c r="AC63" s="134" t="str">
        <f>IF(A63&lt;&gt;"", SUMIFS(node!$K$2:$K$500, node!$C$2:$C$500,"="&amp;A63)/P63, "")</f>
        <v/>
      </c>
      <c r="AD63" s="135" t="str">
        <f>IF(A63&lt;&gt;"", SUMIFS(node!$L$2:$L$500, node!$C$2:$C$500,"="&amp;A63), "")</f>
        <v/>
      </c>
      <c r="AE63" s="145" t="str">
        <f>IF(A63&lt;&gt;"", SUMIFS(node!$M$2:$M$500, node!$C$2:$C$500,"="&amp;A63), "")</f>
        <v/>
      </c>
    </row>
    <row r="64" spans="1:31" ht="15.75" customHeight="1" x14ac:dyDescent="0.25">
      <c r="A64" s="119" t="str">
        <f>IF(ISNONTEXT(node_raw[[#This Row],[Column2]]), "", node_raw[[#This Row],[Column2]])</f>
        <v/>
      </c>
      <c r="B64" s="116" t="str">
        <f>IF(A64&lt;&gt;"", VLOOKUP(A64, node!$C$2:$D$500, 2, FALSE), "")</f>
        <v/>
      </c>
      <c r="C64" s="117" t="str">
        <f>IF(A64&lt;&gt;"", VLOOKUP(A64, node!$C$2:$E$500, 3, FALSE), "")</f>
        <v/>
      </c>
      <c r="D64" s="118" t="str">
        <f>IF(A64&lt;&gt;"",COUNTIFS(node!$C$2:$C$500,"="&amp;A64, node!$C$2:$C$500,"&lt;&gt;"&amp;""),"")</f>
        <v/>
      </c>
      <c r="E64" s="122" t="str">
        <f>IF(A64&lt;&gt;"",SUMIFS(node!$F$2:$F$500, node!$C$2:$C$500,"="&amp;A64, node!$C$2:$C$500,"&lt;&gt;"&amp;"")/(B64*D64),"")</f>
        <v/>
      </c>
      <c r="F64" s="124" t="str">
        <f>IF(A64&lt;&gt;"",SUMIFS(node!$H$2:$H$500, node!$C$2:$C$500,"="&amp;A64, node!$C$2:$C$500,"&lt;&gt;"&amp;"")/(C64*D64),"")</f>
        <v/>
      </c>
      <c r="G64" s="93" t="str">
        <f>IF(A64&lt;&gt;"",SUMIFS(deployment!$F$4:$F$502, deployment!$D$4:$D$502,"="&amp;A64, deployment!$D$4:$D$502,"&lt;&gt;"&amp;""),"")</f>
        <v/>
      </c>
      <c r="H64" s="94" t="str">
        <f>IF(A64&lt;&gt;"",SUMIFS(deployment!$G$4:$G$502, deployment!$D$4:$D$502,"="&amp;A64, deployment!$D$4:$D$502,"&lt;&gt;"&amp;""),"")</f>
        <v/>
      </c>
      <c r="I64" s="95" t="str">
        <f>IF(A64&lt;&gt;"",SUMIFS(deployment!$H$4:$H$502, deployment!$D$4:$D$502,"="&amp;A64, deployment!$D$4:$D$502,"&lt;&gt;"&amp;""),"")</f>
        <v/>
      </c>
      <c r="J64" s="96" t="str">
        <f>IF(A64&lt;&gt;"",SUMIFS(deployment!$I$4:$I$502, deployment!$D$4:$D$502,"="&amp;A64, deployment!$D$4:$D$502,"&lt;&gt;"&amp;""),"")</f>
        <v/>
      </c>
      <c r="K64" s="112" t="str">
        <f>IF(A64&lt;&gt;"",SUMIFS(deployment!$J$4:$J$502, deployment!$D$4:$D$502,"="&amp;A64, deployment!$D$4:$D$502,"&lt;&gt;"&amp;""),"")</f>
        <v/>
      </c>
      <c r="L64" s="112" t="str">
        <f>IF(A64&lt;&gt;"",SUMIFS(deployment!$K$4:$K$502, deployment!$D$4:$D$502,"="&amp;A64, deployment!$D$4:$D$502,"&lt;&gt;"&amp;""),"")</f>
        <v/>
      </c>
      <c r="M64" s="97" t="str">
        <f>IF(A64&lt;&gt;"",SUMIFS(deployment!$L$4:$L$502, deployment!$D$4:$D$502,"="&amp;A64, deployment!$D$4:$D$502,"&lt;&gt;"&amp;""),"")</f>
        <v/>
      </c>
      <c r="N64" s="97" t="str">
        <f>IF(A64&lt;&gt;"",SUMIFS(deployment!$M$4:$M$502, deployment!$D$4:$D$502,"="&amp;A64, deployment!$D$4:$D$502,"&lt;&gt;"&amp;""),"")</f>
        <v/>
      </c>
      <c r="O64" s="127" t="str">
        <f t="shared" si="11"/>
        <v/>
      </c>
      <c r="P64" s="104"/>
      <c r="Q64" s="99" t="str">
        <f t="shared" si="0"/>
        <v/>
      </c>
      <c r="R64" s="100" t="str">
        <f t="shared" si="1"/>
        <v/>
      </c>
      <c r="S64" s="100" t="str">
        <f t="shared" si="2"/>
        <v/>
      </c>
      <c r="T64" s="101" t="str">
        <f t="shared" si="3"/>
        <v/>
      </c>
      <c r="U64" s="101" t="str">
        <f t="shared" si="4"/>
        <v/>
      </c>
      <c r="V64" s="128" t="str">
        <f t="shared" si="5"/>
        <v/>
      </c>
      <c r="W64" s="128" t="str">
        <f t="shared" si="6"/>
        <v/>
      </c>
      <c r="X64" s="101" t="str">
        <f t="shared" si="7"/>
        <v/>
      </c>
      <c r="Y64" s="101" t="str">
        <f t="shared" si="8"/>
        <v/>
      </c>
      <c r="Z64" s="102" t="str">
        <f t="shared" si="9"/>
        <v/>
      </c>
      <c r="AA64" s="103" t="str">
        <f t="shared" si="10"/>
        <v/>
      </c>
      <c r="AB64" s="142" t="str">
        <f>IF(A64&lt;&gt;"", SUMIFS(node!$J$2:$J$500, node!$C$2:$C$500,"="&amp;A64)/P64, "")</f>
        <v/>
      </c>
      <c r="AC64" s="134" t="str">
        <f>IF(A64&lt;&gt;"", SUMIFS(node!$K$2:$K$500, node!$C$2:$C$500,"="&amp;A64)/P64, "")</f>
        <v/>
      </c>
      <c r="AD64" s="135" t="str">
        <f>IF(A64&lt;&gt;"", SUMIFS(node!$L$2:$L$500, node!$C$2:$C$500,"="&amp;A64), "")</f>
        <v/>
      </c>
      <c r="AE64" s="145" t="str">
        <f>IF(A64&lt;&gt;"", SUMIFS(node!$M$2:$M$500, node!$C$2:$C$500,"="&amp;A64), "")</f>
        <v/>
      </c>
    </row>
    <row r="65" spans="1:31" ht="15.75" customHeight="1" x14ac:dyDescent="0.25">
      <c r="A65" s="119" t="str">
        <f>IF(ISNONTEXT(node_raw[[#This Row],[Column2]]), "", node_raw[[#This Row],[Column2]])</f>
        <v/>
      </c>
      <c r="B65" s="116" t="str">
        <f>IF(A65&lt;&gt;"", VLOOKUP(A65, node!$C$2:$D$500, 2, FALSE), "")</f>
        <v/>
      </c>
      <c r="C65" s="117" t="str">
        <f>IF(A65&lt;&gt;"", VLOOKUP(A65, node!$C$2:$E$500, 3, FALSE), "")</f>
        <v/>
      </c>
      <c r="D65" s="118" t="str">
        <f>IF(A65&lt;&gt;"",COUNTIFS(node!$C$2:$C$500,"="&amp;A65, node!$C$2:$C$500,"&lt;&gt;"&amp;""),"")</f>
        <v/>
      </c>
      <c r="E65" s="122" t="str">
        <f>IF(A65&lt;&gt;"",SUMIFS(node!$F$2:$F$500, node!$C$2:$C$500,"="&amp;A65, node!$C$2:$C$500,"&lt;&gt;"&amp;"")/(B65*D65),"")</f>
        <v/>
      </c>
      <c r="F65" s="124" t="str">
        <f>IF(A65&lt;&gt;"",SUMIFS(node!$H$2:$H$500, node!$C$2:$C$500,"="&amp;A65, node!$C$2:$C$500,"&lt;&gt;"&amp;"")/(C65*D65),"")</f>
        <v/>
      </c>
      <c r="G65" s="93" t="str">
        <f>IF(A65&lt;&gt;"",SUMIFS(deployment!$F$4:$F$502, deployment!$D$4:$D$502,"="&amp;A65, deployment!$D$4:$D$502,"&lt;&gt;"&amp;""),"")</f>
        <v/>
      </c>
      <c r="H65" s="94" t="str">
        <f>IF(A65&lt;&gt;"",SUMIFS(deployment!$G$4:$G$502, deployment!$D$4:$D$502,"="&amp;A65, deployment!$D$4:$D$502,"&lt;&gt;"&amp;""),"")</f>
        <v/>
      </c>
      <c r="I65" s="95" t="str">
        <f>IF(A65&lt;&gt;"",SUMIFS(deployment!$H$4:$H$502, deployment!$D$4:$D$502,"="&amp;A65, deployment!$D$4:$D$502,"&lt;&gt;"&amp;""),"")</f>
        <v/>
      </c>
      <c r="J65" s="96" t="str">
        <f>IF(A65&lt;&gt;"",SUMIFS(deployment!$I$4:$I$502, deployment!$D$4:$D$502,"="&amp;A65, deployment!$D$4:$D$502,"&lt;&gt;"&amp;""),"")</f>
        <v/>
      </c>
      <c r="K65" s="112" t="str">
        <f>IF(A65&lt;&gt;"",SUMIFS(deployment!$J$4:$J$502, deployment!$D$4:$D$502,"="&amp;A65, deployment!$D$4:$D$502,"&lt;&gt;"&amp;""),"")</f>
        <v/>
      </c>
      <c r="L65" s="112" t="str">
        <f>IF(A65&lt;&gt;"",SUMIFS(deployment!$K$4:$K$502, deployment!$D$4:$D$502,"="&amp;A65, deployment!$D$4:$D$502,"&lt;&gt;"&amp;""),"")</f>
        <v/>
      </c>
      <c r="M65" s="97" t="str">
        <f>IF(A65&lt;&gt;"",SUMIFS(deployment!$L$4:$L$502, deployment!$D$4:$D$502,"="&amp;A65, deployment!$D$4:$D$502,"&lt;&gt;"&amp;""),"")</f>
        <v/>
      </c>
      <c r="N65" s="97" t="str">
        <f>IF(A65&lt;&gt;"",SUMIFS(deployment!$M$4:$M$502, deployment!$D$4:$D$502,"="&amp;A65, deployment!$D$4:$D$502,"&lt;&gt;"&amp;""),"")</f>
        <v/>
      </c>
      <c r="O65" s="127" t="str">
        <f t="shared" si="11"/>
        <v/>
      </c>
      <c r="P65" s="104"/>
      <c r="Q65" s="99" t="str">
        <f t="shared" si="0"/>
        <v/>
      </c>
      <c r="R65" s="100" t="str">
        <f t="shared" si="1"/>
        <v/>
      </c>
      <c r="S65" s="100" t="str">
        <f t="shared" si="2"/>
        <v/>
      </c>
      <c r="T65" s="101" t="str">
        <f t="shared" si="3"/>
        <v/>
      </c>
      <c r="U65" s="101" t="str">
        <f t="shared" si="4"/>
        <v/>
      </c>
      <c r="V65" s="128" t="str">
        <f t="shared" si="5"/>
        <v/>
      </c>
      <c r="W65" s="128" t="str">
        <f t="shared" si="6"/>
        <v/>
      </c>
      <c r="X65" s="101" t="str">
        <f t="shared" si="7"/>
        <v/>
      </c>
      <c r="Y65" s="101" t="str">
        <f t="shared" si="8"/>
        <v/>
      </c>
      <c r="Z65" s="102" t="str">
        <f t="shared" si="9"/>
        <v/>
      </c>
      <c r="AA65" s="103" t="str">
        <f t="shared" si="10"/>
        <v/>
      </c>
      <c r="AB65" s="142" t="str">
        <f>IF(A65&lt;&gt;"", SUMIFS(node!$J$2:$J$500, node!$C$2:$C$500,"="&amp;A65)/P65, "")</f>
        <v/>
      </c>
      <c r="AC65" s="134" t="str">
        <f>IF(A65&lt;&gt;"", SUMIFS(node!$K$2:$K$500, node!$C$2:$C$500,"="&amp;A65)/P65, "")</f>
        <v/>
      </c>
      <c r="AD65" s="135" t="str">
        <f>IF(A65&lt;&gt;"", SUMIFS(node!$L$2:$L$500, node!$C$2:$C$500,"="&amp;A65), "")</f>
        <v/>
      </c>
      <c r="AE65" s="145" t="str">
        <f>IF(A65&lt;&gt;"", SUMIFS(node!$M$2:$M$500, node!$C$2:$C$500,"="&amp;A65), "")</f>
        <v/>
      </c>
    </row>
    <row r="66" spans="1:31" ht="15.75" customHeight="1" x14ac:dyDescent="0.25">
      <c r="A66" s="119" t="str">
        <f>IF(ISNONTEXT(node_raw[[#This Row],[Column2]]), "", node_raw[[#This Row],[Column2]])</f>
        <v/>
      </c>
      <c r="B66" s="116" t="str">
        <f>IF(A66&lt;&gt;"", VLOOKUP(A66, node!$C$2:$D$500, 2, FALSE), "")</f>
        <v/>
      </c>
      <c r="C66" s="117" t="str">
        <f>IF(A66&lt;&gt;"", VLOOKUP(A66, node!$C$2:$E$500, 3, FALSE), "")</f>
        <v/>
      </c>
      <c r="D66" s="118" t="str">
        <f>IF(A66&lt;&gt;"",COUNTIFS(node!$C$2:$C$500,"="&amp;A66, node!$C$2:$C$500,"&lt;&gt;"&amp;""),"")</f>
        <v/>
      </c>
      <c r="E66" s="122" t="str">
        <f>IF(A66&lt;&gt;"",SUMIFS(node!$F$2:$F$500, node!$C$2:$C$500,"="&amp;A66, node!$C$2:$C$500,"&lt;&gt;"&amp;"")/(B66*D66),"")</f>
        <v/>
      </c>
      <c r="F66" s="124" t="str">
        <f>IF(A66&lt;&gt;"",SUMIFS(node!$H$2:$H$500, node!$C$2:$C$500,"="&amp;A66, node!$C$2:$C$500,"&lt;&gt;"&amp;"")/(C66*D66),"")</f>
        <v/>
      </c>
      <c r="G66" s="93" t="str">
        <f>IF(A66&lt;&gt;"",SUMIFS(deployment!$F$4:$F$502, deployment!$D$4:$D$502,"="&amp;A66, deployment!$D$4:$D$502,"&lt;&gt;"&amp;""),"")</f>
        <v/>
      </c>
      <c r="H66" s="94" t="str">
        <f>IF(A66&lt;&gt;"",SUMIFS(deployment!$G$4:$G$502, deployment!$D$4:$D$502,"="&amp;A66, deployment!$D$4:$D$502,"&lt;&gt;"&amp;""),"")</f>
        <v/>
      </c>
      <c r="I66" s="95" t="str">
        <f>IF(A66&lt;&gt;"",SUMIFS(deployment!$H$4:$H$502, deployment!$D$4:$D$502,"="&amp;A66, deployment!$D$4:$D$502,"&lt;&gt;"&amp;""),"")</f>
        <v/>
      </c>
      <c r="J66" s="96" t="str">
        <f>IF(A66&lt;&gt;"",SUMIFS(deployment!$I$4:$I$502, deployment!$D$4:$D$502,"="&amp;A66, deployment!$D$4:$D$502,"&lt;&gt;"&amp;""),"")</f>
        <v/>
      </c>
      <c r="K66" s="112" t="str">
        <f>IF(A66&lt;&gt;"",SUMIFS(deployment!$J$4:$J$502, deployment!$D$4:$D$502,"="&amp;A66, deployment!$D$4:$D$502,"&lt;&gt;"&amp;""),"")</f>
        <v/>
      </c>
      <c r="L66" s="112" t="str">
        <f>IF(A66&lt;&gt;"",SUMIFS(deployment!$K$4:$K$502, deployment!$D$4:$D$502,"="&amp;A66, deployment!$D$4:$D$502,"&lt;&gt;"&amp;""),"")</f>
        <v/>
      </c>
      <c r="M66" s="97" t="str">
        <f>IF(A66&lt;&gt;"",SUMIFS(deployment!$L$4:$L$502, deployment!$D$4:$D$502,"="&amp;A66, deployment!$D$4:$D$502,"&lt;&gt;"&amp;""),"")</f>
        <v/>
      </c>
      <c r="N66" s="97" t="str">
        <f>IF(A66&lt;&gt;"",SUMIFS(deployment!$M$4:$M$502, deployment!$D$4:$D$502,"="&amp;A66, deployment!$D$4:$D$502,"&lt;&gt;"&amp;""),"")</f>
        <v/>
      </c>
      <c r="O66" s="127" t="str">
        <f t="shared" si="11"/>
        <v/>
      </c>
      <c r="P66" s="104"/>
      <c r="Q66" s="99" t="str">
        <f t="shared" si="0"/>
        <v/>
      </c>
      <c r="R66" s="100" t="str">
        <f t="shared" si="1"/>
        <v/>
      </c>
      <c r="S66" s="100" t="str">
        <f t="shared" si="2"/>
        <v/>
      </c>
      <c r="T66" s="101" t="str">
        <f t="shared" si="3"/>
        <v/>
      </c>
      <c r="U66" s="101" t="str">
        <f t="shared" si="4"/>
        <v/>
      </c>
      <c r="V66" s="128" t="str">
        <f t="shared" si="5"/>
        <v/>
      </c>
      <c r="W66" s="128" t="str">
        <f t="shared" si="6"/>
        <v/>
      </c>
      <c r="X66" s="101" t="str">
        <f t="shared" si="7"/>
        <v/>
      </c>
      <c r="Y66" s="101" t="str">
        <f t="shared" si="8"/>
        <v/>
      </c>
      <c r="Z66" s="102" t="str">
        <f t="shared" si="9"/>
        <v/>
      </c>
      <c r="AA66" s="103" t="str">
        <f t="shared" si="10"/>
        <v/>
      </c>
      <c r="AB66" s="142" t="str">
        <f>IF(A66&lt;&gt;"", SUMIFS(node!$J$2:$J$500, node!$C$2:$C$500,"="&amp;A66)/P66, "")</f>
        <v/>
      </c>
      <c r="AC66" s="134" t="str">
        <f>IF(A66&lt;&gt;"", SUMIFS(node!$K$2:$K$500, node!$C$2:$C$500,"="&amp;A66)/P66, "")</f>
        <v/>
      </c>
      <c r="AD66" s="135" t="str">
        <f>IF(A66&lt;&gt;"", SUMIFS(node!$L$2:$L$500, node!$C$2:$C$500,"="&amp;A66), "")</f>
        <v/>
      </c>
      <c r="AE66" s="145" t="str">
        <f>IF(A66&lt;&gt;"", SUMIFS(node!$M$2:$M$500, node!$C$2:$C$500,"="&amp;A66), "")</f>
        <v/>
      </c>
    </row>
    <row r="67" spans="1:31" ht="15.75" customHeight="1" x14ac:dyDescent="0.25">
      <c r="A67" s="119" t="str">
        <f>IF(ISNONTEXT(node_raw[[#This Row],[Column2]]), "", node_raw[[#This Row],[Column2]])</f>
        <v/>
      </c>
      <c r="B67" s="116" t="str">
        <f>IF(A67&lt;&gt;"", VLOOKUP(A67, node!$C$2:$D$500, 2, FALSE), "")</f>
        <v/>
      </c>
      <c r="C67" s="117" t="str">
        <f>IF(A67&lt;&gt;"", VLOOKUP(A67, node!$C$2:$E$500, 3, FALSE), "")</f>
        <v/>
      </c>
      <c r="D67" s="118" t="str">
        <f>IF(A67&lt;&gt;"",COUNTIFS(node!$C$2:$C$500,"="&amp;A67, node!$C$2:$C$500,"&lt;&gt;"&amp;""),"")</f>
        <v/>
      </c>
      <c r="E67" s="122" t="str">
        <f>IF(A67&lt;&gt;"",SUMIFS(node!$F$2:$F$500, node!$C$2:$C$500,"="&amp;A67, node!$C$2:$C$500,"&lt;&gt;"&amp;"")/(B67*D67),"")</f>
        <v/>
      </c>
      <c r="F67" s="124" t="str">
        <f>IF(A67&lt;&gt;"",SUMIFS(node!$H$2:$H$500, node!$C$2:$C$500,"="&amp;A67, node!$C$2:$C$500,"&lt;&gt;"&amp;"")/(C67*D67),"")</f>
        <v/>
      </c>
      <c r="G67" s="93" t="str">
        <f>IF(A67&lt;&gt;"",SUMIFS(deployment!$F$4:$F$502, deployment!$D$4:$D$502,"="&amp;A67, deployment!$D$4:$D$502,"&lt;&gt;"&amp;""),"")</f>
        <v/>
      </c>
      <c r="H67" s="94" t="str">
        <f>IF(A67&lt;&gt;"",SUMIFS(deployment!$G$4:$G$502, deployment!$D$4:$D$502,"="&amp;A67, deployment!$D$4:$D$502,"&lt;&gt;"&amp;""),"")</f>
        <v/>
      </c>
      <c r="I67" s="95" t="str">
        <f>IF(A67&lt;&gt;"",SUMIFS(deployment!$H$4:$H$502, deployment!$D$4:$D$502,"="&amp;A67, deployment!$D$4:$D$502,"&lt;&gt;"&amp;""),"")</f>
        <v/>
      </c>
      <c r="J67" s="96" t="str">
        <f>IF(A67&lt;&gt;"",SUMIFS(deployment!$I$4:$I$502, deployment!$D$4:$D$502,"="&amp;A67, deployment!$D$4:$D$502,"&lt;&gt;"&amp;""),"")</f>
        <v/>
      </c>
      <c r="K67" s="112" t="str">
        <f>IF(A67&lt;&gt;"",SUMIFS(deployment!$J$4:$J$502, deployment!$D$4:$D$502,"="&amp;A67, deployment!$D$4:$D$502,"&lt;&gt;"&amp;""),"")</f>
        <v/>
      </c>
      <c r="L67" s="112" t="str">
        <f>IF(A67&lt;&gt;"",SUMIFS(deployment!$K$4:$K$502, deployment!$D$4:$D$502,"="&amp;A67, deployment!$D$4:$D$502,"&lt;&gt;"&amp;""),"")</f>
        <v/>
      </c>
      <c r="M67" s="97" t="str">
        <f>IF(A67&lt;&gt;"",SUMIFS(deployment!$L$4:$L$502, deployment!$D$4:$D$502,"="&amp;A67, deployment!$D$4:$D$502,"&lt;&gt;"&amp;""),"")</f>
        <v/>
      </c>
      <c r="N67" s="97" t="str">
        <f>IF(A67&lt;&gt;"",SUMIFS(deployment!$M$4:$M$502, deployment!$D$4:$D$502,"="&amp;A67, deployment!$D$4:$D$502,"&lt;&gt;"&amp;""),"")</f>
        <v/>
      </c>
      <c r="O67" s="127" t="str">
        <f t="shared" si="11"/>
        <v/>
      </c>
      <c r="P67" s="104"/>
      <c r="Q67" s="99" t="str">
        <f t="shared" si="0"/>
        <v/>
      </c>
      <c r="R67" s="100" t="str">
        <f t="shared" si="1"/>
        <v/>
      </c>
      <c r="S67" s="100" t="str">
        <f t="shared" si="2"/>
        <v/>
      </c>
      <c r="T67" s="101" t="str">
        <f t="shared" si="3"/>
        <v/>
      </c>
      <c r="U67" s="101" t="str">
        <f t="shared" si="4"/>
        <v/>
      </c>
      <c r="V67" s="128" t="str">
        <f t="shared" si="5"/>
        <v/>
      </c>
      <c r="W67" s="128" t="str">
        <f t="shared" si="6"/>
        <v/>
      </c>
      <c r="X67" s="101" t="str">
        <f t="shared" si="7"/>
        <v/>
      </c>
      <c r="Y67" s="101" t="str">
        <f t="shared" si="8"/>
        <v/>
      </c>
      <c r="Z67" s="102" t="str">
        <f t="shared" si="9"/>
        <v/>
      </c>
      <c r="AA67" s="103" t="str">
        <f t="shared" si="10"/>
        <v/>
      </c>
      <c r="AB67" s="142" t="str">
        <f>IF(A67&lt;&gt;"", SUMIFS(node!$J$2:$J$500, node!$C$2:$C$500,"="&amp;A67)/P67, "")</f>
        <v/>
      </c>
      <c r="AC67" s="134" t="str">
        <f>IF(A67&lt;&gt;"", SUMIFS(node!$K$2:$K$500, node!$C$2:$C$500,"="&amp;A67)/P67, "")</f>
        <v/>
      </c>
      <c r="AD67" s="135" t="str">
        <f>IF(A67&lt;&gt;"", SUMIFS(node!$L$2:$L$500, node!$C$2:$C$500,"="&amp;A67), "")</f>
        <v/>
      </c>
      <c r="AE67" s="145" t="str">
        <f>IF(A67&lt;&gt;"", SUMIFS(node!$M$2:$M$500, node!$C$2:$C$500,"="&amp;A67), "")</f>
        <v/>
      </c>
    </row>
    <row r="68" spans="1:31" ht="15.75" customHeight="1" x14ac:dyDescent="0.25">
      <c r="A68" s="119" t="str">
        <f>IF(ISNONTEXT(node_raw[[#This Row],[Column2]]), "", node_raw[[#This Row],[Column2]])</f>
        <v/>
      </c>
      <c r="B68" s="116" t="str">
        <f>IF(A68&lt;&gt;"", VLOOKUP(A68, node!$C$2:$D$500, 2, FALSE), "")</f>
        <v/>
      </c>
      <c r="C68" s="117" t="str">
        <f>IF(A68&lt;&gt;"", VLOOKUP(A68, node!$C$2:$E$500, 3, FALSE), "")</f>
        <v/>
      </c>
      <c r="D68" s="118" t="str">
        <f>IF(A68&lt;&gt;"",COUNTIFS(node!$C$2:$C$500,"="&amp;A68, node!$C$2:$C$500,"&lt;&gt;"&amp;""),"")</f>
        <v/>
      </c>
      <c r="E68" s="122" t="str">
        <f>IF(A68&lt;&gt;"",SUMIFS(node!$F$2:$F$500, node!$C$2:$C$500,"="&amp;A68, node!$C$2:$C$500,"&lt;&gt;"&amp;"")/(B68*D68),"")</f>
        <v/>
      </c>
      <c r="F68" s="124" t="str">
        <f>IF(A68&lt;&gt;"",SUMIFS(node!$H$2:$H$500, node!$C$2:$C$500,"="&amp;A68, node!$C$2:$C$500,"&lt;&gt;"&amp;"")/(C68*D68),"")</f>
        <v/>
      </c>
      <c r="G68" s="93" t="str">
        <f>IF(A68&lt;&gt;"",SUMIFS(deployment!$F$4:$F$502, deployment!$D$4:$D$502,"="&amp;A68, deployment!$D$4:$D$502,"&lt;&gt;"&amp;""),"")</f>
        <v/>
      </c>
      <c r="H68" s="94" t="str">
        <f>IF(A68&lt;&gt;"",SUMIFS(deployment!$G$4:$G$502, deployment!$D$4:$D$502,"="&amp;A68, deployment!$D$4:$D$502,"&lt;&gt;"&amp;""),"")</f>
        <v/>
      </c>
      <c r="I68" s="95" t="str">
        <f>IF(A68&lt;&gt;"",SUMIFS(deployment!$H$4:$H$502, deployment!$D$4:$D$502,"="&amp;A68, deployment!$D$4:$D$502,"&lt;&gt;"&amp;""),"")</f>
        <v/>
      </c>
      <c r="J68" s="96" t="str">
        <f>IF(A68&lt;&gt;"",SUMIFS(deployment!$I$4:$I$502, deployment!$D$4:$D$502,"="&amp;A68, deployment!$D$4:$D$502,"&lt;&gt;"&amp;""),"")</f>
        <v/>
      </c>
      <c r="K68" s="112" t="str">
        <f>IF(A68&lt;&gt;"",SUMIFS(deployment!$J$4:$J$502, deployment!$D$4:$D$502,"="&amp;A68, deployment!$D$4:$D$502,"&lt;&gt;"&amp;""),"")</f>
        <v/>
      </c>
      <c r="L68" s="112" t="str">
        <f>IF(A68&lt;&gt;"",SUMIFS(deployment!$K$4:$K$502, deployment!$D$4:$D$502,"="&amp;A68, deployment!$D$4:$D$502,"&lt;&gt;"&amp;""),"")</f>
        <v/>
      </c>
      <c r="M68" s="97" t="str">
        <f>IF(A68&lt;&gt;"",SUMIFS(deployment!$L$4:$L$502, deployment!$D$4:$D$502,"="&amp;A68, deployment!$D$4:$D$502,"&lt;&gt;"&amp;""),"")</f>
        <v/>
      </c>
      <c r="N68" s="97" t="str">
        <f>IF(A68&lt;&gt;"",SUMIFS(deployment!$M$4:$M$502, deployment!$D$4:$D$502,"="&amp;A68, deployment!$D$4:$D$502,"&lt;&gt;"&amp;""),"")</f>
        <v/>
      </c>
      <c r="O68" s="127" t="str">
        <f t="shared" si="11"/>
        <v/>
      </c>
      <c r="P68" s="104"/>
      <c r="Q68" s="99" t="str">
        <f t="shared" ref="Q68:Q131" si="12">IF(A68&lt;&gt;"",(D68-P68)/D68,"")</f>
        <v/>
      </c>
      <c r="R68" s="100" t="str">
        <f t="shared" ref="R68:R131" si="13">IF(A68&lt;&gt;"",G68/(P68*B68),"")</f>
        <v/>
      </c>
      <c r="S68" s="100" t="str">
        <f t="shared" ref="S68:S131" si="14">IF(A68&lt;&gt;"",H68/(P68*C68),"")</f>
        <v/>
      </c>
      <c r="T68" s="101" t="str">
        <f t="shared" ref="T68:T131" si="15">IF(A68&lt;&gt;"",I68/(P68*B68),"")</f>
        <v/>
      </c>
      <c r="U68" s="101" t="str">
        <f t="shared" ref="U68:U131" si="16">IF(A68&lt;&gt;"",J68/(P68*C68),"")</f>
        <v/>
      </c>
      <c r="V68" s="128" t="str">
        <f t="shared" ref="V68:V131" si="17">IF(A68&lt;&gt;"",K68/(P68*B68),"")</f>
        <v/>
      </c>
      <c r="W68" s="128" t="str">
        <f t="shared" ref="W68:W131" si="18">IF(A68&lt;&gt;"",L68/(P68*C68),"")</f>
        <v/>
      </c>
      <c r="X68" s="101" t="str">
        <f t="shared" ref="X68:X131" si="19">IF(A68&lt;&gt;"",M68/(P68*B68),"")</f>
        <v/>
      </c>
      <c r="Y68" s="101" t="str">
        <f t="shared" ref="Y68:Y131" si="20">IF(A68&lt;&gt;"",N68/(P68*C68),"")</f>
        <v/>
      </c>
      <c r="Z68" s="102" t="str">
        <f t="shared" ref="Z68:Z131" si="21">IF(A68&lt;&gt;"",(D68*E68)/P68,"")</f>
        <v/>
      </c>
      <c r="AA68" s="103" t="str">
        <f t="shared" ref="AA68:AA131" si="22">IF(A68&lt;&gt;"",(D68*F68)/P68,"")</f>
        <v/>
      </c>
      <c r="AB68" s="142" t="str">
        <f>IF(A68&lt;&gt;"", SUMIFS(node!$J$2:$J$500, node!$C$2:$C$500,"="&amp;A68)/P68, "")</f>
        <v/>
      </c>
      <c r="AC68" s="134" t="str">
        <f>IF(A68&lt;&gt;"", SUMIFS(node!$K$2:$K$500, node!$C$2:$C$500,"="&amp;A68)/P68, "")</f>
        <v/>
      </c>
      <c r="AD68" s="135" t="str">
        <f>IF(A68&lt;&gt;"", SUMIFS(node!$L$2:$L$500, node!$C$2:$C$500,"="&amp;A68), "")</f>
        <v/>
      </c>
      <c r="AE68" s="145" t="str">
        <f>IF(A68&lt;&gt;"", SUMIFS(node!$M$2:$M$500, node!$C$2:$C$500,"="&amp;A68), "")</f>
        <v/>
      </c>
    </row>
    <row r="69" spans="1:31" ht="15.75" customHeight="1" x14ac:dyDescent="0.25">
      <c r="A69" s="119" t="str">
        <f>IF(ISNONTEXT(node_raw[[#This Row],[Column2]]), "", node_raw[[#This Row],[Column2]])</f>
        <v/>
      </c>
      <c r="B69" s="116" t="str">
        <f>IF(A69&lt;&gt;"", VLOOKUP(A69, node!$C$2:$D$500, 2, FALSE), "")</f>
        <v/>
      </c>
      <c r="C69" s="117" t="str">
        <f>IF(A69&lt;&gt;"", VLOOKUP(A69, node!$C$2:$E$500, 3, FALSE), "")</f>
        <v/>
      </c>
      <c r="D69" s="118" t="str">
        <f>IF(A69&lt;&gt;"",COUNTIFS(node!$C$2:$C$500,"="&amp;A69, node!$C$2:$C$500,"&lt;&gt;"&amp;""),"")</f>
        <v/>
      </c>
      <c r="E69" s="122" t="str">
        <f>IF(A69&lt;&gt;"",SUMIFS(node!$F$2:$F$500, node!$C$2:$C$500,"="&amp;A69, node!$C$2:$C$500,"&lt;&gt;"&amp;"")/(B69*D69),"")</f>
        <v/>
      </c>
      <c r="F69" s="124" t="str">
        <f>IF(A69&lt;&gt;"",SUMIFS(node!$H$2:$H$500, node!$C$2:$C$500,"="&amp;A69, node!$C$2:$C$500,"&lt;&gt;"&amp;"")/(C69*D69),"")</f>
        <v/>
      </c>
      <c r="G69" s="93" t="str">
        <f>IF(A69&lt;&gt;"",SUMIFS(deployment!$F$4:$F$502, deployment!$D$4:$D$502,"="&amp;A69, deployment!$D$4:$D$502,"&lt;&gt;"&amp;""),"")</f>
        <v/>
      </c>
      <c r="H69" s="94" t="str">
        <f>IF(A69&lt;&gt;"",SUMIFS(deployment!$G$4:$G$502, deployment!$D$4:$D$502,"="&amp;A69, deployment!$D$4:$D$502,"&lt;&gt;"&amp;""),"")</f>
        <v/>
      </c>
      <c r="I69" s="95" t="str">
        <f>IF(A69&lt;&gt;"",SUMIFS(deployment!$H$4:$H$502, deployment!$D$4:$D$502,"="&amp;A69, deployment!$D$4:$D$502,"&lt;&gt;"&amp;""),"")</f>
        <v/>
      </c>
      <c r="J69" s="96" t="str">
        <f>IF(A69&lt;&gt;"",SUMIFS(deployment!$I$4:$I$502, deployment!$D$4:$D$502,"="&amp;A69, deployment!$D$4:$D$502,"&lt;&gt;"&amp;""),"")</f>
        <v/>
      </c>
      <c r="K69" s="112" t="str">
        <f>IF(A69&lt;&gt;"",SUMIFS(deployment!$J$4:$J$502, deployment!$D$4:$D$502,"="&amp;A69, deployment!$D$4:$D$502,"&lt;&gt;"&amp;""),"")</f>
        <v/>
      </c>
      <c r="L69" s="112" t="str">
        <f>IF(A69&lt;&gt;"",SUMIFS(deployment!$K$4:$K$502, deployment!$D$4:$D$502,"="&amp;A69, deployment!$D$4:$D$502,"&lt;&gt;"&amp;""),"")</f>
        <v/>
      </c>
      <c r="M69" s="97" t="str">
        <f>IF(A69&lt;&gt;"",SUMIFS(deployment!$L$4:$L$502, deployment!$D$4:$D$502,"="&amp;A69, deployment!$D$4:$D$502,"&lt;&gt;"&amp;""),"")</f>
        <v/>
      </c>
      <c r="N69" s="97" t="str">
        <f>IF(A69&lt;&gt;"",SUMIFS(deployment!$M$4:$M$502, deployment!$D$4:$D$502,"="&amp;A69, deployment!$D$4:$D$502,"&lt;&gt;"&amp;""),"")</f>
        <v/>
      </c>
      <c r="O69" s="127" t="str">
        <f t="shared" ref="O69:O132" si="23">IF(A69&lt;&gt;"",MAX(ROUNDUP(K69/(B69*$B$2), 0), ROUNDUP(L69/(C69*$C$2), 0), ROUNDUP(M69/(B69*$B$2), 0), ROUNDUP(N69/(C69*$C$2), 0), 1),"")</f>
        <v/>
      </c>
      <c r="P69" s="104"/>
      <c r="Q69" s="99" t="str">
        <f t="shared" si="12"/>
        <v/>
      </c>
      <c r="R69" s="100" t="str">
        <f t="shared" si="13"/>
        <v/>
      </c>
      <c r="S69" s="100" t="str">
        <f t="shared" si="14"/>
        <v/>
      </c>
      <c r="T69" s="101" t="str">
        <f t="shared" si="15"/>
        <v/>
      </c>
      <c r="U69" s="101" t="str">
        <f t="shared" si="16"/>
        <v/>
      </c>
      <c r="V69" s="128" t="str">
        <f t="shared" si="17"/>
        <v/>
      </c>
      <c r="W69" s="128" t="str">
        <f t="shared" si="18"/>
        <v/>
      </c>
      <c r="X69" s="101" t="str">
        <f t="shared" si="19"/>
        <v/>
      </c>
      <c r="Y69" s="101" t="str">
        <f t="shared" si="20"/>
        <v/>
      </c>
      <c r="Z69" s="102" t="str">
        <f t="shared" si="21"/>
        <v/>
      </c>
      <c r="AA69" s="103" t="str">
        <f t="shared" si="22"/>
        <v/>
      </c>
      <c r="AB69" s="142" t="str">
        <f>IF(A69&lt;&gt;"", SUMIFS(node!$J$2:$J$500, node!$C$2:$C$500,"="&amp;A69)/P69, "")</f>
        <v/>
      </c>
      <c r="AC69" s="134" t="str">
        <f>IF(A69&lt;&gt;"", SUMIFS(node!$K$2:$K$500, node!$C$2:$C$500,"="&amp;A69)/P69, "")</f>
        <v/>
      </c>
      <c r="AD69" s="135" t="str">
        <f>IF(A69&lt;&gt;"", SUMIFS(node!$L$2:$L$500, node!$C$2:$C$500,"="&amp;A69), "")</f>
        <v/>
      </c>
      <c r="AE69" s="145" t="str">
        <f>IF(A69&lt;&gt;"", SUMIFS(node!$M$2:$M$500, node!$C$2:$C$500,"="&amp;A69), "")</f>
        <v/>
      </c>
    </row>
    <row r="70" spans="1:31" ht="15.75" customHeight="1" x14ac:dyDescent="0.25">
      <c r="A70" s="119" t="str">
        <f>IF(ISNONTEXT(node_raw[[#This Row],[Column2]]), "", node_raw[[#This Row],[Column2]])</f>
        <v/>
      </c>
      <c r="B70" s="116" t="str">
        <f>IF(A70&lt;&gt;"", VLOOKUP(A70, node!$C$2:$D$500, 2, FALSE), "")</f>
        <v/>
      </c>
      <c r="C70" s="117" t="str">
        <f>IF(A70&lt;&gt;"", VLOOKUP(A70, node!$C$2:$E$500, 3, FALSE), "")</f>
        <v/>
      </c>
      <c r="D70" s="118" t="str">
        <f>IF(A70&lt;&gt;"",COUNTIFS(node!$C$2:$C$500,"="&amp;A70, node!$C$2:$C$500,"&lt;&gt;"&amp;""),"")</f>
        <v/>
      </c>
      <c r="E70" s="122" t="str">
        <f>IF(A70&lt;&gt;"",SUMIFS(node!$F$2:$F$500, node!$C$2:$C$500,"="&amp;A70, node!$C$2:$C$500,"&lt;&gt;"&amp;"")/(B70*D70),"")</f>
        <v/>
      </c>
      <c r="F70" s="124" t="str">
        <f>IF(A70&lt;&gt;"",SUMIFS(node!$H$2:$H$500, node!$C$2:$C$500,"="&amp;A70, node!$C$2:$C$500,"&lt;&gt;"&amp;"")/(C70*D70),"")</f>
        <v/>
      </c>
      <c r="G70" s="93" t="str">
        <f>IF(A70&lt;&gt;"",SUMIFS(deployment!$F$4:$F$502, deployment!$D$4:$D$502,"="&amp;A70, deployment!$D$4:$D$502,"&lt;&gt;"&amp;""),"")</f>
        <v/>
      </c>
      <c r="H70" s="94" t="str">
        <f>IF(A70&lt;&gt;"",SUMIFS(deployment!$G$4:$G$502, deployment!$D$4:$D$502,"="&amp;A70, deployment!$D$4:$D$502,"&lt;&gt;"&amp;""),"")</f>
        <v/>
      </c>
      <c r="I70" s="95" t="str">
        <f>IF(A70&lt;&gt;"",SUMIFS(deployment!$H$4:$H$502, deployment!$D$4:$D$502,"="&amp;A70, deployment!$D$4:$D$502,"&lt;&gt;"&amp;""),"")</f>
        <v/>
      </c>
      <c r="J70" s="96" t="str">
        <f>IF(A70&lt;&gt;"",SUMIFS(deployment!$I$4:$I$502, deployment!$D$4:$D$502,"="&amp;A70, deployment!$D$4:$D$502,"&lt;&gt;"&amp;""),"")</f>
        <v/>
      </c>
      <c r="K70" s="112" t="str">
        <f>IF(A70&lt;&gt;"",SUMIFS(deployment!$J$4:$J$502, deployment!$D$4:$D$502,"="&amp;A70, deployment!$D$4:$D$502,"&lt;&gt;"&amp;""),"")</f>
        <v/>
      </c>
      <c r="L70" s="112" t="str">
        <f>IF(A70&lt;&gt;"",SUMIFS(deployment!$K$4:$K$502, deployment!$D$4:$D$502,"="&amp;A70, deployment!$D$4:$D$502,"&lt;&gt;"&amp;""),"")</f>
        <v/>
      </c>
      <c r="M70" s="97" t="str">
        <f>IF(A70&lt;&gt;"",SUMIFS(deployment!$L$4:$L$502, deployment!$D$4:$D$502,"="&amp;A70, deployment!$D$4:$D$502,"&lt;&gt;"&amp;""),"")</f>
        <v/>
      </c>
      <c r="N70" s="97" t="str">
        <f>IF(A70&lt;&gt;"",SUMIFS(deployment!$M$4:$M$502, deployment!$D$4:$D$502,"="&amp;A70, deployment!$D$4:$D$502,"&lt;&gt;"&amp;""),"")</f>
        <v/>
      </c>
      <c r="O70" s="127" t="str">
        <f t="shared" si="23"/>
        <v/>
      </c>
      <c r="P70" s="104"/>
      <c r="Q70" s="99" t="str">
        <f t="shared" si="12"/>
        <v/>
      </c>
      <c r="R70" s="100" t="str">
        <f t="shared" si="13"/>
        <v/>
      </c>
      <c r="S70" s="100" t="str">
        <f t="shared" si="14"/>
        <v/>
      </c>
      <c r="T70" s="101" t="str">
        <f t="shared" si="15"/>
        <v/>
      </c>
      <c r="U70" s="101" t="str">
        <f t="shared" si="16"/>
        <v/>
      </c>
      <c r="V70" s="128" t="str">
        <f t="shared" si="17"/>
        <v/>
      </c>
      <c r="W70" s="128" t="str">
        <f t="shared" si="18"/>
        <v/>
      </c>
      <c r="X70" s="101" t="str">
        <f t="shared" si="19"/>
        <v/>
      </c>
      <c r="Y70" s="101" t="str">
        <f t="shared" si="20"/>
        <v/>
      </c>
      <c r="Z70" s="102" t="str">
        <f t="shared" si="21"/>
        <v/>
      </c>
      <c r="AA70" s="103" t="str">
        <f t="shared" si="22"/>
        <v/>
      </c>
      <c r="AB70" s="142" t="str">
        <f>IF(A70&lt;&gt;"", SUMIFS(node!$J$2:$J$500, node!$C$2:$C$500,"="&amp;A70)/P70, "")</f>
        <v/>
      </c>
      <c r="AC70" s="134" t="str">
        <f>IF(A70&lt;&gt;"", SUMIFS(node!$K$2:$K$500, node!$C$2:$C$500,"="&amp;A70)/P70, "")</f>
        <v/>
      </c>
      <c r="AD70" s="135" t="str">
        <f>IF(A70&lt;&gt;"", SUMIFS(node!$L$2:$L$500, node!$C$2:$C$500,"="&amp;A70), "")</f>
        <v/>
      </c>
      <c r="AE70" s="145" t="str">
        <f>IF(A70&lt;&gt;"", SUMIFS(node!$M$2:$M$500, node!$C$2:$C$500,"="&amp;A70), "")</f>
        <v/>
      </c>
    </row>
    <row r="71" spans="1:31" ht="15.75" customHeight="1" x14ac:dyDescent="0.25">
      <c r="A71" s="119" t="str">
        <f>IF(ISNONTEXT(node_raw[[#This Row],[Column2]]), "", node_raw[[#This Row],[Column2]])</f>
        <v/>
      </c>
      <c r="B71" s="116" t="str">
        <f>IF(A71&lt;&gt;"", VLOOKUP(A71, node!$C$2:$D$500, 2, FALSE), "")</f>
        <v/>
      </c>
      <c r="C71" s="117" t="str">
        <f>IF(A71&lt;&gt;"", VLOOKUP(A71, node!$C$2:$E$500, 3, FALSE), "")</f>
        <v/>
      </c>
      <c r="D71" s="118" t="str">
        <f>IF(A71&lt;&gt;"",COUNTIFS(node!$C$2:$C$500,"="&amp;A71, node!$C$2:$C$500,"&lt;&gt;"&amp;""),"")</f>
        <v/>
      </c>
      <c r="E71" s="122" t="str">
        <f>IF(A71&lt;&gt;"",SUMIFS(node!$F$2:$F$500, node!$C$2:$C$500,"="&amp;A71, node!$C$2:$C$500,"&lt;&gt;"&amp;"")/(B71*D71),"")</f>
        <v/>
      </c>
      <c r="F71" s="124" t="str">
        <f>IF(A71&lt;&gt;"",SUMIFS(node!$H$2:$H$500, node!$C$2:$C$500,"="&amp;A71, node!$C$2:$C$500,"&lt;&gt;"&amp;"")/(C71*D71),"")</f>
        <v/>
      </c>
      <c r="G71" s="93" t="str">
        <f>IF(A71&lt;&gt;"",SUMIFS(deployment!$F$4:$F$502, deployment!$D$4:$D$502,"="&amp;A71, deployment!$D$4:$D$502,"&lt;&gt;"&amp;""),"")</f>
        <v/>
      </c>
      <c r="H71" s="94" t="str">
        <f>IF(A71&lt;&gt;"",SUMIFS(deployment!$G$4:$G$502, deployment!$D$4:$D$502,"="&amp;A71, deployment!$D$4:$D$502,"&lt;&gt;"&amp;""),"")</f>
        <v/>
      </c>
      <c r="I71" s="95" t="str">
        <f>IF(A71&lt;&gt;"",SUMIFS(deployment!$H$4:$H$502, deployment!$D$4:$D$502,"="&amp;A71, deployment!$D$4:$D$502,"&lt;&gt;"&amp;""),"")</f>
        <v/>
      </c>
      <c r="J71" s="96" t="str">
        <f>IF(A71&lt;&gt;"",SUMIFS(deployment!$I$4:$I$502, deployment!$D$4:$D$502,"="&amp;A71, deployment!$D$4:$D$502,"&lt;&gt;"&amp;""),"")</f>
        <v/>
      </c>
      <c r="K71" s="112" t="str">
        <f>IF(A71&lt;&gt;"",SUMIFS(deployment!$J$4:$J$502, deployment!$D$4:$D$502,"="&amp;A71, deployment!$D$4:$D$502,"&lt;&gt;"&amp;""),"")</f>
        <v/>
      </c>
      <c r="L71" s="112" t="str">
        <f>IF(A71&lt;&gt;"",SUMIFS(deployment!$K$4:$K$502, deployment!$D$4:$D$502,"="&amp;A71, deployment!$D$4:$D$502,"&lt;&gt;"&amp;""),"")</f>
        <v/>
      </c>
      <c r="M71" s="97" t="str">
        <f>IF(A71&lt;&gt;"",SUMIFS(deployment!$L$4:$L$502, deployment!$D$4:$D$502,"="&amp;A71, deployment!$D$4:$D$502,"&lt;&gt;"&amp;""),"")</f>
        <v/>
      </c>
      <c r="N71" s="97" t="str">
        <f>IF(A71&lt;&gt;"",SUMIFS(deployment!$M$4:$M$502, deployment!$D$4:$D$502,"="&amp;A71, deployment!$D$4:$D$502,"&lt;&gt;"&amp;""),"")</f>
        <v/>
      </c>
      <c r="O71" s="127" t="str">
        <f t="shared" si="23"/>
        <v/>
      </c>
      <c r="P71" s="104"/>
      <c r="Q71" s="99" t="str">
        <f t="shared" si="12"/>
        <v/>
      </c>
      <c r="R71" s="100" t="str">
        <f t="shared" si="13"/>
        <v/>
      </c>
      <c r="S71" s="100" t="str">
        <f t="shared" si="14"/>
        <v/>
      </c>
      <c r="T71" s="101" t="str">
        <f t="shared" si="15"/>
        <v/>
      </c>
      <c r="U71" s="101" t="str">
        <f t="shared" si="16"/>
        <v/>
      </c>
      <c r="V71" s="128" t="str">
        <f t="shared" si="17"/>
        <v/>
      </c>
      <c r="W71" s="128" t="str">
        <f t="shared" si="18"/>
        <v/>
      </c>
      <c r="X71" s="101" t="str">
        <f t="shared" si="19"/>
        <v/>
      </c>
      <c r="Y71" s="101" t="str">
        <f t="shared" si="20"/>
        <v/>
      </c>
      <c r="Z71" s="102" t="str">
        <f t="shared" si="21"/>
        <v/>
      </c>
      <c r="AA71" s="103" t="str">
        <f t="shared" si="22"/>
        <v/>
      </c>
      <c r="AB71" s="142" t="str">
        <f>IF(A71&lt;&gt;"", SUMIFS(node!$J$2:$J$500, node!$C$2:$C$500,"="&amp;A71)/P71, "")</f>
        <v/>
      </c>
      <c r="AC71" s="134" t="str">
        <f>IF(A71&lt;&gt;"", SUMIFS(node!$K$2:$K$500, node!$C$2:$C$500,"="&amp;A71)/P71, "")</f>
        <v/>
      </c>
      <c r="AD71" s="135" t="str">
        <f>IF(A71&lt;&gt;"", SUMIFS(node!$L$2:$L$500, node!$C$2:$C$500,"="&amp;A71), "")</f>
        <v/>
      </c>
      <c r="AE71" s="145" t="str">
        <f>IF(A71&lt;&gt;"", SUMIFS(node!$M$2:$M$500, node!$C$2:$C$500,"="&amp;A71), "")</f>
        <v/>
      </c>
    </row>
    <row r="72" spans="1:31" ht="15.75" customHeight="1" x14ac:dyDescent="0.25">
      <c r="A72" s="119" t="str">
        <f>IF(ISNONTEXT(node_raw[[#This Row],[Column2]]), "", node_raw[[#This Row],[Column2]])</f>
        <v/>
      </c>
      <c r="B72" s="116" t="str">
        <f>IF(A72&lt;&gt;"", VLOOKUP(A72, node!$C$2:$D$500, 2, FALSE), "")</f>
        <v/>
      </c>
      <c r="C72" s="117" t="str">
        <f>IF(A72&lt;&gt;"", VLOOKUP(A72, node!$C$2:$E$500, 3, FALSE), "")</f>
        <v/>
      </c>
      <c r="D72" s="118" t="str">
        <f>IF(A72&lt;&gt;"",COUNTIFS(node!$C$2:$C$500,"="&amp;A72, node!$C$2:$C$500,"&lt;&gt;"&amp;""),"")</f>
        <v/>
      </c>
      <c r="E72" s="122" t="str">
        <f>IF(A72&lt;&gt;"",SUMIFS(node!$F$2:$F$500, node!$C$2:$C$500,"="&amp;A72, node!$C$2:$C$500,"&lt;&gt;"&amp;"")/(B72*D72),"")</f>
        <v/>
      </c>
      <c r="F72" s="124" t="str">
        <f>IF(A72&lt;&gt;"",SUMIFS(node!$H$2:$H$500, node!$C$2:$C$500,"="&amp;A72, node!$C$2:$C$500,"&lt;&gt;"&amp;"")/(C72*D72),"")</f>
        <v/>
      </c>
      <c r="G72" s="93" t="str">
        <f>IF(A72&lt;&gt;"",SUMIFS(deployment!$F$4:$F$502, deployment!$D$4:$D$502,"="&amp;A72, deployment!$D$4:$D$502,"&lt;&gt;"&amp;""),"")</f>
        <v/>
      </c>
      <c r="H72" s="94" t="str">
        <f>IF(A72&lt;&gt;"",SUMIFS(deployment!$G$4:$G$502, deployment!$D$4:$D$502,"="&amp;A72, deployment!$D$4:$D$502,"&lt;&gt;"&amp;""),"")</f>
        <v/>
      </c>
      <c r="I72" s="95" t="str">
        <f>IF(A72&lt;&gt;"",SUMIFS(deployment!$H$4:$H$502, deployment!$D$4:$D$502,"="&amp;A72, deployment!$D$4:$D$502,"&lt;&gt;"&amp;""),"")</f>
        <v/>
      </c>
      <c r="J72" s="96" t="str">
        <f>IF(A72&lt;&gt;"",SUMIFS(deployment!$I$4:$I$502, deployment!$D$4:$D$502,"="&amp;A72, deployment!$D$4:$D$502,"&lt;&gt;"&amp;""),"")</f>
        <v/>
      </c>
      <c r="K72" s="112" t="str">
        <f>IF(A72&lt;&gt;"",SUMIFS(deployment!$J$4:$J$502, deployment!$D$4:$D$502,"="&amp;A72, deployment!$D$4:$D$502,"&lt;&gt;"&amp;""),"")</f>
        <v/>
      </c>
      <c r="L72" s="112" t="str">
        <f>IF(A72&lt;&gt;"",SUMIFS(deployment!$K$4:$K$502, deployment!$D$4:$D$502,"="&amp;A72, deployment!$D$4:$D$502,"&lt;&gt;"&amp;""),"")</f>
        <v/>
      </c>
      <c r="M72" s="97" t="str">
        <f>IF(A72&lt;&gt;"",SUMIFS(deployment!$L$4:$L$502, deployment!$D$4:$D$502,"="&amp;A72, deployment!$D$4:$D$502,"&lt;&gt;"&amp;""),"")</f>
        <v/>
      </c>
      <c r="N72" s="97" t="str">
        <f>IF(A72&lt;&gt;"",SUMIFS(deployment!$M$4:$M$502, deployment!$D$4:$D$502,"="&amp;A72, deployment!$D$4:$D$502,"&lt;&gt;"&amp;""),"")</f>
        <v/>
      </c>
      <c r="O72" s="127" t="str">
        <f t="shared" si="23"/>
        <v/>
      </c>
      <c r="P72" s="104"/>
      <c r="Q72" s="99" t="str">
        <f t="shared" si="12"/>
        <v/>
      </c>
      <c r="R72" s="100" t="str">
        <f t="shared" si="13"/>
        <v/>
      </c>
      <c r="S72" s="100" t="str">
        <f t="shared" si="14"/>
        <v/>
      </c>
      <c r="T72" s="101" t="str">
        <f t="shared" si="15"/>
        <v/>
      </c>
      <c r="U72" s="101" t="str">
        <f t="shared" si="16"/>
        <v/>
      </c>
      <c r="V72" s="128" t="str">
        <f t="shared" si="17"/>
        <v/>
      </c>
      <c r="W72" s="128" t="str">
        <f t="shared" si="18"/>
        <v/>
      </c>
      <c r="X72" s="101" t="str">
        <f t="shared" si="19"/>
        <v/>
      </c>
      <c r="Y72" s="101" t="str">
        <f t="shared" si="20"/>
        <v/>
      </c>
      <c r="Z72" s="102" t="str">
        <f t="shared" si="21"/>
        <v/>
      </c>
      <c r="AA72" s="103" t="str">
        <f t="shared" si="22"/>
        <v/>
      </c>
      <c r="AB72" s="142" t="str">
        <f>IF(A72&lt;&gt;"", SUMIFS(node!$J$2:$J$500, node!$C$2:$C$500,"="&amp;A72)/P72, "")</f>
        <v/>
      </c>
      <c r="AC72" s="134" t="str">
        <f>IF(A72&lt;&gt;"", SUMIFS(node!$K$2:$K$500, node!$C$2:$C$500,"="&amp;A72)/P72, "")</f>
        <v/>
      </c>
      <c r="AD72" s="135" t="str">
        <f>IF(A72&lt;&gt;"", SUMIFS(node!$L$2:$L$500, node!$C$2:$C$500,"="&amp;A72), "")</f>
        <v/>
      </c>
      <c r="AE72" s="145" t="str">
        <f>IF(A72&lt;&gt;"", SUMIFS(node!$M$2:$M$500, node!$C$2:$C$500,"="&amp;A72), "")</f>
        <v/>
      </c>
    </row>
    <row r="73" spans="1:31" ht="15.75" customHeight="1" x14ac:dyDescent="0.25">
      <c r="A73" s="119" t="str">
        <f>IF(ISNONTEXT(node_raw[[#This Row],[Column2]]), "", node_raw[[#This Row],[Column2]])</f>
        <v/>
      </c>
      <c r="B73" s="116" t="str">
        <f>IF(A73&lt;&gt;"", VLOOKUP(A73, node!$C$2:$D$500, 2, FALSE), "")</f>
        <v/>
      </c>
      <c r="C73" s="117" t="str">
        <f>IF(A73&lt;&gt;"", VLOOKUP(A73, node!$C$2:$E$500, 3, FALSE), "")</f>
        <v/>
      </c>
      <c r="D73" s="118" t="str">
        <f>IF(A73&lt;&gt;"",COUNTIFS(node!$C$2:$C$500,"="&amp;A73, node!$C$2:$C$500,"&lt;&gt;"&amp;""),"")</f>
        <v/>
      </c>
      <c r="E73" s="122" t="str">
        <f>IF(A73&lt;&gt;"",SUMIFS(node!$F$2:$F$500, node!$C$2:$C$500,"="&amp;A73, node!$C$2:$C$500,"&lt;&gt;"&amp;"")/(B73*D73),"")</f>
        <v/>
      </c>
      <c r="F73" s="124" t="str">
        <f>IF(A73&lt;&gt;"",SUMIFS(node!$H$2:$H$500, node!$C$2:$C$500,"="&amp;A73, node!$C$2:$C$500,"&lt;&gt;"&amp;"")/(C73*D73),"")</f>
        <v/>
      </c>
      <c r="G73" s="93" t="str">
        <f>IF(A73&lt;&gt;"",SUMIFS(deployment!$F$4:$F$502, deployment!$D$4:$D$502,"="&amp;A73, deployment!$D$4:$D$502,"&lt;&gt;"&amp;""),"")</f>
        <v/>
      </c>
      <c r="H73" s="94" t="str">
        <f>IF(A73&lt;&gt;"",SUMIFS(deployment!$G$4:$G$502, deployment!$D$4:$D$502,"="&amp;A73, deployment!$D$4:$D$502,"&lt;&gt;"&amp;""),"")</f>
        <v/>
      </c>
      <c r="I73" s="95" t="str">
        <f>IF(A73&lt;&gt;"",SUMIFS(deployment!$H$4:$H$502, deployment!$D$4:$D$502,"="&amp;A73, deployment!$D$4:$D$502,"&lt;&gt;"&amp;""),"")</f>
        <v/>
      </c>
      <c r="J73" s="96" t="str">
        <f>IF(A73&lt;&gt;"",SUMIFS(deployment!$I$4:$I$502, deployment!$D$4:$D$502,"="&amp;A73, deployment!$D$4:$D$502,"&lt;&gt;"&amp;""),"")</f>
        <v/>
      </c>
      <c r="K73" s="112" t="str">
        <f>IF(A73&lt;&gt;"",SUMIFS(deployment!$J$4:$J$502, deployment!$D$4:$D$502,"="&amp;A73, deployment!$D$4:$D$502,"&lt;&gt;"&amp;""),"")</f>
        <v/>
      </c>
      <c r="L73" s="112" t="str">
        <f>IF(A73&lt;&gt;"",SUMIFS(deployment!$K$4:$K$502, deployment!$D$4:$D$502,"="&amp;A73, deployment!$D$4:$D$502,"&lt;&gt;"&amp;""),"")</f>
        <v/>
      </c>
      <c r="M73" s="97" t="str">
        <f>IF(A73&lt;&gt;"",SUMIFS(deployment!$L$4:$L$502, deployment!$D$4:$D$502,"="&amp;A73, deployment!$D$4:$D$502,"&lt;&gt;"&amp;""),"")</f>
        <v/>
      </c>
      <c r="N73" s="97" t="str">
        <f>IF(A73&lt;&gt;"",SUMIFS(deployment!$M$4:$M$502, deployment!$D$4:$D$502,"="&amp;A73, deployment!$D$4:$D$502,"&lt;&gt;"&amp;""),"")</f>
        <v/>
      </c>
      <c r="O73" s="127" t="str">
        <f t="shared" si="23"/>
        <v/>
      </c>
      <c r="P73" s="104"/>
      <c r="Q73" s="99" t="str">
        <f t="shared" si="12"/>
        <v/>
      </c>
      <c r="R73" s="100" t="str">
        <f t="shared" si="13"/>
        <v/>
      </c>
      <c r="S73" s="100" t="str">
        <f t="shared" si="14"/>
        <v/>
      </c>
      <c r="T73" s="101" t="str">
        <f t="shared" si="15"/>
        <v/>
      </c>
      <c r="U73" s="101" t="str">
        <f t="shared" si="16"/>
        <v/>
      </c>
      <c r="V73" s="128" t="str">
        <f t="shared" si="17"/>
        <v/>
      </c>
      <c r="W73" s="128" t="str">
        <f t="shared" si="18"/>
        <v/>
      </c>
      <c r="X73" s="101" t="str">
        <f t="shared" si="19"/>
        <v/>
      </c>
      <c r="Y73" s="101" t="str">
        <f t="shared" si="20"/>
        <v/>
      </c>
      <c r="Z73" s="102" t="str">
        <f t="shared" si="21"/>
        <v/>
      </c>
      <c r="AA73" s="103" t="str">
        <f t="shared" si="22"/>
        <v/>
      </c>
      <c r="AB73" s="142" t="str">
        <f>IF(A73&lt;&gt;"", SUMIFS(node!$J$2:$J$500, node!$C$2:$C$500,"="&amp;A73)/P73, "")</f>
        <v/>
      </c>
      <c r="AC73" s="134" t="str">
        <f>IF(A73&lt;&gt;"", SUMIFS(node!$K$2:$K$500, node!$C$2:$C$500,"="&amp;A73)/P73, "")</f>
        <v/>
      </c>
      <c r="AD73" s="135" t="str">
        <f>IF(A73&lt;&gt;"", SUMIFS(node!$L$2:$L$500, node!$C$2:$C$500,"="&amp;A73), "")</f>
        <v/>
      </c>
      <c r="AE73" s="145" t="str">
        <f>IF(A73&lt;&gt;"", SUMIFS(node!$M$2:$M$500, node!$C$2:$C$500,"="&amp;A73), "")</f>
        <v/>
      </c>
    </row>
    <row r="74" spans="1:31" ht="15.75" customHeight="1" x14ac:dyDescent="0.25">
      <c r="A74" s="119" t="str">
        <f>IF(ISNONTEXT(node_raw[[#This Row],[Column2]]), "", node_raw[[#This Row],[Column2]])</f>
        <v/>
      </c>
      <c r="B74" s="116" t="str">
        <f>IF(A74&lt;&gt;"", VLOOKUP(A74, node!$C$2:$D$500, 2, FALSE), "")</f>
        <v/>
      </c>
      <c r="C74" s="117" t="str">
        <f>IF(A74&lt;&gt;"", VLOOKUP(A74, node!$C$2:$E$500, 3, FALSE), "")</f>
        <v/>
      </c>
      <c r="D74" s="118" t="str">
        <f>IF(A74&lt;&gt;"",COUNTIFS(node!$C$2:$C$500,"="&amp;A74, node!$C$2:$C$500,"&lt;&gt;"&amp;""),"")</f>
        <v/>
      </c>
      <c r="E74" s="122" t="str">
        <f>IF(A74&lt;&gt;"",SUMIFS(node!$F$2:$F$500, node!$C$2:$C$500,"="&amp;A74, node!$C$2:$C$500,"&lt;&gt;"&amp;"")/(B74*D74),"")</f>
        <v/>
      </c>
      <c r="F74" s="124" t="str">
        <f>IF(A74&lt;&gt;"",SUMIFS(node!$H$2:$H$500, node!$C$2:$C$500,"="&amp;A74, node!$C$2:$C$500,"&lt;&gt;"&amp;"")/(C74*D74),"")</f>
        <v/>
      </c>
      <c r="G74" s="93" t="str">
        <f>IF(A74&lt;&gt;"",SUMIFS(deployment!$F$4:$F$502, deployment!$D$4:$D$502,"="&amp;A74, deployment!$D$4:$D$502,"&lt;&gt;"&amp;""),"")</f>
        <v/>
      </c>
      <c r="H74" s="94" t="str">
        <f>IF(A74&lt;&gt;"",SUMIFS(deployment!$G$4:$G$502, deployment!$D$4:$D$502,"="&amp;A74, deployment!$D$4:$D$502,"&lt;&gt;"&amp;""),"")</f>
        <v/>
      </c>
      <c r="I74" s="95" t="str">
        <f>IF(A74&lt;&gt;"",SUMIFS(deployment!$H$4:$H$502, deployment!$D$4:$D$502,"="&amp;A74, deployment!$D$4:$D$502,"&lt;&gt;"&amp;""),"")</f>
        <v/>
      </c>
      <c r="J74" s="96" t="str">
        <f>IF(A74&lt;&gt;"",SUMIFS(deployment!$I$4:$I$502, deployment!$D$4:$D$502,"="&amp;A74, deployment!$D$4:$D$502,"&lt;&gt;"&amp;""),"")</f>
        <v/>
      </c>
      <c r="K74" s="112" t="str">
        <f>IF(A74&lt;&gt;"",SUMIFS(deployment!$J$4:$J$502, deployment!$D$4:$D$502,"="&amp;A74, deployment!$D$4:$D$502,"&lt;&gt;"&amp;""),"")</f>
        <v/>
      </c>
      <c r="L74" s="112" t="str">
        <f>IF(A74&lt;&gt;"",SUMIFS(deployment!$K$4:$K$502, deployment!$D$4:$D$502,"="&amp;A74, deployment!$D$4:$D$502,"&lt;&gt;"&amp;""),"")</f>
        <v/>
      </c>
      <c r="M74" s="97" t="str">
        <f>IF(A74&lt;&gt;"",SUMIFS(deployment!$L$4:$L$502, deployment!$D$4:$D$502,"="&amp;A74, deployment!$D$4:$D$502,"&lt;&gt;"&amp;""),"")</f>
        <v/>
      </c>
      <c r="N74" s="97" t="str">
        <f>IF(A74&lt;&gt;"",SUMIFS(deployment!$M$4:$M$502, deployment!$D$4:$D$502,"="&amp;A74, deployment!$D$4:$D$502,"&lt;&gt;"&amp;""),"")</f>
        <v/>
      </c>
      <c r="O74" s="127" t="str">
        <f t="shared" si="23"/>
        <v/>
      </c>
      <c r="P74" s="104"/>
      <c r="Q74" s="99" t="str">
        <f t="shared" si="12"/>
        <v/>
      </c>
      <c r="R74" s="100" t="str">
        <f t="shared" si="13"/>
        <v/>
      </c>
      <c r="S74" s="100" t="str">
        <f t="shared" si="14"/>
        <v/>
      </c>
      <c r="T74" s="101" t="str">
        <f t="shared" si="15"/>
        <v/>
      </c>
      <c r="U74" s="101" t="str">
        <f t="shared" si="16"/>
        <v/>
      </c>
      <c r="V74" s="128" t="str">
        <f t="shared" si="17"/>
        <v/>
      </c>
      <c r="W74" s="128" t="str">
        <f t="shared" si="18"/>
        <v/>
      </c>
      <c r="X74" s="101" t="str">
        <f t="shared" si="19"/>
        <v/>
      </c>
      <c r="Y74" s="101" t="str">
        <f t="shared" si="20"/>
        <v/>
      </c>
      <c r="Z74" s="102" t="str">
        <f t="shared" si="21"/>
        <v/>
      </c>
      <c r="AA74" s="103" t="str">
        <f t="shared" si="22"/>
        <v/>
      </c>
      <c r="AB74" s="142" t="str">
        <f>IF(A74&lt;&gt;"", SUMIFS(node!$J$2:$J$500, node!$C$2:$C$500,"="&amp;A74)/P74, "")</f>
        <v/>
      </c>
      <c r="AC74" s="134" t="str">
        <f>IF(A74&lt;&gt;"", SUMIFS(node!$K$2:$K$500, node!$C$2:$C$500,"="&amp;A74)/P74, "")</f>
        <v/>
      </c>
      <c r="AD74" s="135" t="str">
        <f>IF(A74&lt;&gt;"", SUMIFS(node!$L$2:$L$500, node!$C$2:$C$500,"="&amp;A74), "")</f>
        <v/>
      </c>
      <c r="AE74" s="145" t="str">
        <f>IF(A74&lt;&gt;"", SUMIFS(node!$M$2:$M$500, node!$C$2:$C$500,"="&amp;A74), "")</f>
        <v/>
      </c>
    </row>
    <row r="75" spans="1:31" ht="15.75" customHeight="1" x14ac:dyDescent="0.25">
      <c r="A75" s="119" t="str">
        <f>IF(ISNONTEXT(node_raw[[#This Row],[Column2]]), "", node_raw[[#This Row],[Column2]])</f>
        <v/>
      </c>
      <c r="B75" s="116" t="str">
        <f>IF(A75&lt;&gt;"", VLOOKUP(A75, node!$C$2:$D$500, 2, FALSE), "")</f>
        <v/>
      </c>
      <c r="C75" s="117" t="str">
        <f>IF(A75&lt;&gt;"", VLOOKUP(A75, node!$C$2:$E$500, 3, FALSE), "")</f>
        <v/>
      </c>
      <c r="D75" s="118" t="str">
        <f>IF(A75&lt;&gt;"",COUNTIFS(node!$C$2:$C$500,"="&amp;A75, node!$C$2:$C$500,"&lt;&gt;"&amp;""),"")</f>
        <v/>
      </c>
      <c r="E75" s="122" t="str">
        <f>IF(A75&lt;&gt;"",SUMIFS(node!$F$2:$F$500, node!$C$2:$C$500,"="&amp;A75, node!$C$2:$C$500,"&lt;&gt;"&amp;"")/(B75*D75),"")</f>
        <v/>
      </c>
      <c r="F75" s="124" t="str">
        <f>IF(A75&lt;&gt;"",SUMIFS(node!$H$2:$H$500, node!$C$2:$C$500,"="&amp;A75, node!$C$2:$C$500,"&lt;&gt;"&amp;"")/(C75*D75),"")</f>
        <v/>
      </c>
      <c r="G75" s="93" t="str">
        <f>IF(A75&lt;&gt;"",SUMIFS(deployment!$F$4:$F$502, deployment!$D$4:$D$502,"="&amp;A75, deployment!$D$4:$D$502,"&lt;&gt;"&amp;""),"")</f>
        <v/>
      </c>
      <c r="H75" s="94" t="str">
        <f>IF(A75&lt;&gt;"",SUMIFS(deployment!$G$4:$G$502, deployment!$D$4:$D$502,"="&amp;A75, deployment!$D$4:$D$502,"&lt;&gt;"&amp;""),"")</f>
        <v/>
      </c>
      <c r="I75" s="95" t="str">
        <f>IF(A75&lt;&gt;"",SUMIFS(deployment!$H$4:$H$502, deployment!$D$4:$D$502,"="&amp;A75, deployment!$D$4:$D$502,"&lt;&gt;"&amp;""),"")</f>
        <v/>
      </c>
      <c r="J75" s="96" t="str">
        <f>IF(A75&lt;&gt;"",SUMIFS(deployment!$I$4:$I$502, deployment!$D$4:$D$502,"="&amp;A75, deployment!$D$4:$D$502,"&lt;&gt;"&amp;""),"")</f>
        <v/>
      </c>
      <c r="K75" s="112" t="str">
        <f>IF(A75&lt;&gt;"",SUMIFS(deployment!$J$4:$J$502, deployment!$D$4:$D$502,"="&amp;A75, deployment!$D$4:$D$502,"&lt;&gt;"&amp;""),"")</f>
        <v/>
      </c>
      <c r="L75" s="112" t="str">
        <f>IF(A75&lt;&gt;"",SUMIFS(deployment!$K$4:$K$502, deployment!$D$4:$D$502,"="&amp;A75, deployment!$D$4:$D$502,"&lt;&gt;"&amp;""),"")</f>
        <v/>
      </c>
      <c r="M75" s="97" t="str">
        <f>IF(A75&lt;&gt;"",SUMIFS(deployment!$L$4:$L$502, deployment!$D$4:$D$502,"="&amp;A75, deployment!$D$4:$D$502,"&lt;&gt;"&amp;""),"")</f>
        <v/>
      </c>
      <c r="N75" s="97" t="str">
        <f>IF(A75&lt;&gt;"",SUMIFS(deployment!$M$4:$M$502, deployment!$D$4:$D$502,"="&amp;A75, deployment!$D$4:$D$502,"&lt;&gt;"&amp;""),"")</f>
        <v/>
      </c>
      <c r="O75" s="127" t="str">
        <f t="shared" si="23"/>
        <v/>
      </c>
      <c r="P75" s="104"/>
      <c r="Q75" s="99" t="str">
        <f t="shared" si="12"/>
        <v/>
      </c>
      <c r="R75" s="100" t="str">
        <f t="shared" si="13"/>
        <v/>
      </c>
      <c r="S75" s="100" t="str">
        <f t="shared" si="14"/>
        <v/>
      </c>
      <c r="T75" s="101" t="str">
        <f t="shared" si="15"/>
        <v/>
      </c>
      <c r="U75" s="101" t="str">
        <f t="shared" si="16"/>
        <v/>
      </c>
      <c r="V75" s="128" t="str">
        <f t="shared" si="17"/>
        <v/>
      </c>
      <c r="W75" s="128" t="str">
        <f t="shared" si="18"/>
        <v/>
      </c>
      <c r="X75" s="101" t="str">
        <f t="shared" si="19"/>
        <v/>
      </c>
      <c r="Y75" s="101" t="str">
        <f t="shared" si="20"/>
        <v/>
      </c>
      <c r="Z75" s="102" t="str">
        <f t="shared" si="21"/>
        <v/>
      </c>
      <c r="AA75" s="103" t="str">
        <f t="shared" si="22"/>
        <v/>
      </c>
      <c r="AB75" s="142" t="str">
        <f>IF(A75&lt;&gt;"", SUMIFS(node!$J$2:$J$500, node!$C$2:$C$500,"="&amp;A75)/P75, "")</f>
        <v/>
      </c>
      <c r="AC75" s="134" t="str">
        <f>IF(A75&lt;&gt;"", SUMIFS(node!$K$2:$K$500, node!$C$2:$C$500,"="&amp;A75)/P75, "")</f>
        <v/>
      </c>
      <c r="AD75" s="135" t="str">
        <f>IF(A75&lt;&gt;"", SUMIFS(node!$L$2:$L$500, node!$C$2:$C$500,"="&amp;A75), "")</f>
        <v/>
      </c>
      <c r="AE75" s="145" t="str">
        <f>IF(A75&lt;&gt;"", SUMIFS(node!$M$2:$M$500, node!$C$2:$C$500,"="&amp;A75), "")</f>
        <v/>
      </c>
    </row>
    <row r="76" spans="1:31" ht="15.75" customHeight="1" x14ac:dyDescent="0.25">
      <c r="A76" s="119" t="str">
        <f>IF(ISNONTEXT(node_raw[[#This Row],[Column2]]), "", node_raw[[#This Row],[Column2]])</f>
        <v/>
      </c>
      <c r="B76" s="116" t="str">
        <f>IF(A76&lt;&gt;"", VLOOKUP(A76, node!$C$2:$D$500, 2, FALSE), "")</f>
        <v/>
      </c>
      <c r="C76" s="117" t="str">
        <f>IF(A76&lt;&gt;"", VLOOKUP(A76, node!$C$2:$E$500, 3, FALSE), "")</f>
        <v/>
      </c>
      <c r="D76" s="118" t="str">
        <f>IF(A76&lt;&gt;"",COUNTIFS(node!$C$2:$C$500,"="&amp;A76, node!$C$2:$C$500,"&lt;&gt;"&amp;""),"")</f>
        <v/>
      </c>
      <c r="E76" s="122" t="str">
        <f>IF(A76&lt;&gt;"",SUMIFS(node!$F$2:$F$500, node!$C$2:$C$500,"="&amp;A76, node!$C$2:$C$500,"&lt;&gt;"&amp;"")/(B76*D76),"")</f>
        <v/>
      </c>
      <c r="F76" s="124" t="str">
        <f>IF(A76&lt;&gt;"",SUMIFS(node!$H$2:$H$500, node!$C$2:$C$500,"="&amp;A76, node!$C$2:$C$500,"&lt;&gt;"&amp;"")/(C76*D76),"")</f>
        <v/>
      </c>
      <c r="G76" s="93" t="str">
        <f>IF(A76&lt;&gt;"",SUMIFS(deployment!$F$4:$F$502, deployment!$D$4:$D$502,"="&amp;A76, deployment!$D$4:$D$502,"&lt;&gt;"&amp;""),"")</f>
        <v/>
      </c>
      <c r="H76" s="94" t="str">
        <f>IF(A76&lt;&gt;"",SUMIFS(deployment!$G$4:$G$502, deployment!$D$4:$D$502,"="&amp;A76, deployment!$D$4:$D$502,"&lt;&gt;"&amp;""),"")</f>
        <v/>
      </c>
      <c r="I76" s="95" t="str">
        <f>IF(A76&lt;&gt;"",SUMIFS(deployment!$H$4:$H$502, deployment!$D$4:$D$502,"="&amp;A76, deployment!$D$4:$D$502,"&lt;&gt;"&amp;""),"")</f>
        <v/>
      </c>
      <c r="J76" s="96" t="str">
        <f>IF(A76&lt;&gt;"",SUMIFS(deployment!$I$4:$I$502, deployment!$D$4:$D$502,"="&amp;A76, deployment!$D$4:$D$502,"&lt;&gt;"&amp;""),"")</f>
        <v/>
      </c>
      <c r="K76" s="112" t="str">
        <f>IF(A76&lt;&gt;"",SUMIFS(deployment!$J$4:$J$502, deployment!$D$4:$D$502,"="&amp;A76, deployment!$D$4:$D$502,"&lt;&gt;"&amp;""),"")</f>
        <v/>
      </c>
      <c r="L76" s="112" t="str">
        <f>IF(A76&lt;&gt;"",SUMIFS(deployment!$K$4:$K$502, deployment!$D$4:$D$502,"="&amp;A76, deployment!$D$4:$D$502,"&lt;&gt;"&amp;""),"")</f>
        <v/>
      </c>
      <c r="M76" s="97" t="str">
        <f>IF(A76&lt;&gt;"",SUMIFS(deployment!$L$4:$L$502, deployment!$D$4:$D$502,"="&amp;A76, deployment!$D$4:$D$502,"&lt;&gt;"&amp;""),"")</f>
        <v/>
      </c>
      <c r="N76" s="97" t="str">
        <f>IF(A76&lt;&gt;"",SUMIFS(deployment!$M$4:$M$502, deployment!$D$4:$D$502,"="&amp;A76, deployment!$D$4:$D$502,"&lt;&gt;"&amp;""),"")</f>
        <v/>
      </c>
      <c r="O76" s="127" t="str">
        <f t="shared" si="23"/>
        <v/>
      </c>
      <c r="P76" s="104"/>
      <c r="Q76" s="99" t="str">
        <f t="shared" si="12"/>
        <v/>
      </c>
      <c r="R76" s="100" t="str">
        <f t="shared" si="13"/>
        <v/>
      </c>
      <c r="S76" s="100" t="str">
        <f t="shared" si="14"/>
        <v/>
      </c>
      <c r="T76" s="101" t="str">
        <f t="shared" si="15"/>
        <v/>
      </c>
      <c r="U76" s="101" t="str">
        <f t="shared" si="16"/>
        <v/>
      </c>
      <c r="V76" s="128" t="str">
        <f t="shared" si="17"/>
        <v/>
      </c>
      <c r="W76" s="128" t="str">
        <f t="shared" si="18"/>
        <v/>
      </c>
      <c r="X76" s="101" t="str">
        <f t="shared" si="19"/>
        <v/>
      </c>
      <c r="Y76" s="101" t="str">
        <f t="shared" si="20"/>
        <v/>
      </c>
      <c r="Z76" s="102" t="str">
        <f t="shared" si="21"/>
        <v/>
      </c>
      <c r="AA76" s="103" t="str">
        <f t="shared" si="22"/>
        <v/>
      </c>
      <c r="AB76" s="142" t="str">
        <f>IF(A76&lt;&gt;"", SUMIFS(node!$J$2:$J$500, node!$C$2:$C$500,"="&amp;A76)/P76, "")</f>
        <v/>
      </c>
      <c r="AC76" s="134" t="str">
        <f>IF(A76&lt;&gt;"", SUMIFS(node!$K$2:$K$500, node!$C$2:$C$500,"="&amp;A76)/P76, "")</f>
        <v/>
      </c>
      <c r="AD76" s="135" t="str">
        <f>IF(A76&lt;&gt;"", SUMIFS(node!$L$2:$L$500, node!$C$2:$C$500,"="&amp;A76), "")</f>
        <v/>
      </c>
      <c r="AE76" s="145" t="str">
        <f>IF(A76&lt;&gt;"", SUMIFS(node!$M$2:$M$500, node!$C$2:$C$500,"="&amp;A76), "")</f>
        <v/>
      </c>
    </row>
    <row r="77" spans="1:31" ht="15.75" customHeight="1" x14ac:dyDescent="0.25">
      <c r="A77" s="119" t="str">
        <f>IF(ISNONTEXT(node_raw[[#This Row],[Column2]]), "", node_raw[[#This Row],[Column2]])</f>
        <v/>
      </c>
      <c r="B77" s="116" t="str">
        <f>IF(A77&lt;&gt;"", VLOOKUP(A77, node!$C$2:$D$500, 2, FALSE), "")</f>
        <v/>
      </c>
      <c r="C77" s="117" t="str">
        <f>IF(A77&lt;&gt;"", VLOOKUP(A77, node!$C$2:$E$500, 3, FALSE), "")</f>
        <v/>
      </c>
      <c r="D77" s="118" t="str">
        <f>IF(A77&lt;&gt;"",COUNTIFS(node!$C$2:$C$500,"="&amp;A77, node!$C$2:$C$500,"&lt;&gt;"&amp;""),"")</f>
        <v/>
      </c>
      <c r="E77" s="122" t="str">
        <f>IF(A77&lt;&gt;"",SUMIFS(node!$F$2:$F$500, node!$C$2:$C$500,"="&amp;A77, node!$C$2:$C$500,"&lt;&gt;"&amp;"")/(B77*D77),"")</f>
        <v/>
      </c>
      <c r="F77" s="124" t="str">
        <f>IF(A77&lt;&gt;"",SUMIFS(node!$H$2:$H$500, node!$C$2:$C$500,"="&amp;A77, node!$C$2:$C$500,"&lt;&gt;"&amp;"")/(C77*D77),"")</f>
        <v/>
      </c>
      <c r="G77" s="93" t="str">
        <f>IF(A77&lt;&gt;"",SUMIFS(deployment!$F$4:$F$502, deployment!$D$4:$D$502,"="&amp;A77, deployment!$D$4:$D$502,"&lt;&gt;"&amp;""),"")</f>
        <v/>
      </c>
      <c r="H77" s="94" t="str">
        <f>IF(A77&lt;&gt;"",SUMIFS(deployment!$G$4:$G$502, deployment!$D$4:$D$502,"="&amp;A77, deployment!$D$4:$D$502,"&lt;&gt;"&amp;""),"")</f>
        <v/>
      </c>
      <c r="I77" s="95" t="str">
        <f>IF(A77&lt;&gt;"",SUMIFS(deployment!$H$4:$H$502, deployment!$D$4:$D$502,"="&amp;A77, deployment!$D$4:$D$502,"&lt;&gt;"&amp;""),"")</f>
        <v/>
      </c>
      <c r="J77" s="96" t="str">
        <f>IF(A77&lt;&gt;"",SUMIFS(deployment!$I$4:$I$502, deployment!$D$4:$D$502,"="&amp;A77, deployment!$D$4:$D$502,"&lt;&gt;"&amp;""),"")</f>
        <v/>
      </c>
      <c r="K77" s="112" t="str">
        <f>IF(A77&lt;&gt;"",SUMIFS(deployment!$J$4:$J$502, deployment!$D$4:$D$502,"="&amp;A77, deployment!$D$4:$D$502,"&lt;&gt;"&amp;""),"")</f>
        <v/>
      </c>
      <c r="L77" s="112" t="str">
        <f>IF(A77&lt;&gt;"",SUMIFS(deployment!$K$4:$K$502, deployment!$D$4:$D$502,"="&amp;A77, deployment!$D$4:$D$502,"&lt;&gt;"&amp;""),"")</f>
        <v/>
      </c>
      <c r="M77" s="97" t="str">
        <f>IF(A77&lt;&gt;"",SUMIFS(deployment!$L$4:$L$502, deployment!$D$4:$D$502,"="&amp;A77, deployment!$D$4:$D$502,"&lt;&gt;"&amp;""),"")</f>
        <v/>
      </c>
      <c r="N77" s="97" t="str">
        <f>IF(A77&lt;&gt;"",SUMIFS(deployment!$M$4:$M$502, deployment!$D$4:$D$502,"="&amp;A77, deployment!$D$4:$D$502,"&lt;&gt;"&amp;""),"")</f>
        <v/>
      </c>
      <c r="O77" s="127" t="str">
        <f t="shared" si="23"/>
        <v/>
      </c>
      <c r="P77" s="104"/>
      <c r="Q77" s="99" t="str">
        <f t="shared" si="12"/>
        <v/>
      </c>
      <c r="R77" s="100" t="str">
        <f t="shared" si="13"/>
        <v/>
      </c>
      <c r="S77" s="100" t="str">
        <f t="shared" si="14"/>
        <v/>
      </c>
      <c r="T77" s="101" t="str">
        <f t="shared" si="15"/>
        <v/>
      </c>
      <c r="U77" s="101" t="str">
        <f t="shared" si="16"/>
        <v/>
      </c>
      <c r="V77" s="128" t="str">
        <f t="shared" si="17"/>
        <v/>
      </c>
      <c r="W77" s="128" t="str">
        <f t="shared" si="18"/>
        <v/>
      </c>
      <c r="X77" s="101" t="str">
        <f t="shared" si="19"/>
        <v/>
      </c>
      <c r="Y77" s="101" t="str">
        <f t="shared" si="20"/>
        <v/>
      </c>
      <c r="Z77" s="102" t="str">
        <f t="shared" si="21"/>
        <v/>
      </c>
      <c r="AA77" s="103" t="str">
        <f t="shared" si="22"/>
        <v/>
      </c>
      <c r="AB77" s="142" t="str">
        <f>IF(A77&lt;&gt;"", SUMIFS(node!$J$2:$J$500, node!$C$2:$C$500,"="&amp;A77)/P77, "")</f>
        <v/>
      </c>
      <c r="AC77" s="134" t="str">
        <f>IF(A77&lt;&gt;"", SUMIFS(node!$K$2:$K$500, node!$C$2:$C$500,"="&amp;A77)/P77, "")</f>
        <v/>
      </c>
      <c r="AD77" s="135" t="str">
        <f>IF(A77&lt;&gt;"", SUMIFS(node!$L$2:$L$500, node!$C$2:$C$500,"="&amp;A77), "")</f>
        <v/>
      </c>
      <c r="AE77" s="145" t="str">
        <f>IF(A77&lt;&gt;"", SUMIFS(node!$M$2:$M$500, node!$C$2:$C$500,"="&amp;A77), "")</f>
        <v/>
      </c>
    </row>
    <row r="78" spans="1:31" ht="15.75" customHeight="1" x14ac:dyDescent="0.25">
      <c r="A78" s="119" t="str">
        <f>IF(ISNONTEXT(node_raw[[#This Row],[Column2]]), "", node_raw[[#This Row],[Column2]])</f>
        <v/>
      </c>
      <c r="B78" s="116" t="str">
        <f>IF(A78&lt;&gt;"", VLOOKUP(A78, node!$C$2:$D$500, 2, FALSE), "")</f>
        <v/>
      </c>
      <c r="C78" s="117" t="str">
        <f>IF(A78&lt;&gt;"", VLOOKUP(A78, node!$C$2:$E$500, 3, FALSE), "")</f>
        <v/>
      </c>
      <c r="D78" s="118" t="str">
        <f>IF(A78&lt;&gt;"",COUNTIFS(node!$C$2:$C$500,"="&amp;A78, node!$C$2:$C$500,"&lt;&gt;"&amp;""),"")</f>
        <v/>
      </c>
      <c r="E78" s="122" t="str">
        <f>IF(A78&lt;&gt;"",SUMIFS(node!$F$2:$F$500, node!$C$2:$C$500,"="&amp;A78, node!$C$2:$C$500,"&lt;&gt;"&amp;"")/(B78*D78),"")</f>
        <v/>
      </c>
      <c r="F78" s="124" t="str">
        <f>IF(A78&lt;&gt;"",SUMIFS(node!$H$2:$H$500, node!$C$2:$C$500,"="&amp;A78, node!$C$2:$C$500,"&lt;&gt;"&amp;"")/(C78*D78),"")</f>
        <v/>
      </c>
      <c r="G78" s="93" t="str">
        <f>IF(A78&lt;&gt;"",SUMIFS(deployment!$F$4:$F$502, deployment!$D$4:$D$502,"="&amp;A78, deployment!$D$4:$D$502,"&lt;&gt;"&amp;""),"")</f>
        <v/>
      </c>
      <c r="H78" s="94" t="str">
        <f>IF(A78&lt;&gt;"",SUMIFS(deployment!$G$4:$G$502, deployment!$D$4:$D$502,"="&amp;A78, deployment!$D$4:$D$502,"&lt;&gt;"&amp;""),"")</f>
        <v/>
      </c>
      <c r="I78" s="95" t="str">
        <f>IF(A78&lt;&gt;"",SUMIFS(deployment!$H$4:$H$502, deployment!$D$4:$D$502,"="&amp;A78, deployment!$D$4:$D$502,"&lt;&gt;"&amp;""),"")</f>
        <v/>
      </c>
      <c r="J78" s="96" t="str">
        <f>IF(A78&lt;&gt;"",SUMIFS(deployment!$I$4:$I$502, deployment!$D$4:$D$502,"="&amp;A78, deployment!$D$4:$D$502,"&lt;&gt;"&amp;""),"")</f>
        <v/>
      </c>
      <c r="K78" s="112" t="str">
        <f>IF(A78&lt;&gt;"",SUMIFS(deployment!$J$4:$J$502, deployment!$D$4:$D$502,"="&amp;A78, deployment!$D$4:$D$502,"&lt;&gt;"&amp;""),"")</f>
        <v/>
      </c>
      <c r="L78" s="112" t="str">
        <f>IF(A78&lt;&gt;"",SUMIFS(deployment!$K$4:$K$502, deployment!$D$4:$D$502,"="&amp;A78, deployment!$D$4:$D$502,"&lt;&gt;"&amp;""),"")</f>
        <v/>
      </c>
      <c r="M78" s="97" t="str">
        <f>IF(A78&lt;&gt;"",SUMIFS(deployment!$L$4:$L$502, deployment!$D$4:$D$502,"="&amp;A78, deployment!$D$4:$D$502,"&lt;&gt;"&amp;""),"")</f>
        <v/>
      </c>
      <c r="N78" s="97" t="str">
        <f>IF(A78&lt;&gt;"",SUMIFS(deployment!$M$4:$M$502, deployment!$D$4:$D$502,"="&amp;A78, deployment!$D$4:$D$502,"&lt;&gt;"&amp;""),"")</f>
        <v/>
      </c>
      <c r="O78" s="127" t="str">
        <f t="shared" si="23"/>
        <v/>
      </c>
      <c r="P78" s="104"/>
      <c r="Q78" s="99" t="str">
        <f t="shared" si="12"/>
        <v/>
      </c>
      <c r="R78" s="100" t="str">
        <f t="shared" si="13"/>
        <v/>
      </c>
      <c r="S78" s="100" t="str">
        <f t="shared" si="14"/>
        <v/>
      </c>
      <c r="T78" s="101" t="str">
        <f t="shared" si="15"/>
        <v/>
      </c>
      <c r="U78" s="101" t="str">
        <f t="shared" si="16"/>
        <v/>
      </c>
      <c r="V78" s="128" t="str">
        <f t="shared" si="17"/>
        <v/>
      </c>
      <c r="W78" s="128" t="str">
        <f t="shared" si="18"/>
        <v/>
      </c>
      <c r="X78" s="101" t="str">
        <f t="shared" si="19"/>
        <v/>
      </c>
      <c r="Y78" s="101" t="str">
        <f t="shared" si="20"/>
        <v/>
      </c>
      <c r="Z78" s="102" t="str">
        <f t="shared" si="21"/>
        <v/>
      </c>
      <c r="AA78" s="103" t="str">
        <f t="shared" si="22"/>
        <v/>
      </c>
      <c r="AB78" s="142" t="str">
        <f>IF(A78&lt;&gt;"", SUMIFS(node!$J$2:$J$500, node!$C$2:$C$500,"="&amp;A78)/P78, "")</f>
        <v/>
      </c>
      <c r="AC78" s="134" t="str">
        <f>IF(A78&lt;&gt;"", SUMIFS(node!$K$2:$K$500, node!$C$2:$C$500,"="&amp;A78)/P78, "")</f>
        <v/>
      </c>
      <c r="AD78" s="135" t="str">
        <f>IF(A78&lt;&gt;"", SUMIFS(node!$L$2:$L$500, node!$C$2:$C$500,"="&amp;A78), "")</f>
        <v/>
      </c>
      <c r="AE78" s="145" t="str">
        <f>IF(A78&lt;&gt;"", SUMIFS(node!$M$2:$M$500, node!$C$2:$C$500,"="&amp;A78), "")</f>
        <v/>
      </c>
    </row>
    <row r="79" spans="1:31" ht="15.75" customHeight="1" x14ac:dyDescent="0.25">
      <c r="A79" s="119" t="str">
        <f>IF(ISNONTEXT(node_raw[[#This Row],[Column2]]), "", node_raw[[#This Row],[Column2]])</f>
        <v/>
      </c>
      <c r="B79" s="116" t="str">
        <f>IF(A79&lt;&gt;"", VLOOKUP(A79, node!$C$2:$D$500, 2, FALSE), "")</f>
        <v/>
      </c>
      <c r="C79" s="117" t="str">
        <f>IF(A79&lt;&gt;"", VLOOKUP(A79, node!$C$2:$E$500, 3, FALSE), "")</f>
        <v/>
      </c>
      <c r="D79" s="118" t="str">
        <f>IF(A79&lt;&gt;"",COUNTIFS(node!$C$2:$C$500,"="&amp;A79, node!$C$2:$C$500,"&lt;&gt;"&amp;""),"")</f>
        <v/>
      </c>
      <c r="E79" s="122" t="str">
        <f>IF(A79&lt;&gt;"",SUMIFS(node!$F$2:$F$500, node!$C$2:$C$500,"="&amp;A79, node!$C$2:$C$500,"&lt;&gt;"&amp;"")/(B79*D79),"")</f>
        <v/>
      </c>
      <c r="F79" s="124" t="str">
        <f>IF(A79&lt;&gt;"",SUMIFS(node!$H$2:$H$500, node!$C$2:$C$500,"="&amp;A79, node!$C$2:$C$500,"&lt;&gt;"&amp;"")/(C79*D79),"")</f>
        <v/>
      </c>
      <c r="G79" s="93" t="str">
        <f>IF(A79&lt;&gt;"",SUMIFS(deployment!$F$4:$F$502, deployment!$D$4:$D$502,"="&amp;A79, deployment!$D$4:$D$502,"&lt;&gt;"&amp;""),"")</f>
        <v/>
      </c>
      <c r="H79" s="94" t="str">
        <f>IF(A79&lt;&gt;"",SUMIFS(deployment!$G$4:$G$502, deployment!$D$4:$D$502,"="&amp;A79, deployment!$D$4:$D$502,"&lt;&gt;"&amp;""),"")</f>
        <v/>
      </c>
      <c r="I79" s="95" t="str">
        <f>IF(A79&lt;&gt;"",SUMIFS(deployment!$H$4:$H$502, deployment!$D$4:$D$502,"="&amp;A79, deployment!$D$4:$D$502,"&lt;&gt;"&amp;""),"")</f>
        <v/>
      </c>
      <c r="J79" s="96" t="str">
        <f>IF(A79&lt;&gt;"",SUMIFS(deployment!$I$4:$I$502, deployment!$D$4:$D$502,"="&amp;A79, deployment!$D$4:$D$502,"&lt;&gt;"&amp;""),"")</f>
        <v/>
      </c>
      <c r="K79" s="112" t="str">
        <f>IF(A79&lt;&gt;"",SUMIFS(deployment!$J$4:$J$502, deployment!$D$4:$D$502,"="&amp;A79, deployment!$D$4:$D$502,"&lt;&gt;"&amp;""),"")</f>
        <v/>
      </c>
      <c r="L79" s="112" t="str">
        <f>IF(A79&lt;&gt;"",SUMIFS(deployment!$K$4:$K$502, deployment!$D$4:$D$502,"="&amp;A79, deployment!$D$4:$D$502,"&lt;&gt;"&amp;""),"")</f>
        <v/>
      </c>
      <c r="M79" s="97" t="str">
        <f>IF(A79&lt;&gt;"",SUMIFS(deployment!$L$4:$L$502, deployment!$D$4:$D$502,"="&amp;A79, deployment!$D$4:$D$502,"&lt;&gt;"&amp;""),"")</f>
        <v/>
      </c>
      <c r="N79" s="97" t="str">
        <f>IF(A79&lt;&gt;"",SUMIFS(deployment!$M$4:$M$502, deployment!$D$4:$D$502,"="&amp;A79, deployment!$D$4:$D$502,"&lt;&gt;"&amp;""),"")</f>
        <v/>
      </c>
      <c r="O79" s="127" t="str">
        <f t="shared" si="23"/>
        <v/>
      </c>
      <c r="P79" s="104"/>
      <c r="Q79" s="99" t="str">
        <f t="shared" si="12"/>
        <v/>
      </c>
      <c r="R79" s="100" t="str">
        <f t="shared" si="13"/>
        <v/>
      </c>
      <c r="S79" s="100" t="str">
        <f t="shared" si="14"/>
        <v/>
      </c>
      <c r="T79" s="101" t="str">
        <f t="shared" si="15"/>
        <v/>
      </c>
      <c r="U79" s="101" t="str">
        <f t="shared" si="16"/>
        <v/>
      </c>
      <c r="V79" s="128" t="str">
        <f t="shared" si="17"/>
        <v/>
      </c>
      <c r="W79" s="128" t="str">
        <f t="shared" si="18"/>
        <v/>
      </c>
      <c r="X79" s="101" t="str">
        <f t="shared" si="19"/>
        <v/>
      </c>
      <c r="Y79" s="101" t="str">
        <f t="shared" si="20"/>
        <v/>
      </c>
      <c r="Z79" s="102" t="str">
        <f t="shared" si="21"/>
        <v/>
      </c>
      <c r="AA79" s="103" t="str">
        <f t="shared" si="22"/>
        <v/>
      </c>
      <c r="AB79" s="142" t="str">
        <f>IF(A79&lt;&gt;"", SUMIFS(node!$J$2:$J$500, node!$C$2:$C$500,"="&amp;A79)/P79, "")</f>
        <v/>
      </c>
      <c r="AC79" s="134" t="str">
        <f>IF(A79&lt;&gt;"", SUMIFS(node!$K$2:$K$500, node!$C$2:$C$500,"="&amp;A79)/P79, "")</f>
        <v/>
      </c>
      <c r="AD79" s="135" t="str">
        <f>IF(A79&lt;&gt;"", SUMIFS(node!$L$2:$L$500, node!$C$2:$C$500,"="&amp;A79), "")</f>
        <v/>
      </c>
      <c r="AE79" s="145" t="str">
        <f>IF(A79&lt;&gt;"", SUMIFS(node!$M$2:$M$500, node!$C$2:$C$500,"="&amp;A79), "")</f>
        <v/>
      </c>
    </row>
    <row r="80" spans="1:31" ht="15.75" customHeight="1" x14ac:dyDescent="0.25">
      <c r="A80" s="119" t="str">
        <f>IF(ISNONTEXT(node_raw[[#This Row],[Column2]]), "", node_raw[[#This Row],[Column2]])</f>
        <v/>
      </c>
      <c r="B80" s="116" t="str">
        <f>IF(A80&lt;&gt;"", VLOOKUP(A80, node!$C$2:$D$500, 2, FALSE), "")</f>
        <v/>
      </c>
      <c r="C80" s="117" t="str">
        <f>IF(A80&lt;&gt;"", VLOOKUP(A80, node!$C$2:$E$500, 3, FALSE), "")</f>
        <v/>
      </c>
      <c r="D80" s="118" t="str">
        <f>IF(A80&lt;&gt;"",COUNTIFS(node!$C$2:$C$500,"="&amp;A80, node!$C$2:$C$500,"&lt;&gt;"&amp;""),"")</f>
        <v/>
      </c>
      <c r="E80" s="122" t="str">
        <f>IF(A80&lt;&gt;"",SUMIFS(node!$F$2:$F$500, node!$C$2:$C$500,"="&amp;A80, node!$C$2:$C$500,"&lt;&gt;"&amp;"")/(B80*D80),"")</f>
        <v/>
      </c>
      <c r="F80" s="124" t="str">
        <f>IF(A80&lt;&gt;"",SUMIFS(node!$H$2:$H$500, node!$C$2:$C$500,"="&amp;A80, node!$C$2:$C$500,"&lt;&gt;"&amp;"")/(C80*D80),"")</f>
        <v/>
      </c>
      <c r="G80" s="93" t="str">
        <f>IF(A80&lt;&gt;"",SUMIFS(deployment!$F$4:$F$502, deployment!$D$4:$D$502,"="&amp;A80, deployment!$D$4:$D$502,"&lt;&gt;"&amp;""),"")</f>
        <v/>
      </c>
      <c r="H80" s="94" t="str">
        <f>IF(A80&lt;&gt;"",SUMIFS(deployment!$G$4:$G$502, deployment!$D$4:$D$502,"="&amp;A80, deployment!$D$4:$D$502,"&lt;&gt;"&amp;""),"")</f>
        <v/>
      </c>
      <c r="I80" s="95" t="str">
        <f>IF(A80&lt;&gt;"",SUMIFS(deployment!$H$4:$H$502, deployment!$D$4:$D$502,"="&amp;A80, deployment!$D$4:$D$502,"&lt;&gt;"&amp;""),"")</f>
        <v/>
      </c>
      <c r="J80" s="96" t="str">
        <f>IF(A80&lt;&gt;"",SUMIFS(deployment!$I$4:$I$502, deployment!$D$4:$D$502,"="&amp;A80, deployment!$D$4:$D$502,"&lt;&gt;"&amp;""),"")</f>
        <v/>
      </c>
      <c r="K80" s="112" t="str">
        <f>IF(A80&lt;&gt;"",SUMIFS(deployment!$J$4:$J$502, deployment!$D$4:$D$502,"="&amp;A80, deployment!$D$4:$D$502,"&lt;&gt;"&amp;""),"")</f>
        <v/>
      </c>
      <c r="L80" s="112" t="str">
        <f>IF(A80&lt;&gt;"",SUMIFS(deployment!$K$4:$K$502, deployment!$D$4:$D$502,"="&amp;A80, deployment!$D$4:$D$502,"&lt;&gt;"&amp;""),"")</f>
        <v/>
      </c>
      <c r="M80" s="97" t="str">
        <f>IF(A80&lt;&gt;"",SUMIFS(deployment!$L$4:$L$502, deployment!$D$4:$D$502,"="&amp;A80, deployment!$D$4:$D$502,"&lt;&gt;"&amp;""),"")</f>
        <v/>
      </c>
      <c r="N80" s="97" t="str">
        <f>IF(A80&lt;&gt;"",SUMIFS(deployment!$M$4:$M$502, deployment!$D$4:$D$502,"="&amp;A80, deployment!$D$4:$D$502,"&lt;&gt;"&amp;""),"")</f>
        <v/>
      </c>
      <c r="O80" s="127" t="str">
        <f t="shared" si="23"/>
        <v/>
      </c>
      <c r="P80" s="104"/>
      <c r="Q80" s="99" t="str">
        <f t="shared" si="12"/>
        <v/>
      </c>
      <c r="R80" s="100" t="str">
        <f t="shared" si="13"/>
        <v/>
      </c>
      <c r="S80" s="100" t="str">
        <f t="shared" si="14"/>
        <v/>
      </c>
      <c r="T80" s="101" t="str">
        <f t="shared" si="15"/>
        <v/>
      </c>
      <c r="U80" s="101" t="str">
        <f t="shared" si="16"/>
        <v/>
      </c>
      <c r="V80" s="128" t="str">
        <f t="shared" si="17"/>
        <v/>
      </c>
      <c r="W80" s="128" t="str">
        <f t="shared" si="18"/>
        <v/>
      </c>
      <c r="X80" s="101" t="str">
        <f t="shared" si="19"/>
        <v/>
      </c>
      <c r="Y80" s="101" t="str">
        <f t="shared" si="20"/>
        <v/>
      </c>
      <c r="Z80" s="102" t="str">
        <f t="shared" si="21"/>
        <v/>
      </c>
      <c r="AA80" s="103" t="str">
        <f t="shared" si="22"/>
        <v/>
      </c>
      <c r="AB80" s="142" t="str">
        <f>IF(A80&lt;&gt;"", SUMIFS(node!$J$2:$J$500, node!$C$2:$C$500,"="&amp;A80)/P80, "")</f>
        <v/>
      </c>
      <c r="AC80" s="134" t="str">
        <f>IF(A80&lt;&gt;"", SUMIFS(node!$K$2:$K$500, node!$C$2:$C$500,"="&amp;A80)/P80, "")</f>
        <v/>
      </c>
      <c r="AD80" s="135" t="str">
        <f>IF(A80&lt;&gt;"", SUMIFS(node!$L$2:$L$500, node!$C$2:$C$500,"="&amp;A80), "")</f>
        <v/>
      </c>
      <c r="AE80" s="145" t="str">
        <f>IF(A80&lt;&gt;"", SUMIFS(node!$M$2:$M$500, node!$C$2:$C$500,"="&amp;A80), "")</f>
        <v/>
      </c>
    </row>
    <row r="81" spans="1:31" ht="15.75" customHeight="1" x14ac:dyDescent="0.25">
      <c r="A81" s="119" t="str">
        <f>IF(ISNONTEXT(node_raw[[#This Row],[Column2]]), "", node_raw[[#This Row],[Column2]])</f>
        <v/>
      </c>
      <c r="B81" s="116" t="str">
        <f>IF(A81&lt;&gt;"", VLOOKUP(A81, node!$C$2:$D$500, 2, FALSE), "")</f>
        <v/>
      </c>
      <c r="C81" s="117" t="str">
        <f>IF(A81&lt;&gt;"", VLOOKUP(A81, node!$C$2:$E$500, 3, FALSE), "")</f>
        <v/>
      </c>
      <c r="D81" s="118" t="str">
        <f>IF(A81&lt;&gt;"",COUNTIFS(node!$C$2:$C$500,"="&amp;A81, node!$C$2:$C$500,"&lt;&gt;"&amp;""),"")</f>
        <v/>
      </c>
      <c r="E81" s="122" t="str">
        <f>IF(A81&lt;&gt;"",SUMIFS(node!$F$2:$F$500, node!$C$2:$C$500,"="&amp;A81, node!$C$2:$C$500,"&lt;&gt;"&amp;"")/(B81*D81),"")</f>
        <v/>
      </c>
      <c r="F81" s="124" t="str">
        <f>IF(A81&lt;&gt;"",SUMIFS(node!$H$2:$H$500, node!$C$2:$C$500,"="&amp;A81, node!$C$2:$C$500,"&lt;&gt;"&amp;"")/(C81*D81),"")</f>
        <v/>
      </c>
      <c r="G81" s="93" t="str">
        <f>IF(A81&lt;&gt;"",SUMIFS(deployment!$F$4:$F$502, deployment!$D$4:$D$502,"="&amp;A81, deployment!$D$4:$D$502,"&lt;&gt;"&amp;""),"")</f>
        <v/>
      </c>
      <c r="H81" s="94" t="str">
        <f>IF(A81&lt;&gt;"",SUMIFS(deployment!$G$4:$G$502, deployment!$D$4:$D$502,"="&amp;A81, deployment!$D$4:$D$502,"&lt;&gt;"&amp;""),"")</f>
        <v/>
      </c>
      <c r="I81" s="95" t="str">
        <f>IF(A81&lt;&gt;"",SUMIFS(deployment!$H$4:$H$502, deployment!$D$4:$D$502,"="&amp;A81, deployment!$D$4:$D$502,"&lt;&gt;"&amp;""),"")</f>
        <v/>
      </c>
      <c r="J81" s="96" t="str">
        <f>IF(A81&lt;&gt;"",SUMIFS(deployment!$I$4:$I$502, deployment!$D$4:$D$502,"="&amp;A81, deployment!$D$4:$D$502,"&lt;&gt;"&amp;""),"")</f>
        <v/>
      </c>
      <c r="K81" s="112" t="str">
        <f>IF(A81&lt;&gt;"",SUMIFS(deployment!$J$4:$J$502, deployment!$D$4:$D$502,"="&amp;A81, deployment!$D$4:$D$502,"&lt;&gt;"&amp;""),"")</f>
        <v/>
      </c>
      <c r="L81" s="112" t="str">
        <f>IF(A81&lt;&gt;"",SUMIFS(deployment!$K$4:$K$502, deployment!$D$4:$D$502,"="&amp;A81, deployment!$D$4:$D$502,"&lt;&gt;"&amp;""),"")</f>
        <v/>
      </c>
      <c r="M81" s="97" t="str">
        <f>IF(A81&lt;&gt;"",SUMIFS(deployment!$L$4:$L$502, deployment!$D$4:$D$502,"="&amp;A81, deployment!$D$4:$D$502,"&lt;&gt;"&amp;""),"")</f>
        <v/>
      </c>
      <c r="N81" s="97" t="str">
        <f>IF(A81&lt;&gt;"",SUMIFS(deployment!$M$4:$M$502, deployment!$D$4:$D$502,"="&amp;A81, deployment!$D$4:$D$502,"&lt;&gt;"&amp;""),"")</f>
        <v/>
      </c>
      <c r="O81" s="127" t="str">
        <f t="shared" si="23"/>
        <v/>
      </c>
      <c r="P81" s="104"/>
      <c r="Q81" s="99" t="str">
        <f t="shared" si="12"/>
        <v/>
      </c>
      <c r="R81" s="100" t="str">
        <f t="shared" si="13"/>
        <v/>
      </c>
      <c r="S81" s="100" t="str">
        <f t="shared" si="14"/>
        <v/>
      </c>
      <c r="T81" s="101" t="str">
        <f t="shared" si="15"/>
        <v/>
      </c>
      <c r="U81" s="101" t="str">
        <f t="shared" si="16"/>
        <v/>
      </c>
      <c r="V81" s="128" t="str">
        <f t="shared" si="17"/>
        <v/>
      </c>
      <c r="W81" s="128" t="str">
        <f t="shared" si="18"/>
        <v/>
      </c>
      <c r="X81" s="101" t="str">
        <f t="shared" si="19"/>
        <v/>
      </c>
      <c r="Y81" s="101" t="str">
        <f t="shared" si="20"/>
        <v/>
      </c>
      <c r="Z81" s="102" t="str">
        <f t="shared" si="21"/>
        <v/>
      </c>
      <c r="AA81" s="103" t="str">
        <f t="shared" si="22"/>
        <v/>
      </c>
      <c r="AB81" s="142" t="str">
        <f>IF(A81&lt;&gt;"", SUMIFS(node!$J$2:$J$500, node!$C$2:$C$500,"="&amp;A81)/P81, "")</f>
        <v/>
      </c>
      <c r="AC81" s="134" t="str">
        <f>IF(A81&lt;&gt;"", SUMIFS(node!$K$2:$K$500, node!$C$2:$C$500,"="&amp;A81)/P81, "")</f>
        <v/>
      </c>
      <c r="AD81" s="135" t="str">
        <f>IF(A81&lt;&gt;"", SUMIFS(node!$L$2:$L$500, node!$C$2:$C$500,"="&amp;A81), "")</f>
        <v/>
      </c>
      <c r="AE81" s="145" t="str">
        <f>IF(A81&lt;&gt;"", SUMIFS(node!$M$2:$M$500, node!$C$2:$C$500,"="&amp;A81), "")</f>
        <v/>
      </c>
    </row>
    <row r="82" spans="1:31" ht="15.75" customHeight="1" x14ac:dyDescent="0.25">
      <c r="A82" s="119" t="str">
        <f>IF(ISNONTEXT(node_raw[[#This Row],[Column2]]), "", node_raw[[#This Row],[Column2]])</f>
        <v/>
      </c>
      <c r="B82" s="116" t="str">
        <f>IF(A82&lt;&gt;"", VLOOKUP(A82, node!$C$2:$D$500, 2, FALSE), "")</f>
        <v/>
      </c>
      <c r="C82" s="117" t="str">
        <f>IF(A82&lt;&gt;"", VLOOKUP(A82, node!$C$2:$E$500, 3, FALSE), "")</f>
        <v/>
      </c>
      <c r="D82" s="118" t="str">
        <f>IF(A82&lt;&gt;"",COUNTIFS(node!$C$2:$C$500,"="&amp;A82, node!$C$2:$C$500,"&lt;&gt;"&amp;""),"")</f>
        <v/>
      </c>
      <c r="E82" s="122" t="str">
        <f>IF(A82&lt;&gt;"",SUMIFS(node!$F$2:$F$500, node!$C$2:$C$500,"="&amp;A82, node!$C$2:$C$500,"&lt;&gt;"&amp;"")/(B82*D82),"")</f>
        <v/>
      </c>
      <c r="F82" s="124" t="str">
        <f>IF(A82&lt;&gt;"",SUMIFS(node!$H$2:$H$500, node!$C$2:$C$500,"="&amp;A82, node!$C$2:$C$500,"&lt;&gt;"&amp;"")/(C82*D82),"")</f>
        <v/>
      </c>
      <c r="G82" s="93" t="str">
        <f>IF(A82&lt;&gt;"",SUMIFS(deployment!$F$4:$F$502, deployment!$D$4:$D$502,"="&amp;A82, deployment!$D$4:$D$502,"&lt;&gt;"&amp;""),"")</f>
        <v/>
      </c>
      <c r="H82" s="94" t="str">
        <f>IF(A82&lt;&gt;"",SUMIFS(deployment!$G$4:$G$502, deployment!$D$4:$D$502,"="&amp;A82, deployment!$D$4:$D$502,"&lt;&gt;"&amp;""),"")</f>
        <v/>
      </c>
      <c r="I82" s="95" t="str">
        <f>IF(A82&lt;&gt;"",SUMIFS(deployment!$H$4:$H$502, deployment!$D$4:$D$502,"="&amp;A82, deployment!$D$4:$D$502,"&lt;&gt;"&amp;""),"")</f>
        <v/>
      </c>
      <c r="J82" s="96" t="str">
        <f>IF(A82&lt;&gt;"",SUMIFS(deployment!$I$4:$I$502, deployment!$D$4:$D$502,"="&amp;A82, deployment!$D$4:$D$502,"&lt;&gt;"&amp;""),"")</f>
        <v/>
      </c>
      <c r="K82" s="112" t="str">
        <f>IF(A82&lt;&gt;"",SUMIFS(deployment!$J$4:$J$502, deployment!$D$4:$D$502,"="&amp;A82, deployment!$D$4:$D$502,"&lt;&gt;"&amp;""),"")</f>
        <v/>
      </c>
      <c r="L82" s="112" t="str">
        <f>IF(A82&lt;&gt;"",SUMIFS(deployment!$K$4:$K$502, deployment!$D$4:$D$502,"="&amp;A82, deployment!$D$4:$D$502,"&lt;&gt;"&amp;""),"")</f>
        <v/>
      </c>
      <c r="M82" s="97" t="str">
        <f>IF(A82&lt;&gt;"",SUMIFS(deployment!$L$4:$L$502, deployment!$D$4:$D$502,"="&amp;A82, deployment!$D$4:$D$502,"&lt;&gt;"&amp;""),"")</f>
        <v/>
      </c>
      <c r="N82" s="97" t="str">
        <f>IF(A82&lt;&gt;"",SUMIFS(deployment!$M$4:$M$502, deployment!$D$4:$D$502,"="&amp;A82, deployment!$D$4:$D$502,"&lt;&gt;"&amp;""),"")</f>
        <v/>
      </c>
      <c r="O82" s="127" t="str">
        <f t="shared" si="23"/>
        <v/>
      </c>
      <c r="P82" s="104"/>
      <c r="Q82" s="99" t="str">
        <f t="shared" si="12"/>
        <v/>
      </c>
      <c r="R82" s="100" t="str">
        <f t="shared" si="13"/>
        <v/>
      </c>
      <c r="S82" s="100" t="str">
        <f t="shared" si="14"/>
        <v/>
      </c>
      <c r="T82" s="101" t="str">
        <f t="shared" si="15"/>
        <v/>
      </c>
      <c r="U82" s="101" t="str">
        <f t="shared" si="16"/>
        <v/>
      </c>
      <c r="V82" s="128" t="str">
        <f t="shared" si="17"/>
        <v/>
      </c>
      <c r="W82" s="128" t="str">
        <f t="shared" si="18"/>
        <v/>
      </c>
      <c r="X82" s="101" t="str">
        <f t="shared" si="19"/>
        <v/>
      </c>
      <c r="Y82" s="101" t="str">
        <f t="shared" si="20"/>
        <v/>
      </c>
      <c r="Z82" s="102" t="str">
        <f t="shared" si="21"/>
        <v/>
      </c>
      <c r="AA82" s="103" t="str">
        <f t="shared" si="22"/>
        <v/>
      </c>
      <c r="AB82" s="142" t="str">
        <f>IF(A82&lt;&gt;"", SUMIFS(node!$J$2:$J$500, node!$C$2:$C$500,"="&amp;A82)/P82, "")</f>
        <v/>
      </c>
      <c r="AC82" s="134" t="str">
        <f>IF(A82&lt;&gt;"", SUMIFS(node!$K$2:$K$500, node!$C$2:$C$500,"="&amp;A82)/P82, "")</f>
        <v/>
      </c>
      <c r="AD82" s="135" t="str">
        <f>IF(A82&lt;&gt;"", SUMIFS(node!$L$2:$L$500, node!$C$2:$C$500,"="&amp;A82), "")</f>
        <v/>
      </c>
      <c r="AE82" s="145" t="str">
        <f>IF(A82&lt;&gt;"", SUMIFS(node!$M$2:$M$500, node!$C$2:$C$500,"="&amp;A82), "")</f>
        <v/>
      </c>
    </row>
    <row r="83" spans="1:31" ht="15.75" customHeight="1" x14ac:dyDescent="0.25">
      <c r="A83" s="119" t="str">
        <f>IF(ISNONTEXT(node_raw[[#This Row],[Column2]]), "", node_raw[[#This Row],[Column2]])</f>
        <v/>
      </c>
      <c r="B83" s="116" t="str">
        <f>IF(A83&lt;&gt;"", VLOOKUP(A83, node!$C$2:$D$500, 2, FALSE), "")</f>
        <v/>
      </c>
      <c r="C83" s="117" t="str">
        <f>IF(A83&lt;&gt;"", VLOOKUP(A83, node!$C$2:$E$500, 3, FALSE), "")</f>
        <v/>
      </c>
      <c r="D83" s="118" t="str">
        <f>IF(A83&lt;&gt;"",COUNTIFS(node!$C$2:$C$500,"="&amp;A83, node!$C$2:$C$500,"&lt;&gt;"&amp;""),"")</f>
        <v/>
      </c>
      <c r="E83" s="122" t="str">
        <f>IF(A83&lt;&gt;"",SUMIFS(node!$F$2:$F$500, node!$C$2:$C$500,"="&amp;A83, node!$C$2:$C$500,"&lt;&gt;"&amp;"")/(B83*D83),"")</f>
        <v/>
      </c>
      <c r="F83" s="124" t="str">
        <f>IF(A83&lt;&gt;"",SUMIFS(node!$H$2:$H$500, node!$C$2:$C$500,"="&amp;A83, node!$C$2:$C$500,"&lt;&gt;"&amp;"")/(C83*D83),"")</f>
        <v/>
      </c>
      <c r="G83" s="93" t="str">
        <f>IF(A83&lt;&gt;"",SUMIFS(deployment!$F$4:$F$502, deployment!$D$4:$D$502,"="&amp;A83, deployment!$D$4:$D$502,"&lt;&gt;"&amp;""),"")</f>
        <v/>
      </c>
      <c r="H83" s="94" t="str">
        <f>IF(A83&lt;&gt;"",SUMIFS(deployment!$G$4:$G$502, deployment!$D$4:$D$502,"="&amp;A83, deployment!$D$4:$D$502,"&lt;&gt;"&amp;""),"")</f>
        <v/>
      </c>
      <c r="I83" s="95" t="str">
        <f>IF(A83&lt;&gt;"",SUMIFS(deployment!$H$4:$H$502, deployment!$D$4:$D$502,"="&amp;A83, deployment!$D$4:$D$502,"&lt;&gt;"&amp;""),"")</f>
        <v/>
      </c>
      <c r="J83" s="96" t="str">
        <f>IF(A83&lt;&gt;"",SUMIFS(deployment!$I$4:$I$502, deployment!$D$4:$D$502,"="&amp;A83, deployment!$D$4:$D$502,"&lt;&gt;"&amp;""),"")</f>
        <v/>
      </c>
      <c r="K83" s="112" t="str">
        <f>IF(A83&lt;&gt;"",SUMIFS(deployment!$J$4:$J$502, deployment!$D$4:$D$502,"="&amp;A83, deployment!$D$4:$D$502,"&lt;&gt;"&amp;""),"")</f>
        <v/>
      </c>
      <c r="L83" s="112" t="str">
        <f>IF(A83&lt;&gt;"",SUMIFS(deployment!$K$4:$K$502, deployment!$D$4:$D$502,"="&amp;A83, deployment!$D$4:$D$502,"&lt;&gt;"&amp;""),"")</f>
        <v/>
      </c>
      <c r="M83" s="97" t="str">
        <f>IF(A83&lt;&gt;"",SUMIFS(deployment!$L$4:$L$502, deployment!$D$4:$D$502,"="&amp;A83, deployment!$D$4:$D$502,"&lt;&gt;"&amp;""),"")</f>
        <v/>
      </c>
      <c r="N83" s="97" t="str">
        <f>IF(A83&lt;&gt;"",SUMIFS(deployment!$M$4:$M$502, deployment!$D$4:$D$502,"="&amp;A83, deployment!$D$4:$D$502,"&lt;&gt;"&amp;""),"")</f>
        <v/>
      </c>
      <c r="O83" s="127" t="str">
        <f t="shared" si="23"/>
        <v/>
      </c>
      <c r="P83" s="104"/>
      <c r="Q83" s="99" t="str">
        <f t="shared" si="12"/>
        <v/>
      </c>
      <c r="R83" s="100" t="str">
        <f t="shared" si="13"/>
        <v/>
      </c>
      <c r="S83" s="100" t="str">
        <f t="shared" si="14"/>
        <v/>
      </c>
      <c r="T83" s="101" t="str">
        <f t="shared" si="15"/>
        <v/>
      </c>
      <c r="U83" s="101" t="str">
        <f t="shared" si="16"/>
        <v/>
      </c>
      <c r="V83" s="128" t="str">
        <f t="shared" si="17"/>
        <v/>
      </c>
      <c r="W83" s="128" t="str">
        <f t="shared" si="18"/>
        <v/>
      </c>
      <c r="X83" s="101" t="str">
        <f t="shared" si="19"/>
        <v/>
      </c>
      <c r="Y83" s="101" t="str">
        <f t="shared" si="20"/>
        <v/>
      </c>
      <c r="Z83" s="102" t="str">
        <f t="shared" si="21"/>
        <v/>
      </c>
      <c r="AA83" s="103" t="str">
        <f t="shared" si="22"/>
        <v/>
      </c>
      <c r="AB83" s="142" t="str">
        <f>IF(A83&lt;&gt;"", SUMIFS(node!$J$2:$J$500, node!$C$2:$C$500,"="&amp;A83)/P83, "")</f>
        <v/>
      </c>
      <c r="AC83" s="134" t="str">
        <f>IF(A83&lt;&gt;"", SUMIFS(node!$K$2:$K$500, node!$C$2:$C$500,"="&amp;A83)/P83, "")</f>
        <v/>
      </c>
      <c r="AD83" s="135" t="str">
        <f>IF(A83&lt;&gt;"", SUMIFS(node!$L$2:$L$500, node!$C$2:$C$500,"="&amp;A83), "")</f>
        <v/>
      </c>
      <c r="AE83" s="145" t="str">
        <f>IF(A83&lt;&gt;"", SUMIFS(node!$M$2:$M$500, node!$C$2:$C$500,"="&amp;A83), "")</f>
        <v/>
      </c>
    </row>
    <row r="84" spans="1:31" ht="15.75" customHeight="1" x14ac:dyDescent="0.25">
      <c r="A84" s="119" t="str">
        <f>IF(ISNONTEXT(node_raw[[#This Row],[Column2]]), "", node_raw[[#This Row],[Column2]])</f>
        <v/>
      </c>
      <c r="B84" s="116" t="str">
        <f>IF(A84&lt;&gt;"", VLOOKUP(A84, node!$C$2:$D$500, 2, FALSE), "")</f>
        <v/>
      </c>
      <c r="C84" s="117" t="str">
        <f>IF(A84&lt;&gt;"", VLOOKUP(A84, node!$C$2:$E$500, 3, FALSE), "")</f>
        <v/>
      </c>
      <c r="D84" s="118" t="str">
        <f>IF(A84&lt;&gt;"",COUNTIFS(node!$C$2:$C$500,"="&amp;A84, node!$C$2:$C$500,"&lt;&gt;"&amp;""),"")</f>
        <v/>
      </c>
      <c r="E84" s="122" t="str">
        <f>IF(A84&lt;&gt;"",SUMIFS(node!$F$2:$F$500, node!$C$2:$C$500,"="&amp;A84, node!$C$2:$C$500,"&lt;&gt;"&amp;"")/(B84*D84),"")</f>
        <v/>
      </c>
      <c r="F84" s="124" t="str">
        <f>IF(A84&lt;&gt;"",SUMIFS(node!$H$2:$H$500, node!$C$2:$C$500,"="&amp;A84, node!$C$2:$C$500,"&lt;&gt;"&amp;"")/(C84*D84),"")</f>
        <v/>
      </c>
      <c r="G84" s="93" t="str">
        <f>IF(A84&lt;&gt;"",SUMIFS(deployment!$F$4:$F$502, deployment!$D$4:$D$502,"="&amp;A84, deployment!$D$4:$D$502,"&lt;&gt;"&amp;""),"")</f>
        <v/>
      </c>
      <c r="H84" s="94" t="str">
        <f>IF(A84&lt;&gt;"",SUMIFS(deployment!$G$4:$G$502, deployment!$D$4:$D$502,"="&amp;A84, deployment!$D$4:$D$502,"&lt;&gt;"&amp;""),"")</f>
        <v/>
      </c>
      <c r="I84" s="95" t="str">
        <f>IF(A84&lt;&gt;"",SUMIFS(deployment!$H$4:$H$502, deployment!$D$4:$D$502,"="&amp;A84, deployment!$D$4:$D$502,"&lt;&gt;"&amp;""),"")</f>
        <v/>
      </c>
      <c r="J84" s="96" t="str">
        <f>IF(A84&lt;&gt;"",SUMIFS(deployment!$I$4:$I$502, deployment!$D$4:$D$502,"="&amp;A84, deployment!$D$4:$D$502,"&lt;&gt;"&amp;""),"")</f>
        <v/>
      </c>
      <c r="K84" s="112" t="str">
        <f>IF(A84&lt;&gt;"",SUMIFS(deployment!$J$4:$J$502, deployment!$D$4:$D$502,"="&amp;A84, deployment!$D$4:$D$502,"&lt;&gt;"&amp;""),"")</f>
        <v/>
      </c>
      <c r="L84" s="112" t="str">
        <f>IF(A84&lt;&gt;"",SUMIFS(deployment!$K$4:$K$502, deployment!$D$4:$D$502,"="&amp;A84, deployment!$D$4:$D$502,"&lt;&gt;"&amp;""),"")</f>
        <v/>
      </c>
      <c r="M84" s="97" t="str">
        <f>IF(A84&lt;&gt;"",SUMIFS(deployment!$L$4:$L$502, deployment!$D$4:$D$502,"="&amp;A84, deployment!$D$4:$D$502,"&lt;&gt;"&amp;""),"")</f>
        <v/>
      </c>
      <c r="N84" s="97" t="str">
        <f>IF(A84&lt;&gt;"",SUMIFS(deployment!$M$4:$M$502, deployment!$D$4:$D$502,"="&amp;A84, deployment!$D$4:$D$502,"&lt;&gt;"&amp;""),"")</f>
        <v/>
      </c>
      <c r="O84" s="127" t="str">
        <f t="shared" si="23"/>
        <v/>
      </c>
      <c r="P84" s="104"/>
      <c r="Q84" s="99" t="str">
        <f t="shared" si="12"/>
        <v/>
      </c>
      <c r="R84" s="100" t="str">
        <f t="shared" si="13"/>
        <v/>
      </c>
      <c r="S84" s="100" t="str">
        <f t="shared" si="14"/>
        <v/>
      </c>
      <c r="T84" s="101" t="str">
        <f t="shared" si="15"/>
        <v/>
      </c>
      <c r="U84" s="101" t="str">
        <f t="shared" si="16"/>
        <v/>
      </c>
      <c r="V84" s="128" t="str">
        <f t="shared" si="17"/>
        <v/>
      </c>
      <c r="W84" s="128" t="str">
        <f t="shared" si="18"/>
        <v/>
      </c>
      <c r="X84" s="101" t="str">
        <f t="shared" si="19"/>
        <v/>
      </c>
      <c r="Y84" s="101" t="str">
        <f t="shared" si="20"/>
        <v/>
      </c>
      <c r="Z84" s="102" t="str">
        <f t="shared" si="21"/>
        <v/>
      </c>
      <c r="AA84" s="103" t="str">
        <f t="shared" si="22"/>
        <v/>
      </c>
      <c r="AB84" s="142" t="str">
        <f>IF(A84&lt;&gt;"", SUMIFS(node!$J$2:$J$500, node!$C$2:$C$500,"="&amp;A84)/P84, "")</f>
        <v/>
      </c>
      <c r="AC84" s="134" t="str">
        <f>IF(A84&lt;&gt;"", SUMIFS(node!$K$2:$K$500, node!$C$2:$C$500,"="&amp;A84)/P84, "")</f>
        <v/>
      </c>
      <c r="AD84" s="135" t="str">
        <f>IF(A84&lt;&gt;"", SUMIFS(node!$L$2:$L$500, node!$C$2:$C$500,"="&amp;A84), "")</f>
        <v/>
      </c>
      <c r="AE84" s="145" t="str">
        <f>IF(A84&lt;&gt;"", SUMIFS(node!$M$2:$M$500, node!$C$2:$C$500,"="&amp;A84), "")</f>
        <v/>
      </c>
    </row>
    <row r="85" spans="1:31" ht="15.75" customHeight="1" x14ac:dyDescent="0.25">
      <c r="A85" s="119" t="str">
        <f>IF(ISNONTEXT(node_raw[[#This Row],[Column2]]), "", node_raw[[#This Row],[Column2]])</f>
        <v/>
      </c>
      <c r="B85" s="116" t="str">
        <f>IF(A85&lt;&gt;"", VLOOKUP(A85, node!$C$2:$D$500, 2, FALSE), "")</f>
        <v/>
      </c>
      <c r="C85" s="117" t="str">
        <f>IF(A85&lt;&gt;"", VLOOKUP(A85, node!$C$2:$E$500, 3, FALSE), "")</f>
        <v/>
      </c>
      <c r="D85" s="118" t="str">
        <f>IF(A85&lt;&gt;"",COUNTIFS(node!$C$2:$C$500,"="&amp;A85, node!$C$2:$C$500,"&lt;&gt;"&amp;""),"")</f>
        <v/>
      </c>
      <c r="E85" s="122" t="str">
        <f>IF(A85&lt;&gt;"",SUMIFS(node!$F$2:$F$500, node!$C$2:$C$500,"="&amp;A85, node!$C$2:$C$500,"&lt;&gt;"&amp;"")/(B85*D85),"")</f>
        <v/>
      </c>
      <c r="F85" s="124" t="str">
        <f>IF(A85&lt;&gt;"",SUMIFS(node!$H$2:$H$500, node!$C$2:$C$500,"="&amp;A85, node!$C$2:$C$500,"&lt;&gt;"&amp;"")/(C85*D85),"")</f>
        <v/>
      </c>
      <c r="G85" s="93" t="str">
        <f>IF(A85&lt;&gt;"",SUMIFS(deployment!$F$4:$F$502, deployment!$D$4:$D$502,"="&amp;A85, deployment!$D$4:$D$502,"&lt;&gt;"&amp;""),"")</f>
        <v/>
      </c>
      <c r="H85" s="94" t="str">
        <f>IF(A85&lt;&gt;"",SUMIFS(deployment!$G$4:$G$502, deployment!$D$4:$D$502,"="&amp;A85, deployment!$D$4:$D$502,"&lt;&gt;"&amp;""),"")</f>
        <v/>
      </c>
      <c r="I85" s="95" t="str">
        <f>IF(A85&lt;&gt;"",SUMIFS(deployment!$H$4:$H$502, deployment!$D$4:$D$502,"="&amp;A85, deployment!$D$4:$D$502,"&lt;&gt;"&amp;""),"")</f>
        <v/>
      </c>
      <c r="J85" s="96" t="str">
        <f>IF(A85&lt;&gt;"",SUMIFS(deployment!$I$4:$I$502, deployment!$D$4:$D$502,"="&amp;A85, deployment!$D$4:$D$502,"&lt;&gt;"&amp;""),"")</f>
        <v/>
      </c>
      <c r="K85" s="112" t="str">
        <f>IF(A85&lt;&gt;"",SUMIFS(deployment!$J$4:$J$502, deployment!$D$4:$D$502,"="&amp;A85, deployment!$D$4:$D$502,"&lt;&gt;"&amp;""),"")</f>
        <v/>
      </c>
      <c r="L85" s="112" t="str">
        <f>IF(A85&lt;&gt;"",SUMIFS(deployment!$K$4:$K$502, deployment!$D$4:$D$502,"="&amp;A85, deployment!$D$4:$D$502,"&lt;&gt;"&amp;""),"")</f>
        <v/>
      </c>
      <c r="M85" s="97" t="str">
        <f>IF(A85&lt;&gt;"",SUMIFS(deployment!$L$4:$L$502, deployment!$D$4:$D$502,"="&amp;A85, deployment!$D$4:$D$502,"&lt;&gt;"&amp;""),"")</f>
        <v/>
      </c>
      <c r="N85" s="97" t="str">
        <f>IF(A85&lt;&gt;"",SUMIFS(deployment!$M$4:$M$502, deployment!$D$4:$D$502,"="&amp;A85, deployment!$D$4:$D$502,"&lt;&gt;"&amp;""),"")</f>
        <v/>
      </c>
      <c r="O85" s="127" t="str">
        <f t="shared" si="23"/>
        <v/>
      </c>
      <c r="P85" s="104"/>
      <c r="Q85" s="99" t="str">
        <f t="shared" si="12"/>
        <v/>
      </c>
      <c r="R85" s="100" t="str">
        <f t="shared" si="13"/>
        <v/>
      </c>
      <c r="S85" s="100" t="str">
        <f t="shared" si="14"/>
        <v/>
      </c>
      <c r="T85" s="101" t="str">
        <f t="shared" si="15"/>
        <v/>
      </c>
      <c r="U85" s="101" t="str">
        <f t="shared" si="16"/>
        <v/>
      </c>
      <c r="V85" s="128" t="str">
        <f t="shared" si="17"/>
        <v/>
      </c>
      <c r="W85" s="128" t="str">
        <f t="shared" si="18"/>
        <v/>
      </c>
      <c r="X85" s="101" t="str">
        <f t="shared" si="19"/>
        <v/>
      </c>
      <c r="Y85" s="101" t="str">
        <f t="shared" si="20"/>
        <v/>
      </c>
      <c r="Z85" s="102" t="str">
        <f t="shared" si="21"/>
        <v/>
      </c>
      <c r="AA85" s="103" t="str">
        <f t="shared" si="22"/>
        <v/>
      </c>
      <c r="AB85" s="142" t="str">
        <f>IF(A85&lt;&gt;"", SUMIFS(node!$J$2:$J$500, node!$C$2:$C$500,"="&amp;A85)/P85, "")</f>
        <v/>
      </c>
      <c r="AC85" s="134" t="str">
        <f>IF(A85&lt;&gt;"", SUMIFS(node!$K$2:$K$500, node!$C$2:$C$500,"="&amp;A85)/P85, "")</f>
        <v/>
      </c>
      <c r="AD85" s="135" t="str">
        <f>IF(A85&lt;&gt;"", SUMIFS(node!$L$2:$L$500, node!$C$2:$C$500,"="&amp;A85), "")</f>
        <v/>
      </c>
      <c r="AE85" s="145" t="str">
        <f>IF(A85&lt;&gt;"", SUMIFS(node!$M$2:$M$500, node!$C$2:$C$500,"="&amp;A85), "")</f>
        <v/>
      </c>
    </row>
    <row r="86" spans="1:31" ht="15.75" customHeight="1" x14ac:dyDescent="0.25">
      <c r="A86" s="119" t="str">
        <f>IF(ISNONTEXT(node_raw[[#This Row],[Column2]]), "", node_raw[[#This Row],[Column2]])</f>
        <v/>
      </c>
      <c r="B86" s="116" t="str">
        <f>IF(A86&lt;&gt;"", VLOOKUP(A86, node!$C$2:$D$500, 2, FALSE), "")</f>
        <v/>
      </c>
      <c r="C86" s="117" t="str">
        <f>IF(A86&lt;&gt;"", VLOOKUP(A86, node!$C$2:$E$500, 3, FALSE), "")</f>
        <v/>
      </c>
      <c r="D86" s="118" t="str">
        <f>IF(A86&lt;&gt;"",COUNTIFS(node!$C$2:$C$500,"="&amp;A86, node!$C$2:$C$500,"&lt;&gt;"&amp;""),"")</f>
        <v/>
      </c>
      <c r="E86" s="122" t="str">
        <f>IF(A86&lt;&gt;"",SUMIFS(node!$F$2:$F$500, node!$C$2:$C$500,"="&amp;A86, node!$C$2:$C$500,"&lt;&gt;"&amp;"")/(B86*D86),"")</f>
        <v/>
      </c>
      <c r="F86" s="124" t="str">
        <f>IF(A86&lt;&gt;"",SUMIFS(node!$H$2:$H$500, node!$C$2:$C$500,"="&amp;A86, node!$C$2:$C$500,"&lt;&gt;"&amp;"")/(C86*D86),"")</f>
        <v/>
      </c>
      <c r="G86" s="93" t="str">
        <f>IF(A86&lt;&gt;"",SUMIFS(deployment!$F$4:$F$502, deployment!$D$4:$D$502,"="&amp;A86, deployment!$D$4:$D$502,"&lt;&gt;"&amp;""),"")</f>
        <v/>
      </c>
      <c r="H86" s="94" t="str">
        <f>IF(A86&lt;&gt;"",SUMIFS(deployment!$G$4:$G$502, deployment!$D$4:$D$502,"="&amp;A86, deployment!$D$4:$D$502,"&lt;&gt;"&amp;""),"")</f>
        <v/>
      </c>
      <c r="I86" s="95" t="str">
        <f>IF(A86&lt;&gt;"",SUMIFS(deployment!$H$4:$H$502, deployment!$D$4:$D$502,"="&amp;A86, deployment!$D$4:$D$502,"&lt;&gt;"&amp;""),"")</f>
        <v/>
      </c>
      <c r="J86" s="96" t="str">
        <f>IF(A86&lt;&gt;"",SUMIFS(deployment!$I$4:$I$502, deployment!$D$4:$D$502,"="&amp;A86, deployment!$D$4:$D$502,"&lt;&gt;"&amp;""),"")</f>
        <v/>
      </c>
      <c r="K86" s="112" t="str">
        <f>IF(A86&lt;&gt;"",SUMIFS(deployment!$J$4:$J$502, deployment!$D$4:$D$502,"="&amp;A86, deployment!$D$4:$D$502,"&lt;&gt;"&amp;""),"")</f>
        <v/>
      </c>
      <c r="L86" s="112" t="str">
        <f>IF(A86&lt;&gt;"",SUMIFS(deployment!$K$4:$K$502, deployment!$D$4:$D$502,"="&amp;A86, deployment!$D$4:$D$502,"&lt;&gt;"&amp;""),"")</f>
        <v/>
      </c>
      <c r="M86" s="97" t="str">
        <f>IF(A86&lt;&gt;"",SUMIFS(deployment!$L$4:$L$502, deployment!$D$4:$D$502,"="&amp;A86, deployment!$D$4:$D$502,"&lt;&gt;"&amp;""),"")</f>
        <v/>
      </c>
      <c r="N86" s="97" t="str">
        <f>IF(A86&lt;&gt;"",SUMIFS(deployment!$M$4:$M$502, deployment!$D$4:$D$502,"="&amp;A86, deployment!$D$4:$D$502,"&lt;&gt;"&amp;""),"")</f>
        <v/>
      </c>
      <c r="O86" s="127" t="str">
        <f t="shared" si="23"/>
        <v/>
      </c>
      <c r="P86" s="104"/>
      <c r="Q86" s="99" t="str">
        <f t="shared" si="12"/>
        <v/>
      </c>
      <c r="R86" s="100" t="str">
        <f t="shared" si="13"/>
        <v/>
      </c>
      <c r="S86" s="100" t="str">
        <f t="shared" si="14"/>
        <v/>
      </c>
      <c r="T86" s="101" t="str">
        <f t="shared" si="15"/>
        <v/>
      </c>
      <c r="U86" s="101" t="str">
        <f t="shared" si="16"/>
        <v/>
      </c>
      <c r="V86" s="128" t="str">
        <f t="shared" si="17"/>
        <v/>
      </c>
      <c r="W86" s="128" t="str">
        <f t="shared" si="18"/>
        <v/>
      </c>
      <c r="X86" s="101" t="str">
        <f t="shared" si="19"/>
        <v/>
      </c>
      <c r="Y86" s="101" t="str">
        <f t="shared" si="20"/>
        <v/>
      </c>
      <c r="Z86" s="102" t="str">
        <f t="shared" si="21"/>
        <v/>
      </c>
      <c r="AA86" s="103" t="str">
        <f t="shared" si="22"/>
        <v/>
      </c>
      <c r="AB86" s="142" t="str">
        <f>IF(A86&lt;&gt;"", SUMIFS(node!$J$2:$J$500, node!$C$2:$C$500,"="&amp;A86)/P86, "")</f>
        <v/>
      </c>
      <c r="AC86" s="134" t="str">
        <f>IF(A86&lt;&gt;"", SUMIFS(node!$K$2:$K$500, node!$C$2:$C$500,"="&amp;A86)/P86, "")</f>
        <v/>
      </c>
      <c r="AD86" s="135" t="str">
        <f>IF(A86&lt;&gt;"", SUMIFS(node!$L$2:$L$500, node!$C$2:$C$500,"="&amp;A86), "")</f>
        <v/>
      </c>
      <c r="AE86" s="145" t="str">
        <f>IF(A86&lt;&gt;"", SUMIFS(node!$M$2:$M$500, node!$C$2:$C$500,"="&amp;A86), "")</f>
        <v/>
      </c>
    </row>
    <row r="87" spans="1:31" ht="15.75" customHeight="1" x14ac:dyDescent="0.25">
      <c r="A87" s="119" t="str">
        <f>IF(ISNONTEXT(node_raw[[#This Row],[Column2]]), "", node_raw[[#This Row],[Column2]])</f>
        <v/>
      </c>
      <c r="B87" s="116" t="str">
        <f>IF(A87&lt;&gt;"", VLOOKUP(A87, node!$C$2:$D$500, 2, FALSE), "")</f>
        <v/>
      </c>
      <c r="C87" s="117" t="str">
        <f>IF(A87&lt;&gt;"", VLOOKUP(A87, node!$C$2:$E$500, 3, FALSE), "")</f>
        <v/>
      </c>
      <c r="D87" s="118" t="str">
        <f>IF(A87&lt;&gt;"",COUNTIFS(node!$C$2:$C$500,"="&amp;A87, node!$C$2:$C$500,"&lt;&gt;"&amp;""),"")</f>
        <v/>
      </c>
      <c r="E87" s="122" t="str">
        <f>IF(A87&lt;&gt;"",SUMIFS(node!$F$2:$F$500, node!$C$2:$C$500,"="&amp;A87, node!$C$2:$C$500,"&lt;&gt;"&amp;"")/(B87*D87),"")</f>
        <v/>
      </c>
      <c r="F87" s="124" t="str">
        <f>IF(A87&lt;&gt;"",SUMIFS(node!$H$2:$H$500, node!$C$2:$C$500,"="&amp;A87, node!$C$2:$C$500,"&lt;&gt;"&amp;"")/(C87*D87),"")</f>
        <v/>
      </c>
      <c r="G87" s="93" t="str">
        <f>IF(A87&lt;&gt;"",SUMIFS(deployment!$F$4:$F$502, deployment!$D$4:$D$502,"="&amp;A87, deployment!$D$4:$D$502,"&lt;&gt;"&amp;""),"")</f>
        <v/>
      </c>
      <c r="H87" s="94" t="str">
        <f>IF(A87&lt;&gt;"",SUMIFS(deployment!$G$4:$G$502, deployment!$D$4:$D$502,"="&amp;A87, deployment!$D$4:$D$502,"&lt;&gt;"&amp;""),"")</f>
        <v/>
      </c>
      <c r="I87" s="95" t="str">
        <f>IF(A87&lt;&gt;"",SUMIFS(deployment!$H$4:$H$502, deployment!$D$4:$D$502,"="&amp;A87, deployment!$D$4:$D$502,"&lt;&gt;"&amp;""),"")</f>
        <v/>
      </c>
      <c r="J87" s="96" t="str">
        <f>IF(A87&lt;&gt;"",SUMIFS(deployment!$I$4:$I$502, deployment!$D$4:$D$502,"="&amp;A87, deployment!$D$4:$D$502,"&lt;&gt;"&amp;""),"")</f>
        <v/>
      </c>
      <c r="K87" s="112" t="str">
        <f>IF(A87&lt;&gt;"",SUMIFS(deployment!$J$4:$J$502, deployment!$D$4:$D$502,"="&amp;A87, deployment!$D$4:$D$502,"&lt;&gt;"&amp;""),"")</f>
        <v/>
      </c>
      <c r="L87" s="112" t="str">
        <f>IF(A87&lt;&gt;"",SUMIFS(deployment!$K$4:$K$502, deployment!$D$4:$D$502,"="&amp;A87, deployment!$D$4:$D$502,"&lt;&gt;"&amp;""),"")</f>
        <v/>
      </c>
      <c r="M87" s="97" t="str">
        <f>IF(A87&lt;&gt;"",SUMIFS(deployment!$L$4:$L$502, deployment!$D$4:$D$502,"="&amp;A87, deployment!$D$4:$D$502,"&lt;&gt;"&amp;""),"")</f>
        <v/>
      </c>
      <c r="N87" s="97" t="str">
        <f>IF(A87&lt;&gt;"",SUMIFS(deployment!$M$4:$M$502, deployment!$D$4:$D$502,"="&amp;A87, deployment!$D$4:$D$502,"&lt;&gt;"&amp;""),"")</f>
        <v/>
      </c>
      <c r="O87" s="127" t="str">
        <f t="shared" si="23"/>
        <v/>
      </c>
      <c r="P87" s="104"/>
      <c r="Q87" s="99" t="str">
        <f t="shared" si="12"/>
        <v/>
      </c>
      <c r="R87" s="100" t="str">
        <f t="shared" si="13"/>
        <v/>
      </c>
      <c r="S87" s="100" t="str">
        <f t="shared" si="14"/>
        <v/>
      </c>
      <c r="T87" s="101" t="str">
        <f t="shared" si="15"/>
        <v/>
      </c>
      <c r="U87" s="101" t="str">
        <f t="shared" si="16"/>
        <v/>
      </c>
      <c r="V87" s="128" t="str">
        <f t="shared" si="17"/>
        <v/>
      </c>
      <c r="W87" s="128" t="str">
        <f t="shared" si="18"/>
        <v/>
      </c>
      <c r="X87" s="101" t="str">
        <f t="shared" si="19"/>
        <v/>
      </c>
      <c r="Y87" s="101" t="str">
        <f t="shared" si="20"/>
        <v/>
      </c>
      <c r="Z87" s="102" t="str">
        <f t="shared" si="21"/>
        <v/>
      </c>
      <c r="AA87" s="103" t="str">
        <f t="shared" si="22"/>
        <v/>
      </c>
      <c r="AB87" s="142" t="str">
        <f>IF(A87&lt;&gt;"", SUMIFS(node!$J$2:$J$500, node!$C$2:$C$500,"="&amp;A87)/P87, "")</f>
        <v/>
      </c>
      <c r="AC87" s="134" t="str">
        <f>IF(A87&lt;&gt;"", SUMIFS(node!$K$2:$K$500, node!$C$2:$C$500,"="&amp;A87)/P87, "")</f>
        <v/>
      </c>
      <c r="AD87" s="135" t="str">
        <f>IF(A87&lt;&gt;"", SUMIFS(node!$L$2:$L$500, node!$C$2:$C$500,"="&amp;A87), "")</f>
        <v/>
      </c>
      <c r="AE87" s="145" t="str">
        <f>IF(A87&lt;&gt;"", SUMIFS(node!$M$2:$M$500, node!$C$2:$C$500,"="&amp;A87), "")</f>
        <v/>
      </c>
    </row>
    <row r="88" spans="1:31" ht="15.75" customHeight="1" x14ac:dyDescent="0.25">
      <c r="A88" s="119" t="str">
        <f>IF(ISNONTEXT(node_raw[[#This Row],[Column2]]), "", node_raw[[#This Row],[Column2]])</f>
        <v/>
      </c>
      <c r="B88" s="116" t="str">
        <f>IF(A88&lt;&gt;"", VLOOKUP(A88, node!$C$2:$D$500, 2, FALSE), "")</f>
        <v/>
      </c>
      <c r="C88" s="117" t="str">
        <f>IF(A88&lt;&gt;"", VLOOKUP(A88, node!$C$2:$E$500, 3, FALSE), "")</f>
        <v/>
      </c>
      <c r="D88" s="118" t="str">
        <f>IF(A88&lt;&gt;"",COUNTIFS(node!$C$2:$C$500,"="&amp;A88, node!$C$2:$C$500,"&lt;&gt;"&amp;""),"")</f>
        <v/>
      </c>
      <c r="E88" s="122" t="str">
        <f>IF(A88&lt;&gt;"",SUMIFS(node!$F$2:$F$500, node!$C$2:$C$500,"="&amp;A88, node!$C$2:$C$500,"&lt;&gt;"&amp;"")/(B88*D88),"")</f>
        <v/>
      </c>
      <c r="F88" s="124" t="str">
        <f>IF(A88&lt;&gt;"",SUMIFS(node!$H$2:$H$500, node!$C$2:$C$500,"="&amp;A88, node!$C$2:$C$500,"&lt;&gt;"&amp;"")/(C88*D88),"")</f>
        <v/>
      </c>
      <c r="G88" s="93" t="str">
        <f>IF(A88&lt;&gt;"",SUMIFS(deployment!$F$4:$F$502, deployment!$D$4:$D$502,"="&amp;A88, deployment!$D$4:$D$502,"&lt;&gt;"&amp;""),"")</f>
        <v/>
      </c>
      <c r="H88" s="94" t="str">
        <f>IF(A88&lt;&gt;"",SUMIFS(deployment!$G$4:$G$502, deployment!$D$4:$D$502,"="&amp;A88, deployment!$D$4:$D$502,"&lt;&gt;"&amp;""),"")</f>
        <v/>
      </c>
      <c r="I88" s="95" t="str">
        <f>IF(A88&lt;&gt;"",SUMIFS(deployment!$H$4:$H$502, deployment!$D$4:$D$502,"="&amp;A88, deployment!$D$4:$D$502,"&lt;&gt;"&amp;""),"")</f>
        <v/>
      </c>
      <c r="J88" s="96" t="str">
        <f>IF(A88&lt;&gt;"",SUMIFS(deployment!$I$4:$I$502, deployment!$D$4:$D$502,"="&amp;A88, deployment!$D$4:$D$502,"&lt;&gt;"&amp;""),"")</f>
        <v/>
      </c>
      <c r="K88" s="112" t="str">
        <f>IF(A88&lt;&gt;"",SUMIFS(deployment!$J$4:$J$502, deployment!$D$4:$D$502,"="&amp;A88, deployment!$D$4:$D$502,"&lt;&gt;"&amp;""),"")</f>
        <v/>
      </c>
      <c r="L88" s="112" t="str">
        <f>IF(A88&lt;&gt;"",SUMIFS(deployment!$K$4:$K$502, deployment!$D$4:$D$502,"="&amp;A88, deployment!$D$4:$D$502,"&lt;&gt;"&amp;""),"")</f>
        <v/>
      </c>
      <c r="M88" s="97" t="str">
        <f>IF(A88&lt;&gt;"",SUMIFS(deployment!$L$4:$L$502, deployment!$D$4:$D$502,"="&amp;A88, deployment!$D$4:$D$502,"&lt;&gt;"&amp;""),"")</f>
        <v/>
      </c>
      <c r="N88" s="97" t="str">
        <f>IF(A88&lt;&gt;"",SUMIFS(deployment!$M$4:$M$502, deployment!$D$4:$D$502,"="&amp;A88, deployment!$D$4:$D$502,"&lt;&gt;"&amp;""),"")</f>
        <v/>
      </c>
      <c r="O88" s="127" t="str">
        <f t="shared" si="23"/>
        <v/>
      </c>
      <c r="P88" s="104"/>
      <c r="Q88" s="99" t="str">
        <f t="shared" si="12"/>
        <v/>
      </c>
      <c r="R88" s="100" t="str">
        <f t="shared" si="13"/>
        <v/>
      </c>
      <c r="S88" s="100" t="str">
        <f t="shared" si="14"/>
        <v/>
      </c>
      <c r="T88" s="101" t="str">
        <f t="shared" si="15"/>
        <v/>
      </c>
      <c r="U88" s="101" t="str">
        <f t="shared" si="16"/>
        <v/>
      </c>
      <c r="V88" s="128" t="str">
        <f t="shared" si="17"/>
        <v/>
      </c>
      <c r="W88" s="128" t="str">
        <f t="shared" si="18"/>
        <v/>
      </c>
      <c r="X88" s="101" t="str">
        <f t="shared" si="19"/>
        <v/>
      </c>
      <c r="Y88" s="101" t="str">
        <f t="shared" si="20"/>
        <v/>
      </c>
      <c r="Z88" s="102" t="str">
        <f t="shared" si="21"/>
        <v/>
      </c>
      <c r="AA88" s="103" t="str">
        <f t="shared" si="22"/>
        <v/>
      </c>
      <c r="AB88" s="142" t="str">
        <f>IF(A88&lt;&gt;"", SUMIFS(node!$J$2:$J$500, node!$C$2:$C$500,"="&amp;A88)/P88, "")</f>
        <v/>
      </c>
      <c r="AC88" s="134" t="str">
        <f>IF(A88&lt;&gt;"", SUMIFS(node!$K$2:$K$500, node!$C$2:$C$500,"="&amp;A88)/P88, "")</f>
        <v/>
      </c>
      <c r="AD88" s="135" t="str">
        <f>IF(A88&lt;&gt;"", SUMIFS(node!$L$2:$L$500, node!$C$2:$C$500,"="&amp;A88), "")</f>
        <v/>
      </c>
      <c r="AE88" s="145" t="str">
        <f>IF(A88&lt;&gt;"", SUMIFS(node!$M$2:$M$500, node!$C$2:$C$500,"="&amp;A88), "")</f>
        <v/>
      </c>
    </row>
    <row r="89" spans="1:31" ht="15.75" customHeight="1" x14ac:dyDescent="0.25">
      <c r="A89" s="119" t="str">
        <f>IF(ISNONTEXT(node_raw[[#This Row],[Column2]]), "", node_raw[[#This Row],[Column2]])</f>
        <v/>
      </c>
      <c r="B89" s="116" t="str">
        <f>IF(A89&lt;&gt;"", VLOOKUP(A89, node!$C$2:$D$500, 2, FALSE), "")</f>
        <v/>
      </c>
      <c r="C89" s="117" t="str">
        <f>IF(A89&lt;&gt;"", VLOOKUP(A89, node!$C$2:$E$500, 3, FALSE), "")</f>
        <v/>
      </c>
      <c r="D89" s="118" t="str">
        <f>IF(A89&lt;&gt;"",COUNTIFS(node!$C$2:$C$500,"="&amp;A89, node!$C$2:$C$500,"&lt;&gt;"&amp;""),"")</f>
        <v/>
      </c>
      <c r="E89" s="122" t="str">
        <f>IF(A89&lt;&gt;"",SUMIFS(node!$F$2:$F$500, node!$C$2:$C$500,"="&amp;A89, node!$C$2:$C$500,"&lt;&gt;"&amp;"")/(B89*D89),"")</f>
        <v/>
      </c>
      <c r="F89" s="124" t="str">
        <f>IF(A89&lt;&gt;"",SUMIFS(node!$H$2:$H$500, node!$C$2:$C$500,"="&amp;A89, node!$C$2:$C$500,"&lt;&gt;"&amp;"")/(C89*D89),"")</f>
        <v/>
      </c>
      <c r="G89" s="93" t="str">
        <f>IF(A89&lt;&gt;"",SUMIFS(deployment!$F$4:$F$502, deployment!$D$4:$D$502,"="&amp;A89, deployment!$D$4:$D$502,"&lt;&gt;"&amp;""),"")</f>
        <v/>
      </c>
      <c r="H89" s="94" t="str">
        <f>IF(A89&lt;&gt;"",SUMIFS(deployment!$G$4:$G$502, deployment!$D$4:$D$502,"="&amp;A89, deployment!$D$4:$D$502,"&lt;&gt;"&amp;""),"")</f>
        <v/>
      </c>
      <c r="I89" s="95" t="str">
        <f>IF(A89&lt;&gt;"",SUMIFS(deployment!$H$4:$H$502, deployment!$D$4:$D$502,"="&amp;A89, deployment!$D$4:$D$502,"&lt;&gt;"&amp;""),"")</f>
        <v/>
      </c>
      <c r="J89" s="96" t="str">
        <f>IF(A89&lt;&gt;"",SUMIFS(deployment!$I$4:$I$502, deployment!$D$4:$D$502,"="&amp;A89, deployment!$D$4:$D$502,"&lt;&gt;"&amp;""),"")</f>
        <v/>
      </c>
      <c r="K89" s="112" t="str">
        <f>IF(A89&lt;&gt;"",SUMIFS(deployment!$J$4:$J$502, deployment!$D$4:$D$502,"="&amp;A89, deployment!$D$4:$D$502,"&lt;&gt;"&amp;""),"")</f>
        <v/>
      </c>
      <c r="L89" s="112" t="str">
        <f>IF(A89&lt;&gt;"",SUMIFS(deployment!$K$4:$K$502, deployment!$D$4:$D$502,"="&amp;A89, deployment!$D$4:$D$502,"&lt;&gt;"&amp;""),"")</f>
        <v/>
      </c>
      <c r="M89" s="97" t="str">
        <f>IF(A89&lt;&gt;"",SUMIFS(deployment!$L$4:$L$502, deployment!$D$4:$D$502,"="&amp;A89, deployment!$D$4:$D$502,"&lt;&gt;"&amp;""),"")</f>
        <v/>
      </c>
      <c r="N89" s="97" t="str">
        <f>IF(A89&lt;&gt;"",SUMIFS(deployment!$M$4:$M$502, deployment!$D$4:$D$502,"="&amp;A89, deployment!$D$4:$D$502,"&lt;&gt;"&amp;""),"")</f>
        <v/>
      </c>
      <c r="O89" s="127" t="str">
        <f t="shared" si="23"/>
        <v/>
      </c>
      <c r="P89" s="104"/>
      <c r="Q89" s="99" t="str">
        <f t="shared" si="12"/>
        <v/>
      </c>
      <c r="R89" s="100" t="str">
        <f t="shared" si="13"/>
        <v/>
      </c>
      <c r="S89" s="100" t="str">
        <f t="shared" si="14"/>
        <v/>
      </c>
      <c r="T89" s="101" t="str">
        <f t="shared" si="15"/>
        <v/>
      </c>
      <c r="U89" s="101" t="str">
        <f t="shared" si="16"/>
        <v/>
      </c>
      <c r="V89" s="128" t="str">
        <f t="shared" si="17"/>
        <v/>
      </c>
      <c r="W89" s="128" t="str">
        <f t="shared" si="18"/>
        <v/>
      </c>
      <c r="X89" s="101" t="str">
        <f t="shared" si="19"/>
        <v/>
      </c>
      <c r="Y89" s="101" t="str">
        <f t="shared" si="20"/>
        <v/>
      </c>
      <c r="Z89" s="102" t="str">
        <f t="shared" si="21"/>
        <v/>
      </c>
      <c r="AA89" s="103" t="str">
        <f t="shared" si="22"/>
        <v/>
      </c>
      <c r="AB89" s="142" t="str">
        <f>IF(A89&lt;&gt;"", SUMIFS(node!$J$2:$J$500, node!$C$2:$C$500,"="&amp;A89)/P89, "")</f>
        <v/>
      </c>
      <c r="AC89" s="134" t="str">
        <f>IF(A89&lt;&gt;"", SUMIFS(node!$K$2:$K$500, node!$C$2:$C$500,"="&amp;A89)/P89, "")</f>
        <v/>
      </c>
      <c r="AD89" s="135" t="str">
        <f>IF(A89&lt;&gt;"", SUMIFS(node!$L$2:$L$500, node!$C$2:$C$500,"="&amp;A89), "")</f>
        <v/>
      </c>
      <c r="AE89" s="145" t="str">
        <f>IF(A89&lt;&gt;"", SUMIFS(node!$M$2:$M$500, node!$C$2:$C$500,"="&amp;A89), "")</f>
        <v/>
      </c>
    </row>
    <row r="90" spans="1:31" ht="15.75" customHeight="1" x14ac:dyDescent="0.25">
      <c r="A90" s="119" t="str">
        <f>IF(ISNONTEXT(node_raw[[#This Row],[Column2]]), "", node_raw[[#This Row],[Column2]])</f>
        <v/>
      </c>
      <c r="B90" s="116" t="str">
        <f>IF(A90&lt;&gt;"", VLOOKUP(A90, node!$C$2:$D$500, 2, FALSE), "")</f>
        <v/>
      </c>
      <c r="C90" s="117" t="str">
        <f>IF(A90&lt;&gt;"", VLOOKUP(A90, node!$C$2:$E$500, 3, FALSE), "")</f>
        <v/>
      </c>
      <c r="D90" s="118" t="str">
        <f>IF(A90&lt;&gt;"",COUNTIFS(node!$C$2:$C$500,"="&amp;A90, node!$C$2:$C$500,"&lt;&gt;"&amp;""),"")</f>
        <v/>
      </c>
      <c r="E90" s="122" t="str">
        <f>IF(A90&lt;&gt;"",SUMIFS(node!$F$2:$F$500, node!$C$2:$C$500,"="&amp;A90, node!$C$2:$C$500,"&lt;&gt;"&amp;"")/(B90*D90),"")</f>
        <v/>
      </c>
      <c r="F90" s="124" t="str">
        <f>IF(A90&lt;&gt;"",SUMIFS(node!$H$2:$H$500, node!$C$2:$C$500,"="&amp;A90, node!$C$2:$C$500,"&lt;&gt;"&amp;"")/(C90*D90),"")</f>
        <v/>
      </c>
      <c r="G90" s="93" t="str">
        <f>IF(A90&lt;&gt;"",SUMIFS(deployment!$F$4:$F$502, deployment!$D$4:$D$502,"="&amp;A90, deployment!$D$4:$D$502,"&lt;&gt;"&amp;""),"")</f>
        <v/>
      </c>
      <c r="H90" s="94" t="str">
        <f>IF(A90&lt;&gt;"",SUMIFS(deployment!$G$4:$G$502, deployment!$D$4:$D$502,"="&amp;A90, deployment!$D$4:$D$502,"&lt;&gt;"&amp;""),"")</f>
        <v/>
      </c>
      <c r="I90" s="95" t="str">
        <f>IF(A90&lt;&gt;"",SUMIFS(deployment!$H$4:$H$502, deployment!$D$4:$D$502,"="&amp;A90, deployment!$D$4:$D$502,"&lt;&gt;"&amp;""),"")</f>
        <v/>
      </c>
      <c r="J90" s="96" t="str">
        <f>IF(A90&lt;&gt;"",SUMIFS(deployment!$I$4:$I$502, deployment!$D$4:$D$502,"="&amp;A90, deployment!$D$4:$D$502,"&lt;&gt;"&amp;""),"")</f>
        <v/>
      </c>
      <c r="K90" s="112" t="str">
        <f>IF(A90&lt;&gt;"",SUMIFS(deployment!$J$4:$J$502, deployment!$D$4:$D$502,"="&amp;A90, deployment!$D$4:$D$502,"&lt;&gt;"&amp;""),"")</f>
        <v/>
      </c>
      <c r="L90" s="112" t="str">
        <f>IF(A90&lt;&gt;"",SUMIFS(deployment!$K$4:$K$502, deployment!$D$4:$D$502,"="&amp;A90, deployment!$D$4:$D$502,"&lt;&gt;"&amp;""),"")</f>
        <v/>
      </c>
      <c r="M90" s="97" t="str">
        <f>IF(A90&lt;&gt;"",SUMIFS(deployment!$L$4:$L$502, deployment!$D$4:$D$502,"="&amp;A90, deployment!$D$4:$D$502,"&lt;&gt;"&amp;""),"")</f>
        <v/>
      </c>
      <c r="N90" s="97" t="str">
        <f>IF(A90&lt;&gt;"",SUMIFS(deployment!$M$4:$M$502, deployment!$D$4:$D$502,"="&amp;A90, deployment!$D$4:$D$502,"&lt;&gt;"&amp;""),"")</f>
        <v/>
      </c>
      <c r="O90" s="127" t="str">
        <f t="shared" si="23"/>
        <v/>
      </c>
      <c r="P90" s="104"/>
      <c r="Q90" s="99" t="str">
        <f t="shared" si="12"/>
        <v/>
      </c>
      <c r="R90" s="100" t="str">
        <f t="shared" si="13"/>
        <v/>
      </c>
      <c r="S90" s="100" t="str">
        <f t="shared" si="14"/>
        <v/>
      </c>
      <c r="T90" s="101" t="str">
        <f t="shared" si="15"/>
        <v/>
      </c>
      <c r="U90" s="101" t="str">
        <f t="shared" si="16"/>
        <v/>
      </c>
      <c r="V90" s="128" t="str">
        <f t="shared" si="17"/>
        <v/>
      </c>
      <c r="W90" s="128" t="str">
        <f t="shared" si="18"/>
        <v/>
      </c>
      <c r="X90" s="101" t="str">
        <f t="shared" si="19"/>
        <v/>
      </c>
      <c r="Y90" s="101" t="str">
        <f t="shared" si="20"/>
        <v/>
      </c>
      <c r="Z90" s="102" t="str">
        <f t="shared" si="21"/>
        <v/>
      </c>
      <c r="AA90" s="103" t="str">
        <f t="shared" si="22"/>
        <v/>
      </c>
      <c r="AB90" s="142" t="str">
        <f>IF(A90&lt;&gt;"", SUMIFS(node!$J$2:$J$500, node!$C$2:$C$500,"="&amp;A90)/P90, "")</f>
        <v/>
      </c>
      <c r="AC90" s="134" t="str">
        <f>IF(A90&lt;&gt;"", SUMIFS(node!$K$2:$K$500, node!$C$2:$C$500,"="&amp;A90)/P90, "")</f>
        <v/>
      </c>
      <c r="AD90" s="135" t="str">
        <f>IF(A90&lt;&gt;"", SUMIFS(node!$L$2:$L$500, node!$C$2:$C$500,"="&amp;A90), "")</f>
        <v/>
      </c>
      <c r="AE90" s="145" t="str">
        <f>IF(A90&lt;&gt;"", SUMIFS(node!$M$2:$M$500, node!$C$2:$C$500,"="&amp;A90), "")</f>
        <v/>
      </c>
    </row>
    <row r="91" spans="1:31" ht="15.75" customHeight="1" x14ac:dyDescent="0.25">
      <c r="A91" s="119" t="str">
        <f>IF(ISNONTEXT(node_raw[[#This Row],[Column2]]), "", node_raw[[#This Row],[Column2]])</f>
        <v/>
      </c>
      <c r="B91" s="116" t="str">
        <f>IF(A91&lt;&gt;"", VLOOKUP(A91, node!$C$2:$D$500, 2, FALSE), "")</f>
        <v/>
      </c>
      <c r="C91" s="117" t="str">
        <f>IF(A91&lt;&gt;"", VLOOKUP(A91, node!$C$2:$E$500, 3, FALSE), "")</f>
        <v/>
      </c>
      <c r="D91" s="118" t="str">
        <f>IF(A91&lt;&gt;"",COUNTIFS(node!$C$2:$C$500,"="&amp;A91, node!$C$2:$C$500,"&lt;&gt;"&amp;""),"")</f>
        <v/>
      </c>
      <c r="E91" s="122" t="str">
        <f>IF(A91&lt;&gt;"",SUMIFS(node!$F$2:$F$500, node!$C$2:$C$500,"="&amp;A91, node!$C$2:$C$500,"&lt;&gt;"&amp;"")/(B91*D91),"")</f>
        <v/>
      </c>
      <c r="F91" s="124" t="str">
        <f>IF(A91&lt;&gt;"",SUMIFS(node!$H$2:$H$500, node!$C$2:$C$500,"="&amp;A91, node!$C$2:$C$500,"&lt;&gt;"&amp;"")/(C91*D91),"")</f>
        <v/>
      </c>
      <c r="G91" s="93" t="str">
        <f>IF(A91&lt;&gt;"",SUMIFS(deployment!$F$4:$F$502, deployment!$D$4:$D$502,"="&amp;A91, deployment!$D$4:$D$502,"&lt;&gt;"&amp;""),"")</f>
        <v/>
      </c>
      <c r="H91" s="94" t="str">
        <f>IF(A91&lt;&gt;"",SUMIFS(deployment!$G$4:$G$502, deployment!$D$4:$D$502,"="&amp;A91, deployment!$D$4:$D$502,"&lt;&gt;"&amp;""),"")</f>
        <v/>
      </c>
      <c r="I91" s="95" t="str">
        <f>IF(A91&lt;&gt;"",SUMIFS(deployment!$H$4:$H$502, deployment!$D$4:$D$502,"="&amp;A91, deployment!$D$4:$D$502,"&lt;&gt;"&amp;""),"")</f>
        <v/>
      </c>
      <c r="J91" s="96" t="str">
        <f>IF(A91&lt;&gt;"",SUMIFS(deployment!$I$4:$I$502, deployment!$D$4:$D$502,"="&amp;A91, deployment!$D$4:$D$502,"&lt;&gt;"&amp;""),"")</f>
        <v/>
      </c>
      <c r="K91" s="112" t="str">
        <f>IF(A91&lt;&gt;"",SUMIFS(deployment!$J$4:$J$502, deployment!$D$4:$D$502,"="&amp;A91, deployment!$D$4:$D$502,"&lt;&gt;"&amp;""),"")</f>
        <v/>
      </c>
      <c r="L91" s="112" t="str">
        <f>IF(A91&lt;&gt;"",SUMIFS(deployment!$K$4:$K$502, deployment!$D$4:$D$502,"="&amp;A91, deployment!$D$4:$D$502,"&lt;&gt;"&amp;""),"")</f>
        <v/>
      </c>
      <c r="M91" s="97" t="str">
        <f>IF(A91&lt;&gt;"",SUMIFS(deployment!$L$4:$L$502, deployment!$D$4:$D$502,"="&amp;A91, deployment!$D$4:$D$502,"&lt;&gt;"&amp;""),"")</f>
        <v/>
      </c>
      <c r="N91" s="97" t="str">
        <f>IF(A91&lt;&gt;"",SUMIFS(deployment!$M$4:$M$502, deployment!$D$4:$D$502,"="&amp;A91, deployment!$D$4:$D$502,"&lt;&gt;"&amp;""),"")</f>
        <v/>
      </c>
      <c r="O91" s="127" t="str">
        <f t="shared" si="23"/>
        <v/>
      </c>
      <c r="P91" s="104"/>
      <c r="Q91" s="99" t="str">
        <f t="shared" si="12"/>
        <v/>
      </c>
      <c r="R91" s="100" t="str">
        <f t="shared" si="13"/>
        <v/>
      </c>
      <c r="S91" s="100" t="str">
        <f t="shared" si="14"/>
        <v/>
      </c>
      <c r="T91" s="101" t="str">
        <f t="shared" si="15"/>
        <v/>
      </c>
      <c r="U91" s="101" t="str">
        <f t="shared" si="16"/>
        <v/>
      </c>
      <c r="V91" s="128" t="str">
        <f t="shared" si="17"/>
        <v/>
      </c>
      <c r="W91" s="128" t="str">
        <f t="shared" si="18"/>
        <v/>
      </c>
      <c r="X91" s="101" t="str">
        <f t="shared" si="19"/>
        <v/>
      </c>
      <c r="Y91" s="101" t="str">
        <f t="shared" si="20"/>
        <v/>
      </c>
      <c r="Z91" s="102" t="str">
        <f t="shared" si="21"/>
        <v/>
      </c>
      <c r="AA91" s="103" t="str">
        <f t="shared" si="22"/>
        <v/>
      </c>
      <c r="AB91" s="142" t="str">
        <f>IF(A91&lt;&gt;"", SUMIFS(node!$J$2:$J$500, node!$C$2:$C$500,"="&amp;A91)/P91, "")</f>
        <v/>
      </c>
      <c r="AC91" s="134" t="str">
        <f>IF(A91&lt;&gt;"", SUMIFS(node!$K$2:$K$500, node!$C$2:$C$500,"="&amp;A91)/P91, "")</f>
        <v/>
      </c>
      <c r="AD91" s="135" t="str">
        <f>IF(A91&lt;&gt;"", SUMIFS(node!$L$2:$L$500, node!$C$2:$C$500,"="&amp;A91), "")</f>
        <v/>
      </c>
      <c r="AE91" s="145" t="str">
        <f>IF(A91&lt;&gt;"", SUMIFS(node!$M$2:$M$500, node!$C$2:$C$500,"="&amp;A91), "")</f>
        <v/>
      </c>
    </row>
    <row r="92" spans="1:31" ht="15.75" customHeight="1" x14ac:dyDescent="0.25">
      <c r="A92" s="119" t="str">
        <f>IF(ISNONTEXT(node_raw[[#This Row],[Column2]]), "", node_raw[[#This Row],[Column2]])</f>
        <v/>
      </c>
      <c r="B92" s="116" t="str">
        <f>IF(A92&lt;&gt;"", VLOOKUP(A92, node!$C$2:$D$500, 2, FALSE), "")</f>
        <v/>
      </c>
      <c r="C92" s="117" t="str">
        <f>IF(A92&lt;&gt;"", VLOOKUP(A92, node!$C$2:$E$500, 3, FALSE), "")</f>
        <v/>
      </c>
      <c r="D92" s="118" t="str">
        <f>IF(A92&lt;&gt;"",COUNTIFS(node!$C$2:$C$500,"="&amp;A92, node!$C$2:$C$500,"&lt;&gt;"&amp;""),"")</f>
        <v/>
      </c>
      <c r="E92" s="122" t="str">
        <f>IF(A92&lt;&gt;"",SUMIFS(node!$F$2:$F$500, node!$C$2:$C$500,"="&amp;A92, node!$C$2:$C$500,"&lt;&gt;"&amp;"")/(B92*D92),"")</f>
        <v/>
      </c>
      <c r="F92" s="124" t="str">
        <f>IF(A92&lt;&gt;"",SUMIFS(node!$H$2:$H$500, node!$C$2:$C$500,"="&amp;A92, node!$C$2:$C$500,"&lt;&gt;"&amp;"")/(C92*D92),"")</f>
        <v/>
      </c>
      <c r="G92" s="93" t="str">
        <f>IF(A92&lt;&gt;"",SUMIFS(deployment!$F$4:$F$502, deployment!$D$4:$D$502,"="&amp;A92, deployment!$D$4:$D$502,"&lt;&gt;"&amp;""),"")</f>
        <v/>
      </c>
      <c r="H92" s="94" t="str">
        <f>IF(A92&lt;&gt;"",SUMIFS(deployment!$G$4:$G$502, deployment!$D$4:$D$502,"="&amp;A92, deployment!$D$4:$D$502,"&lt;&gt;"&amp;""),"")</f>
        <v/>
      </c>
      <c r="I92" s="95" t="str">
        <f>IF(A92&lt;&gt;"",SUMIFS(deployment!$H$4:$H$502, deployment!$D$4:$D$502,"="&amp;A92, deployment!$D$4:$D$502,"&lt;&gt;"&amp;""),"")</f>
        <v/>
      </c>
      <c r="J92" s="96" t="str">
        <f>IF(A92&lt;&gt;"",SUMIFS(deployment!$I$4:$I$502, deployment!$D$4:$D$502,"="&amp;A92, deployment!$D$4:$D$502,"&lt;&gt;"&amp;""),"")</f>
        <v/>
      </c>
      <c r="K92" s="112" t="str">
        <f>IF(A92&lt;&gt;"",SUMIFS(deployment!$J$4:$J$502, deployment!$D$4:$D$502,"="&amp;A92, deployment!$D$4:$D$502,"&lt;&gt;"&amp;""),"")</f>
        <v/>
      </c>
      <c r="L92" s="112" t="str">
        <f>IF(A92&lt;&gt;"",SUMIFS(deployment!$K$4:$K$502, deployment!$D$4:$D$502,"="&amp;A92, deployment!$D$4:$D$502,"&lt;&gt;"&amp;""),"")</f>
        <v/>
      </c>
      <c r="M92" s="97" t="str">
        <f>IF(A92&lt;&gt;"",SUMIFS(deployment!$L$4:$L$502, deployment!$D$4:$D$502,"="&amp;A92, deployment!$D$4:$D$502,"&lt;&gt;"&amp;""),"")</f>
        <v/>
      </c>
      <c r="N92" s="97" t="str">
        <f>IF(A92&lt;&gt;"",SUMIFS(deployment!$M$4:$M$502, deployment!$D$4:$D$502,"="&amp;A92, deployment!$D$4:$D$502,"&lt;&gt;"&amp;""),"")</f>
        <v/>
      </c>
      <c r="O92" s="127" t="str">
        <f t="shared" si="23"/>
        <v/>
      </c>
      <c r="P92" s="104"/>
      <c r="Q92" s="99" t="str">
        <f t="shared" si="12"/>
        <v/>
      </c>
      <c r="R92" s="100" t="str">
        <f t="shared" si="13"/>
        <v/>
      </c>
      <c r="S92" s="100" t="str">
        <f t="shared" si="14"/>
        <v/>
      </c>
      <c r="T92" s="101" t="str">
        <f t="shared" si="15"/>
        <v/>
      </c>
      <c r="U92" s="101" t="str">
        <f t="shared" si="16"/>
        <v/>
      </c>
      <c r="V92" s="128" t="str">
        <f t="shared" si="17"/>
        <v/>
      </c>
      <c r="W92" s="128" t="str">
        <f t="shared" si="18"/>
        <v/>
      </c>
      <c r="X92" s="101" t="str">
        <f t="shared" si="19"/>
        <v/>
      </c>
      <c r="Y92" s="101" t="str">
        <f t="shared" si="20"/>
        <v/>
      </c>
      <c r="Z92" s="102" t="str">
        <f t="shared" si="21"/>
        <v/>
      </c>
      <c r="AA92" s="103" t="str">
        <f t="shared" si="22"/>
        <v/>
      </c>
      <c r="AB92" s="142" t="str">
        <f>IF(A92&lt;&gt;"", SUMIFS(node!$J$2:$J$500, node!$C$2:$C$500,"="&amp;A92)/P92, "")</f>
        <v/>
      </c>
      <c r="AC92" s="134" t="str">
        <f>IF(A92&lt;&gt;"", SUMIFS(node!$K$2:$K$500, node!$C$2:$C$500,"="&amp;A92)/P92, "")</f>
        <v/>
      </c>
      <c r="AD92" s="135" t="str">
        <f>IF(A92&lt;&gt;"", SUMIFS(node!$L$2:$L$500, node!$C$2:$C$500,"="&amp;A92), "")</f>
        <v/>
      </c>
      <c r="AE92" s="145" t="str">
        <f>IF(A92&lt;&gt;"", SUMIFS(node!$M$2:$M$500, node!$C$2:$C$500,"="&amp;A92), "")</f>
        <v/>
      </c>
    </row>
    <row r="93" spans="1:31" ht="15.75" customHeight="1" x14ac:dyDescent="0.25">
      <c r="A93" s="119" t="str">
        <f>IF(ISNONTEXT(node_raw[[#This Row],[Column2]]), "", node_raw[[#This Row],[Column2]])</f>
        <v/>
      </c>
      <c r="B93" s="116" t="str">
        <f>IF(A93&lt;&gt;"", VLOOKUP(A93, node!$C$2:$D$500, 2, FALSE), "")</f>
        <v/>
      </c>
      <c r="C93" s="117" t="str">
        <f>IF(A93&lt;&gt;"", VLOOKUP(A93, node!$C$2:$E$500, 3, FALSE), "")</f>
        <v/>
      </c>
      <c r="D93" s="118" t="str">
        <f>IF(A93&lt;&gt;"",COUNTIFS(node!$C$2:$C$500,"="&amp;A93, node!$C$2:$C$500,"&lt;&gt;"&amp;""),"")</f>
        <v/>
      </c>
      <c r="E93" s="122" t="str">
        <f>IF(A93&lt;&gt;"",SUMIFS(node!$F$2:$F$500, node!$C$2:$C$500,"="&amp;A93, node!$C$2:$C$500,"&lt;&gt;"&amp;"")/(B93*D93),"")</f>
        <v/>
      </c>
      <c r="F93" s="124" t="str">
        <f>IF(A93&lt;&gt;"",SUMIFS(node!$H$2:$H$500, node!$C$2:$C$500,"="&amp;A93, node!$C$2:$C$500,"&lt;&gt;"&amp;"")/(C93*D93),"")</f>
        <v/>
      </c>
      <c r="G93" s="93" t="str">
        <f>IF(A93&lt;&gt;"",SUMIFS(deployment!$F$4:$F$502, deployment!$D$4:$D$502,"="&amp;A93, deployment!$D$4:$D$502,"&lt;&gt;"&amp;""),"")</f>
        <v/>
      </c>
      <c r="H93" s="94" t="str">
        <f>IF(A93&lt;&gt;"",SUMIFS(deployment!$G$4:$G$502, deployment!$D$4:$D$502,"="&amp;A93, deployment!$D$4:$D$502,"&lt;&gt;"&amp;""),"")</f>
        <v/>
      </c>
      <c r="I93" s="95" t="str">
        <f>IF(A93&lt;&gt;"",SUMIFS(deployment!$H$4:$H$502, deployment!$D$4:$D$502,"="&amp;A93, deployment!$D$4:$D$502,"&lt;&gt;"&amp;""),"")</f>
        <v/>
      </c>
      <c r="J93" s="96" t="str">
        <f>IF(A93&lt;&gt;"",SUMIFS(deployment!$I$4:$I$502, deployment!$D$4:$D$502,"="&amp;A93, deployment!$D$4:$D$502,"&lt;&gt;"&amp;""),"")</f>
        <v/>
      </c>
      <c r="K93" s="112" t="str">
        <f>IF(A93&lt;&gt;"",SUMIFS(deployment!$J$4:$J$502, deployment!$D$4:$D$502,"="&amp;A93, deployment!$D$4:$D$502,"&lt;&gt;"&amp;""),"")</f>
        <v/>
      </c>
      <c r="L93" s="112" t="str">
        <f>IF(A93&lt;&gt;"",SUMIFS(deployment!$K$4:$K$502, deployment!$D$4:$D$502,"="&amp;A93, deployment!$D$4:$D$502,"&lt;&gt;"&amp;""),"")</f>
        <v/>
      </c>
      <c r="M93" s="97" t="str">
        <f>IF(A93&lt;&gt;"",SUMIFS(deployment!$L$4:$L$502, deployment!$D$4:$D$502,"="&amp;A93, deployment!$D$4:$D$502,"&lt;&gt;"&amp;""),"")</f>
        <v/>
      </c>
      <c r="N93" s="97" t="str">
        <f>IF(A93&lt;&gt;"",SUMIFS(deployment!$M$4:$M$502, deployment!$D$4:$D$502,"="&amp;A93, deployment!$D$4:$D$502,"&lt;&gt;"&amp;""),"")</f>
        <v/>
      </c>
      <c r="O93" s="127" t="str">
        <f t="shared" si="23"/>
        <v/>
      </c>
      <c r="P93" s="104"/>
      <c r="Q93" s="99" t="str">
        <f t="shared" si="12"/>
        <v/>
      </c>
      <c r="R93" s="100" t="str">
        <f t="shared" si="13"/>
        <v/>
      </c>
      <c r="S93" s="100" t="str">
        <f t="shared" si="14"/>
        <v/>
      </c>
      <c r="T93" s="101" t="str">
        <f t="shared" si="15"/>
        <v/>
      </c>
      <c r="U93" s="101" t="str">
        <f t="shared" si="16"/>
        <v/>
      </c>
      <c r="V93" s="128" t="str">
        <f t="shared" si="17"/>
        <v/>
      </c>
      <c r="W93" s="128" t="str">
        <f t="shared" si="18"/>
        <v/>
      </c>
      <c r="X93" s="101" t="str">
        <f t="shared" si="19"/>
        <v/>
      </c>
      <c r="Y93" s="101" t="str">
        <f t="shared" si="20"/>
        <v/>
      </c>
      <c r="Z93" s="102" t="str">
        <f t="shared" si="21"/>
        <v/>
      </c>
      <c r="AA93" s="103" t="str">
        <f t="shared" si="22"/>
        <v/>
      </c>
      <c r="AB93" s="142" t="str">
        <f>IF(A93&lt;&gt;"", SUMIFS(node!$J$2:$J$500, node!$C$2:$C$500,"="&amp;A93)/P93, "")</f>
        <v/>
      </c>
      <c r="AC93" s="134" t="str">
        <f>IF(A93&lt;&gt;"", SUMIFS(node!$K$2:$K$500, node!$C$2:$C$500,"="&amp;A93)/P93, "")</f>
        <v/>
      </c>
      <c r="AD93" s="135" t="str">
        <f>IF(A93&lt;&gt;"", SUMIFS(node!$L$2:$L$500, node!$C$2:$C$500,"="&amp;A93), "")</f>
        <v/>
      </c>
      <c r="AE93" s="145" t="str">
        <f>IF(A93&lt;&gt;"", SUMIFS(node!$M$2:$M$500, node!$C$2:$C$500,"="&amp;A93), "")</f>
        <v/>
      </c>
    </row>
    <row r="94" spans="1:31" ht="15.75" customHeight="1" x14ac:dyDescent="0.25">
      <c r="A94" s="119" t="str">
        <f>IF(ISNONTEXT(node_raw[[#This Row],[Column2]]), "", node_raw[[#This Row],[Column2]])</f>
        <v/>
      </c>
      <c r="B94" s="116" t="str">
        <f>IF(A94&lt;&gt;"", VLOOKUP(A94, node!$C$2:$D$500, 2, FALSE), "")</f>
        <v/>
      </c>
      <c r="C94" s="117" t="str">
        <f>IF(A94&lt;&gt;"", VLOOKUP(A94, node!$C$2:$E$500, 3, FALSE), "")</f>
        <v/>
      </c>
      <c r="D94" s="118" t="str">
        <f>IF(A94&lt;&gt;"",COUNTIFS(node!$C$2:$C$500,"="&amp;A94, node!$C$2:$C$500,"&lt;&gt;"&amp;""),"")</f>
        <v/>
      </c>
      <c r="E94" s="122" t="str">
        <f>IF(A94&lt;&gt;"",SUMIFS(node!$F$2:$F$500, node!$C$2:$C$500,"="&amp;A94, node!$C$2:$C$500,"&lt;&gt;"&amp;"")/(B94*D94),"")</f>
        <v/>
      </c>
      <c r="F94" s="124" t="str">
        <f>IF(A94&lt;&gt;"",SUMIFS(node!$H$2:$H$500, node!$C$2:$C$500,"="&amp;A94, node!$C$2:$C$500,"&lt;&gt;"&amp;"")/(C94*D94),"")</f>
        <v/>
      </c>
      <c r="G94" s="93" t="str">
        <f>IF(A94&lt;&gt;"",SUMIFS(deployment!$F$4:$F$502, deployment!$D$4:$D$502,"="&amp;A94, deployment!$D$4:$D$502,"&lt;&gt;"&amp;""),"")</f>
        <v/>
      </c>
      <c r="H94" s="94" t="str">
        <f>IF(A94&lt;&gt;"",SUMIFS(deployment!$G$4:$G$502, deployment!$D$4:$D$502,"="&amp;A94, deployment!$D$4:$D$502,"&lt;&gt;"&amp;""),"")</f>
        <v/>
      </c>
      <c r="I94" s="95" t="str">
        <f>IF(A94&lt;&gt;"",SUMIFS(deployment!$H$4:$H$502, deployment!$D$4:$D$502,"="&amp;A94, deployment!$D$4:$D$502,"&lt;&gt;"&amp;""),"")</f>
        <v/>
      </c>
      <c r="J94" s="96" t="str">
        <f>IF(A94&lt;&gt;"",SUMIFS(deployment!$I$4:$I$502, deployment!$D$4:$D$502,"="&amp;A94, deployment!$D$4:$D$502,"&lt;&gt;"&amp;""),"")</f>
        <v/>
      </c>
      <c r="K94" s="112" t="str">
        <f>IF(A94&lt;&gt;"",SUMIFS(deployment!$J$4:$J$502, deployment!$D$4:$D$502,"="&amp;A94, deployment!$D$4:$D$502,"&lt;&gt;"&amp;""),"")</f>
        <v/>
      </c>
      <c r="L94" s="112" t="str">
        <f>IF(A94&lt;&gt;"",SUMIFS(deployment!$K$4:$K$502, deployment!$D$4:$D$502,"="&amp;A94, deployment!$D$4:$D$502,"&lt;&gt;"&amp;""),"")</f>
        <v/>
      </c>
      <c r="M94" s="97" t="str">
        <f>IF(A94&lt;&gt;"",SUMIFS(deployment!$L$4:$L$502, deployment!$D$4:$D$502,"="&amp;A94, deployment!$D$4:$D$502,"&lt;&gt;"&amp;""),"")</f>
        <v/>
      </c>
      <c r="N94" s="97" t="str">
        <f>IF(A94&lt;&gt;"",SUMIFS(deployment!$M$4:$M$502, deployment!$D$4:$D$502,"="&amp;A94, deployment!$D$4:$D$502,"&lt;&gt;"&amp;""),"")</f>
        <v/>
      </c>
      <c r="O94" s="127" t="str">
        <f t="shared" si="23"/>
        <v/>
      </c>
      <c r="P94" s="104"/>
      <c r="Q94" s="99" t="str">
        <f t="shared" si="12"/>
        <v/>
      </c>
      <c r="R94" s="100" t="str">
        <f t="shared" si="13"/>
        <v/>
      </c>
      <c r="S94" s="100" t="str">
        <f t="shared" si="14"/>
        <v/>
      </c>
      <c r="T94" s="101" t="str">
        <f t="shared" si="15"/>
        <v/>
      </c>
      <c r="U94" s="101" t="str">
        <f t="shared" si="16"/>
        <v/>
      </c>
      <c r="V94" s="128" t="str">
        <f t="shared" si="17"/>
        <v/>
      </c>
      <c r="W94" s="128" t="str">
        <f t="shared" si="18"/>
        <v/>
      </c>
      <c r="X94" s="101" t="str">
        <f t="shared" si="19"/>
        <v/>
      </c>
      <c r="Y94" s="101" t="str">
        <f t="shared" si="20"/>
        <v/>
      </c>
      <c r="Z94" s="102" t="str">
        <f t="shared" si="21"/>
        <v/>
      </c>
      <c r="AA94" s="103" t="str">
        <f t="shared" si="22"/>
        <v/>
      </c>
      <c r="AB94" s="142" t="str">
        <f>IF(A94&lt;&gt;"", SUMIFS(node!$J$2:$J$500, node!$C$2:$C$500,"="&amp;A94)/P94, "")</f>
        <v/>
      </c>
      <c r="AC94" s="134" t="str">
        <f>IF(A94&lt;&gt;"", SUMIFS(node!$K$2:$K$500, node!$C$2:$C$500,"="&amp;A94)/P94, "")</f>
        <v/>
      </c>
      <c r="AD94" s="135" t="str">
        <f>IF(A94&lt;&gt;"", SUMIFS(node!$L$2:$L$500, node!$C$2:$C$500,"="&amp;A94), "")</f>
        <v/>
      </c>
      <c r="AE94" s="145" t="str">
        <f>IF(A94&lt;&gt;"", SUMIFS(node!$M$2:$M$500, node!$C$2:$C$500,"="&amp;A94), "")</f>
        <v/>
      </c>
    </row>
    <row r="95" spans="1:31" ht="15.75" customHeight="1" x14ac:dyDescent="0.25">
      <c r="A95" s="119" t="str">
        <f>IF(ISNONTEXT(node_raw[[#This Row],[Column2]]), "", node_raw[[#This Row],[Column2]])</f>
        <v/>
      </c>
      <c r="B95" s="116" t="str">
        <f>IF(A95&lt;&gt;"", VLOOKUP(A95, node!$C$2:$D$500, 2, FALSE), "")</f>
        <v/>
      </c>
      <c r="C95" s="117" t="str">
        <f>IF(A95&lt;&gt;"", VLOOKUP(A95, node!$C$2:$E$500, 3, FALSE), "")</f>
        <v/>
      </c>
      <c r="D95" s="118" t="str">
        <f>IF(A95&lt;&gt;"",COUNTIFS(node!$C$2:$C$500,"="&amp;A95, node!$C$2:$C$500,"&lt;&gt;"&amp;""),"")</f>
        <v/>
      </c>
      <c r="E95" s="122" t="str">
        <f>IF(A95&lt;&gt;"",SUMIFS(node!$F$2:$F$500, node!$C$2:$C$500,"="&amp;A95, node!$C$2:$C$500,"&lt;&gt;"&amp;"")/(B95*D95),"")</f>
        <v/>
      </c>
      <c r="F95" s="124" t="str">
        <f>IF(A95&lt;&gt;"",SUMIFS(node!$H$2:$H$500, node!$C$2:$C$500,"="&amp;A95, node!$C$2:$C$500,"&lt;&gt;"&amp;"")/(C95*D95),"")</f>
        <v/>
      </c>
      <c r="G95" s="93" t="str">
        <f>IF(A95&lt;&gt;"",SUMIFS(deployment!$F$4:$F$502, deployment!$D$4:$D$502,"="&amp;A95, deployment!$D$4:$D$502,"&lt;&gt;"&amp;""),"")</f>
        <v/>
      </c>
      <c r="H95" s="94" t="str">
        <f>IF(A95&lt;&gt;"",SUMIFS(deployment!$G$4:$G$502, deployment!$D$4:$D$502,"="&amp;A95, deployment!$D$4:$D$502,"&lt;&gt;"&amp;""),"")</f>
        <v/>
      </c>
      <c r="I95" s="95" t="str">
        <f>IF(A95&lt;&gt;"",SUMIFS(deployment!$H$4:$H$502, deployment!$D$4:$D$502,"="&amp;A95, deployment!$D$4:$D$502,"&lt;&gt;"&amp;""),"")</f>
        <v/>
      </c>
      <c r="J95" s="96" t="str">
        <f>IF(A95&lt;&gt;"",SUMIFS(deployment!$I$4:$I$502, deployment!$D$4:$D$502,"="&amp;A95, deployment!$D$4:$D$502,"&lt;&gt;"&amp;""),"")</f>
        <v/>
      </c>
      <c r="K95" s="112" t="str">
        <f>IF(A95&lt;&gt;"",SUMIFS(deployment!$J$4:$J$502, deployment!$D$4:$D$502,"="&amp;A95, deployment!$D$4:$D$502,"&lt;&gt;"&amp;""),"")</f>
        <v/>
      </c>
      <c r="L95" s="112" t="str">
        <f>IF(A95&lt;&gt;"",SUMIFS(deployment!$K$4:$K$502, deployment!$D$4:$D$502,"="&amp;A95, deployment!$D$4:$D$502,"&lt;&gt;"&amp;""),"")</f>
        <v/>
      </c>
      <c r="M95" s="97" t="str">
        <f>IF(A95&lt;&gt;"",SUMIFS(deployment!$L$4:$L$502, deployment!$D$4:$D$502,"="&amp;A95, deployment!$D$4:$D$502,"&lt;&gt;"&amp;""),"")</f>
        <v/>
      </c>
      <c r="N95" s="97" t="str">
        <f>IF(A95&lt;&gt;"",SUMIFS(deployment!$M$4:$M$502, deployment!$D$4:$D$502,"="&amp;A95, deployment!$D$4:$D$502,"&lt;&gt;"&amp;""),"")</f>
        <v/>
      </c>
      <c r="O95" s="127" t="str">
        <f t="shared" si="23"/>
        <v/>
      </c>
      <c r="P95" s="104"/>
      <c r="Q95" s="99" t="str">
        <f t="shared" si="12"/>
        <v/>
      </c>
      <c r="R95" s="100" t="str">
        <f t="shared" si="13"/>
        <v/>
      </c>
      <c r="S95" s="100" t="str">
        <f t="shared" si="14"/>
        <v/>
      </c>
      <c r="T95" s="101" t="str">
        <f t="shared" si="15"/>
        <v/>
      </c>
      <c r="U95" s="101" t="str">
        <f t="shared" si="16"/>
        <v/>
      </c>
      <c r="V95" s="128" t="str">
        <f t="shared" si="17"/>
        <v/>
      </c>
      <c r="W95" s="128" t="str">
        <f t="shared" si="18"/>
        <v/>
      </c>
      <c r="X95" s="101" t="str">
        <f t="shared" si="19"/>
        <v/>
      </c>
      <c r="Y95" s="101" t="str">
        <f t="shared" si="20"/>
        <v/>
      </c>
      <c r="Z95" s="102" t="str">
        <f t="shared" si="21"/>
        <v/>
      </c>
      <c r="AA95" s="103" t="str">
        <f t="shared" si="22"/>
        <v/>
      </c>
      <c r="AB95" s="142" t="str">
        <f>IF(A95&lt;&gt;"", SUMIFS(node!$J$2:$J$500, node!$C$2:$C$500,"="&amp;A95)/P95, "")</f>
        <v/>
      </c>
      <c r="AC95" s="134" t="str">
        <f>IF(A95&lt;&gt;"", SUMIFS(node!$K$2:$K$500, node!$C$2:$C$500,"="&amp;A95)/P95, "")</f>
        <v/>
      </c>
      <c r="AD95" s="135" t="str">
        <f>IF(A95&lt;&gt;"", SUMIFS(node!$L$2:$L$500, node!$C$2:$C$500,"="&amp;A95), "")</f>
        <v/>
      </c>
      <c r="AE95" s="145" t="str">
        <f>IF(A95&lt;&gt;"", SUMIFS(node!$M$2:$M$500, node!$C$2:$C$500,"="&amp;A95), "")</f>
        <v/>
      </c>
    </row>
    <row r="96" spans="1:31" ht="15.75" customHeight="1" x14ac:dyDescent="0.25">
      <c r="A96" s="119" t="str">
        <f>IF(ISNONTEXT(node_raw[[#This Row],[Column2]]), "", node_raw[[#This Row],[Column2]])</f>
        <v/>
      </c>
      <c r="B96" s="116" t="str">
        <f>IF(A96&lt;&gt;"", VLOOKUP(A96, node!$C$2:$D$500, 2, FALSE), "")</f>
        <v/>
      </c>
      <c r="C96" s="117" t="str">
        <f>IF(A96&lt;&gt;"", VLOOKUP(A96, node!$C$2:$E$500, 3, FALSE), "")</f>
        <v/>
      </c>
      <c r="D96" s="118" t="str">
        <f>IF(A96&lt;&gt;"",COUNTIFS(node!$C$2:$C$500,"="&amp;A96, node!$C$2:$C$500,"&lt;&gt;"&amp;""),"")</f>
        <v/>
      </c>
      <c r="E96" s="122" t="str">
        <f>IF(A96&lt;&gt;"",SUMIFS(node!$F$2:$F$500, node!$C$2:$C$500,"="&amp;A96, node!$C$2:$C$500,"&lt;&gt;"&amp;"")/(B96*D96),"")</f>
        <v/>
      </c>
      <c r="F96" s="124" t="str">
        <f>IF(A96&lt;&gt;"",SUMIFS(node!$H$2:$H$500, node!$C$2:$C$500,"="&amp;A96, node!$C$2:$C$500,"&lt;&gt;"&amp;"")/(C96*D96),"")</f>
        <v/>
      </c>
      <c r="G96" s="93" t="str">
        <f>IF(A96&lt;&gt;"",SUMIFS(deployment!$F$4:$F$502, deployment!$D$4:$D$502,"="&amp;A96, deployment!$D$4:$D$502,"&lt;&gt;"&amp;""),"")</f>
        <v/>
      </c>
      <c r="H96" s="94" t="str">
        <f>IF(A96&lt;&gt;"",SUMIFS(deployment!$G$4:$G$502, deployment!$D$4:$D$502,"="&amp;A96, deployment!$D$4:$D$502,"&lt;&gt;"&amp;""),"")</f>
        <v/>
      </c>
      <c r="I96" s="95" t="str">
        <f>IF(A96&lt;&gt;"",SUMIFS(deployment!$H$4:$H$502, deployment!$D$4:$D$502,"="&amp;A96, deployment!$D$4:$D$502,"&lt;&gt;"&amp;""),"")</f>
        <v/>
      </c>
      <c r="J96" s="96" t="str">
        <f>IF(A96&lt;&gt;"",SUMIFS(deployment!$I$4:$I$502, deployment!$D$4:$D$502,"="&amp;A96, deployment!$D$4:$D$502,"&lt;&gt;"&amp;""),"")</f>
        <v/>
      </c>
      <c r="K96" s="112" t="str">
        <f>IF(A96&lt;&gt;"",SUMIFS(deployment!$J$4:$J$502, deployment!$D$4:$D$502,"="&amp;A96, deployment!$D$4:$D$502,"&lt;&gt;"&amp;""),"")</f>
        <v/>
      </c>
      <c r="L96" s="112" t="str">
        <f>IF(A96&lt;&gt;"",SUMIFS(deployment!$K$4:$K$502, deployment!$D$4:$D$502,"="&amp;A96, deployment!$D$4:$D$502,"&lt;&gt;"&amp;""),"")</f>
        <v/>
      </c>
      <c r="M96" s="97" t="str">
        <f>IF(A96&lt;&gt;"",SUMIFS(deployment!$L$4:$L$502, deployment!$D$4:$D$502,"="&amp;A96, deployment!$D$4:$D$502,"&lt;&gt;"&amp;""),"")</f>
        <v/>
      </c>
      <c r="N96" s="97" t="str">
        <f>IF(A96&lt;&gt;"",SUMIFS(deployment!$M$4:$M$502, deployment!$D$4:$D$502,"="&amp;A96, deployment!$D$4:$D$502,"&lt;&gt;"&amp;""),"")</f>
        <v/>
      </c>
      <c r="O96" s="127" t="str">
        <f t="shared" si="23"/>
        <v/>
      </c>
      <c r="P96" s="104"/>
      <c r="Q96" s="99" t="str">
        <f t="shared" si="12"/>
        <v/>
      </c>
      <c r="R96" s="100" t="str">
        <f t="shared" si="13"/>
        <v/>
      </c>
      <c r="S96" s="100" t="str">
        <f t="shared" si="14"/>
        <v/>
      </c>
      <c r="T96" s="101" t="str">
        <f t="shared" si="15"/>
        <v/>
      </c>
      <c r="U96" s="101" t="str">
        <f t="shared" si="16"/>
        <v/>
      </c>
      <c r="V96" s="128" t="str">
        <f t="shared" si="17"/>
        <v/>
      </c>
      <c r="W96" s="128" t="str">
        <f t="shared" si="18"/>
        <v/>
      </c>
      <c r="X96" s="101" t="str">
        <f t="shared" si="19"/>
        <v/>
      </c>
      <c r="Y96" s="101" t="str">
        <f t="shared" si="20"/>
        <v/>
      </c>
      <c r="Z96" s="102" t="str">
        <f t="shared" si="21"/>
        <v/>
      </c>
      <c r="AA96" s="103" t="str">
        <f t="shared" si="22"/>
        <v/>
      </c>
      <c r="AB96" s="142" t="str">
        <f>IF(A96&lt;&gt;"", SUMIFS(node!$J$2:$J$500, node!$C$2:$C$500,"="&amp;A96)/P96, "")</f>
        <v/>
      </c>
      <c r="AC96" s="134" t="str">
        <f>IF(A96&lt;&gt;"", SUMIFS(node!$K$2:$K$500, node!$C$2:$C$500,"="&amp;A96)/P96, "")</f>
        <v/>
      </c>
      <c r="AD96" s="135" t="str">
        <f>IF(A96&lt;&gt;"", SUMIFS(node!$L$2:$L$500, node!$C$2:$C$500,"="&amp;A96), "")</f>
        <v/>
      </c>
      <c r="AE96" s="145" t="str">
        <f>IF(A96&lt;&gt;"", SUMIFS(node!$M$2:$M$500, node!$C$2:$C$500,"="&amp;A96), "")</f>
        <v/>
      </c>
    </row>
    <row r="97" spans="1:31" ht="15.75" customHeight="1" x14ac:dyDescent="0.25">
      <c r="A97" s="119" t="str">
        <f>IF(ISNONTEXT(node_raw[[#This Row],[Column2]]), "", node_raw[[#This Row],[Column2]])</f>
        <v/>
      </c>
      <c r="B97" s="116" t="str">
        <f>IF(A97&lt;&gt;"", VLOOKUP(A97, node!$C$2:$D$500, 2, FALSE), "")</f>
        <v/>
      </c>
      <c r="C97" s="117" t="str">
        <f>IF(A97&lt;&gt;"", VLOOKUP(A97, node!$C$2:$E$500, 3, FALSE), "")</f>
        <v/>
      </c>
      <c r="D97" s="118" t="str">
        <f>IF(A97&lt;&gt;"",COUNTIFS(node!$C$2:$C$500,"="&amp;A97, node!$C$2:$C$500,"&lt;&gt;"&amp;""),"")</f>
        <v/>
      </c>
      <c r="E97" s="122" t="str">
        <f>IF(A97&lt;&gt;"",SUMIFS(node!$F$2:$F$500, node!$C$2:$C$500,"="&amp;A97, node!$C$2:$C$500,"&lt;&gt;"&amp;"")/(B97*D97),"")</f>
        <v/>
      </c>
      <c r="F97" s="124" t="str">
        <f>IF(A97&lt;&gt;"",SUMIFS(node!$H$2:$H$500, node!$C$2:$C$500,"="&amp;A97, node!$C$2:$C$500,"&lt;&gt;"&amp;"")/(C97*D97),"")</f>
        <v/>
      </c>
      <c r="G97" s="93" t="str">
        <f>IF(A97&lt;&gt;"",SUMIFS(deployment!$F$4:$F$502, deployment!$D$4:$D$502,"="&amp;A97, deployment!$D$4:$D$502,"&lt;&gt;"&amp;""),"")</f>
        <v/>
      </c>
      <c r="H97" s="94" t="str">
        <f>IF(A97&lt;&gt;"",SUMIFS(deployment!$G$4:$G$502, deployment!$D$4:$D$502,"="&amp;A97, deployment!$D$4:$D$502,"&lt;&gt;"&amp;""),"")</f>
        <v/>
      </c>
      <c r="I97" s="95" t="str">
        <f>IF(A97&lt;&gt;"",SUMIFS(deployment!$H$4:$H$502, deployment!$D$4:$D$502,"="&amp;A97, deployment!$D$4:$D$502,"&lt;&gt;"&amp;""),"")</f>
        <v/>
      </c>
      <c r="J97" s="96" t="str">
        <f>IF(A97&lt;&gt;"",SUMIFS(deployment!$I$4:$I$502, deployment!$D$4:$D$502,"="&amp;A97, deployment!$D$4:$D$502,"&lt;&gt;"&amp;""),"")</f>
        <v/>
      </c>
      <c r="K97" s="112" t="str">
        <f>IF(A97&lt;&gt;"",SUMIFS(deployment!$J$4:$J$502, deployment!$D$4:$D$502,"="&amp;A97, deployment!$D$4:$D$502,"&lt;&gt;"&amp;""),"")</f>
        <v/>
      </c>
      <c r="L97" s="112" t="str">
        <f>IF(A97&lt;&gt;"",SUMIFS(deployment!$K$4:$K$502, deployment!$D$4:$D$502,"="&amp;A97, deployment!$D$4:$D$502,"&lt;&gt;"&amp;""),"")</f>
        <v/>
      </c>
      <c r="M97" s="97" t="str">
        <f>IF(A97&lt;&gt;"",SUMIFS(deployment!$L$4:$L$502, deployment!$D$4:$D$502,"="&amp;A97, deployment!$D$4:$D$502,"&lt;&gt;"&amp;""),"")</f>
        <v/>
      </c>
      <c r="N97" s="97" t="str">
        <f>IF(A97&lt;&gt;"",SUMIFS(deployment!$M$4:$M$502, deployment!$D$4:$D$502,"="&amp;A97, deployment!$D$4:$D$502,"&lt;&gt;"&amp;""),"")</f>
        <v/>
      </c>
      <c r="O97" s="127" t="str">
        <f t="shared" si="23"/>
        <v/>
      </c>
      <c r="P97" s="104"/>
      <c r="Q97" s="99" t="str">
        <f t="shared" si="12"/>
        <v/>
      </c>
      <c r="R97" s="100" t="str">
        <f t="shared" si="13"/>
        <v/>
      </c>
      <c r="S97" s="100" t="str">
        <f t="shared" si="14"/>
        <v/>
      </c>
      <c r="T97" s="101" t="str">
        <f t="shared" si="15"/>
        <v/>
      </c>
      <c r="U97" s="101" t="str">
        <f t="shared" si="16"/>
        <v/>
      </c>
      <c r="V97" s="128" t="str">
        <f t="shared" si="17"/>
        <v/>
      </c>
      <c r="W97" s="128" t="str">
        <f t="shared" si="18"/>
        <v/>
      </c>
      <c r="X97" s="101" t="str">
        <f t="shared" si="19"/>
        <v/>
      </c>
      <c r="Y97" s="101" t="str">
        <f t="shared" si="20"/>
        <v/>
      </c>
      <c r="Z97" s="102" t="str">
        <f t="shared" si="21"/>
        <v/>
      </c>
      <c r="AA97" s="103" t="str">
        <f t="shared" si="22"/>
        <v/>
      </c>
      <c r="AB97" s="142" t="str">
        <f>IF(A97&lt;&gt;"", SUMIFS(node!$J$2:$J$500, node!$C$2:$C$500,"="&amp;A97)/P97, "")</f>
        <v/>
      </c>
      <c r="AC97" s="134" t="str">
        <f>IF(A97&lt;&gt;"", SUMIFS(node!$K$2:$K$500, node!$C$2:$C$500,"="&amp;A97)/P97, "")</f>
        <v/>
      </c>
      <c r="AD97" s="135" t="str">
        <f>IF(A97&lt;&gt;"", SUMIFS(node!$L$2:$L$500, node!$C$2:$C$500,"="&amp;A97), "")</f>
        <v/>
      </c>
      <c r="AE97" s="145" t="str">
        <f>IF(A97&lt;&gt;"", SUMIFS(node!$M$2:$M$500, node!$C$2:$C$500,"="&amp;A97), "")</f>
        <v/>
      </c>
    </row>
    <row r="98" spans="1:31" ht="15.75" customHeight="1" x14ac:dyDescent="0.25">
      <c r="A98" s="119" t="str">
        <f>IF(ISNONTEXT(node_raw[[#This Row],[Column2]]), "", node_raw[[#This Row],[Column2]])</f>
        <v/>
      </c>
      <c r="B98" s="116" t="str">
        <f>IF(A98&lt;&gt;"", VLOOKUP(A98, node!$C$2:$D$500, 2, FALSE), "")</f>
        <v/>
      </c>
      <c r="C98" s="117" t="str">
        <f>IF(A98&lt;&gt;"", VLOOKUP(A98, node!$C$2:$E$500, 3, FALSE), "")</f>
        <v/>
      </c>
      <c r="D98" s="118" t="str">
        <f>IF(A98&lt;&gt;"",COUNTIFS(node!$C$2:$C$500,"="&amp;A98, node!$C$2:$C$500,"&lt;&gt;"&amp;""),"")</f>
        <v/>
      </c>
      <c r="E98" s="122" t="str">
        <f>IF(A98&lt;&gt;"",SUMIFS(node!$F$2:$F$500, node!$C$2:$C$500,"="&amp;A98, node!$C$2:$C$500,"&lt;&gt;"&amp;"")/(B98*D98),"")</f>
        <v/>
      </c>
      <c r="F98" s="124" t="str">
        <f>IF(A98&lt;&gt;"",SUMIFS(node!$H$2:$H$500, node!$C$2:$C$500,"="&amp;A98, node!$C$2:$C$500,"&lt;&gt;"&amp;"")/(C98*D98),"")</f>
        <v/>
      </c>
      <c r="G98" s="93" t="str">
        <f>IF(A98&lt;&gt;"",SUMIFS(deployment!$F$4:$F$502, deployment!$D$4:$D$502,"="&amp;A98, deployment!$D$4:$D$502,"&lt;&gt;"&amp;""),"")</f>
        <v/>
      </c>
      <c r="H98" s="94" t="str">
        <f>IF(A98&lt;&gt;"",SUMIFS(deployment!$G$4:$G$502, deployment!$D$4:$D$502,"="&amp;A98, deployment!$D$4:$D$502,"&lt;&gt;"&amp;""),"")</f>
        <v/>
      </c>
      <c r="I98" s="95" t="str">
        <f>IF(A98&lt;&gt;"",SUMIFS(deployment!$H$4:$H$502, deployment!$D$4:$D$502,"="&amp;A98, deployment!$D$4:$D$502,"&lt;&gt;"&amp;""),"")</f>
        <v/>
      </c>
      <c r="J98" s="96" t="str">
        <f>IF(A98&lt;&gt;"",SUMIFS(deployment!$I$4:$I$502, deployment!$D$4:$D$502,"="&amp;A98, deployment!$D$4:$D$502,"&lt;&gt;"&amp;""),"")</f>
        <v/>
      </c>
      <c r="K98" s="112" t="str">
        <f>IF(A98&lt;&gt;"",SUMIFS(deployment!$J$4:$J$502, deployment!$D$4:$D$502,"="&amp;A98, deployment!$D$4:$D$502,"&lt;&gt;"&amp;""),"")</f>
        <v/>
      </c>
      <c r="L98" s="112" t="str">
        <f>IF(A98&lt;&gt;"",SUMIFS(deployment!$K$4:$K$502, deployment!$D$4:$D$502,"="&amp;A98, deployment!$D$4:$D$502,"&lt;&gt;"&amp;""),"")</f>
        <v/>
      </c>
      <c r="M98" s="97" t="str">
        <f>IF(A98&lt;&gt;"",SUMIFS(deployment!$L$4:$L$502, deployment!$D$4:$D$502,"="&amp;A98, deployment!$D$4:$D$502,"&lt;&gt;"&amp;""),"")</f>
        <v/>
      </c>
      <c r="N98" s="97" t="str">
        <f>IF(A98&lt;&gt;"",SUMIFS(deployment!$M$4:$M$502, deployment!$D$4:$D$502,"="&amp;A98, deployment!$D$4:$D$502,"&lt;&gt;"&amp;""),"")</f>
        <v/>
      </c>
      <c r="O98" s="127" t="str">
        <f t="shared" si="23"/>
        <v/>
      </c>
      <c r="P98" s="104"/>
      <c r="Q98" s="99" t="str">
        <f t="shared" si="12"/>
        <v/>
      </c>
      <c r="R98" s="100" t="str">
        <f t="shared" si="13"/>
        <v/>
      </c>
      <c r="S98" s="100" t="str">
        <f t="shared" si="14"/>
        <v/>
      </c>
      <c r="T98" s="101" t="str">
        <f t="shared" si="15"/>
        <v/>
      </c>
      <c r="U98" s="101" t="str">
        <f t="shared" si="16"/>
        <v/>
      </c>
      <c r="V98" s="128" t="str">
        <f t="shared" si="17"/>
        <v/>
      </c>
      <c r="W98" s="128" t="str">
        <f t="shared" si="18"/>
        <v/>
      </c>
      <c r="X98" s="101" t="str">
        <f t="shared" si="19"/>
        <v/>
      </c>
      <c r="Y98" s="101" t="str">
        <f t="shared" si="20"/>
        <v/>
      </c>
      <c r="Z98" s="102" t="str">
        <f t="shared" si="21"/>
        <v/>
      </c>
      <c r="AA98" s="103" t="str">
        <f t="shared" si="22"/>
        <v/>
      </c>
      <c r="AB98" s="142" t="str">
        <f>IF(A98&lt;&gt;"", SUMIFS(node!$J$2:$J$500, node!$C$2:$C$500,"="&amp;A98)/P98, "")</f>
        <v/>
      </c>
      <c r="AC98" s="134" t="str">
        <f>IF(A98&lt;&gt;"", SUMIFS(node!$K$2:$K$500, node!$C$2:$C$500,"="&amp;A98)/P98, "")</f>
        <v/>
      </c>
      <c r="AD98" s="135" t="str">
        <f>IF(A98&lt;&gt;"", SUMIFS(node!$L$2:$L$500, node!$C$2:$C$500,"="&amp;A98), "")</f>
        <v/>
      </c>
      <c r="AE98" s="145" t="str">
        <f>IF(A98&lt;&gt;"", SUMIFS(node!$M$2:$M$500, node!$C$2:$C$500,"="&amp;A98), "")</f>
        <v/>
      </c>
    </row>
    <row r="99" spans="1:31" ht="15.75" customHeight="1" x14ac:dyDescent="0.25">
      <c r="A99" s="119" t="str">
        <f>IF(ISNONTEXT(node_raw[[#This Row],[Column2]]), "", node_raw[[#This Row],[Column2]])</f>
        <v/>
      </c>
      <c r="B99" s="116" t="str">
        <f>IF(A99&lt;&gt;"", VLOOKUP(A99, node!$C$2:$D$500, 2, FALSE), "")</f>
        <v/>
      </c>
      <c r="C99" s="117" t="str">
        <f>IF(A99&lt;&gt;"", VLOOKUP(A99, node!$C$2:$E$500, 3, FALSE), "")</f>
        <v/>
      </c>
      <c r="D99" s="118" t="str">
        <f>IF(A99&lt;&gt;"",COUNTIFS(node!$C$2:$C$500,"="&amp;A99, node!$C$2:$C$500,"&lt;&gt;"&amp;""),"")</f>
        <v/>
      </c>
      <c r="E99" s="122" t="str">
        <f>IF(A99&lt;&gt;"",SUMIFS(node!$F$2:$F$500, node!$C$2:$C$500,"="&amp;A99, node!$C$2:$C$500,"&lt;&gt;"&amp;"")/(B99*D99),"")</f>
        <v/>
      </c>
      <c r="F99" s="124" t="str">
        <f>IF(A99&lt;&gt;"",SUMIFS(node!$H$2:$H$500, node!$C$2:$C$500,"="&amp;A99, node!$C$2:$C$500,"&lt;&gt;"&amp;"")/(C99*D99),"")</f>
        <v/>
      </c>
      <c r="G99" s="93" t="str">
        <f>IF(A99&lt;&gt;"",SUMIFS(deployment!$F$4:$F$502, deployment!$D$4:$D$502,"="&amp;A99, deployment!$D$4:$D$502,"&lt;&gt;"&amp;""),"")</f>
        <v/>
      </c>
      <c r="H99" s="94" t="str">
        <f>IF(A99&lt;&gt;"",SUMIFS(deployment!$G$4:$G$502, deployment!$D$4:$D$502,"="&amp;A99, deployment!$D$4:$D$502,"&lt;&gt;"&amp;""),"")</f>
        <v/>
      </c>
      <c r="I99" s="95" t="str">
        <f>IF(A99&lt;&gt;"",SUMIFS(deployment!$H$4:$H$502, deployment!$D$4:$D$502,"="&amp;A99, deployment!$D$4:$D$502,"&lt;&gt;"&amp;""),"")</f>
        <v/>
      </c>
      <c r="J99" s="96" t="str">
        <f>IF(A99&lt;&gt;"",SUMIFS(deployment!$I$4:$I$502, deployment!$D$4:$D$502,"="&amp;A99, deployment!$D$4:$D$502,"&lt;&gt;"&amp;""),"")</f>
        <v/>
      </c>
      <c r="K99" s="112" t="str">
        <f>IF(A99&lt;&gt;"",SUMIFS(deployment!$J$4:$J$502, deployment!$D$4:$D$502,"="&amp;A99, deployment!$D$4:$D$502,"&lt;&gt;"&amp;""),"")</f>
        <v/>
      </c>
      <c r="L99" s="112" t="str">
        <f>IF(A99&lt;&gt;"",SUMIFS(deployment!$K$4:$K$502, deployment!$D$4:$D$502,"="&amp;A99, deployment!$D$4:$D$502,"&lt;&gt;"&amp;""),"")</f>
        <v/>
      </c>
      <c r="M99" s="97" t="str">
        <f>IF(A99&lt;&gt;"",SUMIFS(deployment!$L$4:$L$502, deployment!$D$4:$D$502,"="&amp;A99, deployment!$D$4:$D$502,"&lt;&gt;"&amp;""),"")</f>
        <v/>
      </c>
      <c r="N99" s="97" t="str">
        <f>IF(A99&lt;&gt;"",SUMIFS(deployment!$M$4:$M$502, deployment!$D$4:$D$502,"="&amp;A99, deployment!$D$4:$D$502,"&lt;&gt;"&amp;""),"")</f>
        <v/>
      </c>
      <c r="O99" s="127" t="str">
        <f t="shared" si="23"/>
        <v/>
      </c>
      <c r="P99" s="104"/>
      <c r="Q99" s="99" t="str">
        <f t="shared" si="12"/>
        <v/>
      </c>
      <c r="R99" s="100" t="str">
        <f t="shared" si="13"/>
        <v/>
      </c>
      <c r="S99" s="100" t="str">
        <f t="shared" si="14"/>
        <v/>
      </c>
      <c r="T99" s="101" t="str">
        <f t="shared" si="15"/>
        <v/>
      </c>
      <c r="U99" s="101" t="str">
        <f t="shared" si="16"/>
        <v/>
      </c>
      <c r="V99" s="128" t="str">
        <f t="shared" si="17"/>
        <v/>
      </c>
      <c r="W99" s="128" t="str">
        <f t="shared" si="18"/>
        <v/>
      </c>
      <c r="X99" s="101" t="str">
        <f t="shared" si="19"/>
        <v/>
      </c>
      <c r="Y99" s="101" t="str">
        <f t="shared" si="20"/>
        <v/>
      </c>
      <c r="Z99" s="102" t="str">
        <f t="shared" si="21"/>
        <v/>
      </c>
      <c r="AA99" s="103" t="str">
        <f t="shared" si="22"/>
        <v/>
      </c>
      <c r="AB99" s="142" t="str">
        <f>IF(A99&lt;&gt;"", SUMIFS(node!$J$2:$J$500, node!$C$2:$C$500,"="&amp;A99)/P99, "")</f>
        <v/>
      </c>
      <c r="AC99" s="134" t="str">
        <f>IF(A99&lt;&gt;"", SUMIFS(node!$K$2:$K$500, node!$C$2:$C$500,"="&amp;A99)/P99, "")</f>
        <v/>
      </c>
      <c r="AD99" s="135" t="str">
        <f>IF(A99&lt;&gt;"", SUMIFS(node!$L$2:$L$500, node!$C$2:$C$500,"="&amp;A99), "")</f>
        <v/>
      </c>
      <c r="AE99" s="145" t="str">
        <f>IF(A99&lt;&gt;"", SUMIFS(node!$M$2:$M$500, node!$C$2:$C$500,"="&amp;A99), "")</f>
        <v/>
      </c>
    </row>
    <row r="100" spans="1:31" ht="15.75" customHeight="1" x14ac:dyDescent="0.25">
      <c r="A100" s="119" t="str">
        <f>IF(ISNONTEXT(node_raw[[#This Row],[Column2]]), "", node_raw[[#This Row],[Column2]])</f>
        <v/>
      </c>
      <c r="B100" s="116" t="str">
        <f>IF(A100&lt;&gt;"", VLOOKUP(A100, node!$C$2:$D$500, 2, FALSE), "")</f>
        <v/>
      </c>
      <c r="C100" s="117" t="str">
        <f>IF(A100&lt;&gt;"", VLOOKUP(A100, node!$C$2:$E$500, 3, FALSE), "")</f>
        <v/>
      </c>
      <c r="D100" s="118" t="str">
        <f>IF(A100&lt;&gt;"",COUNTIFS(node!$C$2:$C$500,"="&amp;A100, node!$C$2:$C$500,"&lt;&gt;"&amp;""),"")</f>
        <v/>
      </c>
      <c r="E100" s="122" t="str">
        <f>IF(A100&lt;&gt;"",SUMIFS(node!$F$2:$F$500, node!$C$2:$C$500,"="&amp;A100, node!$C$2:$C$500,"&lt;&gt;"&amp;"")/(B100*D100),"")</f>
        <v/>
      </c>
      <c r="F100" s="124" t="str">
        <f>IF(A100&lt;&gt;"",SUMIFS(node!$H$2:$H$500, node!$C$2:$C$500,"="&amp;A100, node!$C$2:$C$500,"&lt;&gt;"&amp;"")/(C100*D100),"")</f>
        <v/>
      </c>
      <c r="G100" s="93" t="str">
        <f>IF(A100&lt;&gt;"",SUMIFS(deployment!$F$4:$F$502, deployment!$D$4:$D$502,"="&amp;A100, deployment!$D$4:$D$502,"&lt;&gt;"&amp;""),"")</f>
        <v/>
      </c>
      <c r="H100" s="94" t="str">
        <f>IF(A100&lt;&gt;"",SUMIFS(deployment!$G$4:$G$502, deployment!$D$4:$D$502,"="&amp;A100, deployment!$D$4:$D$502,"&lt;&gt;"&amp;""),"")</f>
        <v/>
      </c>
      <c r="I100" s="95" t="str">
        <f>IF(A100&lt;&gt;"",SUMIFS(deployment!$H$4:$H$502, deployment!$D$4:$D$502,"="&amp;A100, deployment!$D$4:$D$502,"&lt;&gt;"&amp;""),"")</f>
        <v/>
      </c>
      <c r="J100" s="96" t="str">
        <f>IF(A100&lt;&gt;"",SUMIFS(deployment!$I$4:$I$502, deployment!$D$4:$D$502,"="&amp;A100, deployment!$D$4:$D$502,"&lt;&gt;"&amp;""),"")</f>
        <v/>
      </c>
      <c r="K100" s="112" t="str">
        <f>IF(A100&lt;&gt;"",SUMIFS(deployment!$J$4:$J$502, deployment!$D$4:$D$502,"="&amp;A100, deployment!$D$4:$D$502,"&lt;&gt;"&amp;""),"")</f>
        <v/>
      </c>
      <c r="L100" s="112" t="str">
        <f>IF(A100&lt;&gt;"",SUMIFS(deployment!$K$4:$K$502, deployment!$D$4:$D$502,"="&amp;A100, deployment!$D$4:$D$502,"&lt;&gt;"&amp;""),"")</f>
        <v/>
      </c>
      <c r="M100" s="97" t="str">
        <f>IF(A100&lt;&gt;"",SUMIFS(deployment!$L$4:$L$502, deployment!$D$4:$D$502,"="&amp;A100, deployment!$D$4:$D$502,"&lt;&gt;"&amp;""),"")</f>
        <v/>
      </c>
      <c r="N100" s="97" t="str">
        <f>IF(A100&lt;&gt;"",SUMIFS(deployment!$M$4:$M$502, deployment!$D$4:$D$502,"="&amp;A100, deployment!$D$4:$D$502,"&lt;&gt;"&amp;""),"")</f>
        <v/>
      </c>
      <c r="O100" s="127" t="str">
        <f t="shared" si="23"/>
        <v/>
      </c>
      <c r="P100" s="104"/>
      <c r="Q100" s="99" t="str">
        <f t="shared" si="12"/>
        <v/>
      </c>
      <c r="R100" s="100" t="str">
        <f t="shared" si="13"/>
        <v/>
      </c>
      <c r="S100" s="100" t="str">
        <f t="shared" si="14"/>
        <v/>
      </c>
      <c r="T100" s="101" t="str">
        <f t="shared" si="15"/>
        <v/>
      </c>
      <c r="U100" s="101" t="str">
        <f t="shared" si="16"/>
        <v/>
      </c>
      <c r="V100" s="128" t="str">
        <f t="shared" si="17"/>
        <v/>
      </c>
      <c r="W100" s="128" t="str">
        <f t="shared" si="18"/>
        <v/>
      </c>
      <c r="X100" s="101" t="str">
        <f t="shared" si="19"/>
        <v/>
      </c>
      <c r="Y100" s="101" t="str">
        <f t="shared" si="20"/>
        <v/>
      </c>
      <c r="Z100" s="102" t="str">
        <f t="shared" si="21"/>
        <v/>
      </c>
      <c r="AA100" s="103" t="str">
        <f t="shared" si="22"/>
        <v/>
      </c>
      <c r="AB100" s="142" t="str">
        <f>IF(A100&lt;&gt;"", SUMIFS(node!$J$2:$J$500, node!$C$2:$C$500,"="&amp;A100)/P100, "")</f>
        <v/>
      </c>
      <c r="AC100" s="134" t="str">
        <f>IF(A100&lt;&gt;"", SUMIFS(node!$K$2:$K$500, node!$C$2:$C$500,"="&amp;A100)/P100, "")</f>
        <v/>
      </c>
      <c r="AD100" s="135" t="str">
        <f>IF(A100&lt;&gt;"", SUMIFS(node!$L$2:$L$500, node!$C$2:$C$500,"="&amp;A100), "")</f>
        <v/>
      </c>
      <c r="AE100" s="145" t="str">
        <f>IF(A100&lt;&gt;"", SUMIFS(node!$M$2:$M$500, node!$C$2:$C$500,"="&amp;A100), "")</f>
        <v/>
      </c>
    </row>
    <row r="101" spans="1:31" ht="15.75" customHeight="1" x14ac:dyDescent="0.25">
      <c r="A101" s="119" t="str">
        <f>IF(ISNONTEXT(node_raw[[#This Row],[Column2]]), "", node_raw[[#This Row],[Column2]])</f>
        <v/>
      </c>
      <c r="B101" s="116" t="str">
        <f>IF(A101&lt;&gt;"", VLOOKUP(A101, node!$C$2:$D$500, 2, FALSE), "")</f>
        <v/>
      </c>
      <c r="C101" s="117" t="str">
        <f>IF(A101&lt;&gt;"", VLOOKUP(A101, node!$C$2:$E$500, 3, FALSE), "")</f>
        <v/>
      </c>
      <c r="D101" s="118" t="str">
        <f>IF(A101&lt;&gt;"",COUNTIFS(node!$C$2:$C$500,"="&amp;A101, node!$C$2:$C$500,"&lt;&gt;"&amp;""),"")</f>
        <v/>
      </c>
      <c r="E101" s="122" t="str">
        <f>IF(A101&lt;&gt;"",SUMIFS(node!$F$2:$F$500, node!$C$2:$C$500,"="&amp;A101, node!$C$2:$C$500,"&lt;&gt;"&amp;"")/(B101*D101),"")</f>
        <v/>
      </c>
      <c r="F101" s="124" t="str">
        <f>IF(A101&lt;&gt;"",SUMIFS(node!$H$2:$H$500, node!$C$2:$C$500,"="&amp;A101, node!$C$2:$C$500,"&lt;&gt;"&amp;"")/(C101*D101),"")</f>
        <v/>
      </c>
      <c r="G101" s="93" t="str">
        <f>IF(A101&lt;&gt;"",SUMIFS(deployment!$F$4:$F$502, deployment!$D$4:$D$502,"="&amp;A101, deployment!$D$4:$D$502,"&lt;&gt;"&amp;""),"")</f>
        <v/>
      </c>
      <c r="H101" s="94" t="str">
        <f>IF(A101&lt;&gt;"",SUMIFS(deployment!$G$4:$G$502, deployment!$D$4:$D$502,"="&amp;A101, deployment!$D$4:$D$502,"&lt;&gt;"&amp;""),"")</f>
        <v/>
      </c>
      <c r="I101" s="95" t="str">
        <f>IF(A101&lt;&gt;"",SUMIFS(deployment!$H$4:$H$502, deployment!$D$4:$D$502,"="&amp;A101, deployment!$D$4:$D$502,"&lt;&gt;"&amp;""),"")</f>
        <v/>
      </c>
      <c r="J101" s="96" t="str">
        <f>IF(A101&lt;&gt;"",SUMIFS(deployment!$I$4:$I$502, deployment!$D$4:$D$502,"="&amp;A101, deployment!$D$4:$D$502,"&lt;&gt;"&amp;""),"")</f>
        <v/>
      </c>
      <c r="K101" s="112" t="str">
        <f>IF(A101&lt;&gt;"",SUMIFS(deployment!$J$4:$J$502, deployment!$D$4:$D$502,"="&amp;A101, deployment!$D$4:$D$502,"&lt;&gt;"&amp;""),"")</f>
        <v/>
      </c>
      <c r="L101" s="112" t="str">
        <f>IF(A101&lt;&gt;"",SUMIFS(deployment!$K$4:$K$502, deployment!$D$4:$D$502,"="&amp;A101, deployment!$D$4:$D$502,"&lt;&gt;"&amp;""),"")</f>
        <v/>
      </c>
      <c r="M101" s="97" t="str">
        <f>IF(A101&lt;&gt;"",SUMIFS(deployment!$L$4:$L$502, deployment!$D$4:$D$502,"="&amp;A101, deployment!$D$4:$D$502,"&lt;&gt;"&amp;""),"")</f>
        <v/>
      </c>
      <c r="N101" s="97" t="str">
        <f>IF(A101&lt;&gt;"",SUMIFS(deployment!$M$4:$M$502, deployment!$D$4:$D$502,"="&amp;A101, deployment!$D$4:$D$502,"&lt;&gt;"&amp;""),"")</f>
        <v/>
      </c>
      <c r="O101" s="127" t="str">
        <f t="shared" si="23"/>
        <v/>
      </c>
      <c r="P101" s="104"/>
      <c r="Q101" s="99" t="str">
        <f t="shared" si="12"/>
        <v/>
      </c>
      <c r="R101" s="100" t="str">
        <f t="shared" si="13"/>
        <v/>
      </c>
      <c r="S101" s="100" t="str">
        <f t="shared" si="14"/>
        <v/>
      </c>
      <c r="T101" s="101" t="str">
        <f t="shared" si="15"/>
        <v/>
      </c>
      <c r="U101" s="101" t="str">
        <f t="shared" si="16"/>
        <v/>
      </c>
      <c r="V101" s="128" t="str">
        <f t="shared" si="17"/>
        <v/>
      </c>
      <c r="W101" s="128" t="str">
        <f t="shared" si="18"/>
        <v/>
      </c>
      <c r="X101" s="101" t="str">
        <f t="shared" si="19"/>
        <v/>
      </c>
      <c r="Y101" s="101" t="str">
        <f t="shared" si="20"/>
        <v/>
      </c>
      <c r="Z101" s="102" t="str">
        <f t="shared" si="21"/>
        <v/>
      </c>
      <c r="AA101" s="103" t="str">
        <f t="shared" si="22"/>
        <v/>
      </c>
      <c r="AB101" s="142" t="str">
        <f>IF(A101&lt;&gt;"", SUMIFS(node!$J$2:$J$500, node!$C$2:$C$500,"="&amp;A101)/P101, "")</f>
        <v/>
      </c>
      <c r="AC101" s="134" t="str">
        <f>IF(A101&lt;&gt;"", SUMIFS(node!$K$2:$K$500, node!$C$2:$C$500,"="&amp;A101)/P101, "")</f>
        <v/>
      </c>
      <c r="AD101" s="135" t="str">
        <f>IF(A101&lt;&gt;"", SUMIFS(node!$L$2:$L$500, node!$C$2:$C$500,"="&amp;A101), "")</f>
        <v/>
      </c>
      <c r="AE101" s="145" t="str">
        <f>IF(A101&lt;&gt;"", SUMIFS(node!$M$2:$M$500, node!$C$2:$C$500,"="&amp;A101), "")</f>
        <v/>
      </c>
    </row>
    <row r="102" spans="1:31" ht="15.75" customHeight="1" x14ac:dyDescent="0.25">
      <c r="A102" s="119" t="str">
        <f>IF(ISNONTEXT(node_raw[[#This Row],[Column2]]), "", node_raw[[#This Row],[Column2]])</f>
        <v/>
      </c>
      <c r="B102" s="116" t="str">
        <f>IF(A102&lt;&gt;"", VLOOKUP(A102, node!$C$2:$D$500, 2, FALSE), "")</f>
        <v/>
      </c>
      <c r="C102" s="117" t="str">
        <f>IF(A102&lt;&gt;"", VLOOKUP(A102, node!$C$2:$E$500, 3, FALSE), "")</f>
        <v/>
      </c>
      <c r="D102" s="118" t="str">
        <f>IF(A102&lt;&gt;"",COUNTIFS(node!$C$2:$C$500,"="&amp;A102, node!$C$2:$C$500,"&lt;&gt;"&amp;""),"")</f>
        <v/>
      </c>
      <c r="E102" s="122" t="str">
        <f>IF(A102&lt;&gt;"",SUMIFS(node!$F$2:$F$500, node!$C$2:$C$500,"="&amp;A102, node!$C$2:$C$500,"&lt;&gt;"&amp;"")/(B102*D102),"")</f>
        <v/>
      </c>
      <c r="F102" s="124" t="str">
        <f>IF(A102&lt;&gt;"",SUMIFS(node!$H$2:$H$500, node!$C$2:$C$500,"="&amp;A102, node!$C$2:$C$500,"&lt;&gt;"&amp;"")/(C102*D102),"")</f>
        <v/>
      </c>
      <c r="G102" s="93" t="str">
        <f>IF(A102&lt;&gt;"",SUMIFS(deployment!$F$4:$F$502, deployment!$D$4:$D$502,"="&amp;A102, deployment!$D$4:$D$502,"&lt;&gt;"&amp;""),"")</f>
        <v/>
      </c>
      <c r="H102" s="94" t="str">
        <f>IF(A102&lt;&gt;"",SUMIFS(deployment!$G$4:$G$502, deployment!$D$4:$D$502,"="&amp;A102, deployment!$D$4:$D$502,"&lt;&gt;"&amp;""),"")</f>
        <v/>
      </c>
      <c r="I102" s="95" t="str">
        <f>IF(A102&lt;&gt;"",SUMIFS(deployment!$H$4:$H$502, deployment!$D$4:$D$502,"="&amp;A102, deployment!$D$4:$D$502,"&lt;&gt;"&amp;""),"")</f>
        <v/>
      </c>
      <c r="J102" s="96" t="str">
        <f>IF(A102&lt;&gt;"",SUMIFS(deployment!$I$4:$I$502, deployment!$D$4:$D$502,"="&amp;A102, deployment!$D$4:$D$502,"&lt;&gt;"&amp;""),"")</f>
        <v/>
      </c>
      <c r="K102" s="112" t="str">
        <f>IF(A102&lt;&gt;"",SUMIFS(deployment!$J$4:$J$502, deployment!$D$4:$D$502,"="&amp;A102, deployment!$D$4:$D$502,"&lt;&gt;"&amp;""),"")</f>
        <v/>
      </c>
      <c r="L102" s="112" t="str">
        <f>IF(A102&lt;&gt;"",SUMIFS(deployment!$K$4:$K$502, deployment!$D$4:$D$502,"="&amp;A102, deployment!$D$4:$D$502,"&lt;&gt;"&amp;""),"")</f>
        <v/>
      </c>
      <c r="M102" s="97" t="str">
        <f>IF(A102&lt;&gt;"",SUMIFS(deployment!$L$4:$L$502, deployment!$D$4:$D$502,"="&amp;A102, deployment!$D$4:$D$502,"&lt;&gt;"&amp;""),"")</f>
        <v/>
      </c>
      <c r="N102" s="97" t="str">
        <f>IF(A102&lt;&gt;"",SUMIFS(deployment!$M$4:$M$502, deployment!$D$4:$D$502,"="&amp;A102, deployment!$D$4:$D$502,"&lt;&gt;"&amp;""),"")</f>
        <v/>
      </c>
      <c r="O102" s="127" t="str">
        <f t="shared" si="23"/>
        <v/>
      </c>
      <c r="P102" s="104"/>
      <c r="Q102" s="99" t="str">
        <f t="shared" si="12"/>
        <v/>
      </c>
      <c r="R102" s="100" t="str">
        <f t="shared" si="13"/>
        <v/>
      </c>
      <c r="S102" s="100" t="str">
        <f t="shared" si="14"/>
        <v/>
      </c>
      <c r="T102" s="101" t="str">
        <f t="shared" si="15"/>
        <v/>
      </c>
      <c r="U102" s="101" t="str">
        <f t="shared" si="16"/>
        <v/>
      </c>
      <c r="V102" s="128" t="str">
        <f t="shared" si="17"/>
        <v/>
      </c>
      <c r="W102" s="128" t="str">
        <f t="shared" si="18"/>
        <v/>
      </c>
      <c r="X102" s="101" t="str">
        <f t="shared" si="19"/>
        <v/>
      </c>
      <c r="Y102" s="101" t="str">
        <f t="shared" si="20"/>
        <v/>
      </c>
      <c r="Z102" s="102" t="str">
        <f t="shared" si="21"/>
        <v/>
      </c>
      <c r="AA102" s="103" t="str">
        <f t="shared" si="22"/>
        <v/>
      </c>
      <c r="AB102" s="142" t="str">
        <f>IF(A102&lt;&gt;"", SUMIFS(node!$J$2:$J$500, node!$C$2:$C$500,"="&amp;A102)/P102, "")</f>
        <v/>
      </c>
      <c r="AC102" s="134" t="str">
        <f>IF(A102&lt;&gt;"", SUMIFS(node!$K$2:$K$500, node!$C$2:$C$500,"="&amp;A102)/P102, "")</f>
        <v/>
      </c>
      <c r="AD102" s="135" t="str">
        <f>IF(A102&lt;&gt;"", SUMIFS(node!$L$2:$L$500, node!$C$2:$C$500,"="&amp;A102), "")</f>
        <v/>
      </c>
      <c r="AE102" s="145" t="str">
        <f>IF(A102&lt;&gt;"", SUMIFS(node!$M$2:$M$500, node!$C$2:$C$500,"="&amp;A102), "")</f>
        <v/>
      </c>
    </row>
    <row r="103" spans="1:31" ht="15.75" customHeight="1" x14ac:dyDescent="0.25">
      <c r="A103" s="119" t="str">
        <f>IF(ISNONTEXT(node_raw[[#This Row],[Column2]]), "", node_raw[[#This Row],[Column2]])</f>
        <v/>
      </c>
      <c r="B103" s="116" t="str">
        <f>IF(A103&lt;&gt;"", VLOOKUP(A103, node!$C$2:$D$500, 2, FALSE), "")</f>
        <v/>
      </c>
      <c r="C103" s="117" t="str">
        <f>IF(A103&lt;&gt;"", VLOOKUP(A103, node!$C$2:$E$500, 3, FALSE), "")</f>
        <v/>
      </c>
      <c r="D103" s="118" t="str">
        <f>IF(A103&lt;&gt;"",COUNTIFS(node!$C$2:$C$500,"="&amp;A103, node!$C$2:$C$500,"&lt;&gt;"&amp;""),"")</f>
        <v/>
      </c>
      <c r="E103" s="122" t="str">
        <f>IF(A103&lt;&gt;"",SUMIFS(node!$F$2:$F$500, node!$C$2:$C$500,"="&amp;A103, node!$C$2:$C$500,"&lt;&gt;"&amp;"")/(B103*D103),"")</f>
        <v/>
      </c>
      <c r="F103" s="124" t="str">
        <f>IF(A103&lt;&gt;"",SUMIFS(node!$H$2:$H$500, node!$C$2:$C$500,"="&amp;A103, node!$C$2:$C$500,"&lt;&gt;"&amp;"")/(C103*D103),"")</f>
        <v/>
      </c>
      <c r="G103" s="93" t="str">
        <f>IF(A103&lt;&gt;"",SUMIFS(deployment!$F$4:$F$502, deployment!$D$4:$D$502,"="&amp;A103, deployment!$D$4:$D$502,"&lt;&gt;"&amp;""),"")</f>
        <v/>
      </c>
      <c r="H103" s="94" t="str">
        <f>IF(A103&lt;&gt;"",SUMIFS(deployment!$G$4:$G$502, deployment!$D$4:$D$502,"="&amp;A103, deployment!$D$4:$D$502,"&lt;&gt;"&amp;""),"")</f>
        <v/>
      </c>
      <c r="I103" s="95" t="str">
        <f>IF(A103&lt;&gt;"",SUMIFS(deployment!$H$4:$H$502, deployment!$D$4:$D$502,"="&amp;A103, deployment!$D$4:$D$502,"&lt;&gt;"&amp;""),"")</f>
        <v/>
      </c>
      <c r="J103" s="96" t="str">
        <f>IF(A103&lt;&gt;"",SUMIFS(deployment!$I$4:$I$502, deployment!$D$4:$D$502,"="&amp;A103, deployment!$D$4:$D$502,"&lt;&gt;"&amp;""),"")</f>
        <v/>
      </c>
      <c r="K103" s="112" t="str">
        <f>IF(A103&lt;&gt;"",SUMIFS(deployment!$J$4:$J$502, deployment!$D$4:$D$502,"="&amp;A103, deployment!$D$4:$D$502,"&lt;&gt;"&amp;""),"")</f>
        <v/>
      </c>
      <c r="L103" s="112" t="str">
        <f>IF(A103&lt;&gt;"",SUMIFS(deployment!$K$4:$K$502, deployment!$D$4:$D$502,"="&amp;A103, deployment!$D$4:$D$502,"&lt;&gt;"&amp;""),"")</f>
        <v/>
      </c>
      <c r="M103" s="97" t="str">
        <f>IF(A103&lt;&gt;"",SUMIFS(deployment!$L$4:$L$502, deployment!$D$4:$D$502,"="&amp;A103, deployment!$D$4:$D$502,"&lt;&gt;"&amp;""),"")</f>
        <v/>
      </c>
      <c r="N103" s="97" t="str">
        <f>IF(A103&lt;&gt;"",SUMIFS(deployment!$M$4:$M$502, deployment!$D$4:$D$502,"="&amp;A103, deployment!$D$4:$D$502,"&lt;&gt;"&amp;""),"")</f>
        <v/>
      </c>
      <c r="O103" s="127" t="str">
        <f t="shared" si="23"/>
        <v/>
      </c>
      <c r="P103" s="104"/>
      <c r="Q103" s="99" t="str">
        <f t="shared" si="12"/>
        <v/>
      </c>
      <c r="R103" s="100" t="str">
        <f t="shared" si="13"/>
        <v/>
      </c>
      <c r="S103" s="100" t="str">
        <f t="shared" si="14"/>
        <v/>
      </c>
      <c r="T103" s="101" t="str">
        <f t="shared" si="15"/>
        <v/>
      </c>
      <c r="U103" s="101" t="str">
        <f t="shared" si="16"/>
        <v/>
      </c>
      <c r="V103" s="128" t="str">
        <f t="shared" si="17"/>
        <v/>
      </c>
      <c r="W103" s="128" t="str">
        <f t="shared" si="18"/>
        <v/>
      </c>
      <c r="X103" s="101" t="str">
        <f t="shared" si="19"/>
        <v/>
      </c>
      <c r="Y103" s="101" t="str">
        <f t="shared" si="20"/>
        <v/>
      </c>
      <c r="Z103" s="102" t="str">
        <f t="shared" si="21"/>
        <v/>
      </c>
      <c r="AA103" s="103" t="str">
        <f t="shared" si="22"/>
        <v/>
      </c>
      <c r="AB103" s="142" t="str">
        <f>IF(A103&lt;&gt;"", SUMIFS(node!$J$2:$J$500, node!$C$2:$C$500,"="&amp;A103)/P103, "")</f>
        <v/>
      </c>
      <c r="AC103" s="134" t="str">
        <f>IF(A103&lt;&gt;"", SUMIFS(node!$K$2:$K$500, node!$C$2:$C$500,"="&amp;A103)/P103, "")</f>
        <v/>
      </c>
      <c r="AD103" s="135" t="str">
        <f>IF(A103&lt;&gt;"", SUMIFS(node!$L$2:$L$500, node!$C$2:$C$500,"="&amp;A103), "")</f>
        <v/>
      </c>
      <c r="AE103" s="145" t="str">
        <f>IF(A103&lt;&gt;"", SUMIFS(node!$M$2:$M$500, node!$C$2:$C$500,"="&amp;A103), "")</f>
        <v/>
      </c>
    </row>
    <row r="104" spans="1:31" ht="15.75" customHeight="1" x14ac:dyDescent="0.25">
      <c r="A104" s="119" t="str">
        <f>IF(ISNONTEXT(node_raw[[#This Row],[Column2]]), "", node_raw[[#This Row],[Column2]])</f>
        <v/>
      </c>
      <c r="B104" s="116" t="str">
        <f>IF(A104&lt;&gt;"", VLOOKUP(A104, node!$C$2:$D$500, 2, FALSE), "")</f>
        <v/>
      </c>
      <c r="C104" s="117" t="str">
        <f>IF(A104&lt;&gt;"", VLOOKUP(A104, node!$C$2:$E$500, 3, FALSE), "")</f>
        <v/>
      </c>
      <c r="D104" s="118" t="str">
        <f>IF(A104&lt;&gt;"",COUNTIFS(node!$C$2:$C$500,"="&amp;A104, node!$C$2:$C$500,"&lt;&gt;"&amp;""),"")</f>
        <v/>
      </c>
      <c r="E104" s="122" t="str">
        <f>IF(A104&lt;&gt;"",SUMIFS(node!$F$2:$F$500, node!$C$2:$C$500,"="&amp;A104, node!$C$2:$C$500,"&lt;&gt;"&amp;"")/(B104*D104),"")</f>
        <v/>
      </c>
      <c r="F104" s="124" t="str">
        <f>IF(A104&lt;&gt;"",SUMIFS(node!$H$2:$H$500, node!$C$2:$C$500,"="&amp;A104, node!$C$2:$C$500,"&lt;&gt;"&amp;"")/(C104*D104),"")</f>
        <v/>
      </c>
      <c r="G104" s="93" t="str">
        <f>IF(A104&lt;&gt;"",SUMIFS(deployment!$F$4:$F$502, deployment!$D$4:$D$502,"="&amp;A104, deployment!$D$4:$D$502,"&lt;&gt;"&amp;""),"")</f>
        <v/>
      </c>
      <c r="H104" s="94" t="str">
        <f>IF(A104&lt;&gt;"",SUMIFS(deployment!$G$4:$G$502, deployment!$D$4:$D$502,"="&amp;A104, deployment!$D$4:$D$502,"&lt;&gt;"&amp;""),"")</f>
        <v/>
      </c>
      <c r="I104" s="95" t="str">
        <f>IF(A104&lt;&gt;"",SUMIFS(deployment!$H$4:$H$502, deployment!$D$4:$D$502,"="&amp;A104, deployment!$D$4:$D$502,"&lt;&gt;"&amp;""),"")</f>
        <v/>
      </c>
      <c r="J104" s="96" t="str">
        <f>IF(A104&lt;&gt;"",SUMIFS(deployment!$I$4:$I$502, deployment!$D$4:$D$502,"="&amp;A104, deployment!$D$4:$D$502,"&lt;&gt;"&amp;""),"")</f>
        <v/>
      </c>
      <c r="K104" s="112" t="str">
        <f>IF(A104&lt;&gt;"",SUMIFS(deployment!$J$4:$J$502, deployment!$D$4:$D$502,"="&amp;A104, deployment!$D$4:$D$502,"&lt;&gt;"&amp;""),"")</f>
        <v/>
      </c>
      <c r="L104" s="112" t="str">
        <f>IF(A104&lt;&gt;"",SUMIFS(deployment!$K$4:$K$502, deployment!$D$4:$D$502,"="&amp;A104, deployment!$D$4:$D$502,"&lt;&gt;"&amp;""),"")</f>
        <v/>
      </c>
      <c r="M104" s="97" t="str">
        <f>IF(A104&lt;&gt;"",SUMIFS(deployment!$L$4:$L$502, deployment!$D$4:$D$502,"="&amp;A104, deployment!$D$4:$D$502,"&lt;&gt;"&amp;""),"")</f>
        <v/>
      </c>
      <c r="N104" s="97" t="str">
        <f>IF(A104&lt;&gt;"",SUMIFS(deployment!$M$4:$M$502, deployment!$D$4:$D$502,"="&amp;A104, deployment!$D$4:$D$502,"&lt;&gt;"&amp;""),"")</f>
        <v/>
      </c>
      <c r="O104" s="127" t="str">
        <f t="shared" si="23"/>
        <v/>
      </c>
      <c r="P104" s="104"/>
      <c r="Q104" s="99" t="str">
        <f t="shared" si="12"/>
        <v/>
      </c>
      <c r="R104" s="100" t="str">
        <f t="shared" si="13"/>
        <v/>
      </c>
      <c r="S104" s="100" t="str">
        <f t="shared" si="14"/>
        <v/>
      </c>
      <c r="T104" s="101" t="str">
        <f t="shared" si="15"/>
        <v/>
      </c>
      <c r="U104" s="101" t="str">
        <f t="shared" si="16"/>
        <v/>
      </c>
      <c r="V104" s="128" t="str">
        <f t="shared" si="17"/>
        <v/>
      </c>
      <c r="W104" s="128" t="str">
        <f t="shared" si="18"/>
        <v/>
      </c>
      <c r="X104" s="101" t="str">
        <f t="shared" si="19"/>
        <v/>
      </c>
      <c r="Y104" s="101" t="str">
        <f t="shared" si="20"/>
        <v/>
      </c>
      <c r="Z104" s="102" t="str">
        <f t="shared" si="21"/>
        <v/>
      </c>
      <c r="AA104" s="103" t="str">
        <f t="shared" si="22"/>
        <v/>
      </c>
      <c r="AB104" s="142" t="str">
        <f>IF(A104&lt;&gt;"", SUMIFS(node!$J$2:$J$500, node!$C$2:$C$500,"="&amp;A104)/P104, "")</f>
        <v/>
      </c>
      <c r="AC104" s="134" t="str">
        <f>IF(A104&lt;&gt;"", SUMIFS(node!$K$2:$K$500, node!$C$2:$C$500,"="&amp;A104)/P104, "")</f>
        <v/>
      </c>
      <c r="AD104" s="135" t="str">
        <f>IF(A104&lt;&gt;"", SUMIFS(node!$L$2:$L$500, node!$C$2:$C$500,"="&amp;A104), "")</f>
        <v/>
      </c>
      <c r="AE104" s="145" t="str">
        <f>IF(A104&lt;&gt;"", SUMIFS(node!$M$2:$M$500, node!$C$2:$C$500,"="&amp;A104), "")</f>
        <v/>
      </c>
    </row>
    <row r="105" spans="1:31" ht="15.75" customHeight="1" x14ac:dyDescent="0.25">
      <c r="A105" s="119" t="str">
        <f>IF(ISNONTEXT(node_raw[[#This Row],[Column2]]), "", node_raw[[#This Row],[Column2]])</f>
        <v/>
      </c>
      <c r="B105" s="116" t="str">
        <f>IF(A105&lt;&gt;"", VLOOKUP(A105, node!$C$2:$D$500, 2, FALSE), "")</f>
        <v/>
      </c>
      <c r="C105" s="117" t="str">
        <f>IF(A105&lt;&gt;"", VLOOKUP(A105, node!$C$2:$E$500, 3, FALSE), "")</f>
        <v/>
      </c>
      <c r="D105" s="118" t="str">
        <f>IF(A105&lt;&gt;"",COUNTIFS(node!$C$2:$C$500,"="&amp;A105, node!$C$2:$C$500,"&lt;&gt;"&amp;""),"")</f>
        <v/>
      </c>
      <c r="E105" s="122" t="str">
        <f>IF(A105&lt;&gt;"",SUMIFS(node!$F$2:$F$500, node!$C$2:$C$500,"="&amp;A105, node!$C$2:$C$500,"&lt;&gt;"&amp;"")/(B105*D105),"")</f>
        <v/>
      </c>
      <c r="F105" s="124" t="str">
        <f>IF(A105&lt;&gt;"",SUMIFS(node!$H$2:$H$500, node!$C$2:$C$500,"="&amp;A105, node!$C$2:$C$500,"&lt;&gt;"&amp;"")/(C105*D105),"")</f>
        <v/>
      </c>
      <c r="G105" s="93" t="str">
        <f>IF(A105&lt;&gt;"",SUMIFS(deployment!$F$4:$F$502, deployment!$D$4:$D$502,"="&amp;A105, deployment!$D$4:$D$502,"&lt;&gt;"&amp;""),"")</f>
        <v/>
      </c>
      <c r="H105" s="94" t="str">
        <f>IF(A105&lt;&gt;"",SUMIFS(deployment!$G$4:$G$502, deployment!$D$4:$D$502,"="&amp;A105, deployment!$D$4:$D$502,"&lt;&gt;"&amp;""),"")</f>
        <v/>
      </c>
      <c r="I105" s="95" t="str">
        <f>IF(A105&lt;&gt;"",SUMIFS(deployment!$H$4:$H$502, deployment!$D$4:$D$502,"="&amp;A105, deployment!$D$4:$D$502,"&lt;&gt;"&amp;""),"")</f>
        <v/>
      </c>
      <c r="J105" s="96" t="str">
        <f>IF(A105&lt;&gt;"",SUMIFS(deployment!$I$4:$I$502, deployment!$D$4:$D$502,"="&amp;A105, deployment!$D$4:$D$502,"&lt;&gt;"&amp;""),"")</f>
        <v/>
      </c>
      <c r="K105" s="112" t="str">
        <f>IF(A105&lt;&gt;"",SUMIFS(deployment!$J$4:$J$502, deployment!$D$4:$D$502,"="&amp;A105, deployment!$D$4:$D$502,"&lt;&gt;"&amp;""),"")</f>
        <v/>
      </c>
      <c r="L105" s="112" t="str">
        <f>IF(A105&lt;&gt;"",SUMIFS(deployment!$K$4:$K$502, deployment!$D$4:$D$502,"="&amp;A105, deployment!$D$4:$D$502,"&lt;&gt;"&amp;""),"")</f>
        <v/>
      </c>
      <c r="M105" s="97" t="str">
        <f>IF(A105&lt;&gt;"",SUMIFS(deployment!$L$4:$L$502, deployment!$D$4:$D$502,"="&amp;A105, deployment!$D$4:$D$502,"&lt;&gt;"&amp;""),"")</f>
        <v/>
      </c>
      <c r="N105" s="97" t="str">
        <f>IF(A105&lt;&gt;"",SUMIFS(deployment!$M$4:$M$502, deployment!$D$4:$D$502,"="&amp;A105, deployment!$D$4:$D$502,"&lt;&gt;"&amp;""),"")</f>
        <v/>
      </c>
      <c r="O105" s="127" t="str">
        <f t="shared" si="23"/>
        <v/>
      </c>
      <c r="P105" s="104"/>
      <c r="Q105" s="99" t="str">
        <f t="shared" si="12"/>
        <v/>
      </c>
      <c r="R105" s="100" t="str">
        <f t="shared" si="13"/>
        <v/>
      </c>
      <c r="S105" s="100" t="str">
        <f t="shared" si="14"/>
        <v/>
      </c>
      <c r="T105" s="101" t="str">
        <f t="shared" si="15"/>
        <v/>
      </c>
      <c r="U105" s="101" t="str">
        <f t="shared" si="16"/>
        <v/>
      </c>
      <c r="V105" s="128" t="str">
        <f t="shared" si="17"/>
        <v/>
      </c>
      <c r="W105" s="128" t="str">
        <f t="shared" si="18"/>
        <v/>
      </c>
      <c r="X105" s="101" t="str">
        <f t="shared" si="19"/>
        <v/>
      </c>
      <c r="Y105" s="101" t="str">
        <f t="shared" si="20"/>
        <v/>
      </c>
      <c r="Z105" s="102" t="str">
        <f t="shared" si="21"/>
        <v/>
      </c>
      <c r="AA105" s="103" t="str">
        <f t="shared" si="22"/>
        <v/>
      </c>
      <c r="AB105" s="142" t="str">
        <f>IF(A105&lt;&gt;"", SUMIFS(node!$J$2:$J$500, node!$C$2:$C$500,"="&amp;A105)/P105, "")</f>
        <v/>
      </c>
      <c r="AC105" s="134" t="str">
        <f>IF(A105&lt;&gt;"", SUMIFS(node!$K$2:$K$500, node!$C$2:$C$500,"="&amp;A105)/P105, "")</f>
        <v/>
      </c>
      <c r="AD105" s="135" t="str">
        <f>IF(A105&lt;&gt;"", SUMIFS(node!$L$2:$L$500, node!$C$2:$C$500,"="&amp;A105), "")</f>
        <v/>
      </c>
      <c r="AE105" s="145" t="str">
        <f>IF(A105&lt;&gt;"", SUMIFS(node!$M$2:$M$500, node!$C$2:$C$500,"="&amp;A105), "")</f>
        <v/>
      </c>
    </row>
    <row r="106" spans="1:31" ht="15.75" customHeight="1" x14ac:dyDescent="0.25">
      <c r="A106" s="119" t="str">
        <f>IF(ISNONTEXT(node_raw[[#This Row],[Column2]]), "", node_raw[[#This Row],[Column2]])</f>
        <v/>
      </c>
      <c r="B106" s="116" t="str">
        <f>IF(A106&lt;&gt;"", VLOOKUP(A106, node!$C$2:$D$500, 2, FALSE), "")</f>
        <v/>
      </c>
      <c r="C106" s="117" t="str">
        <f>IF(A106&lt;&gt;"", VLOOKUP(A106, node!$C$2:$E$500, 3, FALSE), "")</f>
        <v/>
      </c>
      <c r="D106" s="118" t="str">
        <f>IF(A106&lt;&gt;"",COUNTIFS(node!$C$2:$C$500,"="&amp;A106, node!$C$2:$C$500,"&lt;&gt;"&amp;""),"")</f>
        <v/>
      </c>
      <c r="E106" s="122" t="str">
        <f>IF(A106&lt;&gt;"",SUMIFS(node!$F$2:$F$500, node!$C$2:$C$500,"="&amp;A106, node!$C$2:$C$500,"&lt;&gt;"&amp;"")/(B106*D106),"")</f>
        <v/>
      </c>
      <c r="F106" s="124" t="str">
        <f>IF(A106&lt;&gt;"",SUMIFS(node!$H$2:$H$500, node!$C$2:$C$500,"="&amp;A106, node!$C$2:$C$500,"&lt;&gt;"&amp;"")/(C106*D106),"")</f>
        <v/>
      </c>
      <c r="G106" s="93" t="str">
        <f>IF(A106&lt;&gt;"",SUMIFS(deployment!$F$4:$F$502, deployment!$D$4:$D$502,"="&amp;A106, deployment!$D$4:$D$502,"&lt;&gt;"&amp;""),"")</f>
        <v/>
      </c>
      <c r="H106" s="94" t="str">
        <f>IF(A106&lt;&gt;"",SUMIFS(deployment!$G$4:$G$502, deployment!$D$4:$D$502,"="&amp;A106, deployment!$D$4:$D$502,"&lt;&gt;"&amp;""),"")</f>
        <v/>
      </c>
      <c r="I106" s="95" t="str">
        <f>IF(A106&lt;&gt;"",SUMIFS(deployment!$H$4:$H$502, deployment!$D$4:$D$502,"="&amp;A106, deployment!$D$4:$D$502,"&lt;&gt;"&amp;""),"")</f>
        <v/>
      </c>
      <c r="J106" s="96" t="str">
        <f>IF(A106&lt;&gt;"",SUMIFS(deployment!$I$4:$I$502, deployment!$D$4:$D$502,"="&amp;A106, deployment!$D$4:$D$502,"&lt;&gt;"&amp;""),"")</f>
        <v/>
      </c>
      <c r="K106" s="112" t="str">
        <f>IF(A106&lt;&gt;"",SUMIFS(deployment!$J$4:$J$502, deployment!$D$4:$D$502,"="&amp;A106, deployment!$D$4:$D$502,"&lt;&gt;"&amp;""),"")</f>
        <v/>
      </c>
      <c r="L106" s="112" t="str">
        <f>IF(A106&lt;&gt;"",SUMIFS(deployment!$K$4:$K$502, deployment!$D$4:$D$502,"="&amp;A106, deployment!$D$4:$D$502,"&lt;&gt;"&amp;""),"")</f>
        <v/>
      </c>
      <c r="M106" s="97" t="str">
        <f>IF(A106&lt;&gt;"",SUMIFS(deployment!$L$4:$L$502, deployment!$D$4:$D$502,"="&amp;A106, deployment!$D$4:$D$502,"&lt;&gt;"&amp;""),"")</f>
        <v/>
      </c>
      <c r="N106" s="97" t="str">
        <f>IF(A106&lt;&gt;"",SUMIFS(deployment!$M$4:$M$502, deployment!$D$4:$D$502,"="&amp;A106, deployment!$D$4:$D$502,"&lt;&gt;"&amp;""),"")</f>
        <v/>
      </c>
      <c r="O106" s="127" t="str">
        <f t="shared" si="23"/>
        <v/>
      </c>
      <c r="P106" s="104"/>
      <c r="Q106" s="99" t="str">
        <f t="shared" si="12"/>
        <v/>
      </c>
      <c r="R106" s="100" t="str">
        <f t="shared" si="13"/>
        <v/>
      </c>
      <c r="S106" s="100" t="str">
        <f t="shared" si="14"/>
        <v/>
      </c>
      <c r="T106" s="101" t="str">
        <f t="shared" si="15"/>
        <v/>
      </c>
      <c r="U106" s="101" t="str">
        <f t="shared" si="16"/>
        <v/>
      </c>
      <c r="V106" s="128" t="str">
        <f t="shared" si="17"/>
        <v/>
      </c>
      <c r="W106" s="128" t="str">
        <f t="shared" si="18"/>
        <v/>
      </c>
      <c r="X106" s="101" t="str">
        <f t="shared" si="19"/>
        <v/>
      </c>
      <c r="Y106" s="101" t="str">
        <f t="shared" si="20"/>
        <v/>
      </c>
      <c r="Z106" s="102" t="str">
        <f t="shared" si="21"/>
        <v/>
      </c>
      <c r="AA106" s="103" t="str">
        <f t="shared" si="22"/>
        <v/>
      </c>
      <c r="AB106" s="142" t="str">
        <f>IF(A106&lt;&gt;"", SUMIFS(node!$J$2:$J$500, node!$C$2:$C$500,"="&amp;A106)/P106, "")</f>
        <v/>
      </c>
      <c r="AC106" s="134" t="str">
        <f>IF(A106&lt;&gt;"", SUMIFS(node!$K$2:$K$500, node!$C$2:$C$500,"="&amp;A106)/P106, "")</f>
        <v/>
      </c>
      <c r="AD106" s="135" t="str">
        <f>IF(A106&lt;&gt;"", SUMIFS(node!$L$2:$L$500, node!$C$2:$C$500,"="&amp;A106), "")</f>
        <v/>
      </c>
      <c r="AE106" s="145" t="str">
        <f>IF(A106&lt;&gt;"", SUMIFS(node!$M$2:$M$500, node!$C$2:$C$500,"="&amp;A106), "")</f>
        <v/>
      </c>
    </row>
    <row r="107" spans="1:31" ht="15.75" customHeight="1" x14ac:dyDescent="0.25">
      <c r="A107" s="119" t="str">
        <f>IF(ISNONTEXT(node_raw[[#This Row],[Column2]]), "", node_raw[[#This Row],[Column2]])</f>
        <v/>
      </c>
      <c r="B107" s="116" t="str">
        <f>IF(A107&lt;&gt;"", VLOOKUP(A107, node!$C$2:$D$500, 2, FALSE), "")</f>
        <v/>
      </c>
      <c r="C107" s="117" t="str">
        <f>IF(A107&lt;&gt;"", VLOOKUP(A107, node!$C$2:$E$500, 3, FALSE), "")</f>
        <v/>
      </c>
      <c r="D107" s="118" t="str">
        <f>IF(A107&lt;&gt;"",COUNTIFS(node!$C$2:$C$500,"="&amp;A107, node!$C$2:$C$500,"&lt;&gt;"&amp;""),"")</f>
        <v/>
      </c>
      <c r="E107" s="122" t="str">
        <f>IF(A107&lt;&gt;"",SUMIFS(node!$F$2:$F$500, node!$C$2:$C$500,"="&amp;A107, node!$C$2:$C$500,"&lt;&gt;"&amp;"")/(B107*D107),"")</f>
        <v/>
      </c>
      <c r="F107" s="124" t="str">
        <f>IF(A107&lt;&gt;"",SUMIFS(node!$H$2:$H$500, node!$C$2:$C$500,"="&amp;A107, node!$C$2:$C$500,"&lt;&gt;"&amp;"")/(C107*D107),"")</f>
        <v/>
      </c>
      <c r="G107" s="93" t="str">
        <f>IF(A107&lt;&gt;"",SUMIFS(deployment!$F$4:$F$502, deployment!$D$4:$D$502,"="&amp;A107, deployment!$D$4:$D$502,"&lt;&gt;"&amp;""),"")</f>
        <v/>
      </c>
      <c r="H107" s="94" t="str">
        <f>IF(A107&lt;&gt;"",SUMIFS(deployment!$G$4:$G$502, deployment!$D$4:$D$502,"="&amp;A107, deployment!$D$4:$D$502,"&lt;&gt;"&amp;""),"")</f>
        <v/>
      </c>
      <c r="I107" s="95" t="str">
        <f>IF(A107&lt;&gt;"",SUMIFS(deployment!$H$4:$H$502, deployment!$D$4:$D$502,"="&amp;A107, deployment!$D$4:$D$502,"&lt;&gt;"&amp;""),"")</f>
        <v/>
      </c>
      <c r="J107" s="96" t="str">
        <f>IF(A107&lt;&gt;"",SUMIFS(deployment!$I$4:$I$502, deployment!$D$4:$D$502,"="&amp;A107, deployment!$D$4:$D$502,"&lt;&gt;"&amp;""),"")</f>
        <v/>
      </c>
      <c r="K107" s="112" t="str">
        <f>IF(A107&lt;&gt;"",SUMIFS(deployment!$J$4:$J$502, deployment!$D$4:$D$502,"="&amp;A107, deployment!$D$4:$D$502,"&lt;&gt;"&amp;""),"")</f>
        <v/>
      </c>
      <c r="L107" s="112" t="str">
        <f>IF(A107&lt;&gt;"",SUMIFS(deployment!$K$4:$K$502, deployment!$D$4:$D$502,"="&amp;A107, deployment!$D$4:$D$502,"&lt;&gt;"&amp;""),"")</f>
        <v/>
      </c>
      <c r="M107" s="97" t="str">
        <f>IF(A107&lt;&gt;"",SUMIFS(deployment!$L$4:$L$502, deployment!$D$4:$D$502,"="&amp;A107, deployment!$D$4:$D$502,"&lt;&gt;"&amp;""),"")</f>
        <v/>
      </c>
      <c r="N107" s="97" t="str">
        <f>IF(A107&lt;&gt;"",SUMIFS(deployment!$M$4:$M$502, deployment!$D$4:$D$502,"="&amp;A107, deployment!$D$4:$D$502,"&lt;&gt;"&amp;""),"")</f>
        <v/>
      </c>
      <c r="O107" s="127" t="str">
        <f t="shared" si="23"/>
        <v/>
      </c>
      <c r="P107" s="104"/>
      <c r="Q107" s="99" t="str">
        <f t="shared" si="12"/>
        <v/>
      </c>
      <c r="R107" s="100" t="str">
        <f t="shared" si="13"/>
        <v/>
      </c>
      <c r="S107" s="100" t="str">
        <f t="shared" si="14"/>
        <v/>
      </c>
      <c r="T107" s="101" t="str">
        <f t="shared" si="15"/>
        <v/>
      </c>
      <c r="U107" s="101" t="str">
        <f t="shared" si="16"/>
        <v/>
      </c>
      <c r="V107" s="128" t="str">
        <f t="shared" si="17"/>
        <v/>
      </c>
      <c r="W107" s="128" t="str">
        <f t="shared" si="18"/>
        <v/>
      </c>
      <c r="X107" s="101" t="str">
        <f t="shared" si="19"/>
        <v/>
      </c>
      <c r="Y107" s="101" t="str">
        <f t="shared" si="20"/>
        <v/>
      </c>
      <c r="Z107" s="102" t="str">
        <f t="shared" si="21"/>
        <v/>
      </c>
      <c r="AA107" s="103" t="str">
        <f t="shared" si="22"/>
        <v/>
      </c>
      <c r="AB107" s="142" t="str">
        <f>IF(A107&lt;&gt;"", SUMIFS(node!$J$2:$J$500, node!$C$2:$C$500,"="&amp;A107)/P107, "")</f>
        <v/>
      </c>
      <c r="AC107" s="134" t="str">
        <f>IF(A107&lt;&gt;"", SUMIFS(node!$K$2:$K$500, node!$C$2:$C$500,"="&amp;A107)/P107, "")</f>
        <v/>
      </c>
      <c r="AD107" s="135" t="str">
        <f>IF(A107&lt;&gt;"", SUMIFS(node!$L$2:$L$500, node!$C$2:$C$500,"="&amp;A107), "")</f>
        <v/>
      </c>
      <c r="AE107" s="145" t="str">
        <f>IF(A107&lt;&gt;"", SUMIFS(node!$M$2:$M$500, node!$C$2:$C$500,"="&amp;A107), "")</f>
        <v/>
      </c>
    </row>
    <row r="108" spans="1:31" ht="15.75" customHeight="1" x14ac:dyDescent="0.25">
      <c r="A108" s="119" t="str">
        <f>IF(ISNONTEXT(node_raw[[#This Row],[Column2]]), "", node_raw[[#This Row],[Column2]])</f>
        <v/>
      </c>
      <c r="B108" s="116" t="str">
        <f>IF(A108&lt;&gt;"", VLOOKUP(A108, node!$C$2:$D$500, 2, FALSE), "")</f>
        <v/>
      </c>
      <c r="C108" s="117" t="str">
        <f>IF(A108&lt;&gt;"", VLOOKUP(A108, node!$C$2:$E$500, 3, FALSE), "")</f>
        <v/>
      </c>
      <c r="D108" s="118" t="str">
        <f>IF(A108&lt;&gt;"",COUNTIFS(node!$C$2:$C$500,"="&amp;A108, node!$C$2:$C$500,"&lt;&gt;"&amp;""),"")</f>
        <v/>
      </c>
      <c r="E108" s="122" t="str">
        <f>IF(A108&lt;&gt;"",SUMIFS(node!$F$2:$F$500, node!$C$2:$C$500,"="&amp;A108, node!$C$2:$C$500,"&lt;&gt;"&amp;"")/(B108*D108),"")</f>
        <v/>
      </c>
      <c r="F108" s="124" t="str">
        <f>IF(A108&lt;&gt;"",SUMIFS(node!$H$2:$H$500, node!$C$2:$C$500,"="&amp;A108, node!$C$2:$C$500,"&lt;&gt;"&amp;"")/(C108*D108),"")</f>
        <v/>
      </c>
      <c r="G108" s="93" t="str">
        <f>IF(A108&lt;&gt;"",SUMIFS(deployment!$F$4:$F$502, deployment!$D$4:$D$502,"="&amp;A108, deployment!$D$4:$D$502,"&lt;&gt;"&amp;""),"")</f>
        <v/>
      </c>
      <c r="H108" s="94" t="str">
        <f>IF(A108&lt;&gt;"",SUMIFS(deployment!$G$4:$G$502, deployment!$D$4:$D$502,"="&amp;A108, deployment!$D$4:$D$502,"&lt;&gt;"&amp;""),"")</f>
        <v/>
      </c>
      <c r="I108" s="95" t="str">
        <f>IF(A108&lt;&gt;"",SUMIFS(deployment!$H$4:$H$502, deployment!$D$4:$D$502,"="&amp;A108, deployment!$D$4:$D$502,"&lt;&gt;"&amp;""),"")</f>
        <v/>
      </c>
      <c r="J108" s="96" t="str">
        <f>IF(A108&lt;&gt;"",SUMIFS(deployment!$I$4:$I$502, deployment!$D$4:$D$502,"="&amp;A108, deployment!$D$4:$D$502,"&lt;&gt;"&amp;""),"")</f>
        <v/>
      </c>
      <c r="K108" s="112" t="str">
        <f>IF(A108&lt;&gt;"",SUMIFS(deployment!$J$4:$J$502, deployment!$D$4:$D$502,"="&amp;A108, deployment!$D$4:$D$502,"&lt;&gt;"&amp;""),"")</f>
        <v/>
      </c>
      <c r="L108" s="112" t="str">
        <f>IF(A108&lt;&gt;"",SUMIFS(deployment!$K$4:$K$502, deployment!$D$4:$D$502,"="&amp;A108, deployment!$D$4:$D$502,"&lt;&gt;"&amp;""),"")</f>
        <v/>
      </c>
      <c r="M108" s="97" t="str">
        <f>IF(A108&lt;&gt;"",SUMIFS(deployment!$L$4:$L$502, deployment!$D$4:$D$502,"="&amp;A108, deployment!$D$4:$D$502,"&lt;&gt;"&amp;""),"")</f>
        <v/>
      </c>
      <c r="N108" s="97" t="str">
        <f>IF(A108&lt;&gt;"",SUMIFS(deployment!$M$4:$M$502, deployment!$D$4:$D$502,"="&amp;A108, deployment!$D$4:$D$502,"&lt;&gt;"&amp;""),"")</f>
        <v/>
      </c>
      <c r="O108" s="127" t="str">
        <f t="shared" si="23"/>
        <v/>
      </c>
      <c r="P108" s="104"/>
      <c r="Q108" s="99" t="str">
        <f t="shared" si="12"/>
        <v/>
      </c>
      <c r="R108" s="100" t="str">
        <f t="shared" si="13"/>
        <v/>
      </c>
      <c r="S108" s="100" t="str">
        <f t="shared" si="14"/>
        <v/>
      </c>
      <c r="T108" s="101" t="str">
        <f t="shared" si="15"/>
        <v/>
      </c>
      <c r="U108" s="101" t="str">
        <f t="shared" si="16"/>
        <v/>
      </c>
      <c r="V108" s="128" t="str">
        <f t="shared" si="17"/>
        <v/>
      </c>
      <c r="W108" s="128" t="str">
        <f t="shared" si="18"/>
        <v/>
      </c>
      <c r="X108" s="101" t="str">
        <f t="shared" si="19"/>
        <v/>
      </c>
      <c r="Y108" s="101" t="str">
        <f t="shared" si="20"/>
        <v/>
      </c>
      <c r="Z108" s="102" t="str">
        <f t="shared" si="21"/>
        <v/>
      </c>
      <c r="AA108" s="103" t="str">
        <f t="shared" si="22"/>
        <v/>
      </c>
      <c r="AB108" s="142" t="str">
        <f>IF(A108&lt;&gt;"", SUMIFS(node!$J$2:$J$500, node!$C$2:$C$500,"="&amp;A108)/P108, "")</f>
        <v/>
      </c>
      <c r="AC108" s="134" t="str">
        <f>IF(A108&lt;&gt;"", SUMIFS(node!$K$2:$K$500, node!$C$2:$C$500,"="&amp;A108)/P108, "")</f>
        <v/>
      </c>
      <c r="AD108" s="135" t="str">
        <f>IF(A108&lt;&gt;"", SUMIFS(node!$L$2:$L$500, node!$C$2:$C$500,"="&amp;A108), "")</f>
        <v/>
      </c>
      <c r="AE108" s="145" t="str">
        <f>IF(A108&lt;&gt;"", SUMIFS(node!$M$2:$M$500, node!$C$2:$C$500,"="&amp;A108), "")</f>
        <v/>
      </c>
    </row>
    <row r="109" spans="1:31" ht="15.75" customHeight="1" x14ac:dyDescent="0.25">
      <c r="A109" s="119" t="str">
        <f>IF(ISNONTEXT(node_raw[[#This Row],[Column2]]), "", node_raw[[#This Row],[Column2]])</f>
        <v/>
      </c>
      <c r="B109" s="116" t="str">
        <f>IF(A109&lt;&gt;"", VLOOKUP(A109, node!$C$2:$D$500, 2, FALSE), "")</f>
        <v/>
      </c>
      <c r="C109" s="117" t="str">
        <f>IF(A109&lt;&gt;"", VLOOKUP(A109, node!$C$2:$E$500, 3, FALSE), "")</f>
        <v/>
      </c>
      <c r="D109" s="118" t="str">
        <f>IF(A109&lt;&gt;"",COUNTIFS(node!$C$2:$C$500,"="&amp;A109, node!$C$2:$C$500,"&lt;&gt;"&amp;""),"")</f>
        <v/>
      </c>
      <c r="E109" s="122" t="str">
        <f>IF(A109&lt;&gt;"",SUMIFS(node!$F$2:$F$500, node!$C$2:$C$500,"="&amp;A109, node!$C$2:$C$500,"&lt;&gt;"&amp;"")/(B109*D109),"")</f>
        <v/>
      </c>
      <c r="F109" s="124" t="str">
        <f>IF(A109&lt;&gt;"",SUMIFS(node!$H$2:$H$500, node!$C$2:$C$500,"="&amp;A109, node!$C$2:$C$500,"&lt;&gt;"&amp;"")/(C109*D109),"")</f>
        <v/>
      </c>
      <c r="G109" s="93" t="str">
        <f>IF(A109&lt;&gt;"",SUMIFS(deployment!$F$4:$F$502, deployment!$D$4:$D$502,"="&amp;A109, deployment!$D$4:$D$502,"&lt;&gt;"&amp;""),"")</f>
        <v/>
      </c>
      <c r="H109" s="94" t="str">
        <f>IF(A109&lt;&gt;"",SUMIFS(deployment!$G$4:$G$502, deployment!$D$4:$D$502,"="&amp;A109, deployment!$D$4:$D$502,"&lt;&gt;"&amp;""),"")</f>
        <v/>
      </c>
      <c r="I109" s="95" t="str">
        <f>IF(A109&lt;&gt;"",SUMIFS(deployment!$H$4:$H$502, deployment!$D$4:$D$502,"="&amp;A109, deployment!$D$4:$D$502,"&lt;&gt;"&amp;""),"")</f>
        <v/>
      </c>
      <c r="J109" s="96" t="str">
        <f>IF(A109&lt;&gt;"",SUMIFS(deployment!$I$4:$I$502, deployment!$D$4:$D$502,"="&amp;A109, deployment!$D$4:$D$502,"&lt;&gt;"&amp;""),"")</f>
        <v/>
      </c>
      <c r="K109" s="112" t="str">
        <f>IF(A109&lt;&gt;"",SUMIFS(deployment!$J$4:$J$502, deployment!$D$4:$D$502,"="&amp;A109, deployment!$D$4:$D$502,"&lt;&gt;"&amp;""),"")</f>
        <v/>
      </c>
      <c r="L109" s="112" t="str">
        <f>IF(A109&lt;&gt;"",SUMIFS(deployment!$K$4:$K$502, deployment!$D$4:$D$502,"="&amp;A109, deployment!$D$4:$D$502,"&lt;&gt;"&amp;""),"")</f>
        <v/>
      </c>
      <c r="M109" s="97" t="str">
        <f>IF(A109&lt;&gt;"",SUMIFS(deployment!$L$4:$L$502, deployment!$D$4:$D$502,"="&amp;A109, deployment!$D$4:$D$502,"&lt;&gt;"&amp;""),"")</f>
        <v/>
      </c>
      <c r="N109" s="97" t="str">
        <f>IF(A109&lt;&gt;"",SUMIFS(deployment!$M$4:$M$502, deployment!$D$4:$D$502,"="&amp;A109, deployment!$D$4:$D$502,"&lt;&gt;"&amp;""),"")</f>
        <v/>
      </c>
      <c r="O109" s="127" t="str">
        <f t="shared" si="23"/>
        <v/>
      </c>
      <c r="P109" s="104"/>
      <c r="Q109" s="99" t="str">
        <f t="shared" si="12"/>
        <v/>
      </c>
      <c r="R109" s="100" t="str">
        <f t="shared" si="13"/>
        <v/>
      </c>
      <c r="S109" s="100" t="str">
        <f t="shared" si="14"/>
        <v/>
      </c>
      <c r="T109" s="101" t="str">
        <f t="shared" si="15"/>
        <v/>
      </c>
      <c r="U109" s="101" t="str">
        <f t="shared" si="16"/>
        <v/>
      </c>
      <c r="V109" s="128" t="str">
        <f t="shared" si="17"/>
        <v/>
      </c>
      <c r="W109" s="128" t="str">
        <f t="shared" si="18"/>
        <v/>
      </c>
      <c r="X109" s="101" t="str">
        <f t="shared" si="19"/>
        <v/>
      </c>
      <c r="Y109" s="101" t="str">
        <f t="shared" si="20"/>
        <v/>
      </c>
      <c r="Z109" s="102" t="str">
        <f t="shared" si="21"/>
        <v/>
      </c>
      <c r="AA109" s="103" t="str">
        <f t="shared" si="22"/>
        <v/>
      </c>
      <c r="AB109" s="142" t="str">
        <f>IF(A109&lt;&gt;"", SUMIFS(node!$J$2:$J$500, node!$C$2:$C$500,"="&amp;A109)/P109, "")</f>
        <v/>
      </c>
      <c r="AC109" s="134" t="str">
        <f>IF(A109&lt;&gt;"", SUMIFS(node!$K$2:$K$500, node!$C$2:$C$500,"="&amp;A109)/P109, "")</f>
        <v/>
      </c>
      <c r="AD109" s="135" t="str">
        <f>IF(A109&lt;&gt;"", SUMIFS(node!$L$2:$L$500, node!$C$2:$C$500,"="&amp;A109), "")</f>
        <v/>
      </c>
      <c r="AE109" s="145" t="str">
        <f>IF(A109&lt;&gt;"", SUMIFS(node!$M$2:$M$500, node!$C$2:$C$500,"="&amp;A109), "")</f>
        <v/>
      </c>
    </row>
    <row r="110" spans="1:31" ht="15.75" customHeight="1" x14ac:dyDescent="0.25">
      <c r="A110" s="119" t="str">
        <f>IF(ISNONTEXT(node_raw[[#This Row],[Column2]]), "", node_raw[[#This Row],[Column2]])</f>
        <v/>
      </c>
      <c r="B110" s="116" t="str">
        <f>IF(A110&lt;&gt;"", VLOOKUP(A110, node!$C$2:$D$500, 2, FALSE), "")</f>
        <v/>
      </c>
      <c r="C110" s="117" t="str">
        <f>IF(A110&lt;&gt;"", VLOOKUP(A110, node!$C$2:$E$500, 3, FALSE), "")</f>
        <v/>
      </c>
      <c r="D110" s="118" t="str">
        <f>IF(A110&lt;&gt;"",COUNTIFS(node!$C$2:$C$500,"="&amp;A110, node!$C$2:$C$500,"&lt;&gt;"&amp;""),"")</f>
        <v/>
      </c>
      <c r="E110" s="122" t="str">
        <f>IF(A110&lt;&gt;"",SUMIFS(node!$F$2:$F$500, node!$C$2:$C$500,"="&amp;A110, node!$C$2:$C$500,"&lt;&gt;"&amp;"")/(B110*D110),"")</f>
        <v/>
      </c>
      <c r="F110" s="124" t="str">
        <f>IF(A110&lt;&gt;"",SUMIFS(node!$H$2:$H$500, node!$C$2:$C$500,"="&amp;A110, node!$C$2:$C$500,"&lt;&gt;"&amp;"")/(C110*D110),"")</f>
        <v/>
      </c>
      <c r="G110" s="93" t="str">
        <f>IF(A110&lt;&gt;"",SUMIFS(deployment!$F$4:$F$502, deployment!$D$4:$D$502,"="&amp;A110, deployment!$D$4:$D$502,"&lt;&gt;"&amp;""),"")</f>
        <v/>
      </c>
      <c r="H110" s="94" t="str">
        <f>IF(A110&lt;&gt;"",SUMIFS(deployment!$G$4:$G$502, deployment!$D$4:$D$502,"="&amp;A110, deployment!$D$4:$D$502,"&lt;&gt;"&amp;""),"")</f>
        <v/>
      </c>
      <c r="I110" s="95" t="str">
        <f>IF(A110&lt;&gt;"",SUMIFS(deployment!$H$4:$H$502, deployment!$D$4:$D$502,"="&amp;A110, deployment!$D$4:$D$502,"&lt;&gt;"&amp;""),"")</f>
        <v/>
      </c>
      <c r="J110" s="96" t="str">
        <f>IF(A110&lt;&gt;"",SUMIFS(deployment!$I$4:$I$502, deployment!$D$4:$D$502,"="&amp;A110, deployment!$D$4:$D$502,"&lt;&gt;"&amp;""),"")</f>
        <v/>
      </c>
      <c r="K110" s="112" t="str">
        <f>IF(A110&lt;&gt;"",SUMIFS(deployment!$J$4:$J$502, deployment!$D$4:$D$502,"="&amp;A110, deployment!$D$4:$D$502,"&lt;&gt;"&amp;""),"")</f>
        <v/>
      </c>
      <c r="L110" s="112" t="str">
        <f>IF(A110&lt;&gt;"",SUMIFS(deployment!$K$4:$K$502, deployment!$D$4:$D$502,"="&amp;A110, deployment!$D$4:$D$502,"&lt;&gt;"&amp;""),"")</f>
        <v/>
      </c>
      <c r="M110" s="97" t="str">
        <f>IF(A110&lt;&gt;"",SUMIFS(deployment!$L$4:$L$502, deployment!$D$4:$D$502,"="&amp;A110, deployment!$D$4:$D$502,"&lt;&gt;"&amp;""),"")</f>
        <v/>
      </c>
      <c r="N110" s="97" t="str">
        <f>IF(A110&lt;&gt;"",SUMIFS(deployment!$M$4:$M$502, deployment!$D$4:$D$502,"="&amp;A110, deployment!$D$4:$D$502,"&lt;&gt;"&amp;""),"")</f>
        <v/>
      </c>
      <c r="O110" s="127" t="str">
        <f t="shared" si="23"/>
        <v/>
      </c>
      <c r="P110" s="104"/>
      <c r="Q110" s="99" t="str">
        <f t="shared" si="12"/>
        <v/>
      </c>
      <c r="R110" s="100" t="str">
        <f t="shared" si="13"/>
        <v/>
      </c>
      <c r="S110" s="100" t="str">
        <f t="shared" si="14"/>
        <v/>
      </c>
      <c r="T110" s="101" t="str">
        <f t="shared" si="15"/>
        <v/>
      </c>
      <c r="U110" s="101" t="str">
        <f t="shared" si="16"/>
        <v/>
      </c>
      <c r="V110" s="128" t="str">
        <f t="shared" si="17"/>
        <v/>
      </c>
      <c r="W110" s="128" t="str">
        <f t="shared" si="18"/>
        <v/>
      </c>
      <c r="X110" s="101" t="str">
        <f t="shared" si="19"/>
        <v/>
      </c>
      <c r="Y110" s="101" t="str">
        <f t="shared" si="20"/>
        <v/>
      </c>
      <c r="Z110" s="102" t="str">
        <f t="shared" si="21"/>
        <v/>
      </c>
      <c r="AA110" s="103" t="str">
        <f t="shared" si="22"/>
        <v/>
      </c>
      <c r="AB110" s="142" t="str">
        <f>IF(A110&lt;&gt;"", SUMIFS(node!$J$2:$J$500, node!$C$2:$C$500,"="&amp;A110)/P110, "")</f>
        <v/>
      </c>
      <c r="AC110" s="134" t="str">
        <f>IF(A110&lt;&gt;"", SUMIFS(node!$K$2:$K$500, node!$C$2:$C$500,"="&amp;A110)/P110, "")</f>
        <v/>
      </c>
      <c r="AD110" s="135" t="str">
        <f>IF(A110&lt;&gt;"", SUMIFS(node!$L$2:$L$500, node!$C$2:$C$500,"="&amp;A110), "")</f>
        <v/>
      </c>
      <c r="AE110" s="145" t="str">
        <f>IF(A110&lt;&gt;"", SUMIFS(node!$M$2:$M$500, node!$C$2:$C$500,"="&amp;A110), "")</f>
        <v/>
      </c>
    </row>
    <row r="111" spans="1:31" ht="15.75" customHeight="1" x14ac:dyDescent="0.25">
      <c r="A111" s="119" t="str">
        <f>IF(ISNONTEXT(node_raw[[#This Row],[Column2]]), "", node_raw[[#This Row],[Column2]])</f>
        <v/>
      </c>
      <c r="B111" s="116" t="str">
        <f>IF(A111&lt;&gt;"", VLOOKUP(A111, node!$C$2:$D$500, 2, FALSE), "")</f>
        <v/>
      </c>
      <c r="C111" s="117" t="str">
        <f>IF(A111&lt;&gt;"", VLOOKUP(A111, node!$C$2:$E$500, 3, FALSE), "")</f>
        <v/>
      </c>
      <c r="D111" s="118" t="str">
        <f>IF(A111&lt;&gt;"",COUNTIFS(node!$C$2:$C$500,"="&amp;A111, node!$C$2:$C$500,"&lt;&gt;"&amp;""),"")</f>
        <v/>
      </c>
      <c r="E111" s="122" t="str">
        <f>IF(A111&lt;&gt;"",SUMIFS(node!$F$2:$F$500, node!$C$2:$C$500,"="&amp;A111, node!$C$2:$C$500,"&lt;&gt;"&amp;"")/(B111*D111),"")</f>
        <v/>
      </c>
      <c r="F111" s="124" t="str">
        <f>IF(A111&lt;&gt;"",SUMIFS(node!$H$2:$H$500, node!$C$2:$C$500,"="&amp;A111, node!$C$2:$C$500,"&lt;&gt;"&amp;"")/(C111*D111),"")</f>
        <v/>
      </c>
      <c r="G111" s="93" t="str">
        <f>IF(A111&lt;&gt;"",SUMIFS(deployment!$F$4:$F$502, deployment!$D$4:$D$502,"="&amp;A111, deployment!$D$4:$D$502,"&lt;&gt;"&amp;""),"")</f>
        <v/>
      </c>
      <c r="H111" s="94" t="str">
        <f>IF(A111&lt;&gt;"",SUMIFS(deployment!$G$4:$G$502, deployment!$D$4:$D$502,"="&amp;A111, deployment!$D$4:$D$502,"&lt;&gt;"&amp;""),"")</f>
        <v/>
      </c>
      <c r="I111" s="95" t="str">
        <f>IF(A111&lt;&gt;"",SUMIFS(deployment!$H$4:$H$502, deployment!$D$4:$D$502,"="&amp;A111, deployment!$D$4:$D$502,"&lt;&gt;"&amp;""),"")</f>
        <v/>
      </c>
      <c r="J111" s="96" t="str">
        <f>IF(A111&lt;&gt;"",SUMIFS(deployment!$I$4:$I$502, deployment!$D$4:$D$502,"="&amp;A111, deployment!$D$4:$D$502,"&lt;&gt;"&amp;""),"")</f>
        <v/>
      </c>
      <c r="K111" s="112" t="str">
        <f>IF(A111&lt;&gt;"",SUMIFS(deployment!$J$4:$J$502, deployment!$D$4:$D$502,"="&amp;A111, deployment!$D$4:$D$502,"&lt;&gt;"&amp;""),"")</f>
        <v/>
      </c>
      <c r="L111" s="112" t="str">
        <f>IF(A111&lt;&gt;"",SUMIFS(deployment!$K$4:$K$502, deployment!$D$4:$D$502,"="&amp;A111, deployment!$D$4:$D$502,"&lt;&gt;"&amp;""),"")</f>
        <v/>
      </c>
      <c r="M111" s="97" t="str">
        <f>IF(A111&lt;&gt;"",SUMIFS(deployment!$L$4:$L$502, deployment!$D$4:$D$502,"="&amp;A111, deployment!$D$4:$D$502,"&lt;&gt;"&amp;""),"")</f>
        <v/>
      </c>
      <c r="N111" s="97" t="str">
        <f>IF(A111&lt;&gt;"",SUMIFS(deployment!$M$4:$M$502, deployment!$D$4:$D$502,"="&amp;A111, deployment!$D$4:$D$502,"&lt;&gt;"&amp;""),"")</f>
        <v/>
      </c>
      <c r="O111" s="127" t="str">
        <f t="shared" si="23"/>
        <v/>
      </c>
      <c r="P111" s="104"/>
      <c r="Q111" s="99" t="str">
        <f t="shared" si="12"/>
        <v/>
      </c>
      <c r="R111" s="100" t="str">
        <f t="shared" si="13"/>
        <v/>
      </c>
      <c r="S111" s="100" t="str">
        <f t="shared" si="14"/>
        <v/>
      </c>
      <c r="T111" s="101" t="str">
        <f t="shared" si="15"/>
        <v/>
      </c>
      <c r="U111" s="101" t="str">
        <f t="shared" si="16"/>
        <v/>
      </c>
      <c r="V111" s="128" t="str">
        <f t="shared" si="17"/>
        <v/>
      </c>
      <c r="W111" s="128" t="str">
        <f t="shared" si="18"/>
        <v/>
      </c>
      <c r="X111" s="101" t="str">
        <f t="shared" si="19"/>
        <v/>
      </c>
      <c r="Y111" s="101" t="str">
        <f t="shared" si="20"/>
        <v/>
      </c>
      <c r="Z111" s="102" t="str">
        <f t="shared" si="21"/>
        <v/>
      </c>
      <c r="AA111" s="103" t="str">
        <f t="shared" si="22"/>
        <v/>
      </c>
      <c r="AB111" s="142" t="str">
        <f>IF(A111&lt;&gt;"", SUMIFS(node!$J$2:$J$500, node!$C$2:$C$500,"="&amp;A111)/P111, "")</f>
        <v/>
      </c>
      <c r="AC111" s="134" t="str">
        <f>IF(A111&lt;&gt;"", SUMIFS(node!$K$2:$K$500, node!$C$2:$C$500,"="&amp;A111)/P111, "")</f>
        <v/>
      </c>
      <c r="AD111" s="135" t="str">
        <f>IF(A111&lt;&gt;"", SUMIFS(node!$L$2:$L$500, node!$C$2:$C$500,"="&amp;A111), "")</f>
        <v/>
      </c>
      <c r="AE111" s="145" t="str">
        <f>IF(A111&lt;&gt;"", SUMIFS(node!$M$2:$M$500, node!$C$2:$C$500,"="&amp;A111), "")</f>
        <v/>
      </c>
    </row>
    <row r="112" spans="1:31" ht="15.75" customHeight="1" x14ac:dyDescent="0.25">
      <c r="A112" s="119" t="str">
        <f>IF(ISNONTEXT(node_raw[[#This Row],[Column2]]), "", node_raw[[#This Row],[Column2]])</f>
        <v/>
      </c>
      <c r="B112" s="116" t="str">
        <f>IF(A112&lt;&gt;"", VLOOKUP(A112, node!$C$2:$D$500, 2, FALSE), "")</f>
        <v/>
      </c>
      <c r="C112" s="117" t="str">
        <f>IF(A112&lt;&gt;"", VLOOKUP(A112, node!$C$2:$E$500, 3, FALSE), "")</f>
        <v/>
      </c>
      <c r="D112" s="118" t="str">
        <f>IF(A112&lt;&gt;"",COUNTIFS(node!$C$2:$C$500,"="&amp;A112, node!$C$2:$C$500,"&lt;&gt;"&amp;""),"")</f>
        <v/>
      </c>
      <c r="E112" s="122" t="str">
        <f>IF(A112&lt;&gt;"",SUMIFS(node!$F$2:$F$500, node!$C$2:$C$500,"="&amp;A112, node!$C$2:$C$500,"&lt;&gt;"&amp;"")/(B112*D112),"")</f>
        <v/>
      </c>
      <c r="F112" s="124" t="str">
        <f>IF(A112&lt;&gt;"",SUMIFS(node!$H$2:$H$500, node!$C$2:$C$500,"="&amp;A112, node!$C$2:$C$500,"&lt;&gt;"&amp;"")/(C112*D112),"")</f>
        <v/>
      </c>
      <c r="G112" s="93" t="str">
        <f>IF(A112&lt;&gt;"",SUMIFS(deployment!$F$4:$F$502, deployment!$D$4:$D$502,"="&amp;A112, deployment!$D$4:$D$502,"&lt;&gt;"&amp;""),"")</f>
        <v/>
      </c>
      <c r="H112" s="94" t="str">
        <f>IF(A112&lt;&gt;"",SUMIFS(deployment!$G$4:$G$502, deployment!$D$4:$D$502,"="&amp;A112, deployment!$D$4:$D$502,"&lt;&gt;"&amp;""),"")</f>
        <v/>
      </c>
      <c r="I112" s="95" t="str">
        <f>IF(A112&lt;&gt;"",SUMIFS(deployment!$H$4:$H$502, deployment!$D$4:$D$502,"="&amp;A112, deployment!$D$4:$D$502,"&lt;&gt;"&amp;""),"")</f>
        <v/>
      </c>
      <c r="J112" s="96" t="str">
        <f>IF(A112&lt;&gt;"",SUMIFS(deployment!$I$4:$I$502, deployment!$D$4:$D$502,"="&amp;A112, deployment!$D$4:$D$502,"&lt;&gt;"&amp;""),"")</f>
        <v/>
      </c>
      <c r="K112" s="112" t="str">
        <f>IF(A112&lt;&gt;"",SUMIFS(deployment!$J$4:$J$502, deployment!$D$4:$D$502,"="&amp;A112, deployment!$D$4:$D$502,"&lt;&gt;"&amp;""),"")</f>
        <v/>
      </c>
      <c r="L112" s="112" t="str">
        <f>IF(A112&lt;&gt;"",SUMIFS(deployment!$K$4:$K$502, deployment!$D$4:$D$502,"="&amp;A112, deployment!$D$4:$D$502,"&lt;&gt;"&amp;""),"")</f>
        <v/>
      </c>
      <c r="M112" s="97" t="str">
        <f>IF(A112&lt;&gt;"",SUMIFS(deployment!$L$4:$L$502, deployment!$D$4:$D$502,"="&amp;A112, deployment!$D$4:$D$502,"&lt;&gt;"&amp;""),"")</f>
        <v/>
      </c>
      <c r="N112" s="97" t="str">
        <f>IF(A112&lt;&gt;"",SUMIFS(deployment!$M$4:$M$502, deployment!$D$4:$D$502,"="&amp;A112, deployment!$D$4:$D$502,"&lt;&gt;"&amp;""),"")</f>
        <v/>
      </c>
      <c r="O112" s="127" t="str">
        <f t="shared" si="23"/>
        <v/>
      </c>
      <c r="P112" s="104"/>
      <c r="Q112" s="99" t="str">
        <f t="shared" si="12"/>
        <v/>
      </c>
      <c r="R112" s="100" t="str">
        <f t="shared" si="13"/>
        <v/>
      </c>
      <c r="S112" s="100" t="str">
        <f t="shared" si="14"/>
        <v/>
      </c>
      <c r="T112" s="101" t="str">
        <f t="shared" si="15"/>
        <v/>
      </c>
      <c r="U112" s="101" t="str">
        <f t="shared" si="16"/>
        <v/>
      </c>
      <c r="V112" s="128" t="str">
        <f t="shared" si="17"/>
        <v/>
      </c>
      <c r="W112" s="128" t="str">
        <f t="shared" si="18"/>
        <v/>
      </c>
      <c r="X112" s="101" t="str">
        <f t="shared" si="19"/>
        <v/>
      </c>
      <c r="Y112" s="101" t="str">
        <f t="shared" si="20"/>
        <v/>
      </c>
      <c r="Z112" s="102" t="str">
        <f t="shared" si="21"/>
        <v/>
      </c>
      <c r="AA112" s="103" t="str">
        <f t="shared" si="22"/>
        <v/>
      </c>
      <c r="AB112" s="142" t="str">
        <f>IF(A112&lt;&gt;"", SUMIFS(node!$J$2:$J$500, node!$C$2:$C$500,"="&amp;A112)/P112, "")</f>
        <v/>
      </c>
      <c r="AC112" s="134" t="str">
        <f>IF(A112&lt;&gt;"", SUMIFS(node!$K$2:$K$500, node!$C$2:$C$500,"="&amp;A112)/P112, "")</f>
        <v/>
      </c>
      <c r="AD112" s="135" t="str">
        <f>IF(A112&lt;&gt;"", SUMIFS(node!$L$2:$L$500, node!$C$2:$C$500,"="&amp;A112), "")</f>
        <v/>
      </c>
      <c r="AE112" s="145" t="str">
        <f>IF(A112&lt;&gt;"", SUMIFS(node!$M$2:$M$500, node!$C$2:$C$500,"="&amp;A112), "")</f>
        <v/>
      </c>
    </row>
    <row r="113" spans="1:31" ht="15.75" customHeight="1" x14ac:dyDescent="0.25">
      <c r="A113" s="119" t="str">
        <f>IF(ISNONTEXT(node_raw[[#This Row],[Column2]]), "", node_raw[[#This Row],[Column2]])</f>
        <v/>
      </c>
      <c r="B113" s="116" t="str">
        <f>IF(A113&lt;&gt;"", VLOOKUP(A113, node!$C$2:$D$500, 2, FALSE), "")</f>
        <v/>
      </c>
      <c r="C113" s="117" t="str">
        <f>IF(A113&lt;&gt;"", VLOOKUP(A113, node!$C$2:$E$500, 3, FALSE), "")</f>
        <v/>
      </c>
      <c r="D113" s="118" t="str">
        <f>IF(A113&lt;&gt;"",COUNTIFS(node!$C$2:$C$500,"="&amp;A113, node!$C$2:$C$500,"&lt;&gt;"&amp;""),"")</f>
        <v/>
      </c>
      <c r="E113" s="122" t="str">
        <f>IF(A113&lt;&gt;"",SUMIFS(node!$F$2:$F$500, node!$C$2:$C$500,"="&amp;A113, node!$C$2:$C$500,"&lt;&gt;"&amp;"")/(B113*D113),"")</f>
        <v/>
      </c>
      <c r="F113" s="124" t="str">
        <f>IF(A113&lt;&gt;"",SUMIFS(node!$H$2:$H$500, node!$C$2:$C$500,"="&amp;A113, node!$C$2:$C$500,"&lt;&gt;"&amp;"")/(C113*D113),"")</f>
        <v/>
      </c>
      <c r="G113" s="93" t="str">
        <f>IF(A113&lt;&gt;"",SUMIFS(deployment!$F$4:$F$502, deployment!$D$4:$D$502,"="&amp;A113, deployment!$D$4:$D$502,"&lt;&gt;"&amp;""),"")</f>
        <v/>
      </c>
      <c r="H113" s="94" t="str">
        <f>IF(A113&lt;&gt;"",SUMIFS(deployment!$G$4:$G$502, deployment!$D$4:$D$502,"="&amp;A113, deployment!$D$4:$D$502,"&lt;&gt;"&amp;""),"")</f>
        <v/>
      </c>
      <c r="I113" s="95" t="str">
        <f>IF(A113&lt;&gt;"",SUMIFS(deployment!$H$4:$H$502, deployment!$D$4:$D$502,"="&amp;A113, deployment!$D$4:$D$502,"&lt;&gt;"&amp;""),"")</f>
        <v/>
      </c>
      <c r="J113" s="96" t="str">
        <f>IF(A113&lt;&gt;"",SUMIFS(deployment!$I$4:$I$502, deployment!$D$4:$D$502,"="&amp;A113, deployment!$D$4:$D$502,"&lt;&gt;"&amp;""),"")</f>
        <v/>
      </c>
      <c r="K113" s="112" t="str">
        <f>IF(A113&lt;&gt;"",SUMIFS(deployment!$J$4:$J$502, deployment!$D$4:$D$502,"="&amp;A113, deployment!$D$4:$D$502,"&lt;&gt;"&amp;""),"")</f>
        <v/>
      </c>
      <c r="L113" s="112" t="str">
        <f>IF(A113&lt;&gt;"",SUMIFS(deployment!$K$4:$K$502, deployment!$D$4:$D$502,"="&amp;A113, deployment!$D$4:$D$502,"&lt;&gt;"&amp;""),"")</f>
        <v/>
      </c>
      <c r="M113" s="97" t="str">
        <f>IF(A113&lt;&gt;"",SUMIFS(deployment!$L$4:$L$502, deployment!$D$4:$D$502,"="&amp;A113, deployment!$D$4:$D$502,"&lt;&gt;"&amp;""),"")</f>
        <v/>
      </c>
      <c r="N113" s="97" t="str">
        <f>IF(A113&lt;&gt;"",SUMIFS(deployment!$M$4:$M$502, deployment!$D$4:$D$502,"="&amp;A113, deployment!$D$4:$D$502,"&lt;&gt;"&amp;""),"")</f>
        <v/>
      </c>
      <c r="O113" s="127" t="str">
        <f t="shared" si="23"/>
        <v/>
      </c>
      <c r="P113" s="104"/>
      <c r="Q113" s="99" t="str">
        <f t="shared" si="12"/>
        <v/>
      </c>
      <c r="R113" s="100" t="str">
        <f t="shared" si="13"/>
        <v/>
      </c>
      <c r="S113" s="100" t="str">
        <f t="shared" si="14"/>
        <v/>
      </c>
      <c r="T113" s="101" t="str">
        <f t="shared" si="15"/>
        <v/>
      </c>
      <c r="U113" s="101" t="str">
        <f t="shared" si="16"/>
        <v/>
      </c>
      <c r="V113" s="128" t="str">
        <f t="shared" si="17"/>
        <v/>
      </c>
      <c r="W113" s="128" t="str">
        <f t="shared" si="18"/>
        <v/>
      </c>
      <c r="X113" s="101" t="str">
        <f t="shared" si="19"/>
        <v/>
      </c>
      <c r="Y113" s="101" t="str">
        <f t="shared" si="20"/>
        <v/>
      </c>
      <c r="Z113" s="102" t="str">
        <f t="shared" si="21"/>
        <v/>
      </c>
      <c r="AA113" s="103" t="str">
        <f t="shared" si="22"/>
        <v/>
      </c>
      <c r="AB113" s="142" t="str">
        <f>IF(A113&lt;&gt;"", SUMIFS(node!$J$2:$J$500, node!$C$2:$C$500,"="&amp;A113)/P113, "")</f>
        <v/>
      </c>
      <c r="AC113" s="134" t="str">
        <f>IF(A113&lt;&gt;"", SUMIFS(node!$K$2:$K$500, node!$C$2:$C$500,"="&amp;A113)/P113, "")</f>
        <v/>
      </c>
      <c r="AD113" s="135" t="str">
        <f>IF(A113&lt;&gt;"", SUMIFS(node!$L$2:$L$500, node!$C$2:$C$500,"="&amp;A113), "")</f>
        <v/>
      </c>
      <c r="AE113" s="145" t="str">
        <f>IF(A113&lt;&gt;"", SUMIFS(node!$M$2:$M$500, node!$C$2:$C$500,"="&amp;A113), "")</f>
        <v/>
      </c>
    </row>
    <row r="114" spans="1:31" ht="15.75" customHeight="1" x14ac:dyDescent="0.25">
      <c r="A114" s="119" t="str">
        <f>IF(ISNONTEXT(node_raw[[#This Row],[Column2]]), "", node_raw[[#This Row],[Column2]])</f>
        <v/>
      </c>
      <c r="B114" s="116" t="str">
        <f>IF(A114&lt;&gt;"", VLOOKUP(A114, node!$C$2:$D$500, 2, FALSE), "")</f>
        <v/>
      </c>
      <c r="C114" s="117" t="str">
        <f>IF(A114&lt;&gt;"", VLOOKUP(A114, node!$C$2:$E$500, 3, FALSE), "")</f>
        <v/>
      </c>
      <c r="D114" s="118" t="str">
        <f>IF(A114&lt;&gt;"",COUNTIFS(node!$C$2:$C$500,"="&amp;A114, node!$C$2:$C$500,"&lt;&gt;"&amp;""),"")</f>
        <v/>
      </c>
      <c r="E114" s="122" t="str">
        <f>IF(A114&lt;&gt;"",SUMIFS(node!$F$2:$F$500, node!$C$2:$C$500,"="&amp;A114, node!$C$2:$C$500,"&lt;&gt;"&amp;"")/(B114*D114),"")</f>
        <v/>
      </c>
      <c r="F114" s="124" t="str">
        <f>IF(A114&lt;&gt;"",SUMIFS(node!$H$2:$H$500, node!$C$2:$C$500,"="&amp;A114, node!$C$2:$C$500,"&lt;&gt;"&amp;"")/(C114*D114),"")</f>
        <v/>
      </c>
      <c r="G114" s="93" t="str">
        <f>IF(A114&lt;&gt;"",SUMIFS(deployment!$F$4:$F$502, deployment!$D$4:$D$502,"="&amp;A114, deployment!$D$4:$D$502,"&lt;&gt;"&amp;""),"")</f>
        <v/>
      </c>
      <c r="H114" s="94" t="str">
        <f>IF(A114&lt;&gt;"",SUMIFS(deployment!$G$4:$G$502, deployment!$D$4:$D$502,"="&amp;A114, deployment!$D$4:$D$502,"&lt;&gt;"&amp;""),"")</f>
        <v/>
      </c>
      <c r="I114" s="95" t="str">
        <f>IF(A114&lt;&gt;"",SUMIFS(deployment!$H$4:$H$502, deployment!$D$4:$D$502,"="&amp;A114, deployment!$D$4:$D$502,"&lt;&gt;"&amp;""),"")</f>
        <v/>
      </c>
      <c r="J114" s="96" t="str">
        <f>IF(A114&lt;&gt;"",SUMIFS(deployment!$I$4:$I$502, deployment!$D$4:$D$502,"="&amp;A114, deployment!$D$4:$D$502,"&lt;&gt;"&amp;""),"")</f>
        <v/>
      </c>
      <c r="K114" s="112" t="str">
        <f>IF(A114&lt;&gt;"",SUMIFS(deployment!$J$4:$J$502, deployment!$D$4:$D$502,"="&amp;A114, deployment!$D$4:$D$502,"&lt;&gt;"&amp;""),"")</f>
        <v/>
      </c>
      <c r="L114" s="112" t="str">
        <f>IF(A114&lt;&gt;"",SUMIFS(deployment!$K$4:$K$502, deployment!$D$4:$D$502,"="&amp;A114, deployment!$D$4:$D$502,"&lt;&gt;"&amp;""),"")</f>
        <v/>
      </c>
      <c r="M114" s="97" t="str">
        <f>IF(A114&lt;&gt;"",SUMIFS(deployment!$L$4:$L$502, deployment!$D$4:$D$502,"="&amp;A114, deployment!$D$4:$D$502,"&lt;&gt;"&amp;""),"")</f>
        <v/>
      </c>
      <c r="N114" s="97" t="str">
        <f>IF(A114&lt;&gt;"",SUMIFS(deployment!$M$4:$M$502, deployment!$D$4:$D$502,"="&amp;A114, deployment!$D$4:$D$502,"&lt;&gt;"&amp;""),"")</f>
        <v/>
      </c>
      <c r="O114" s="127" t="str">
        <f t="shared" si="23"/>
        <v/>
      </c>
      <c r="P114" s="104"/>
      <c r="Q114" s="99" t="str">
        <f t="shared" si="12"/>
        <v/>
      </c>
      <c r="R114" s="100" t="str">
        <f t="shared" si="13"/>
        <v/>
      </c>
      <c r="S114" s="100" t="str">
        <f t="shared" si="14"/>
        <v/>
      </c>
      <c r="T114" s="101" t="str">
        <f t="shared" si="15"/>
        <v/>
      </c>
      <c r="U114" s="101" t="str">
        <f t="shared" si="16"/>
        <v/>
      </c>
      <c r="V114" s="128" t="str">
        <f t="shared" si="17"/>
        <v/>
      </c>
      <c r="W114" s="128" t="str">
        <f t="shared" si="18"/>
        <v/>
      </c>
      <c r="X114" s="101" t="str">
        <f t="shared" si="19"/>
        <v/>
      </c>
      <c r="Y114" s="101" t="str">
        <f t="shared" si="20"/>
        <v/>
      </c>
      <c r="Z114" s="102" t="str">
        <f t="shared" si="21"/>
        <v/>
      </c>
      <c r="AA114" s="103" t="str">
        <f t="shared" si="22"/>
        <v/>
      </c>
      <c r="AB114" s="142" t="str">
        <f>IF(A114&lt;&gt;"", SUMIFS(node!$J$2:$J$500, node!$C$2:$C$500,"="&amp;A114)/P114, "")</f>
        <v/>
      </c>
      <c r="AC114" s="134" t="str">
        <f>IF(A114&lt;&gt;"", SUMIFS(node!$K$2:$K$500, node!$C$2:$C$500,"="&amp;A114)/P114, "")</f>
        <v/>
      </c>
      <c r="AD114" s="135" t="str">
        <f>IF(A114&lt;&gt;"", SUMIFS(node!$L$2:$L$500, node!$C$2:$C$500,"="&amp;A114), "")</f>
        <v/>
      </c>
      <c r="AE114" s="145" t="str">
        <f>IF(A114&lt;&gt;"", SUMIFS(node!$M$2:$M$500, node!$C$2:$C$500,"="&amp;A114), "")</f>
        <v/>
      </c>
    </row>
    <row r="115" spans="1:31" ht="15.75" customHeight="1" x14ac:dyDescent="0.25">
      <c r="A115" s="119" t="str">
        <f>IF(ISNONTEXT(node_raw[[#This Row],[Column2]]), "", node_raw[[#This Row],[Column2]])</f>
        <v/>
      </c>
      <c r="B115" s="116" t="str">
        <f>IF(A115&lt;&gt;"", VLOOKUP(A115, node!$C$2:$D$500, 2, FALSE), "")</f>
        <v/>
      </c>
      <c r="C115" s="117" t="str">
        <f>IF(A115&lt;&gt;"", VLOOKUP(A115, node!$C$2:$E$500, 3, FALSE), "")</f>
        <v/>
      </c>
      <c r="D115" s="118" t="str">
        <f>IF(A115&lt;&gt;"",COUNTIFS(node!$C$2:$C$500,"="&amp;A115, node!$C$2:$C$500,"&lt;&gt;"&amp;""),"")</f>
        <v/>
      </c>
      <c r="E115" s="122" t="str">
        <f>IF(A115&lt;&gt;"",SUMIFS(node!$F$2:$F$500, node!$C$2:$C$500,"="&amp;A115, node!$C$2:$C$500,"&lt;&gt;"&amp;"")/(B115*D115),"")</f>
        <v/>
      </c>
      <c r="F115" s="124" t="str">
        <f>IF(A115&lt;&gt;"",SUMIFS(node!$H$2:$H$500, node!$C$2:$C$500,"="&amp;A115, node!$C$2:$C$500,"&lt;&gt;"&amp;"")/(C115*D115),"")</f>
        <v/>
      </c>
      <c r="G115" s="93" t="str">
        <f>IF(A115&lt;&gt;"",SUMIFS(deployment!$F$4:$F$502, deployment!$D$4:$D$502,"="&amp;A115, deployment!$D$4:$D$502,"&lt;&gt;"&amp;""),"")</f>
        <v/>
      </c>
      <c r="H115" s="94" t="str">
        <f>IF(A115&lt;&gt;"",SUMIFS(deployment!$G$4:$G$502, deployment!$D$4:$D$502,"="&amp;A115, deployment!$D$4:$D$502,"&lt;&gt;"&amp;""),"")</f>
        <v/>
      </c>
      <c r="I115" s="95" t="str">
        <f>IF(A115&lt;&gt;"",SUMIFS(deployment!$H$4:$H$502, deployment!$D$4:$D$502,"="&amp;A115, deployment!$D$4:$D$502,"&lt;&gt;"&amp;""),"")</f>
        <v/>
      </c>
      <c r="J115" s="96" t="str">
        <f>IF(A115&lt;&gt;"",SUMIFS(deployment!$I$4:$I$502, deployment!$D$4:$D$502,"="&amp;A115, deployment!$D$4:$D$502,"&lt;&gt;"&amp;""),"")</f>
        <v/>
      </c>
      <c r="K115" s="112" t="str">
        <f>IF(A115&lt;&gt;"",SUMIFS(deployment!$J$4:$J$502, deployment!$D$4:$D$502,"="&amp;A115, deployment!$D$4:$D$502,"&lt;&gt;"&amp;""),"")</f>
        <v/>
      </c>
      <c r="L115" s="112" t="str">
        <f>IF(A115&lt;&gt;"",SUMIFS(deployment!$K$4:$K$502, deployment!$D$4:$D$502,"="&amp;A115, deployment!$D$4:$D$502,"&lt;&gt;"&amp;""),"")</f>
        <v/>
      </c>
      <c r="M115" s="97" t="str">
        <f>IF(A115&lt;&gt;"",SUMIFS(deployment!$L$4:$L$502, deployment!$D$4:$D$502,"="&amp;A115, deployment!$D$4:$D$502,"&lt;&gt;"&amp;""),"")</f>
        <v/>
      </c>
      <c r="N115" s="97" t="str">
        <f>IF(A115&lt;&gt;"",SUMIFS(deployment!$M$4:$M$502, deployment!$D$4:$D$502,"="&amp;A115, deployment!$D$4:$D$502,"&lt;&gt;"&amp;""),"")</f>
        <v/>
      </c>
      <c r="O115" s="127" t="str">
        <f t="shared" si="23"/>
        <v/>
      </c>
      <c r="P115" s="104"/>
      <c r="Q115" s="99" t="str">
        <f t="shared" si="12"/>
        <v/>
      </c>
      <c r="R115" s="100" t="str">
        <f t="shared" si="13"/>
        <v/>
      </c>
      <c r="S115" s="100" t="str">
        <f t="shared" si="14"/>
        <v/>
      </c>
      <c r="T115" s="101" t="str">
        <f t="shared" si="15"/>
        <v/>
      </c>
      <c r="U115" s="101" t="str">
        <f t="shared" si="16"/>
        <v/>
      </c>
      <c r="V115" s="128" t="str">
        <f t="shared" si="17"/>
        <v/>
      </c>
      <c r="W115" s="128" t="str">
        <f t="shared" si="18"/>
        <v/>
      </c>
      <c r="X115" s="101" t="str">
        <f t="shared" si="19"/>
        <v/>
      </c>
      <c r="Y115" s="101" t="str">
        <f t="shared" si="20"/>
        <v/>
      </c>
      <c r="Z115" s="102" t="str">
        <f t="shared" si="21"/>
        <v/>
      </c>
      <c r="AA115" s="103" t="str">
        <f t="shared" si="22"/>
        <v/>
      </c>
      <c r="AB115" s="142" t="str">
        <f>IF(A115&lt;&gt;"", SUMIFS(node!$J$2:$J$500, node!$C$2:$C$500,"="&amp;A115)/P115, "")</f>
        <v/>
      </c>
      <c r="AC115" s="134" t="str">
        <f>IF(A115&lt;&gt;"", SUMIFS(node!$K$2:$K$500, node!$C$2:$C$500,"="&amp;A115)/P115, "")</f>
        <v/>
      </c>
      <c r="AD115" s="135" t="str">
        <f>IF(A115&lt;&gt;"", SUMIFS(node!$L$2:$L$500, node!$C$2:$C$500,"="&amp;A115), "")</f>
        <v/>
      </c>
      <c r="AE115" s="145" t="str">
        <f>IF(A115&lt;&gt;"", SUMIFS(node!$M$2:$M$500, node!$C$2:$C$500,"="&amp;A115), "")</f>
        <v/>
      </c>
    </row>
    <row r="116" spans="1:31" ht="15.75" customHeight="1" x14ac:dyDescent="0.25">
      <c r="A116" s="119" t="str">
        <f>IF(ISNONTEXT(node_raw[[#This Row],[Column2]]), "", node_raw[[#This Row],[Column2]])</f>
        <v/>
      </c>
      <c r="B116" s="116" t="str">
        <f>IF(A116&lt;&gt;"", VLOOKUP(A116, node!$C$2:$D$500, 2, FALSE), "")</f>
        <v/>
      </c>
      <c r="C116" s="117" t="str">
        <f>IF(A116&lt;&gt;"", VLOOKUP(A116, node!$C$2:$E$500, 3, FALSE), "")</f>
        <v/>
      </c>
      <c r="D116" s="118" t="str">
        <f>IF(A116&lt;&gt;"",COUNTIFS(node!$C$2:$C$500,"="&amp;A116, node!$C$2:$C$500,"&lt;&gt;"&amp;""),"")</f>
        <v/>
      </c>
      <c r="E116" s="122" t="str">
        <f>IF(A116&lt;&gt;"",SUMIFS(node!$F$2:$F$500, node!$C$2:$C$500,"="&amp;A116, node!$C$2:$C$500,"&lt;&gt;"&amp;"")/(B116*D116),"")</f>
        <v/>
      </c>
      <c r="F116" s="124" t="str">
        <f>IF(A116&lt;&gt;"",SUMIFS(node!$H$2:$H$500, node!$C$2:$C$500,"="&amp;A116, node!$C$2:$C$500,"&lt;&gt;"&amp;"")/(C116*D116),"")</f>
        <v/>
      </c>
      <c r="G116" s="93" t="str">
        <f>IF(A116&lt;&gt;"",SUMIFS(deployment!$F$4:$F$502, deployment!$D$4:$D$502,"="&amp;A116, deployment!$D$4:$D$502,"&lt;&gt;"&amp;""),"")</f>
        <v/>
      </c>
      <c r="H116" s="94" t="str">
        <f>IF(A116&lt;&gt;"",SUMIFS(deployment!$G$4:$G$502, deployment!$D$4:$D$502,"="&amp;A116, deployment!$D$4:$D$502,"&lt;&gt;"&amp;""),"")</f>
        <v/>
      </c>
      <c r="I116" s="95" t="str">
        <f>IF(A116&lt;&gt;"",SUMIFS(deployment!$H$4:$H$502, deployment!$D$4:$D$502,"="&amp;A116, deployment!$D$4:$D$502,"&lt;&gt;"&amp;""),"")</f>
        <v/>
      </c>
      <c r="J116" s="96" t="str">
        <f>IF(A116&lt;&gt;"",SUMIFS(deployment!$I$4:$I$502, deployment!$D$4:$D$502,"="&amp;A116, deployment!$D$4:$D$502,"&lt;&gt;"&amp;""),"")</f>
        <v/>
      </c>
      <c r="K116" s="112" t="str">
        <f>IF(A116&lt;&gt;"",SUMIFS(deployment!$J$4:$J$502, deployment!$D$4:$D$502,"="&amp;A116, deployment!$D$4:$D$502,"&lt;&gt;"&amp;""),"")</f>
        <v/>
      </c>
      <c r="L116" s="112" t="str">
        <f>IF(A116&lt;&gt;"",SUMIFS(deployment!$K$4:$K$502, deployment!$D$4:$D$502,"="&amp;A116, deployment!$D$4:$D$502,"&lt;&gt;"&amp;""),"")</f>
        <v/>
      </c>
      <c r="M116" s="97" t="str">
        <f>IF(A116&lt;&gt;"",SUMIFS(deployment!$L$4:$L$502, deployment!$D$4:$D$502,"="&amp;A116, deployment!$D$4:$D$502,"&lt;&gt;"&amp;""),"")</f>
        <v/>
      </c>
      <c r="N116" s="97" t="str">
        <f>IF(A116&lt;&gt;"",SUMIFS(deployment!$M$4:$M$502, deployment!$D$4:$D$502,"="&amp;A116, deployment!$D$4:$D$502,"&lt;&gt;"&amp;""),"")</f>
        <v/>
      </c>
      <c r="O116" s="127" t="str">
        <f t="shared" si="23"/>
        <v/>
      </c>
      <c r="P116" s="104"/>
      <c r="Q116" s="99" t="str">
        <f t="shared" si="12"/>
        <v/>
      </c>
      <c r="R116" s="100" t="str">
        <f t="shared" si="13"/>
        <v/>
      </c>
      <c r="S116" s="100" t="str">
        <f t="shared" si="14"/>
        <v/>
      </c>
      <c r="T116" s="101" t="str">
        <f t="shared" si="15"/>
        <v/>
      </c>
      <c r="U116" s="101" t="str">
        <f t="shared" si="16"/>
        <v/>
      </c>
      <c r="V116" s="128" t="str">
        <f t="shared" si="17"/>
        <v/>
      </c>
      <c r="W116" s="128" t="str">
        <f t="shared" si="18"/>
        <v/>
      </c>
      <c r="X116" s="101" t="str">
        <f t="shared" si="19"/>
        <v/>
      </c>
      <c r="Y116" s="101" t="str">
        <f t="shared" si="20"/>
        <v/>
      </c>
      <c r="Z116" s="102" t="str">
        <f t="shared" si="21"/>
        <v/>
      </c>
      <c r="AA116" s="103" t="str">
        <f t="shared" si="22"/>
        <v/>
      </c>
      <c r="AB116" s="142" t="str">
        <f>IF(A116&lt;&gt;"", SUMIFS(node!$J$2:$J$500, node!$C$2:$C$500,"="&amp;A116)/P116, "")</f>
        <v/>
      </c>
      <c r="AC116" s="134" t="str">
        <f>IF(A116&lt;&gt;"", SUMIFS(node!$K$2:$K$500, node!$C$2:$C$500,"="&amp;A116)/P116, "")</f>
        <v/>
      </c>
      <c r="AD116" s="135" t="str">
        <f>IF(A116&lt;&gt;"", SUMIFS(node!$L$2:$L$500, node!$C$2:$C$500,"="&amp;A116), "")</f>
        <v/>
      </c>
      <c r="AE116" s="145" t="str">
        <f>IF(A116&lt;&gt;"", SUMIFS(node!$M$2:$M$500, node!$C$2:$C$500,"="&amp;A116), "")</f>
        <v/>
      </c>
    </row>
    <row r="117" spans="1:31" ht="15.75" customHeight="1" x14ac:dyDescent="0.25">
      <c r="A117" s="119" t="str">
        <f>IF(ISNONTEXT(node_raw[[#This Row],[Column2]]), "", node_raw[[#This Row],[Column2]])</f>
        <v/>
      </c>
      <c r="B117" s="116" t="str">
        <f>IF(A117&lt;&gt;"", VLOOKUP(A117, node!$C$2:$D$500, 2, FALSE), "")</f>
        <v/>
      </c>
      <c r="C117" s="117" t="str">
        <f>IF(A117&lt;&gt;"", VLOOKUP(A117, node!$C$2:$E$500, 3, FALSE), "")</f>
        <v/>
      </c>
      <c r="D117" s="118" t="str">
        <f>IF(A117&lt;&gt;"",COUNTIFS(node!$C$2:$C$500,"="&amp;A117, node!$C$2:$C$500,"&lt;&gt;"&amp;""),"")</f>
        <v/>
      </c>
      <c r="E117" s="122" t="str">
        <f>IF(A117&lt;&gt;"",SUMIFS(node!$F$2:$F$500, node!$C$2:$C$500,"="&amp;A117, node!$C$2:$C$500,"&lt;&gt;"&amp;"")/(B117*D117),"")</f>
        <v/>
      </c>
      <c r="F117" s="124" t="str">
        <f>IF(A117&lt;&gt;"",SUMIFS(node!$H$2:$H$500, node!$C$2:$C$500,"="&amp;A117, node!$C$2:$C$500,"&lt;&gt;"&amp;"")/(C117*D117),"")</f>
        <v/>
      </c>
      <c r="G117" s="93" t="str">
        <f>IF(A117&lt;&gt;"",SUMIFS(deployment!$F$4:$F$502, deployment!$D$4:$D$502,"="&amp;A117, deployment!$D$4:$D$502,"&lt;&gt;"&amp;""),"")</f>
        <v/>
      </c>
      <c r="H117" s="94" t="str">
        <f>IF(A117&lt;&gt;"",SUMIFS(deployment!$G$4:$G$502, deployment!$D$4:$D$502,"="&amp;A117, deployment!$D$4:$D$502,"&lt;&gt;"&amp;""),"")</f>
        <v/>
      </c>
      <c r="I117" s="95" t="str">
        <f>IF(A117&lt;&gt;"",SUMIFS(deployment!$H$4:$H$502, deployment!$D$4:$D$502,"="&amp;A117, deployment!$D$4:$D$502,"&lt;&gt;"&amp;""),"")</f>
        <v/>
      </c>
      <c r="J117" s="96" t="str">
        <f>IF(A117&lt;&gt;"",SUMIFS(deployment!$I$4:$I$502, deployment!$D$4:$D$502,"="&amp;A117, deployment!$D$4:$D$502,"&lt;&gt;"&amp;""),"")</f>
        <v/>
      </c>
      <c r="K117" s="112" t="str">
        <f>IF(A117&lt;&gt;"",SUMIFS(deployment!$J$4:$J$502, deployment!$D$4:$D$502,"="&amp;A117, deployment!$D$4:$D$502,"&lt;&gt;"&amp;""),"")</f>
        <v/>
      </c>
      <c r="L117" s="112" t="str">
        <f>IF(A117&lt;&gt;"",SUMIFS(deployment!$K$4:$K$502, deployment!$D$4:$D$502,"="&amp;A117, deployment!$D$4:$D$502,"&lt;&gt;"&amp;""),"")</f>
        <v/>
      </c>
      <c r="M117" s="97" t="str">
        <f>IF(A117&lt;&gt;"",SUMIFS(deployment!$L$4:$L$502, deployment!$D$4:$D$502,"="&amp;A117, deployment!$D$4:$D$502,"&lt;&gt;"&amp;""),"")</f>
        <v/>
      </c>
      <c r="N117" s="97" t="str">
        <f>IF(A117&lt;&gt;"",SUMIFS(deployment!$M$4:$M$502, deployment!$D$4:$D$502,"="&amp;A117, deployment!$D$4:$D$502,"&lt;&gt;"&amp;""),"")</f>
        <v/>
      </c>
      <c r="O117" s="127" t="str">
        <f t="shared" si="23"/>
        <v/>
      </c>
      <c r="P117" s="104"/>
      <c r="Q117" s="99" t="str">
        <f t="shared" si="12"/>
        <v/>
      </c>
      <c r="R117" s="100" t="str">
        <f t="shared" si="13"/>
        <v/>
      </c>
      <c r="S117" s="100" t="str">
        <f t="shared" si="14"/>
        <v/>
      </c>
      <c r="T117" s="101" t="str">
        <f t="shared" si="15"/>
        <v/>
      </c>
      <c r="U117" s="101" t="str">
        <f t="shared" si="16"/>
        <v/>
      </c>
      <c r="V117" s="128" t="str">
        <f t="shared" si="17"/>
        <v/>
      </c>
      <c r="W117" s="128" t="str">
        <f t="shared" si="18"/>
        <v/>
      </c>
      <c r="X117" s="101" t="str">
        <f t="shared" si="19"/>
        <v/>
      </c>
      <c r="Y117" s="101" t="str">
        <f t="shared" si="20"/>
        <v/>
      </c>
      <c r="Z117" s="102" t="str">
        <f t="shared" si="21"/>
        <v/>
      </c>
      <c r="AA117" s="103" t="str">
        <f t="shared" si="22"/>
        <v/>
      </c>
      <c r="AB117" s="142" t="str">
        <f>IF(A117&lt;&gt;"", SUMIFS(node!$J$2:$J$500, node!$C$2:$C$500,"="&amp;A117)/P117, "")</f>
        <v/>
      </c>
      <c r="AC117" s="134" t="str">
        <f>IF(A117&lt;&gt;"", SUMIFS(node!$K$2:$K$500, node!$C$2:$C$500,"="&amp;A117)/P117, "")</f>
        <v/>
      </c>
      <c r="AD117" s="135" t="str">
        <f>IF(A117&lt;&gt;"", SUMIFS(node!$L$2:$L$500, node!$C$2:$C$500,"="&amp;A117), "")</f>
        <v/>
      </c>
      <c r="AE117" s="145" t="str">
        <f>IF(A117&lt;&gt;"", SUMIFS(node!$M$2:$M$500, node!$C$2:$C$500,"="&amp;A117), "")</f>
        <v/>
      </c>
    </row>
    <row r="118" spans="1:31" ht="15.75" customHeight="1" x14ac:dyDescent="0.25">
      <c r="A118" s="119" t="str">
        <f>IF(ISNONTEXT(node_raw[[#This Row],[Column2]]), "", node_raw[[#This Row],[Column2]])</f>
        <v/>
      </c>
      <c r="B118" s="116" t="str">
        <f>IF(A118&lt;&gt;"", VLOOKUP(A118, node!$C$2:$D$500, 2, FALSE), "")</f>
        <v/>
      </c>
      <c r="C118" s="117" t="str">
        <f>IF(A118&lt;&gt;"", VLOOKUP(A118, node!$C$2:$E$500, 3, FALSE), "")</f>
        <v/>
      </c>
      <c r="D118" s="118" t="str">
        <f>IF(A118&lt;&gt;"",COUNTIFS(node!$C$2:$C$500,"="&amp;A118, node!$C$2:$C$500,"&lt;&gt;"&amp;""),"")</f>
        <v/>
      </c>
      <c r="E118" s="122" t="str">
        <f>IF(A118&lt;&gt;"",SUMIFS(node!$F$2:$F$500, node!$C$2:$C$500,"="&amp;A118, node!$C$2:$C$500,"&lt;&gt;"&amp;"")/(B118*D118),"")</f>
        <v/>
      </c>
      <c r="F118" s="124" t="str">
        <f>IF(A118&lt;&gt;"",SUMIFS(node!$H$2:$H$500, node!$C$2:$C$500,"="&amp;A118, node!$C$2:$C$500,"&lt;&gt;"&amp;"")/(C118*D118),"")</f>
        <v/>
      </c>
      <c r="G118" s="93" t="str">
        <f>IF(A118&lt;&gt;"",SUMIFS(deployment!$F$4:$F$502, deployment!$D$4:$D$502,"="&amp;A118, deployment!$D$4:$D$502,"&lt;&gt;"&amp;""),"")</f>
        <v/>
      </c>
      <c r="H118" s="94" t="str">
        <f>IF(A118&lt;&gt;"",SUMIFS(deployment!$G$4:$G$502, deployment!$D$4:$D$502,"="&amp;A118, deployment!$D$4:$D$502,"&lt;&gt;"&amp;""),"")</f>
        <v/>
      </c>
      <c r="I118" s="95" t="str">
        <f>IF(A118&lt;&gt;"",SUMIFS(deployment!$H$4:$H$502, deployment!$D$4:$D$502,"="&amp;A118, deployment!$D$4:$D$502,"&lt;&gt;"&amp;""),"")</f>
        <v/>
      </c>
      <c r="J118" s="96" t="str">
        <f>IF(A118&lt;&gt;"",SUMIFS(deployment!$I$4:$I$502, deployment!$D$4:$D$502,"="&amp;A118, deployment!$D$4:$D$502,"&lt;&gt;"&amp;""),"")</f>
        <v/>
      </c>
      <c r="K118" s="112" t="str">
        <f>IF(A118&lt;&gt;"",SUMIFS(deployment!$J$4:$J$502, deployment!$D$4:$D$502,"="&amp;A118, deployment!$D$4:$D$502,"&lt;&gt;"&amp;""),"")</f>
        <v/>
      </c>
      <c r="L118" s="112" t="str">
        <f>IF(A118&lt;&gt;"",SUMIFS(deployment!$K$4:$K$502, deployment!$D$4:$D$502,"="&amp;A118, deployment!$D$4:$D$502,"&lt;&gt;"&amp;""),"")</f>
        <v/>
      </c>
      <c r="M118" s="97" t="str">
        <f>IF(A118&lt;&gt;"",SUMIFS(deployment!$L$4:$L$502, deployment!$D$4:$D$502,"="&amp;A118, deployment!$D$4:$D$502,"&lt;&gt;"&amp;""),"")</f>
        <v/>
      </c>
      <c r="N118" s="97" t="str">
        <f>IF(A118&lt;&gt;"",SUMIFS(deployment!$M$4:$M$502, deployment!$D$4:$D$502,"="&amp;A118, deployment!$D$4:$D$502,"&lt;&gt;"&amp;""),"")</f>
        <v/>
      </c>
      <c r="O118" s="127" t="str">
        <f t="shared" si="23"/>
        <v/>
      </c>
      <c r="P118" s="104"/>
      <c r="Q118" s="99" t="str">
        <f t="shared" si="12"/>
        <v/>
      </c>
      <c r="R118" s="100" t="str">
        <f t="shared" si="13"/>
        <v/>
      </c>
      <c r="S118" s="100" t="str">
        <f t="shared" si="14"/>
        <v/>
      </c>
      <c r="T118" s="101" t="str">
        <f t="shared" si="15"/>
        <v/>
      </c>
      <c r="U118" s="101" t="str">
        <f t="shared" si="16"/>
        <v/>
      </c>
      <c r="V118" s="128" t="str">
        <f t="shared" si="17"/>
        <v/>
      </c>
      <c r="W118" s="128" t="str">
        <f t="shared" si="18"/>
        <v/>
      </c>
      <c r="X118" s="101" t="str">
        <f t="shared" si="19"/>
        <v/>
      </c>
      <c r="Y118" s="101" t="str">
        <f t="shared" si="20"/>
        <v/>
      </c>
      <c r="Z118" s="102" t="str">
        <f t="shared" si="21"/>
        <v/>
      </c>
      <c r="AA118" s="103" t="str">
        <f t="shared" si="22"/>
        <v/>
      </c>
      <c r="AB118" s="142" t="str">
        <f>IF(A118&lt;&gt;"", SUMIFS(node!$J$2:$J$500, node!$C$2:$C$500,"="&amp;A118)/P118, "")</f>
        <v/>
      </c>
      <c r="AC118" s="134" t="str">
        <f>IF(A118&lt;&gt;"", SUMIFS(node!$K$2:$K$500, node!$C$2:$C$500,"="&amp;A118)/P118, "")</f>
        <v/>
      </c>
      <c r="AD118" s="135" t="str">
        <f>IF(A118&lt;&gt;"", SUMIFS(node!$L$2:$L$500, node!$C$2:$C$500,"="&amp;A118), "")</f>
        <v/>
      </c>
      <c r="AE118" s="145" t="str">
        <f>IF(A118&lt;&gt;"", SUMIFS(node!$M$2:$M$500, node!$C$2:$C$500,"="&amp;A118), "")</f>
        <v/>
      </c>
    </row>
    <row r="119" spans="1:31" ht="15.75" customHeight="1" x14ac:dyDescent="0.25">
      <c r="A119" s="119" t="str">
        <f>IF(ISNONTEXT(node_raw[[#This Row],[Column2]]), "", node_raw[[#This Row],[Column2]])</f>
        <v/>
      </c>
      <c r="B119" s="116" t="str">
        <f>IF(A119&lt;&gt;"", VLOOKUP(A119, node!$C$2:$D$500, 2, FALSE), "")</f>
        <v/>
      </c>
      <c r="C119" s="117" t="str">
        <f>IF(A119&lt;&gt;"", VLOOKUP(A119, node!$C$2:$E$500, 3, FALSE), "")</f>
        <v/>
      </c>
      <c r="D119" s="118" t="str">
        <f>IF(A119&lt;&gt;"",COUNTIFS(node!$C$2:$C$500,"="&amp;A119, node!$C$2:$C$500,"&lt;&gt;"&amp;""),"")</f>
        <v/>
      </c>
      <c r="E119" s="122" t="str">
        <f>IF(A119&lt;&gt;"",SUMIFS(node!$F$2:$F$500, node!$C$2:$C$500,"="&amp;A119, node!$C$2:$C$500,"&lt;&gt;"&amp;"")/(B119*D119),"")</f>
        <v/>
      </c>
      <c r="F119" s="124" t="str">
        <f>IF(A119&lt;&gt;"",SUMIFS(node!$H$2:$H$500, node!$C$2:$C$500,"="&amp;A119, node!$C$2:$C$500,"&lt;&gt;"&amp;"")/(C119*D119),"")</f>
        <v/>
      </c>
      <c r="G119" s="93" t="str">
        <f>IF(A119&lt;&gt;"",SUMIFS(deployment!$F$4:$F$502, deployment!$D$4:$D$502,"="&amp;A119, deployment!$D$4:$D$502,"&lt;&gt;"&amp;""),"")</f>
        <v/>
      </c>
      <c r="H119" s="94" t="str">
        <f>IF(A119&lt;&gt;"",SUMIFS(deployment!$G$4:$G$502, deployment!$D$4:$D$502,"="&amp;A119, deployment!$D$4:$D$502,"&lt;&gt;"&amp;""),"")</f>
        <v/>
      </c>
      <c r="I119" s="95" t="str">
        <f>IF(A119&lt;&gt;"",SUMIFS(deployment!$H$4:$H$502, deployment!$D$4:$D$502,"="&amp;A119, deployment!$D$4:$D$502,"&lt;&gt;"&amp;""),"")</f>
        <v/>
      </c>
      <c r="J119" s="96" t="str">
        <f>IF(A119&lt;&gt;"",SUMIFS(deployment!$I$4:$I$502, deployment!$D$4:$D$502,"="&amp;A119, deployment!$D$4:$D$502,"&lt;&gt;"&amp;""),"")</f>
        <v/>
      </c>
      <c r="K119" s="112" t="str">
        <f>IF(A119&lt;&gt;"",SUMIFS(deployment!$J$4:$J$502, deployment!$D$4:$D$502,"="&amp;A119, deployment!$D$4:$D$502,"&lt;&gt;"&amp;""),"")</f>
        <v/>
      </c>
      <c r="L119" s="112" t="str">
        <f>IF(A119&lt;&gt;"",SUMIFS(deployment!$K$4:$K$502, deployment!$D$4:$D$502,"="&amp;A119, deployment!$D$4:$D$502,"&lt;&gt;"&amp;""),"")</f>
        <v/>
      </c>
      <c r="M119" s="97" t="str">
        <f>IF(A119&lt;&gt;"",SUMIFS(deployment!$L$4:$L$502, deployment!$D$4:$D$502,"="&amp;A119, deployment!$D$4:$D$502,"&lt;&gt;"&amp;""),"")</f>
        <v/>
      </c>
      <c r="N119" s="97" t="str">
        <f>IF(A119&lt;&gt;"",SUMIFS(deployment!$M$4:$M$502, deployment!$D$4:$D$502,"="&amp;A119, deployment!$D$4:$D$502,"&lt;&gt;"&amp;""),"")</f>
        <v/>
      </c>
      <c r="O119" s="127" t="str">
        <f t="shared" si="23"/>
        <v/>
      </c>
      <c r="P119" s="104"/>
      <c r="Q119" s="99" t="str">
        <f t="shared" si="12"/>
        <v/>
      </c>
      <c r="R119" s="100" t="str">
        <f t="shared" si="13"/>
        <v/>
      </c>
      <c r="S119" s="100" t="str">
        <f t="shared" si="14"/>
        <v/>
      </c>
      <c r="T119" s="101" t="str">
        <f t="shared" si="15"/>
        <v/>
      </c>
      <c r="U119" s="101" t="str">
        <f t="shared" si="16"/>
        <v/>
      </c>
      <c r="V119" s="128" t="str">
        <f t="shared" si="17"/>
        <v/>
      </c>
      <c r="W119" s="128" t="str">
        <f t="shared" si="18"/>
        <v/>
      </c>
      <c r="X119" s="101" t="str">
        <f t="shared" si="19"/>
        <v/>
      </c>
      <c r="Y119" s="101" t="str">
        <f t="shared" si="20"/>
        <v/>
      </c>
      <c r="Z119" s="102" t="str">
        <f t="shared" si="21"/>
        <v/>
      </c>
      <c r="AA119" s="103" t="str">
        <f t="shared" si="22"/>
        <v/>
      </c>
      <c r="AB119" s="142" t="str">
        <f>IF(A119&lt;&gt;"", SUMIFS(node!$J$2:$J$500, node!$C$2:$C$500,"="&amp;A119)/P119, "")</f>
        <v/>
      </c>
      <c r="AC119" s="134" t="str">
        <f>IF(A119&lt;&gt;"", SUMIFS(node!$K$2:$K$500, node!$C$2:$C$500,"="&amp;A119)/P119, "")</f>
        <v/>
      </c>
      <c r="AD119" s="135" t="str">
        <f>IF(A119&lt;&gt;"", SUMIFS(node!$L$2:$L$500, node!$C$2:$C$500,"="&amp;A119), "")</f>
        <v/>
      </c>
      <c r="AE119" s="145" t="str">
        <f>IF(A119&lt;&gt;"", SUMIFS(node!$M$2:$M$500, node!$C$2:$C$500,"="&amp;A119), "")</f>
        <v/>
      </c>
    </row>
    <row r="120" spans="1:31" ht="15.75" customHeight="1" x14ac:dyDescent="0.25">
      <c r="A120" s="119" t="str">
        <f>IF(ISNONTEXT(node_raw[[#This Row],[Column2]]), "", node_raw[[#This Row],[Column2]])</f>
        <v/>
      </c>
      <c r="B120" s="116" t="str">
        <f>IF(A120&lt;&gt;"", VLOOKUP(A120, node!$C$2:$D$500, 2, FALSE), "")</f>
        <v/>
      </c>
      <c r="C120" s="117" t="str">
        <f>IF(A120&lt;&gt;"", VLOOKUP(A120, node!$C$2:$E$500, 3, FALSE), "")</f>
        <v/>
      </c>
      <c r="D120" s="118" t="str">
        <f>IF(A120&lt;&gt;"",COUNTIFS(node!$C$2:$C$500,"="&amp;A120, node!$C$2:$C$500,"&lt;&gt;"&amp;""),"")</f>
        <v/>
      </c>
      <c r="E120" s="122" t="str">
        <f>IF(A120&lt;&gt;"",SUMIFS(node!$F$2:$F$500, node!$C$2:$C$500,"="&amp;A120, node!$C$2:$C$500,"&lt;&gt;"&amp;"")/(B120*D120),"")</f>
        <v/>
      </c>
      <c r="F120" s="124" t="str">
        <f>IF(A120&lt;&gt;"",SUMIFS(node!$H$2:$H$500, node!$C$2:$C$500,"="&amp;A120, node!$C$2:$C$500,"&lt;&gt;"&amp;"")/(C120*D120),"")</f>
        <v/>
      </c>
      <c r="G120" s="93" t="str">
        <f>IF(A120&lt;&gt;"",SUMIFS(deployment!$F$4:$F$502, deployment!$D$4:$D$502,"="&amp;A120, deployment!$D$4:$D$502,"&lt;&gt;"&amp;""),"")</f>
        <v/>
      </c>
      <c r="H120" s="94" t="str">
        <f>IF(A120&lt;&gt;"",SUMIFS(deployment!$G$4:$G$502, deployment!$D$4:$D$502,"="&amp;A120, deployment!$D$4:$D$502,"&lt;&gt;"&amp;""),"")</f>
        <v/>
      </c>
      <c r="I120" s="95" t="str">
        <f>IF(A120&lt;&gt;"",SUMIFS(deployment!$H$4:$H$502, deployment!$D$4:$D$502,"="&amp;A120, deployment!$D$4:$D$502,"&lt;&gt;"&amp;""),"")</f>
        <v/>
      </c>
      <c r="J120" s="96" t="str">
        <f>IF(A120&lt;&gt;"",SUMIFS(deployment!$I$4:$I$502, deployment!$D$4:$D$502,"="&amp;A120, deployment!$D$4:$D$502,"&lt;&gt;"&amp;""),"")</f>
        <v/>
      </c>
      <c r="K120" s="112" t="str">
        <f>IF(A120&lt;&gt;"",SUMIFS(deployment!$J$4:$J$502, deployment!$D$4:$D$502,"="&amp;A120, deployment!$D$4:$D$502,"&lt;&gt;"&amp;""),"")</f>
        <v/>
      </c>
      <c r="L120" s="112" t="str">
        <f>IF(A120&lt;&gt;"",SUMIFS(deployment!$K$4:$K$502, deployment!$D$4:$D$502,"="&amp;A120, deployment!$D$4:$D$502,"&lt;&gt;"&amp;""),"")</f>
        <v/>
      </c>
      <c r="M120" s="97" t="str">
        <f>IF(A120&lt;&gt;"",SUMIFS(deployment!$L$4:$L$502, deployment!$D$4:$D$502,"="&amp;A120, deployment!$D$4:$D$502,"&lt;&gt;"&amp;""),"")</f>
        <v/>
      </c>
      <c r="N120" s="97" t="str">
        <f>IF(A120&lt;&gt;"",SUMIFS(deployment!$M$4:$M$502, deployment!$D$4:$D$502,"="&amp;A120, deployment!$D$4:$D$502,"&lt;&gt;"&amp;""),"")</f>
        <v/>
      </c>
      <c r="O120" s="127" t="str">
        <f t="shared" si="23"/>
        <v/>
      </c>
      <c r="P120" s="104"/>
      <c r="Q120" s="99" t="str">
        <f t="shared" si="12"/>
        <v/>
      </c>
      <c r="R120" s="100" t="str">
        <f t="shared" si="13"/>
        <v/>
      </c>
      <c r="S120" s="100" t="str">
        <f t="shared" si="14"/>
        <v/>
      </c>
      <c r="T120" s="101" t="str">
        <f t="shared" si="15"/>
        <v/>
      </c>
      <c r="U120" s="101" t="str">
        <f t="shared" si="16"/>
        <v/>
      </c>
      <c r="V120" s="128" t="str">
        <f t="shared" si="17"/>
        <v/>
      </c>
      <c r="W120" s="128" t="str">
        <f t="shared" si="18"/>
        <v/>
      </c>
      <c r="X120" s="101" t="str">
        <f t="shared" si="19"/>
        <v/>
      </c>
      <c r="Y120" s="101" t="str">
        <f t="shared" si="20"/>
        <v/>
      </c>
      <c r="Z120" s="102" t="str">
        <f t="shared" si="21"/>
        <v/>
      </c>
      <c r="AA120" s="103" t="str">
        <f t="shared" si="22"/>
        <v/>
      </c>
      <c r="AB120" s="142" t="str">
        <f>IF(A120&lt;&gt;"", SUMIFS(node!$J$2:$J$500, node!$C$2:$C$500,"="&amp;A120)/P120, "")</f>
        <v/>
      </c>
      <c r="AC120" s="134" t="str">
        <f>IF(A120&lt;&gt;"", SUMIFS(node!$K$2:$K$500, node!$C$2:$C$500,"="&amp;A120)/P120, "")</f>
        <v/>
      </c>
      <c r="AD120" s="135" t="str">
        <f>IF(A120&lt;&gt;"", SUMIFS(node!$L$2:$L$500, node!$C$2:$C$500,"="&amp;A120), "")</f>
        <v/>
      </c>
      <c r="AE120" s="145" t="str">
        <f>IF(A120&lt;&gt;"", SUMIFS(node!$M$2:$M$500, node!$C$2:$C$500,"="&amp;A120), "")</f>
        <v/>
      </c>
    </row>
    <row r="121" spans="1:31" ht="15.75" customHeight="1" x14ac:dyDescent="0.25">
      <c r="A121" s="119" t="str">
        <f>IF(ISNONTEXT(node_raw[[#This Row],[Column2]]), "", node_raw[[#This Row],[Column2]])</f>
        <v/>
      </c>
      <c r="B121" s="116" t="str">
        <f>IF(A121&lt;&gt;"", VLOOKUP(A121, node!$C$2:$D$500, 2, FALSE), "")</f>
        <v/>
      </c>
      <c r="C121" s="117" t="str">
        <f>IF(A121&lt;&gt;"", VLOOKUP(A121, node!$C$2:$E$500, 3, FALSE), "")</f>
        <v/>
      </c>
      <c r="D121" s="118" t="str">
        <f>IF(A121&lt;&gt;"",COUNTIFS(node!$C$2:$C$500,"="&amp;A121, node!$C$2:$C$500,"&lt;&gt;"&amp;""),"")</f>
        <v/>
      </c>
      <c r="E121" s="122" t="str">
        <f>IF(A121&lt;&gt;"",SUMIFS(node!$F$2:$F$500, node!$C$2:$C$500,"="&amp;A121, node!$C$2:$C$500,"&lt;&gt;"&amp;"")/(B121*D121),"")</f>
        <v/>
      </c>
      <c r="F121" s="124" t="str">
        <f>IF(A121&lt;&gt;"",SUMIFS(node!$H$2:$H$500, node!$C$2:$C$500,"="&amp;A121, node!$C$2:$C$500,"&lt;&gt;"&amp;"")/(C121*D121),"")</f>
        <v/>
      </c>
      <c r="G121" s="93" t="str">
        <f>IF(A121&lt;&gt;"",SUMIFS(deployment!$F$4:$F$502, deployment!$D$4:$D$502,"="&amp;A121, deployment!$D$4:$D$502,"&lt;&gt;"&amp;""),"")</f>
        <v/>
      </c>
      <c r="H121" s="94" t="str">
        <f>IF(A121&lt;&gt;"",SUMIFS(deployment!$G$4:$G$502, deployment!$D$4:$D$502,"="&amp;A121, deployment!$D$4:$D$502,"&lt;&gt;"&amp;""),"")</f>
        <v/>
      </c>
      <c r="I121" s="95" t="str">
        <f>IF(A121&lt;&gt;"",SUMIFS(deployment!$H$4:$H$502, deployment!$D$4:$D$502,"="&amp;A121, deployment!$D$4:$D$502,"&lt;&gt;"&amp;""),"")</f>
        <v/>
      </c>
      <c r="J121" s="96" t="str">
        <f>IF(A121&lt;&gt;"",SUMIFS(deployment!$I$4:$I$502, deployment!$D$4:$D$502,"="&amp;A121, deployment!$D$4:$D$502,"&lt;&gt;"&amp;""),"")</f>
        <v/>
      </c>
      <c r="K121" s="112" t="str">
        <f>IF(A121&lt;&gt;"",SUMIFS(deployment!$J$4:$J$502, deployment!$D$4:$D$502,"="&amp;A121, deployment!$D$4:$D$502,"&lt;&gt;"&amp;""),"")</f>
        <v/>
      </c>
      <c r="L121" s="112" t="str">
        <f>IF(A121&lt;&gt;"",SUMIFS(deployment!$K$4:$K$502, deployment!$D$4:$D$502,"="&amp;A121, deployment!$D$4:$D$502,"&lt;&gt;"&amp;""),"")</f>
        <v/>
      </c>
      <c r="M121" s="97" t="str">
        <f>IF(A121&lt;&gt;"",SUMIFS(deployment!$L$4:$L$502, deployment!$D$4:$D$502,"="&amp;A121, deployment!$D$4:$D$502,"&lt;&gt;"&amp;""),"")</f>
        <v/>
      </c>
      <c r="N121" s="97" t="str">
        <f>IF(A121&lt;&gt;"",SUMIFS(deployment!$M$4:$M$502, deployment!$D$4:$D$502,"="&amp;A121, deployment!$D$4:$D$502,"&lt;&gt;"&amp;""),"")</f>
        <v/>
      </c>
      <c r="O121" s="127" t="str">
        <f t="shared" si="23"/>
        <v/>
      </c>
      <c r="P121" s="104"/>
      <c r="Q121" s="99" t="str">
        <f t="shared" si="12"/>
        <v/>
      </c>
      <c r="R121" s="100" t="str">
        <f t="shared" si="13"/>
        <v/>
      </c>
      <c r="S121" s="100" t="str">
        <f t="shared" si="14"/>
        <v/>
      </c>
      <c r="T121" s="101" t="str">
        <f t="shared" si="15"/>
        <v/>
      </c>
      <c r="U121" s="101" t="str">
        <f t="shared" si="16"/>
        <v/>
      </c>
      <c r="V121" s="128" t="str">
        <f t="shared" si="17"/>
        <v/>
      </c>
      <c r="W121" s="128" t="str">
        <f t="shared" si="18"/>
        <v/>
      </c>
      <c r="X121" s="101" t="str">
        <f t="shared" si="19"/>
        <v/>
      </c>
      <c r="Y121" s="101" t="str">
        <f t="shared" si="20"/>
        <v/>
      </c>
      <c r="Z121" s="102" t="str">
        <f t="shared" si="21"/>
        <v/>
      </c>
      <c r="AA121" s="103" t="str">
        <f t="shared" si="22"/>
        <v/>
      </c>
      <c r="AB121" s="142" t="str">
        <f>IF(A121&lt;&gt;"", SUMIFS(node!$J$2:$J$500, node!$C$2:$C$500,"="&amp;A121)/P121, "")</f>
        <v/>
      </c>
      <c r="AC121" s="134" t="str">
        <f>IF(A121&lt;&gt;"", SUMIFS(node!$K$2:$K$500, node!$C$2:$C$500,"="&amp;A121)/P121, "")</f>
        <v/>
      </c>
      <c r="AD121" s="135" t="str">
        <f>IF(A121&lt;&gt;"", SUMIFS(node!$L$2:$L$500, node!$C$2:$C$500,"="&amp;A121), "")</f>
        <v/>
      </c>
      <c r="AE121" s="145" t="str">
        <f>IF(A121&lt;&gt;"", SUMIFS(node!$M$2:$M$500, node!$C$2:$C$500,"="&amp;A121), "")</f>
        <v/>
      </c>
    </row>
    <row r="122" spans="1:31" ht="15.75" customHeight="1" x14ac:dyDescent="0.25">
      <c r="A122" s="119" t="str">
        <f>IF(ISNONTEXT(node_raw[[#This Row],[Column2]]), "", node_raw[[#This Row],[Column2]])</f>
        <v/>
      </c>
      <c r="B122" s="116" t="str">
        <f>IF(A122&lt;&gt;"", VLOOKUP(A122, node!$C$2:$D$500, 2, FALSE), "")</f>
        <v/>
      </c>
      <c r="C122" s="117" t="str">
        <f>IF(A122&lt;&gt;"", VLOOKUP(A122, node!$C$2:$E$500, 3, FALSE), "")</f>
        <v/>
      </c>
      <c r="D122" s="118" t="str">
        <f>IF(A122&lt;&gt;"",COUNTIFS(node!$C$2:$C$500,"="&amp;A122, node!$C$2:$C$500,"&lt;&gt;"&amp;""),"")</f>
        <v/>
      </c>
      <c r="E122" s="122" t="str">
        <f>IF(A122&lt;&gt;"",SUMIFS(node!$F$2:$F$500, node!$C$2:$C$500,"="&amp;A122, node!$C$2:$C$500,"&lt;&gt;"&amp;"")/(B122*D122),"")</f>
        <v/>
      </c>
      <c r="F122" s="124" t="str">
        <f>IF(A122&lt;&gt;"",SUMIFS(node!$H$2:$H$500, node!$C$2:$C$500,"="&amp;A122, node!$C$2:$C$500,"&lt;&gt;"&amp;"")/(C122*D122),"")</f>
        <v/>
      </c>
      <c r="G122" s="93" t="str">
        <f>IF(A122&lt;&gt;"",SUMIFS(deployment!$F$4:$F$502, deployment!$D$4:$D$502,"="&amp;A122, deployment!$D$4:$D$502,"&lt;&gt;"&amp;""),"")</f>
        <v/>
      </c>
      <c r="H122" s="94" t="str">
        <f>IF(A122&lt;&gt;"",SUMIFS(deployment!$G$4:$G$502, deployment!$D$4:$D$502,"="&amp;A122, deployment!$D$4:$D$502,"&lt;&gt;"&amp;""),"")</f>
        <v/>
      </c>
      <c r="I122" s="95" t="str">
        <f>IF(A122&lt;&gt;"",SUMIFS(deployment!$H$4:$H$502, deployment!$D$4:$D$502,"="&amp;A122, deployment!$D$4:$D$502,"&lt;&gt;"&amp;""),"")</f>
        <v/>
      </c>
      <c r="J122" s="96" t="str">
        <f>IF(A122&lt;&gt;"",SUMIFS(deployment!$I$4:$I$502, deployment!$D$4:$D$502,"="&amp;A122, deployment!$D$4:$D$502,"&lt;&gt;"&amp;""),"")</f>
        <v/>
      </c>
      <c r="K122" s="112" t="str">
        <f>IF(A122&lt;&gt;"",SUMIFS(deployment!$J$4:$J$502, deployment!$D$4:$D$502,"="&amp;A122, deployment!$D$4:$D$502,"&lt;&gt;"&amp;""),"")</f>
        <v/>
      </c>
      <c r="L122" s="112" t="str">
        <f>IF(A122&lt;&gt;"",SUMIFS(deployment!$K$4:$K$502, deployment!$D$4:$D$502,"="&amp;A122, deployment!$D$4:$D$502,"&lt;&gt;"&amp;""),"")</f>
        <v/>
      </c>
      <c r="M122" s="97" t="str">
        <f>IF(A122&lt;&gt;"",SUMIFS(deployment!$L$4:$L$502, deployment!$D$4:$D$502,"="&amp;A122, deployment!$D$4:$D$502,"&lt;&gt;"&amp;""),"")</f>
        <v/>
      </c>
      <c r="N122" s="97" t="str">
        <f>IF(A122&lt;&gt;"",SUMIFS(deployment!$M$4:$M$502, deployment!$D$4:$D$502,"="&amp;A122, deployment!$D$4:$D$502,"&lt;&gt;"&amp;""),"")</f>
        <v/>
      </c>
      <c r="O122" s="127" t="str">
        <f t="shared" si="23"/>
        <v/>
      </c>
      <c r="P122" s="104"/>
      <c r="Q122" s="99" t="str">
        <f t="shared" si="12"/>
        <v/>
      </c>
      <c r="R122" s="100" t="str">
        <f t="shared" si="13"/>
        <v/>
      </c>
      <c r="S122" s="100" t="str">
        <f t="shared" si="14"/>
        <v/>
      </c>
      <c r="T122" s="101" t="str">
        <f t="shared" si="15"/>
        <v/>
      </c>
      <c r="U122" s="101" t="str">
        <f t="shared" si="16"/>
        <v/>
      </c>
      <c r="V122" s="128" t="str">
        <f t="shared" si="17"/>
        <v/>
      </c>
      <c r="W122" s="128" t="str">
        <f t="shared" si="18"/>
        <v/>
      </c>
      <c r="X122" s="101" t="str">
        <f t="shared" si="19"/>
        <v/>
      </c>
      <c r="Y122" s="101" t="str">
        <f t="shared" si="20"/>
        <v/>
      </c>
      <c r="Z122" s="102" t="str">
        <f t="shared" si="21"/>
        <v/>
      </c>
      <c r="AA122" s="103" t="str">
        <f t="shared" si="22"/>
        <v/>
      </c>
      <c r="AB122" s="142" t="str">
        <f>IF(A122&lt;&gt;"", SUMIFS(node!$J$2:$J$500, node!$C$2:$C$500,"="&amp;A122)/P122, "")</f>
        <v/>
      </c>
      <c r="AC122" s="134" t="str">
        <f>IF(A122&lt;&gt;"", SUMIFS(node!$K$2:$K$500, node!$C$2:$C$500,"="&amp;A122)/P122, "")</f>
        <v/>
      </c>
      <c r="AD122" s="135" t="str">
        <f>IF(A122&lt;&gt;"", SUMIFS(node!$L$2:$L$500, node!$C$2:$C$500,"="&amp;A122), "")</f>
        <v/>
      </c>
      <c r="AE122" s="145" t="str">
        <f>IF(A122&lt;&gt;"", SUMIFS(node!$M$2:$M$500, node!$C$2:$C$500,"="&amp;A122), "")</f>
        <v/>
      </c>
    </row>
    <row r="123" spans="1:31" ht="15.75" customHeight="1" x14ac:dyDescent="0.25">
      <c r="A123" s="119" t="str">
        <f>IF(ISNONTEXT(node_raw[[#This Row],[Column2]]), "", node_raw[[#This Row],[Column2]])</f>
        <v/>
      </c>
      <c r="B123" s="116" t="str">
        <f>IF(A123&lt;&gt;"", VLOOKUP(A123, node!$C$2:$D$500, 2, FALSE), "")</f>
        <v/>
      </c>
      <c r="C123" s="117" t="str">
        <f>IF(A123&lt;&gt;"", VLOOKUP(A123, node!$C$2:$E$500, 3, FALSE), "")</f>
        <v/>
      </c>
      <c r="D123" s="118" t="str">
        <f>IF(A123&lt;&gt;"",COUNTIFS(node!$C$2:$C$500,"="&amp;A123, node!$C$2:$C$500,"&lt;&gt;"&amp;""),"")</f>
        <v/>
      </c>
      <c r="E123" s="122" t="str">
        <f>IF(A123&lt;&gt;"",SUMIFS(node!$F$2:$F$500, node!$C$2:$C$500,"="&amp;A123, node!$C$2:$C$500,"&lt;&gt;"&amp;"")/(B123*D123),"")</f>
        <v/>
      </c>
      <c r="F123" s="124" t="str">
        <f>IF(A123&lt;&gt;"",SUMIFS(node!$H$2:$H$500, node!$C$2:$C$500,"="&amp;A123, node!$C$2:$C$500,"&lt;&gt;"&amp;"")/(C123*D123),"")</f>
        <v/>
      </c>
      <c r="G123" s="93" t="str">
        <f>IF(A123&lt;&gt;"",SUMIFS(deployment!$F$4:$F$502, deployment!$D$4:$D$502,"="&amp;A123, deployment!$D$4:$D$502,"&lt;&gt;"&amp;""),"")</f>
        <v/>
      </c>
      <c r="H123" s="94" t="str">
        <f>IF(A123&lt;&gt;"",SUMIFS(deployment!$G$4:$G$502, deployment!$D$4:$D$502,"="&amp;A123, deployment!$D$4:$D$502,"&lt;&gt;"&amp;""),"")</f>
        <v/>
      </c>
      <c r="I123" s="95" t="str">
        <f>IF(A123&lt;&gt;"",SUMIFS(deployment!$H$4:$H$502, deployment!$D$4:$D$502,"="&amp;A123, deployment!$D$4:$D$502,"&lt;&gt;"&amp;""),"")</f>
        <v/>
      </c>
      <c r="J123" s="96" t="str">
        <f>IF(A123&lt;&gt;"",SUMIFS(deployment!$I$4:$I$502, deployment!$D$4:$D$502,"="&amp;A123, deployment!$D$4:$D$502,"&lt;&gt;"&amp;""),"")</f>
        <v/>
      </c>
      <c r="K123" s="112" t="str">
        <f>IF(A123&lt;&gt;"",SUMIFS(deployment!$J$4:$J$502, deployment!$D$4:$D$502,"="&amp;A123, deployment!$D$4:$D$502,"&lt;&gt;"&amp;""),"")</f>
        <v/>
      </c>
      <c r="L123" s="112" t="str">
        <f>IF(A123&lt;&gt;"",SUMIFS(deployment!$K$4:$K$502, deployment!$D$4:$D$502,"="&amp;A123, deployment!$D$4:$D$502,"&lt;&gt;"&amp;""),"")</f>
        <v/>
      </c>
      <c r="M123" s="97" t="str">
        <f>IF(A123&lt;&gt;"",SUMIFS(deployment!$L$4:$L$502, deployment!$D$4:$D$502,"="&amp;A123, deployment!$D$4:$D$502,"&lt;&gt;"&amp;""),"")</f>
        <v/>
      </c>
      <c r="N123" s="97" t="str">
        <f>IF(A123&lt;&gt;"",SUMIFS(deployment!$M$4:$M$502, deployment!$D$4:$D$502,"="&amp;A123, deployment!$D$4:$D$502,"&lt;&gt;"&amp;""),"")</f>
        <v/>
      </c>
      <c r="O123" s="127" t="str">
        <f t="shared" si="23"/>
        <v/>
      </c>
      <c r="P123" s="104"/>
      <c r="Q123" s="99" t="str">
        <f t="shared" si="12"/>
        <v/>
      </c>
      <c r="R123" s="100" t="str">
        <f t="shared" si="13"/>
        <v/>
      </c>
      <c r="S123" s="100" t="str">
        <f t="shared" si="14"/>
        <v/>
      </c>
      <c r="T123" s="101" t="str">
        <f t="shared" si="15"/>
        <v/>
      </c>
      <c r="U123" s="101" t="str">
        <f t="shared" si="16"/>
        <v/>
      </c>
      <c r="V123" s="128" t="str">
        <f t="shared" si="17"/>
        <v/>
      </c>
      <c r="W123" s="128" t="str">
        <f t="shared" si="18"/>
        <v/>
      </c>
      <c r="X123" s="101" t="str">
        <f t="shared" si="19"/>
        <v/>
      </c>
      <c r="Y123" s="101" t="str">
        <f t="shared" si="20"/>
        <v/>
      </c>
      <c r="Z123" s="102" t="str">
        <f t="shared" si="21"/>
        <v/>
      </c>
      <c r="AA123" s="103" t="str">
        <f t="shared" si="22"/>
        <v/>
      </c>
      <c r="AB123" s="142" t="str">
        <f>IF(A123&lt;&gt;"", SUMIFS(node!$J$2:$J$500, node!$C$2:$C$500,"="&amp;A123)/P123, "")</f>
        <v/>
      </c>
      <c r="AC123" s="134" t="str">
        <f>IF(A123&lt;&gt;"", SUMIFS(node!$K$2:$K$500, node!$C$2:$C$500,"="&amp;A123)/P123, "")</f>
        <v/>
      </c>
      <c r="AD123" s="135" t="str">
        <f>IF(A123&lt;&gt;"", SUMIFS(node!$L$2:$L$500, node!$C$2:$C$500,"="&amp;A123), "")</f>
        <v/>
      </c>
      <c r="AE123" s="145" t="str">
        <f>IF(A123&lt;&gt;"", SUMIFS(node!$M$2:$M$500, node!$C$2:$C$500,"="&amp;A123), "")</f>
        <v/>
      </c>
    </row>
    <row r="124" spans="1:31" ht="15.75" customHeight="1" x14ac:dyDescent="0.25">
      <c r="A124" s="119" t="str">
        <f>IF(ISNONTEXT(node_raw[[#This Row],[Column2]]), "", node_raw[[#This Row],[Column2]])</f>
        <v/>
      </c>
      <c r="B124" s="116" t="str">
        <f>IF(A124&lt;&gt;"", VLOOKUP(A124, node!$C$2:$D$500, 2, FALSE), "")</f>
        <v/>
      </c>
      <c r="C124" s="117" t="str">
        <f>IF(A124&lt;&gt;"", VLOOKUP(A124, node!$C$2:$E$500, 3, FALSE), "")</f>
        <v/>
      </c>
      <c r="D124" s="118" t="str">
        <f>IF(A124&lt;&gt;"",COUNTIFS(node!$C$2:$C$500,"="&amp;A124, node!$C$2:$C$500,"&lt;&gt;"&amp;""),"")</f>
        <v/>
      </c>
      <c r="E124" s="122" t="str">
        <f>IF(A124&lt;&gt;"",SUMIFS(node!$F$2:$F$500, node!$C$2:$C$500,"="&amp;A124, node!$C$2:$C$500,"&lt;&gt;"&amp;"")/(B124*D124),"")</f>
        <v/>
      </c>
      <c r="F124" s="124" t="str">
        <f>IF(A124&lt;&gt;"",SUMIFS(node!$H$2:$H$500, node!$C$2:$C$500,"="&amp;A124, node!$C$2:$C$500,"&lt;&gt;"&amp;"")/(C124*D124),"")</f>
        <v/>
      </c>
      <c r="G124" s="93" t="str">
        <f>IF(A124&lt;&gt;"",SUMIFS(deployment!$F$4:$F$502, deployment!$D$4:$D$502,"="&amp;A124, deployment!$D$4:$D$502,"&lt;&gt;"&amp;""),"")</f>
        <v/>
      </c>
      <c r="H124" s="94" t="str">
        <f>IF(A124&lt;&gt;"",SUMIFS(deployment!$G$4:$G$502, deployment!$D$4:$D$502,"="&amp;A124, deployment!$D$4:$D$502,"&lt;&gt;"&amp;""),"")</f>
        <v/>
      </c>
      <c r="I124" s="95" t="str">
        <f>IF(A124&lt;&gt;"",SUMIFS(deployment!$H$4:$H$502, deployment!$D$4:$D$502,"="&amp;A124, deployment!$D$4:$D$502,"&lt;&gt;"&amp;""),"")</f>
        <v/>
      </c>
      <c r="J124" s="96" t="str">
        <f>IF(A124&lt;&gt;"",SUMIFS(deployment!$I$4:$I$502, deployment!$D$4:$D$502,"="&amp;A124, deployment!$D$4:$D$502,"&lt;&gt;"&amp;""),"")</f>
        <v/>
      </c>
      <c r="K124" s="112" t="str">
        <f>IF(A124&lt;&gt;"",SUMIFS(deployment!$J$4:$J$502, deployment!$D$4:$D$502,"="&amp;A124, deployment!$D$4:$D$502,"&lt;&gt;"&amp;""),"")</f>
        <v/>
      </c>
      <c r="L124" s="112" t="str">
        <f>IF(A124&lt;&gt;"",SUMIFS(deployment!$K$4:$K$502, deployment!$D$4:$D$502,"="&amp;A124, deployment!$D$4:$D$502,"&lt;&gt;"&amp;""),"")</f>
        <v/>
      </c>
      <c r="M124" s="97" t="str">
        <f>IF(A124&lt;&gt;"",SUMIFS(deployment!$L$4:$L$502, deployment!$D$4:$D$502,"="&amp;A124, deployment!$D$4:$D$502,"&lt;&gt;"&amp;""),"")</f>
        <v/>
      </c>
      <c r="N124" s="97" t="str">
        <f>IF(A124&lt;&gt;"",SUMIFS(deployment!$M$4:$M$502, deployment!$D$4:$D$502,"="&amp;A124, deployment!$D$4:$D$502,"&lt;&gt;"&amp;""),"")</f>
        <v/>
      </c>
      <c r="O124" s="127" t="str">
        <f t="shared" si="23"/>
        <v/>
      </c>
      <c r="P124" s="104"/>
      <c r="Q124" s="99" t="str">
        <f t="shared" si="12"/>
        <v/>
      </c>
      <c r="R124" s="100" t="str">
        <f t="shared" si="13"/>
        <v/>
      </c>
      <c r="S124" s="100" t="str">
        <f t="shared" si="14"/>
        <v/>
      </c>
      <c r="T124" s="101" t="str">
        <f t="shared" si="15"/>
        <v/>
      </c>
      <c r="U124" s="101" t="str">
        <f t="shared" si="16"/>
        <v/>
      </c>
      <c r="V124" s="128" t="str">
        <f t="shared" si="17"/>
        <v/>
      </c>
      <c r="W124" s="128" t="str">
        <f t="shared" si="18"/>
        <v/>
      </c>
      <c r="X124" s="101" t="str">
        <f t="shared" si="19"/>
        <v/>
      </c>
      <c r="Y124" s="101" t="str">
        <f t="shared" si="20"/>
        <v/>
      </c>
      <c r="Z124" s="102" t="str">
        <f t="shared" si="21"/>
        <v/>
      </c>
      <c r="AA124" s="103" t="str">
        <f t="shared" si="22"/>
        <v/>
      </c>
      <c r="AB124" s="142" t="str">
        <f>IF(A124&lt;&gt;"", SUMIFS(node!$J$2:$J$500, node!$C$2:$C$500,"="&amp;A124)/P124, "")</f>
        <v/>
      </c>
      <c r="AC124" s="134" t="str">
        <f>IF(A124&lt;&gt;"", SUMIFS(node!$K$2:$K$500, node!$C$2:$C$500,"="&amp;A124)/P124, "")</f>
        <v/>
      </c>
      <c r="AD124" s="135" t="str">
        <f>IF(A124&lt;&gt;"", SUMIFS(node!$L$2:$L$500, node!$C$2:$C$500,"="&amp;A124), "")</f>
        <v/>
      </c>
      <c r="AE124" s="145" t="str">
        <f>IF(A124&lt;&gt;"", SUMIFS(node!$M$2:$M$500, node!$C$2:$C$500,"="&amp;A124), "")</f>
        <v/>
      </c>
    </row>
    <row r="125" spans="1:31" ht="15.75" customHeight="1" x14ac:dyDescent="0.25">
      <c r="A125" s="119" t="str">
        <f>IF(ISNONTEXT(node_raw[[#This Row],[Column2]]), "", node_raw[[#This Row],[Column2]])</f>
        <v/>
      </c>
      <c r="B125" s="116" t="str">
        <f>IF(A125&lt;&gt;"", VLOOKUP(A125, node!$C$2:$D$500, 2, FALSE), "")</f>
        <v/>
      </c>
      <c r="C125" s="117" t="str">
        <f>IF(A125&lt;&gt;"", VLOOKUP(A125, node!$C$2:$E$500, 3, FALSE), "")</f>
        <v/>
      </c>
      <c r="D125" s="118" t="str">
        <f>IF(A125&lt;&gt;"",COUNTIFS(node!$C$2:$C$500,"="&amp;A125, node!$C$2:$C$500,"&lt;&gt;"&amp;""),"")</f>
        <v/>
      </c>
      <c r="E125" s="122" t="str">
        <f>IF(A125&lt;&gt;"",SUMIFS(node!$F$2:$F$500, node!$C$2:$C$500,"="&amp;A125, node!$C$2:$C$500,"&lt;&gt;"&amp;"")/(B125*D125),"")</f>
        <v/>
      </c>
      <c r="F125" s="124" t="str">
        <f>IF(A125&lt;&gt;"",SUMIFS(node!$H$2:$H$500, node!$C$2:$C$500,"="&amp;A125, node!$C$2:$C$500,"&lt;&gt;"&amp;"")/(C125*D125),"")</f>
        <v/>
      </c>
      <c r="G125" s="93" t="str">
        <f>IF(A125&lt;&gt;"",SUMIFS(deployment!$F$4:$F$502, deployment!$D$4:$D$502,"="&amp;A125, deployment!$D$4:$D$502,"&lt;&gt;"&amp;""),"")</f>
        <v/>
      </c>
      <c r="H125" s="94" t="str">
        <f>IF(A125&lt;&gt;"",SUMIFS(deployment!$G$4:$G$502, deployment!$D$4:$D$502,"="&amp;A125, deployment!$D$4:$D$502,"&lt;&gt;"&amp;""),"")</f>
        <v/>
      </c>
      <c r="I125" s="95" t="str">
        <f>IF(A125&lt;&gt;"",SUMIFS(deployment!$H$4:$H$502, deployment!$D$4:$D$502,"="&amp;A125, deployment!$D$4:$D$502,"&lt;&gt;"&amp;""),"")</f>
        <v/>
      </c>
      <c r="J125" s="96" t="str">
        <f>IF(A125&lt;&gt;"",SUMIFS(deployment!$I$4:$I$502, deployment!$D$4:$D$502,"="&amp;A125, deployment!$D$4:$D$502,"&lt;&gt;"&amp;""),"")</f>
        <v/>
      </c>
      <c r="K125" s="112" t="str">
        <f>IF(A125&lt;&gt;"",SUMIFS(deployment!$J$4:$J$502, deployment!$D$4:$D$502,"="&amp;A125, deployment!$D$4:$D$502,"&lt;&gt;"&amp;""),"")</f>
        <v/>
      </c>
      <c r="L125" s="112" t="str">
        <f>IF(A125&lt;&gt;"",SUMIFS(deployment!$K$4:$K$502, deployment!$D$4:$D$502,"="&amp;A125, deployment!$D$4:$D$502,"&lt;&gt;"&amp;""),"")</f>
        <v/>
      </c>
      <c r="M125" s="97" t="str">
        <f>IF(A125&lt;&gt;"",SUMIFS(deployment!$L$4:$L$502, deployment!$D$4:$D$502,"="&amp;A125, deployment!$D$4:$D$502,"&lt;&gt;"&amp;""),"")</f>
        <v/>
      </c>
      <c r="N125" s="97" t="str">
        <f>IF(A125&lt;&gt;"",SUMIFS(deployment!$M$4:$M$502, deployment!$D$4:$D$502,"="&amp;A125, deployment!$D$4:$D$502,"&lt;&gt;"&amp;""),"")</f>
        <v/>
      </c>
      <c r="O125" s="127" t="str">
        <f t="shared" si="23"/>
        <v/>
      </c>
      <c r="P125" s="104"/>
      <c r="Q125" s="99" t="str">
        <f t="shared" si="12"/>
        <v/>
      </c>
      <c r="R125" s="100" t="str">
        <f t="shared" si="13"/>
        <v/>
      </c>
      <c r="S125" s="100" t="str">
        <f t="shared" si="14"/>
        <v/>
      </c>
      <c r="T125" s="101" t="str">
        <f t="shared" si="15"/>
        <v/>
      </c>
      <c r="U125" s="101" t="str">
        <f t="shared" si="16"/>
        <v/>
      </c>
      <c r="V125" s="128" t="str">
        <f t="shared" si="17"/>
        <v/>
      </c>
      <c r="W125" s="128" t="str">
        <f t="shared" si="18"/>
        <v/>
      </c>
      <c r="X125" s="101" t="str">
        <f t="shared" si="19"/>
        <v/>
      </c>
      <c r="Y125" s="101" t="str">
        <f t="shared" si="20"/>
        <v/>
      </c>
      <c r="Z125" s="102" t="str">
        <f t="shared" si="21"/>
        <v/>
      </c>
      <c r="AA125" s="103" t="str">
        <f t="shared" si="22"/>
        <v/>
      </c>
      <c r="AB125" s="142" t="str">
        <f>IF(A125&lt;&gt;"", SUMIFS(node!$J$2:$J$500, node!$C$2:$C$500,"="&amp;A125)/P125, "")</f>
        <v/>
      </c>
      <c r="AC125" s="134" t="str">
        <f>IF(A125&lt;&gt;"", SUMIFS(node!$K$2:$K$500, node!$C$2:$C$500,"="&amp;A125)/P125, "")</f>
        <v/>
      </c>
      <c r="AD125" s="135" t="str">
        <f>IF(A125&lt;&gt;"", SUMIFS(node!$L$2:$L$500, node!$C$2:$C$500,"="&amp;A125), "")</f>
        <v/>
      </c>
      <c r="AE125" s="145" t="str">
        <f>IF(A125&lt;&gt;"", SUMIFS(node!$M$2:$M$500, node!$C$2:$C$500,"="&amp;A125), "")</f>
        <v/>
      </c>
    </row>
    <row r="126" spans="1:31" ht="15.75" customHeight="1" x14ac:dyDescent="0.25">
      <c r="A126" s="119" t="str">
        <f>IF(ISNONTEXT(node_raw[[#This Row],[Column2]]), "", node_raw[[#This Row],[Column2]])</f>
        <v/>
      </c>
      <c r="B126" s="116" t="str">
        <f>IF(A126&lt;&gt;"", VLOOKUP(A126, node!$C$2:$D$500, 2, FALSE), "")</f>
        <v/>
      </c>
      <c r="C126" s="117" t="str">
        <f>IF(A126&lt;&gt;"", VLOOKUP(A126, node!$C$2:$E$500, 3, FALSE), "")</f>
        <v/>
      </c>
      <c r="D126" s="118" t="str">
        <f>IF(A126&lt;&gt;"",COUNTIFS(node!$C$2:$C$500,"="&amp;A126, node!$C$2:$C$500,"&lt;&gt;"&amp;""),"")</f>
        <v/>
      </c>
      <c r="E126" s="122" t="str">
        <f>IF(A126&lt;&gt;"",SUMIFS(node!$F$2:$F$500, node!$C$2:$C$500,"="&amp;A126, node!$C$2:$C$500,"&lt;&gt;"&amp;"")/(B126*D126),"")</f>
        <v/>
      </c>
      <c r="F126" s="124" t="str">
        <f>IF(A126&lt;&gt;"",SUMIFS(node!$H$2:$H$500, node!$C$2:$C$500,"="&amp;A126, node!$C$2:$C$500,"&lt;&gt;"&amp;"")/(C126*D126),"")</f>
        <v/>
      </c>
      <c r="G126" s="93" t="str">
        <f>IF(A126&lt;&gt;"",SUMIFS(deployment!$F$4:$F$502, deployment!$D$4:$D$502,"="&amp;A126, deployment!$D$4:$D$502,"&lt;&gt;"&amp;""),"")</f>
        <v/>
      </c>
      <c r="H126" s="94" t="str">
        <f>IF(A126&lt;&gt;"",SUMIFS(deployment!$G$4:$G$502, deployment!$D$4:$D$502,"="&amp;A126, deployment!$D$4:$D$502,"&lt;&gt;"&amp;""),"")</f>
        <v/>
      </c>
      <c r="I126" s="95" t="str">
        <f>IF(A126&lt;&gt;"",SUMIFS(deployment!$H$4:$H$502, deployment!$D$4:$D$502,"="&amp;A126, deployment!$D$4:$D$502,"&lt;&gt;"&amp;""),"")</f>
        <v/>
      </c>
      <c r="J126" s="96" t="str">
        <f>IF(A126&lt;&gt;"",SUMIFS(deployment!$I$4:$I$502, deployment!$D$4:$D$502,"="&amp;A126, deployment!$D$4:$D$502,"&lt;&gt;"&amp;""),"")</f>
        <v/>
      </c>
      <c r="K126" s="112" t="str">
        <f>IF(A126&lt;&gt;"",SUMIFS(deployment!$J$4:$J$502, deployment!$D$4:$D$502,"="&amp;A126, deployment!$D$4:$D$502,"&lt;&gt;"&amp;""),"")</f>
        <v/>
      </c>
      <c r="L126" s="112" t="str">
        <f>IF(A126&lt;&gt;"",SUMIFS(deployment!$K$4:$K$502, deployment!$D$4:$D$502,"="&amp;A126, deployment!$D$4:$D$502,"&lt;&gt;"&amp;""),"")</f>
        <v/>
      </c>
      <c r="M126" s="97" t="str">
        <f>IF(A126&lt;&gt;"",SUMIFS(deployment!$L$4:$L$502, deployment!$D$4:$D$502,"="&amp;A126, deployment!$D$4:$D$502,"&lt;&gt;"&amp;""),"")</f>
        <v/>
      </c>
      <c r="N126" s="97" t="str">
        <f>IF(A126&lt;&gt;"",SUMIFS(deployment!$M$4:$M$502, deployment!$D$4:$D$502,"="&amp;A126, deployment!$D$4:$D$502,"&lt;&gt;"&amp;""),"")</f>
        <v/>
      </c>
      <c r="O126" s="127" t="str">
        <f t="shared" si="23"/>
        <v/>
      </c>
      <c r="P126" s="104"/>
      <c r="Q126" s="99" t="str">
        <f t="shared" si="12"/>
        <v/>
      </c>
      <c r="R126" s="100" t="str">
        <f t="shared" si="13"/>
        <v/>
      </c>
      <c r="S126" s="100" t="str">
        <f t="shared" si="14"/>
        <v/>
      </c>
      <c r="T126" s="101" t="str">
        <f t="shared" si="15"/>
        <v/>
      </c>
      <c r="U126" s="101" t="str">
        <f t="shared" si="16"/>
        <v/>
      </c>
      <c r="V126" s="128" t="str">
        <f t="shared" si="17"/>
        <v/>
      </c>
      <c r="W126" s="128" t="str">
        <f t="shared" si="18"/>
        <v/>
      </c>
      <c r="X126" s="101" t="str">
        <f t="shared" si="19"/>
        <v/>
      </c>
      <c r="Y126" s="101" t="str">
        <f t="shared" si="20"/>
        <v/>
      </c>
      <c r="Z126" s="102" t="str">
        <f t="shared" si="21"/>
        <v/>
      </c>
      <c r="AA126" s="103" t="str">
        <f t="shared" si="22"/>
        <v/>
      </c>
      <c r="AB126" s="142" t="str">
        <f>IF(A126&lt;&gt;"", SUMIFS(node!$J$2:$J$500, node!$C$2:$C$500,"="&amp;A126)/P126, "")</f>
        <v/>
      </c>
      <c r="AC126" s="134" t="str">
        <f>IF(A126&lt;&gt;"", SUMIFS(node!$K$2:$K$500, node!$C$2:$C$500,"="&amp;A126)/P126, "")</f>
        <v/>
      </c>
      <c r="AD126" s="135" t="str">
        <f>IF(A126&lt;&gt;"", SUMIFS(node!$L$2:$L$500, node!$C$2:$C$500,"="&amp;A126), "")</f>
        <v/>
      </c>
      <c r="AE126" s="145" t="str">
        <f>IF(A126&lt;&gt;"", SUMIFS(node!$M$2:$M$500, node!$C$2:$C$500,"="&amp;A126), "")</f>
        <v/>
      </c>
    </row>
    <row r="127" spans="1:31" ht="15.75" customHeight="1" x14ac:dyDescent="0.25">
      <c r="A127" s="119" t="str">
        <f>IF(ISNONTEXT(node_raw[[#This Row],[Column2]]), "", node_raw[[#This Row],[Column2]])</f>
        <v/>
      </c>
      <c r="B127" s="116" t="str">
        <f>IF(A127&lt;&gt;"", VLOOKUP(A127, node!$C$2:$D$500, 2, FALSE), "")</f>
        <v/>
      </c>
      <c r="C127" s="117" t="str">
        <f>IF(A127&lt;&gt;"", VLOOKUP(A127, node!$C$2:$E$500, 3, FALSE), "")</f>
        <v/>
      </c>
      <c r="D127" s="118" t="str">
        <f>IF(A127&lt;&gt;"",COUNTIFS(node!$C$2:$C$500,"="&amp;A127, node!$C$2:$C$500,"&lt;&gt;"&amp;""),"")</f>
        <v/>
      </c>
      <c r="E127" s="122" t="str">
        <f>IF(A127&lt;&gt;"",SUMIFS(node!$F$2:$F$500, node!$C$2:$C$500,"="&amp;A127, node!$C$2:$C$500,"&lt;&gt;"&amp;"")/(B127*D127),"")</f>
        <v/>
      </c>
      <c r="F127" s="124" t="str">
        <f>IF(A127&lt;&gt;"",SUMIFS(node!$H$2:$H$500, node!$C$2:$C$500,"="&amp;A127, node!$C$2:$C$500,"&lt;&gt;"&amp;"")/(C127*D127),"")</f>
        <v/>
      </c>
      <c r="G127" s="93" t="str">
        <f>IF(A127&lt;&gt;"",SUMIFS(deployment!$F$4:$F$502, deployment!$D$4:$D$502,"="&amp;A127, deployment!$D$4:$D$502,"&lt;&gt;"&amp;""),"")</f>
        <v/>
      </c>
      <c r="H127" s="94" t="str">
        <f>IF(A127&lt;&gt;"",SUMIFS(deployment!$G$4:$G$502, deployment!$D$4:$D$502,"="&amp;A127, deployment!$D$4:$D$502,"&lt;&gt;"&amp;""),"")</f>
        <v/>
      </c>
      <c r="I127" s="95" t="str">
        <f>IF(A127&lt;&gt;"",SUMIFS(deployment!$H$4:$H$502, deployment!$D$4:$D$502,"="&amp;A127, deployment!$D$4:$D$502,"&lt;&gt;"&amp;""),"")</f>
        <v/>
      </c>
      <c r="J127" s="96" t="str">
        <f>IF(A127&lt;&gt;"",SUMIFS(deployment!$I$4:$I$502, deployment!$D$4:$D$502,"="&amp;A127, deployment!$D$4:$D$502,"&lt;&gt;"&amp;""),"")</f>
        <v/>
      </c>
      <c r="K127" s="112" t="str">
        <f>IF(A127&lt;&gt;"",SUMIFS(deployment!$J$4:$J$502, deployment!$D$4:$D$502,"="&amp;A127, deployment!$D$4:$D$502,"&lt;&gt;"&amp;""),"")</f>
        <v/>
      </c>
      <c r="L127" s="112" t="str">
        <f>IF(A127&lt;&gt;"",SUMIFS(deployment!$K$4:$K$502, deployment!$D$4:$D$502,"="&amp;A127, deployment!$D$4:$D$502,"&lt;&gt;"&amp;""),"")</f>
        <v/>
      </c>
      <c r="M127" s="97" t="str">
        <f>IF(A127&lt;&gt;"",SUMIFS(deployment!$L$4:$L$502, deployment!$D$4:$D$502,"="&amp;A127, deployment!$D$4:$D$502,"&lt;&gt;"&amp;""),"")</f>
        <v/>
      </c>
      <c r="N127" s="97" t="str">
        <f>IF(A127&lt;&gt;"",SUMIFS(deployment!$M$4:$M$502, deployment!$D$4:$D$502,"="&amp;A127, deployment!$D$4:$D$502,"&lt;&gt;"&amp;""),"")</f>
        <v/>
      </c>
      <c r="O127" s="127" t="str">
        <f t="shared" si="23"/>
        <v/>
      </c>
      <c r="P127" s="104"/>
      <c r="Q127" s="99" t="str">
        <f t="shared" si="12"/>
        <v/>
      </c>
      <c r="R127" s="100" t="str">
        <f t="shared" si="13"/>
        <v/>
      </c>
      <c r="S127" s="100" t="str">
        <f t="shared" si="14"/>
        <v/>
      </c>
      <c r="T127" s="101" t="str">
        <f t="shared" si="15"/>
        <v/>
      </c>
      <c r="U127" s="101" t="str">
        <f t="shared" si="16"/>
        <v/>
      </c>
      <c r="V127" s="128" t="str">
        <f t="shared" si="17"/>
        <v/>
      </c>
      <c r="W127" s="128" t="str">
        <f t="shared" si="18"/>
        <v/>
      </c>
      <c r="X127" s="101" t="str">
        <f t="shared" si="19"/>
        <v/>
      </c>
      <c r="Y127" s="101" t="str">
        <f t="shared" si="20"/>
        <v/>
      </c>
      <c r="Z127" s="102" t="str">
        <f t="shared" si="21"/>
        <v/>
      </c>
      <c r="AA127" s="103" t="str">
        <f t="shared" si="22"/>
        <v/>
      </c>
      <c r="AB127" s="142" t="str">
        <f>IF(A127&lt;&gt;"", SUMIFS(node!$J$2:$J$500, node!$C$2:$C$500,"="&amp;A127)/P127, "")</f>
        <v/>
      </c>
      <c r="AC127" s="134" t="str">
        <f>IF(A127&lt;&gt;"", SUMIFS(node!$K$2:$K$500, node!$C$2:$C$500,"="&amp;A127)/P127, "")</f>
        <v/>
      </c>
      <c r="AD127" s="135" t="str">
        <f>IF(A127&lt;&gt;"", SUMIFS(node!$L$2:$L$500, node!$C$2:$C$500,"="&amp;A127), "")</f>
        <v/>
      </c>
      <c r="AE127" s="145" t="str">
        <f>IF(A127&lt;&gt;"", SUMIFS(node!$M$2:$M$500, node!$C$2:$C$500,"="&amp;A127), "")</f>
        <v/>
      </c>
    </row>
    <row r="128" spans="1:31" ht="15.75" customHeight="1" x14ac:dyDescent="0.25">
      <c r="A128" s="119" t="str">
        <f>IF(ISNONTEXT(node_raw[[#This Row],[Column2]]), "", node_raw[[#This Row],[Column2]])</f>
        <v/>
      </c>
      <c r="B128" s="116" t="str">
        <f>IF(A128&lt;&gt;"", VLOOKUP(A128, node!$C$2:$D$500, 2, FALSE), "")</f>
        <v/>
      </c>
      <c r="C128" s="117" t="str">
        <f>IF(A128&lt;&gt;"", VLOOKUP(A128, node!$C$2:$E$500, 3, FALSE), "")</f>
        <v/>
      </c>
      <c r="D128" s="118" t="str">
        <f>IF(A128&lt;&gt;"",COUNTIFS(node!$C$2:$C$500,"="&amp;A128, node!$C$2:$C$500,"&lt;&gt;"&amp;""),"")</f>
        <v/>
      </c>
      <c r="E128" s="122" t="str">
        <f>IF(A128&lt;&gt;"",SUMIFS(node!$F$2:$F$500, node!$C$2:$C$500,"="&amp;A128, node!$C$2:$C$500,"&lt;&gt;"&amp;"")/(B128*D128),"")</f>
        <v/>
      </c>
      <c r="F128" s="124" t="str">
        <f>IF(A128&lt;&gt;"",SUMIFS(node!$H$2:$H$500, node!$C$2:$C$500,"="&amp;A128, node!$C$2:$C$500,"&lt;&gt;"&amp;"")/(C128*D128),"")</f>
        <v/>
      </c>
      <c r="G128" s="93" t="str">
        <f>IF(A128&lt;&gt;"",SUMIFS(deployment!$F$4:$F$502, deployment!$D$4:$D$502,"="&amp;A128, deployment!$D$4:$D$502,"&lt;&gt;"&amp;""),"")</f>
        <v/>
      </c>
      <c r="H128" s="94" t="str">
        <f>IF(A128&lt;&gt;"",SUMIFS(deployment!$G$4:$G$502, deployment!$D$4:$D$502,"="&amp;A128, deployment!$D$4:$D$502,"&lt;&gt;"&amp;""),"")</f>
        <v/>
      </c>
      <c r="I128" s="95" t="str">
        <f>IF(A128&lt;&gt;"",SUMIFS(deployment!$H$4:$H$502, deployment!$D$4:$D$502,"="&amp;A128, deployment!$D$4:$D$502,"&lt;&gt;"&amp;""),"")</f>
        <v/>
      </c>
      <c r="J128" s="96" t="str">
        <f>IF(A128&lt;&gt;"",SUMIFS(deployment!$I$4:$I$502, deployment!$D$4:$D$502,"="&amp;A128, deployment!$D$4:$D$502,"&lt;&gt;"&amp;""),"")</f>
        <v/>
      </c>
      <c r="K128" s="112" t="str">
        <f>IF(A128&lt;&gt;"",SUMIFS(deployment!$J$4:$J$502, deployment!$D$4:$D$502,"="&amp;A128, deployment!$D$4:$D$502,"&lt;&gt;"&amp;""),"")</f>
        <v/>
      </c>
      <c r="L128" s="112" t="str">
        <f>IF(A128&lt;&gt;"",SUMIFS(deployment!$K$4:$K$502, deployment!$D$4:$D$502,"="&amp;A128, deployment!$D$4:$D$502,"&lt;&gt;"&amp;""),"")</f>
        <v/>
      </c>
      <c r="M128" s="97" t="str">
        <f>IF(A128&lt;&gt;"",SUMIFS(deployment!$L$4:$L$502, deployment!$D$4:$D$502,"="&amp;A128, deployment!$D$4:$D$502,"&lt;&gt;"&amp;""),"")</f>
        <v/>
      </c>
      <c r="N128" s="97" t="str">
        <f>IF(A128&lt;&gt;"",SUMIFS(deployment!$M$4:$M$502, deployment!$D$4:$D$502,"="&amp;A128, deployment!$D$4:$D$502,"&lt;&gt;"&amp;""),"")</f>
        <v/>
      </c>
      <c r="O128" s="127" t="str">
        <f t="shared" si="23"/>
        <v/>
      </c>
      <c r="P128" s="104"/>
      <c r="Q128" s="99" t="str">
        <f t="shared" si="12"/>
        <v/>
      </c>
      <c r="R128" s="100" t="str">
        <f t="shared" si="13"/>
        <v/>
      </c>
      <c r="S128" s="100" t="str">
        <f t="shared" si="14"/>
        <v/>
      </c>
      <c r="T128" s="101" t="str">
        <f t="shared" si="15"/>
        <v/>
      </c>
      <c r="U128" s="101" t="str">
        <f t="shared" si="16"/>
        <v/>
      </c>
      <c r="V128" s="128" t="str">
        <f t="shared" si="17"/>
        <v/>
      </c>
      <c r="W128" s="128" t="str">
        <f t="shared" si="18"/>
        <v/>
      </c>
      <c r="X128" s="101" t="str">
        <f t="shared" si="19"/>
        <v/>
      </c>
      <c r="Y128" s="101" t="str">
        <f t="shared" si="20"/>
        <v/>
      </c>
      <c r="Z128" s="102" t="str">
        <f t="shared" si="21"/>
        <v/>
      </c>
      <c r="AA128" s="103" t="str">
        <f t="shared" si="22"/>
        <v/>
      </c>
      <c r="AB128" s="142" t="str">
        <f>IF(A128&lt;&gt;"", SUMIFS(node!$J$2:$J$500, node!$C$2:$C$500,"="&amp;A128)/P128, "")</f>
        <v/>
      </c>
      <c r="AC128" s="134" t="str">
        <f>IF(A128&lt;&gt;"", SUMIFS(node!$K$2:$K$500, node!$C$2:$C$500,"="&amp;A128)/P128, "")</f>
        <v/>
      </c>
      <c r="AD128" s="135" t="str">
        <f>IF(A128&lt;&gt;"", SUMIFS(node!$L$2:$L$500, node!$C$2:$C$500,"="&amp;A128), "")</f>
        <v/>
      </c>
      <c r="AE128" s="145" t="str">
        <f>IF(A128&lt;&gt;"", SUMIFS(node!$M$2:$M$500, node!$C$2:$C$500,"="&amp;A128), "")</f>
        <v/>
      </c>
    </row>
    <row r="129" spans="1:31" ht="15.75" customHeight="1" x14ac:dyDescent="0.25">
      <c r="A129" s="119" t="str">
        <f>IF(ISNONTEXT(node_raw[[#This Row],[Column2]]), "", node_raw[[#This Row],[Column2]])</f>
        <v/>
      </c>
      <c r="B129" s="116" t="str">
        <f>IF(A129&lt;&gt;"", VLOOKUP(A129, node!$C$2:$D$500, 2, FALSE), "")</f>
        <v/>
      </c>
      <c r="C129" s="117" t="str">
        <f>IF(A129&lt;&gt;"", VLOOKUP(A129, node!$C$2:$E$500, 3, FALSE), "")</f>
        <v/>
      </c>
      <c r="D129" s="118" t="str">
        <f>IF(A129&lt;&gt;"",COUNTIFS(node!$C$2:$C$500,"="&amp;A129, node!$C$2:$C$500,"&lt;&gt;"&amp;""),"")</f>
        <v/>
      </c>
      <c r="E129" s="122" t="str">
        <f>IF(A129&lt;&gt;"",SUMIFS(node!$F$2:$F$500, node!$C$2:$C$500,"="&amp;A129, node!$C$2:$C$500,"&lt;&gt;"&amp;"")/(B129*D129),"")</f>
        <v/>
      </c>
      <c r="F129" s="124" t="str">
        <f>IF(A129&lt;&gt;"",SUMIFS(node!$H$2:$H$500, node!$C$2:$C$500,"="&amp;A129, node!$C$2:$C$500,"&lt;&gt;"&amp;"")/(C129*D129),"")</f>
        <v/>
      </c>
      <c r="G129" s="93" t="str">
        <f>IF(A129&lt;&gt;"",SUMIFS(deployment!$F$4:$F$502, deployment!$D$4:$D$502,"="&amp;A129, deployment!$D$4:$D$502,"&lt;&gt;"&amp;""),"")</f>
        <v/>
      </c>
      <c r="H129" s="94" t="str">
        <f>IF(A129&lt;&gt;"",SUMIFS(deployment!$G$4:$G$502, deployment!$D$4:$D$502,"="&amp;A129, deployment!$D$4:$D$502,"&lt;&gt;"&amp;""),"")</f>
        <v/>
      </c>
      <c r="I129" s="95" t="str">
        <f>IF(A129&lt;&gt;"",SUMIFS(deployment!$H$4:$H$502, deployment!$D$4:$D$502,"="&amp;A129, deployment!$D$4:$D$502,"&lt;&gt;"&amp;""),"")</f>
        <v/>
      </c>
      <c r="J129" s="96" t="str">
        <f>IF(A129&lt;&gt;"",SUMIFS(deployment!$I$4:$I$502, deployment!$D$4:$D$502,"="&amp;A129, deployment!$D$4:$D$502,"&lt;&gt;"&amp;""),"")</f>
        <v/>
      </c>
      <c r="K129" s="112" t="str">
        <f>IF(A129&lt;&gt;"",SUMIFS(deployment!$J$4:$J$502, deployment!$D$4:$D$502,"="&amp;A129, deployment!$D$4:$D$502,"&lt;&gt;"&amp;""),"")</f>
        <v/>
      </c>
      <c r="L129" s="112" t="str">
        <f>IF(A129&lt;&gt;"",SUMIFS(deployment!$K$4:$K$502, deployment!$D$4:$D$502,"="&amp;A129, deployment!$D$4:$D$502,"&lt;&gt;"&amp;""),"")</f>
        <v/>
      </c>
      <c r="M129" s="97" t="str">
        <f>IF(A129&lt;&gt;"",SUMIFS(deployment!$L$4:$L$502, deployment!$D$4:$D$502,"="&amp;A129, deployment!$D$4:$D$502,"&lt;&gt;"&amp;""),"")</f>
        <v/>
      </c>
      <c r="N129" s="97" t="str">
        <f>IF(A129&lt;&gt;"",SUMIFS(deployment!$M$4:$M$502, deployment!$D$4:$D$502,"="&amp;A129, deployment!$D$4:$D$502,"&lt;&gt;"&amp;""),"")</f>
        <v/>
      </c>
      <c r="O129" s="127" t="str">
        <f t="shared" si="23"/>
        <v/>
      </c>
      <c r="P129" s="104"/>
      <c r="Q129" s="99" t="str">
        <f t="shared" si="12"/>
        <v/>
      </c>
      <c r="R129" s="100" t="str">
        <f t="shared" si="13"/>
        <v/>
      </c>
      <c r="S129" s="100" t="str">
        <f t="shared" si="14"/>
        <v/>
      </c>
      <c r="T129" s="101" t="str">
        <f t="shared" si="15"/>
        <v/>
      </c>
      <c r="U129" s="101" t="str">
        <f t="shared" si="16"/>
        <v/>
      </c>
      <c r="V129" s="128" t="str">
        <f t="shared" si="17"/>
        <v/>
      </c>
      <c r="W129" s="128" t="str">
        <f t="shared" si="18"/>
        <v/>
      </c>
      <c r="X129" s="101" t="str">
        <f t="shared" si="19"/>
        <v/>
      </c>
      <c r="Y129" s="101" t="str">
        <f t="shared" si="20"/>
        <v/>
      </c>
      <c r="Z129" s="102" t="str">
        <f t="shared" si="21"/>
        <v/>
      </c>
      <c r="AA129" s="103" t="str">
        <f t="shared" si="22"/>
        <v/>
      </c>
      <c r="AB129" s="142" t="str">
        <f>IF(A129&lt;&gt;"", SUMIFS(node!$J$2:$J$500, node!$C$2:$C$500,"="&amp;A129)/P129, "")</f>
        <v/>
      </c>
      <c r="AC129" s="134" t="str">
        <f>IF(A129&lt;&gt;"", SUMIFS(node!$K$2:$K$500, node!$C$2:$C$500,"="&amp;A129)/P129, "")</f>
        <v/>
      </c>
      <c r="AD129" s="135" t="str">
        <f>IF(A129&lt;&gt;"", SUMIFS(node!$L$2:$L$500, node!$C$2:$C$500,"="&amp;A129), "")</f>
        <v/>
      </c>
      <c r="AE129" s="145" t="str">
        <f>IF(A129&lt;&gt;"", SUMIFS(node!$M$2:$M$500, node!$C$2:$C$500,"="&amp;A129), "")</f>
        <v/>
      </c>
    </row>
    <row r="130" spans="1:31" ht="15.75" customHeight="1" x14ac:dyDescent="0.25">
      <c r="A130" s="119" t="str">
        <f>IF(ISNONTEXT(node_raw[[#This Row],[Column2]]), "", node_raw[[#This Row],[Column2]])</f>
        <v/>
      </c>
      <c r="B130" s="116" t="str">
        <f>IF(A130&lt;&gt;"", VLOOKUP(A130, node!$C$2:$D$500, 2, FALSE), "")</f>
        <v/>
      </c>
      <c r="C130" s="117" t="str">
        <f>IF(A130&lt;&gt;"", VLOOKUP(A130, node!$C$2:$E$500, 3, FALSE), "")</f>
        <v/>
      </c>
      <c r="D130" s="118" t="str">
        <f>IF(A130&lt;&gt;"",COUNTIFS(node!$C$2:$C$500,"="&amp;A130, node!$C$2:$C$500,"&lt;&gt;"&amp;""),"")</f>
        <v/>
      </c>
      <c r="E130" s="122" t="str">
        <f>IF(A130&lt;&gt;"",SUMIFS(node!$F$2:$F$500, node!$C$2:$C$500,"="&amp;A130, node!$C$2:$C$500,"&lt;&gt;"&amp;"")/(B130*D130),"")</f>
        <v/>
      </c>
      <c r="F130" s="124" t="str">
        <f>IF(A130&lt;&gt;"",SUMIFS(node!$H$2:$H$500, node!$C$2:$C$500,"="&amp;A130, node!$C$2:$C$500,"&lt;&gt;"&amp;"")/(C130*D130),"")</f>
        <v/>
      </c>
      <c r="G130" s="93" t="str">
        <f>IF(A130&lt;&gt;"",SUMIFS(deployment!$F$4:$F$502, deployment!$D$4:$D$502,"="&amp;A130, deployment!$D$4:$D$502,"&lt;&gt;"&amp;""),"")</f>
        <v/>
      </c>
      <c r="H130" s="94" t="str">
        <f>IF(A130&lt;&gt;"",SUMIFS(deployment!$G$4:$G$502, deployment!$D$4:$D$502,"="&amp;A130, deployment!$D$4:$D$502,"&lt;&gt;"&amp;""),"")</f>
        <v/>
      </c>
      <c r="I130" s="95" t="str">
        <f>IF(A130&lt;&gt;"",SUMIFS(deployment!$H$4:$H$502, deployment!$D$4:$D$502,"="&amp;A130, deployment!$D$4:$D$502,"&lt;&gt;"&amp;""),"")</f>
        <v/>
      </c>
      <c r="J130" s="96" t="str">
        <f>IF(A130&lt;&gt;"",SUMIFS(deployment!$I$4:$I$502, deployment!$D$4:$D$502,"="&amp;A130, deployment!$D$4:$D$502,"&lt;&gt;"&amp;""),"")</f>
        <v/>
      </c>
      <c r="K130" s="112" t="str">
        <f>IF(A130&lt;&gt;"",SUMIFS(deployment!$J$4:$J$502, deployment!$D$4:$D$502,"="&amp;A130, deployment!$D$4:$D$502,"&lt;&gt;"&amp;""),"")</f>
        <v/>
      </c>
      <c r="L130" s="112" t="str">
        <f>IF(A130&lt;&gt;"",SUMIFS(deployment!$K$4:$K$502, deployment!$D$4:$D$502,"="&amp;A130, deployment!$D$4:$D$502,"&lt;&gt;"&amp;""),"")</f>
        <v/>
      </c>
      <c r="M130" s="97" t="str">
        <f>IF(A130&lt;&gt;"",SUMIFS(deployment!$L$4:$L$502, deployment!$D$4:$D$502,"="&amp;A130, deployment!$D$4:$D$502,"&lt;&gt;"&amp;""),"")</f>
        <v/>
      </c>
      <c r="N130" s="97" t="str">
        <f>IF(A130&lt;&gt;"",SUMIFS(deployment!$M$4:$M$502, deployment!$D$4:$D$502,"="&amp;A130, deployment!$D$4:$D$502,"&lt;&gt;"&amp;""),"")</f>
        <v/>
      </c>
      <c r="O130" s="127" t="str">
        <f t="shared" si="23"/>
        <v/>
      </c>
      <c r="P130" s="104"/>
      <c r="Q130" s="99" t="str">
        <f t="shared" si="12"/>
        <v/>
      </c>
      <c r="R130" s="100" t="str">
        <f t="shared" si="13"/>
        <v/>
      </c>
      <c r="S130" s="100" t="str">
        <f t="shared" si="14"/>
        <v/>
      </c>
      <c r="T130" s="101" t="str">
        <f t="shared" si="15"/>
        <v/>
      </c>
      <c r="U130" s="101" t="str">
        <f t="shared" si="16"/>
        <v/>
      </c>
      <c r="V130" s="128" t="str">
        <f t="shared" si="17"/>
        <v/>
      </c>
      <c r="W130" s="128" t="str">
        <f t="shared" si="18"/>
        <v/>
      </c>
      <c r="X130" s="101" t="str">
        <f t="shared" si="19"/>
        <v/>
      </c>
      <c r="Y130" s="101" t="str">
        <f t="shared" si="20"/>
        <v/>
      </c>
      <c r="Z130" s="102" t="str">
        <f t="shared" si="21"/>
        <v/>
      </c>
      <c r="AA130" s="103" t="str">
        <f t="shared" si="22"/>
        <v/>
      </c>
      <c r="AB130" s="142" t="str">
        <f>IF(A130&lt;&gt;"", SUMIFS(node!$J$2:$J$500, node!$C$2:$C$500,"="&amp;A130)/P130, "")</f>
        <v/>
      </c>
      <c r="AC130" s="134" t="str">
        <f>IF(A130&lt;&gt;"", SUMIFS(node!$K$2:$K$500, node!$C$2:$C$500,"="&amp;A130)/P130, "")</f>
        <v/>
      </c>
      <c r="AD130" s="135" t="str">
        <f>IF(A130&lt;&gt;"", SUMIFS(node!$L$2:$L$500, node!$C$2:$C$500,"="&amp;A130), "")</f>
        <v/>
      </c>
      <c r="AE130" s="145" t="str">
        <f>IF(A130&lt;&gt;"", SUMIFS(node!$M$2:$M$500, node!$C$2:$C$500,"="&amp;A130), "")</f>
        <v/>
      </c>
    </row>
    <row r="131" spans="1:31" ht="15.75" customHeight="1" x14ac:dyDescent="0.25">
      <c r="A131" s="119" t="str">
        <f>IF(ISNONTEXT(node_raw[[#This Row],[Column2]]), "", node_raw[[#This Row],[Column2]])</f>
        <v/>
      </c>
      <c r="B131" s="116" t="str">
        <f>IF(A131&lt;&gt;"", VLOOKUP(A131, node!$C$2:$D$500, 2, FALSE), "")</f>
        <v/>
      </c>
      <c r="C131" s="117" t="str">
        <f>IF(A131&lt;&gt;"", VLOOKUP(A131, node!$C$2:$E$500, 3, FALSE), "")</f>
        <v/>
      </c>
      <c r="D131" s="118" t="str">
        <f>IF(A131&lt;&gt;"",COUNTIFS(node!$C$2:$C$500,"="&amp;A131, node!$C$2:$C$500,"&lt;&gt;"&amp;""),"")</f>
        <v/>
      </c>
      <c r="E131" s="122" t="str">
        <f>IF(A131&lt;&gt;"",SUMIFS(node!$F$2:$F$500, node!$C$2:$C$500,"="&amp;A131, node!$C$2:$C$500,"&lt;&gt;"&amp;"")/(B131*D131),"")</f>
        <v/>
      </c>
      <c r="F131" s="124" t="str">
        <f>IF(A131&lt;&gt;"",SUMIFS(node!$H$2:$H$500, node!$C$2:$C$500,"="&amp;A131, node!$C$2:$C$500,"&lt;&gt;"&amp;"")/(C131*D131),"")</f>
        <v/>
      </c>
      <c r="G131" s="93" t="str">
        <f>IF(A131&lt;&gt;"",SUMIFS(deployment!$F$4:$F$502, deployment!$D$4:$D$502,"="&amp;A131, deployment!$D$4:$D$502,"&lt;&gt;"&amp;""),"")</f>
        <v/>
      </c>
      <c r="H131" s="94" t="str">
        <f>IF(A131&lt;&gt;"",SUMIFS(deployment!$G$4:$G$502, deployment!$D$4:$D$502,"="&amp;A131, deployment!$D$4:$D$502,"&lt;&gt;"&amp;""),"")</f>
        <v/>
      </c>
      <c r="I131" s="95" t="str">
        <f>IF(A131&lt;&gt;"",SUMIFS(deployment!$H$4:$H$502, deployment!$D$4:$D$502,"="&amp;A131, deployment!$D$4:$D$502,"&lt;&gt;"&amp;""),"")</f>
        <v/>
      </c>
      <c r="J131" s="96" t="str">
        <f>IF(A131&lt;&gt;"",SUMIFS(deployment!$I$4:$I$502, deployment!$D$4:$D$502,"="&amp;A131, deployment!$D$4:$D$502,"&lt;&gt;"&amp;""),"")</f>
        <v/>
      </c>
      <c r="K131" s="112" t="str">
        <f>IF(A131&lt;&gt;"",SUMIFS(deployment!$J$4:$J$502, deployment!$D$4:$D$502,"="&amp;A131, deployment!$D$4:$D$502,"&lt;&gt;"&amp;""),"")</f>
        <v/>
      </c>
      <c r="L131" s="112" t="str">
        <f>IF(A131&lt;&gt;"",SUMIFS(deployment!$K$4:$K$502, deployment!$D$4:$D$502,"="&amp;A131, deployment!$D$4:$D$502,"&lt;&gt;"&amp;""),"")</f>
        <v/>
      </c>
      <c r="M131" s="97" t="str">
        <f>IF(A131&lt;&gt;"",SUMIFS(deployment!$L$4:$L$502, deployment!$D$4:$D$502,"="&amp;A131, deployment!$D$4:$D$502,"&lt;&gt;"&amp;""),"")</f>
        <v/>
      </c>
      <c r="N131" s="97" t="str">
        <f>IF(A131&lt;&gt;"",SUMIFS(deployment!$M$4:$M$502, deployment!$D$4:$D$502,"="&amp;A131, deployment!$D$4:$D$502,"&lt;&gt;"&amp;""),"")</f>
        <v/>
      </c>
      <c r="O131" s="127" t="str">
        <f t="shared" si="23"/>
        <v/>
      </c>
      <c r="P131" s="104"/>
      <c r="Q131" s="99" t="str">
        <f t="shared" si="12"/>
        <v/>
      </c>
      <c r="R131" s="100" t="str">
        <f t="shared" si="13"/>
        <v/>
      </c>
      <c r="S131" s="100" t="str">
        <f t="shared" si="14"/>
        <v/>
      </c>
      <c r="T131" s="101" t="str">
        <f t="shared" si="15"/>
        <v/>
      </c>
      <c r="U131" s="101" t="str">
        <f t="shared" si="16"/>
        <v/>
      </c>
      <c r="V131" s="128" t="str">
        <f t="shared" si="17"/>
        <v/>
      </c>
      <c r="W131" s="128" t="str">
        <f t="shared" si="18"/>
        <v/>
      </c>
      <c r="X131" s="101" t="str">
        <f t="shared" si="19"/>
        <v/>
      </c>
      <c r="Y131" s="101" t="str">
        <f t="shared" si="20"/>
        <v/>
      </c>
      <c r="Z131" s="102" t="str">
        <f t="shared" si="21"/>
        <v/>
      </c>
      <c r="AA131" s="103" t="str">
        <f t="shared" si="22"/>
        <v/>
      </c>
      <c r="AB131" s="142" t="str">
        <f>IF(A131&lt;&gt;"", SUMIFS(node!$J$2:$J$500, node!$C$2:$C$500,"="&amp;A131)/P131, "")</f>
        <v/>
      </c>
      <c r="AC131" s="134" t="str">
        <f>IF(A131&lt;&gt;"", SUMIFS(node!$K$2:$K$500, node!$C$2:$C$500,"="&amp;A131)/P131, "")</f>
        <v/>
      </c>
      <c r="AD131" s="135" t="str">
        <f>IF(A131&lt;&gt;"", SUMIFS(node!$L$2:$L$500, node!$C$2:$C$500,"="&amp;A131), "")</f>
        <v/>
      </c>
      <c r="AE131" s="145" t="str">
        <f>IF(A131&lt;&gt;"", SUMIFS(node!$M$2:$M$500, node!$C$2:$C$500,"="&amp;A131), "")</f>
        <v/>
      </c>
    </row>
    <row r="132" spans="1:31" ht="15.75" customHeight="1" x14ac:dyDescent="0.25">
      <c r="A132" s="119" t="str">
        <f>IF(ISNONTEXT(node_raw[[#This Row],[Column2]]), "", node_raw[[#This Row],[Column2]])</f>
        <v/>
      </c>
      <c r="B132" s="116" t="str">
        <f>IF(A132&lt;&gt;"", VLOOKUP(A132, node!$C$2:$D$500, 2, FALSE), "")</f>
        <v/>
      </c>
      <c r="C132" s="117" t="str">
        <f>IF(A132&lt;&gt;"", VLOOKUP(A132, node!$C$2:$E$500, 3, FALSE), "")</f>
        <v/>
      </c>
      <c r="D132" s="118" t="str">
        <f>IF(A132&lt;&gt;"",COUNTIFS(node!$C$2:$C$500,"="&amp;A132, node!$C$2:$C$500,"&lt;&gt;"&amp;""),"")</f>
        <v/>
      </c>
      <c r="E132" s="122" t="str">
        <f>IF(A132&lt;&gt;"",SUMIFS(node!$F$2:$F$500, node!$C$2:$C$500,"="&amp;A132, node!$C$2:$C$500,"&lt;&gt;"&amp;"")/(B132*D132),"")</f>
        <v/>
      </c>
      <c r="F132" s="124" t="str">
        <f>IF(A132&lt;&gt;"",SUMIFS(node!$H$2:$H$500, node!$C$2:$C$500,"="&amp;A132, node!$C$2:$C$500,"&lt;&gt;"&amp;"")/(C132*D132),"")</f>
        <v/>
      </c>
      <c r="G132" s="93" t="str">
        <f>IF(A132&lt;&gt;"",SUMIFS(deployment!$F$4:$F$502, deployment!$D$4:$D$502,"="&amp;A132, deployment!$D$4:$D$502,"&lt;&gt;"&amp;""),"")</f>
        <v/>
      </c>
      <c r="H132" s="94" t="str">
        <f>IF(A132&lt;&gt;"",SUMIFS(deployment!$G$4:$G$502, deployment!$D$4:$D$502,"="&amp;A132, deployment!$D$4:$D$502,"&lt;&gt;"&amp;""),"")</f>
        <v/>
      </c>
      <c r="I132" s="95" t="str">
        <f>IF(A132&lt;&gt;"",SUMIFS(deployment!$H$4:$H$502, deployment!$D$4:$D$502,"="&amp;A132, deployment!$D$4:$D$502,"&lt;&gt;"&amp;""),"")</f>
        <v/>
      </c>
      <c r="J132" s="96" t="str">
        <f>IF(A132&lt;&gt;"",SUMIFS(deployment!$I$4:$I$502, deployment!$D$4:$D$502,"="&amp;A132, deployment!$D$4:$D$502,"&lt;&gt;"&amp;""),"")</f>
        <v/>
      </c>
      <c r="K132" s="112" t="str">
        <f>IF(A132&lt;&gt;"",SUMIFS(deployment!$J$4:$J$502, deployment!$D$4:$D$502,"="&amp;A132, deployment!$D$4:$D$502,"&lt;&gt;"&amp;""),"")</f>
        <v/>
      </c>
      <c r="L132" s="112" t="str">
        <f>IF(A132&lt;&gt;"",SUMIFS(deployment!$K$4:$K$502, deployment!$D$4:$D$502,"="&amp;A132, deployment!$D$4:$D$502,"&lt;&gt;"&amp;""),"")</f>
        <v/>
      </c>
      <c r="M132" s="97" t="str">
        <f>IF(A132&lt;&gt;"",SUMIFS(deployment!$L$4:$L$502, deployment!$D$4:$D$502,"="&amp;A132, deployment!$D$4:$D$502,"&lt;&gt;"&amp;""),"")</f>
        <v/>
      </c>
      <c r="N132" s="97" t="str">
        <f>IF(A132&lt;&gt;"",SUMIFS(deployment!$M$4:$M$502, deployment!$D$4:$D$502,"="&amp;A132, deployment!$D$4:$D$502,"&lt;&gt;"&amp;""),"")</f>
        <v/>
      </c>
      <c r="O132" s="127" t="str">
        <f t="shared" si="23"/>
        <v/>
      </c>
      <c r="P132" s="104"/>
      <c r="Q132" s="99" t="str">
        <f t="shared" ref="Q132:Q195" si="24">IF(A132&lt;&gt;"",(D132-P132)/D132,"")</f>
        <v/>
      </c>
      <c r="R132" s="100" t="str">
        <f t="shared" ref="R132:R195" si="25">IF(A132&lt;&gt;"",G132/(P132*B132),"")</f>
        <v/>
      </c>
      <c r="S132" s="100" t="str">
        <f t="shared" ref="S132:S195" si="26">IF(A132&lt;&gt;"",H132/(P132*C132),"")</f>
        <v/>
      </c>
      <c r="T132" s="101" t="str">
        <f t="shared" ref="T132:T195" si="27">IF(A132&lt;&gt;"",I132/(P132*B132),"")</f>
        <v/>
      </c>
      <c r="U132" s="101" t="str">
        <f t="shared" ref="U132:U195" si="28">IF(A132&lt;&gt;"",J132/(P132*C132),"")</f>
        <v/>
      </c>
      <c r="V132" s="128" t="str">
        <f t="shared" ref="V132:V195" si="29">IF(A132&lt;&gt;"",K132/(P132*B132),"")</f>
        <v/>
      </c>
      <c r="W132" s="128" t="str">
        <f t="shared" ref="W132:W195" si="30">IF(A132&lt;&gt;"",L132/(P132*C132),"")</f>
        <v/>
      </c>
      <c r="X132" s="101" t="str">
        <f t="shared" ref="X132:X195" si="31">IF(A132&lt;&gt;"",M132/(P132*B132),"")</f>
        <v/>
      </c>
      <c r="Y132" s="101" t="str">
        <f t="shared" ref="Y132:Y195" si="32">IF(A132&lt;&gt;"",N132/(P132*C132),"")</f>
        <v/>
      </c>
      <c r="Z132" s="102" t="str">
        <f t="shared" ref="Z132:Z195" si="33">IF(A132&lt;&gt;"",(D132*E132)/P132,"")</f>
        <v/>
      </c>
      <c r="AA132" s="103" t="str">
        <f t="shared" ref="AA132:AA195" si="34">IF(A132&lt;&gt;"",(D132*F132)/P132,"")</f>
        <v/>
      </c>
      <c r="AB132" s="142" t="str">
        <f>IF(A132&lt;&gt;"", SUMIFS(node!$J$2:$J$500, node!$C$2:$C$500,"="&amp;A132)/P132, "")</f>
        <v/>
      </c>
      <c r="AC132" s="134" t="str">
        <f>IF(A132&lt;&gt;"", SUMIFS(node!$K$2:$K$500, node!$C$2:$C$500,"="&amp;A132)/P132, "")</f>
        <v/>
      </c>
      <c r="AD132" s="135" t="str">
        <f>IF(A132&lt;&gt;"", SUMIFS(node!$L$2:$L$500, node!$C$2:$C$500,"="&amp;A132), "")</f>
        <v/>
      </c>
      <c r="AE132" s="145" t="str">
        <f>IF(A132&lt;&gt;"", SUMIFS(node!$M$2:$M$500, node!$C$2:$C$500,"="&amp;A132), "")</f>
        <v/>
      </c>
    </row>
    <row r="133" spans="1:31" ht="15.75" customHeight="1" x14ac:dyDescent="0.25">
      <c r="A133" s="119" t="str">
        <f>IF(ISNONTEXT(node_raw[[#This Row],[Column2]]), "", node_raw[[#This Row],[Column2]])</f>
        <v/>
      </c>
      <c r="B133" s="116" t="str">
        <f>IF(A133&lt;&gt;"", VLOOKUP(A133, node!$C$2:$D$500, 2, FALSE), "")</f>
        <v/>
      </c>
      <c r="C133" s="117" t="str">
        <f>IF(A133&lt;&gt;"", VLOOKUP(A133, node!$C$2:$E$500, 3, FALSE), "")</f>
        <v/>
      </c>
      <c r="D133" s="118" t="str">
        <f>IF(A133&lt;&gt;"",COUNTIFS(node!$C$2:$C$500,"="&amp;A133, node!$C$2:$C$500,"&lt;&gt;"&amp;""),"")</f>
        <v/>
      </c>
      <c r="E133" s="122" t="str">
        <f>IF(A133&lt;&gt;"",SUMIFS(node!$F$2:$F$500, node!$C$2:$C$500,"="&amp;A133, node!$C$2:$C$500,"&lt;&gt;"&amp;"")/(B133*D133),"")</f>
        <v/>
      </c>
      <c r="F133" s="124" t="str">
        <f>IF(A133&lt;&gt;"",SUMIFS(node!$H$2:$H$500, node!$C$2:$C$500,"="&amp;A133, node!$C$2:$C$500,"&lt;&gt;"&amp;"")/(C133*D133),"")</f>
        <v/>
      </c>
      <c r="G133" s="93" t="str">
        <f>IF(A133&lt;&gt;"",SUMIFS(deployment!$F$4:$F$502, deployment!$D$4:$D$502,"="&amp;A133, deployment!$D$4:$D$502,"&lt;&gt;"&amp;""),"")</f>
        <v/>
      </c>
      <c r="H133" s="94" t="str">
        <f>IF(A133&lt;&gt;"",SUMIFS(deployment!$G$4:$G$502, deployment!$D$4:$D$502,"="&amp;A133, deployment!$D$4:$D$502,"&lt;&gt;"&amp;""),"")</f>
        <v/>
      </c>
      <c r="I133" s="95" t="str">
        <f>IF(A133&lt;&gt;"",SUMIFS(deployment!$H$4:$H$502, deployment!$D$4:$D$502,"="&amp;A133, deployment!$D$4:$D$502,"&lt;&gt;"&amp;""),"")</f>
        <v/>
      </c>
      <c r="J133" s="96" t="str">
        <f>IF(A133&lt;&gt;"",SUMIFS(deployment!$I$4:$I$502, deployment!$D$4:$D$502,"="&amp;A133, deployment!$D$4:$D$502,"&lt;&gt;"&amp;""),"")</f>
        <v/>
      </c>
      <c r="K133" s="112" t="str">
        <f>IF(A133&lt;&gt;"",SUMIFS(deployment!$J$4:$J$502, deployment!$D$4:$D$502,"="&amp;A133, deployment!$D$4:$D$502,"&lt;&gt;"&amp;""),"")</f>
        <v/>
      </c>
      <c r="L133" s="112" t="str">
        <f>IF(A133&lt;&gt;"",SUMIFS(deployment!$K$4:$K$502, deployment!$D$4:$D$502,"="&amp;A133, deployment!$D$4:$D$502,"&lt;&gt;"&amp;""),"")</f>
        <v/>
      </c>
      <c r="M133" s="97" t="str">
        <f>IF(A133&lt;&gt;"",SUMIFS(deployment!$L$4:$L$502, deployment!$D$4:$D$502,"="&amp;A133, deployment!$D$4:$D$502,"&lt;&gt;"&amp;""),"")</f>
        <v/>
      </c>
      <c r="N133" s="97" t="str">
        <f>IF(A133&lt;&gt;"",SUMIFS(deployment!$M$4:$M$502, deployment!$D$4:$D$502,"="&amp;A133, deployment!$D$4:$D$502,"&lt;&gt;"&amp;""),"")</f>
        <v/>
      </c>
      <c r="O133" s="127" t="str">
        <f t="shared" ref="O133:O196" si="35">IF(A133&lt;&gt;"",MAX(ROUNDUP(K133/(B133*$B$2), 0), ROUNDUP(L133/(C133*$C$2), 0), ROUNDUP(M133/(B133*$B$2), 0), ROUNDUP(N133/(C133*$C$2), 0), 1),"")</f>
        <v/>
      </c>
      <c r="P133" s="104"/>
      <c r="Q133" s="99" t="str">
        <f t="shared" si="24"/>
        <v/>
      </c>
      <c r="R133" s="100" t="str">
        <f t="shared" si="25"/>
        <v/>
      </c>
      <c r="S133" s="100" t="str">
        <f t="shared" si="26"/>
        <v/>
      </c>
      <c r="T133" s="101" t="str">
        <f t="shared" si="27"/>
        <v/>
      </c>
      <c r="U133" s="101" t="str">
        <f t="shared" si="28"/>
        <v/>
      </c>
      <c r="V133" s="128" t="str">
        <f t="shared" si="29"/>
        <v/>
      </c>
      <c r="W133" s="128" t="str">
        <f t="shared" si="30"/>
        <v/>
      </c>
      <c r="X133" s="101" t="str">
        <f t="shared" si="31"/>
        <v/>
      </c>
      <c r="Y133" s="101" t="str">
        <f t="shared" si="32"/>
        <v/>
      </c>
      <c r="Z133" s="102" t="str">
        <f t="shared" si="33"/>
        <v/>
      </c>
      <c r="AA133" s="103" t="str">
        <f t="shared" si="34"/>
        <v/>
      </c>
      <c r="AB133" s="142" t="str">
        <f>IF(A133&lt;&gt;"", SUMIFS(node!$J$2:$J$500, node!$C$2:$C$500,"="&amp;A133)/P133, "")</f>
        <v/>
      </c>
      <c r="AC133" s="134" t="str">
        <f>IF(A133&lt;&gt;"", SUMIFS(node!$K$2:$K$500, node!$C$2:$C$500,"="&amp;A133)/P133, "")</f>
        <v/>
      </c>
      <c r="AD133" s="135" t="str">
        <f>IF(A133&lt;&gt;"", SUMIFS(node!$L$2:$L$500, node!$C$2:$C$500,"="&amp;A133), "")</f>
        <v/>
      </c>
      <c r="AE133" s="145" t="str">
        <f>IF(A133&lt;&gt;"", SUMIFS(node!$M$2:$M$500, node!$C$2:$C$500,"="&amp;A133), "")</f>
        <v/>
      </c>
    </row>
    <row r="134" spans="1:31" ht="15.75" customHeight="1" x14ac:dyDescent="0.25">
      <c r="A134" s="119" t="str">
        <f>IF(ISNONTEXT(node_raw[[#This Row],[Column2]]), "", node_raw[[#This Row],[Column2]])</f>
        <v/>
      </c>
      <c r="B134" s="116" t="str">
        <f>IF(A134&lt;&gt;"", VLOOKUP(A134, node!$C$2:$D$500, 2, FALSE), "")</f>
        <v/>
      </c>
      <c r="C134" s="117" t="str">
        <f>IF(A134&lt;&gt;"", VLOOKUP(A134, node!$C$2:$E$500, 3, FALSE), "")</f>
        <v/>
      </c>
      <c r="D134" s="118" t="str">
        <f>IF(A134&lt;&gt;"",COUNTIFS(node!$C$2:$C$500,"="&amp;A134, node!$C$2:$C$500,"&lt;&gt;"&amp;""),"")</f>
        <v/>
      </c>
      <c r="E134" s="122" t="str">
        <f>IF(A134&lt;&gt;"",SUMIFS(node!$F$2:$F$500, node!$C$2:$C$500,"="&amp;A134, node!$C$2:$C$500,"&lt;&gt;"&amp;"")/(B134*D134),"")</f>
        <v/>
      </c>
      <c r="F134" s="124" t="str">
        <f>IF(A134&lt;&gt;"",SUMIFS(node!$H$2:$H$500, node!$C$2:$C$500,"="&amp;A134, node!$C$2:$C$500,"&lt;&gt;"&amp;"")/(C134*D134),"")</f>
        <v/>
      </c>
      <c r="G134" s="93" t="str">
        <f>IF(A134&lt;&gt;"",SUMIFS(deployment!$F$4:$F$502, deployment!$D$4:$D$502,"="&amp;A134, deployment!$D$4:$D$502,"&lt;&gt;"&amp;""),"")</f>
        <v/>
      </c>
      <c r="H134" s="94" t="str">
        <f>IF(A134&lt;&gt;"",SUMIFS(deployment!$G$4:$G$502, deployment!$D$4:$D$502,"="&amp;A134, deployment!$D$4:$D$502,"&lt;&gt;"&amp;""),"")</f>
        <v/>
      </c>
      <c r="I134" s="95" t="str">
        <f>IF(A134&lt;&gt;"",SUMIFS(deployment!$H$4:$H$502, deployment!$D$4:$D$502,"="&amp;A134, deployment!$D$4:$D$502,"&lt;&gt;"&amp;""),"")</f>
        <v/>
      </c>
      <c r="J134" s="96" t="str">
        <f>IF(A134&lt;&gt;"",SUMIFS(deployment!$I$4:$I$502, deployment!$D$4:$D$502,"="&amp;A134, deployment!$D$4:$D$502,"&lt;&gt;"&amp;""),"")</f>
        <v/>
      </c>
      <c r="K134" s="112" t="str">
        <f>IF(A134&lt;&gt;"",SUMIFS(deployment!$J$4:$J$502, deployment!$D$4:$D$502,"="&amp;A134, deployment!$D$4:$D$502,"&lt;&gt;"&amp;""),"")</f>
        <v/>
      </c>
      <c r="L134" s="112" t="str">
        <f>IF(A134&lt;&gt;"",SUMIFS(deployment!$K$4:$K$502, deployment!$D$4:$D$502,"="&amp;A134, deployment!$D$4:$D$502,"&lt;&gt;"&amp;""),"")</f>
        <v/>
      </c>
      <c r="M134" s="97" t="str">
        <f>IF(A134&lt;&gt;"",SUMIFS(deployment!$L$4:$L$502, deployment!$D$4:$D$502,"="&amp;A134, deployment!$D$4:$D$502,"&lt;&gt;"&amp;""),"")</f>
        <v/>
      </c>
      <c r="N134" s="97" t="str">
        <f>IF(A134&lt;&gt;"",SUMIFS(deployment!$M$4:$M$502, deployment!$D$4:$D$502,"="&amp;A134, deployment!$D$4:$D$502,"&lt;&gt;"&amp;""),"")</f>
        <v/>
      </c>
      <c r="O134" s="127" t="str">
        <f t="shared" si="35"/>
        <v/>
      </c>
      <c r="P134" s="104"/>
      <c r="Q134" s="99" t="str">
        <f t="shared" si="24"/>
        <v/>
      </c>
      <c r="R134" s="100" t="str">
        <f t="shared" si="25"/>
        <v/>
      </c>
      <c r="S134" s="100" t="str">
        <f t="shared" si="26"/>
        <v/>
      </c>
      <c r="T134" s="101" t="str">
        <f t="shared" si="27"/>
        <v/>
      </c>
      <c r="U134" s="101" t="str">
        <f t="shared" si="28"/>
        <v/>
      </c>
      <c r="V134" s="128" t="str">
        <f t="shared" si="29"/>
        <v/>
      </c>
      <c r="W134" s="128" t="str">
        <f t="shared" si="30"/>
        <v/>
      </c>
      <c r="X134" s="101" t="str">
        <f t="shared" si="31"/>
        <v/>
      </c>
      <c r="Y134" s="101" t="str">
        <f t="shared" si="32"/>
        <v/>
      </c>
      <c r="Z134" s="102" t="str">
        <f t="shared" si="33"/>
        <v/>
      </c>
      <c r="AA134" s="103" t="str">
        <f t="shared" si="34"/>
        <v/>
      </c>
      <c r="AB134" s="142" t="str">
        <f>IF(A134&lt;&gt;"", SUMIFS(node!$J$2:$J$500, node!$C$2:$C$500,"="&amp;A134)/P134, "")</f>
        <v/>
      </c>
      <c r="AC134" s="134" t="str">
        <f>IF(A134&lt;&gt;"", SUMIFS(node!$K$2:$K$500, node!$C$2:$C$500,"="&amp;A134)/P134, "")</f>
        <v/>
      </c>
      <c r="AD134" s="135" t="str">
        <f>IF(A134&lt;&gt;"", SUMIFS(node!$L$2:$L$500, node!$C$2:$C$500,"="&amp;A134), "")</f>
        <v/>
      </c>
      <c r="AE134" s="145" t="str">
        <f>IF(A134&lt;&gt;"", SUMIFS(node!$M$2:$M$500, node!$C$2:$C$500,"="&amp;A134), "")</f>
        <v/>
      </c>
    </row>
    <row r="135" spans="1:31" ht="15.75" customHeight="1" x14ac:dyDescent="0.25">
      <c r="A135" s="119" t="str">
        <f>IF(ISNONTEXT(node_raw[[#This Row],[Column2]]), "", node_raw[[#This Row],[Column2]])</f>
        <v/>
      </c>
      <c r="B135" s="116" t="str">
        <f>IF(A135&lt;&gt;"", VLOOKUP(A135, node!$C$2:$D$500, 2, FALSE), "")</f>
        <v/>
      </c>
      <c r="C135" s="117" t="str">
        <f>IF(A135&lt;&gt;"", VLOOKUP(A135, node!$C$2:$E$500, 3, FALSE), "")</f>
        <v/>
      </c>
      <c r="D135" s="118" t="str">
        <f>IF(A135&lt;&gt;"",COUNTIFS(node!$C$2:$C$500,"="&amp;A135, node!$C$2:$C$500,"&lt;&gt;"&amp;""),"")</f>
        <v/>
      </c>
      <c r="E135" s="122" t="str">
        <f>IF(A135&lt;&gt;"",SUMIFS(node!$F$2:$F$500, node!$C$2:$C$500,"="&amp;A135, node!$C$2:$C$500,"&lt;&gt;"&amp;"")/(B135*D135),"")</f>
        <v/>
      </c>
      <c r="F135" s="124" t="str">
        <f>IF(A135&lt;&gt;"",SUMIFS(node!$H$2:$H$500, node!$C$2:$C$500,"="&amp;A135, node!$C$2:$C$500,"&lt;&gt;"&amp;"")/(C135*D135),"")</f>
        <v/>
      </c>
      <c r="G135" s="93" t="str">
        <f>IF(A135&lt;&gt;"",SUMIFS(deployment!$F$4:$F$502, deployment!$D$4:$D$502,"="&amp;A135, deployment!$D$4:$D$502,"&lt;&gt;"&amp;""),"")</f>
        <v/>
      </c>
      <c r="H135" s="94" t="str">
        <f>IF(A135&lt;&gt;"",SUMIFS(deployment!$G$4:$G$502, deployment!$D$4:$D$502,"="&amp;A135, deployment!$D$4:$D$502,"&lt;&gt;"&amp;""),"")</f>
        <v/>
      </c>
      <c r="I135" s="95" t="str">
        <f>IF(A135&lt;&gt;"",SUMIFS(deployment!$H$4:$H$502, deployment!$D$4:$D$502,"="&amp;A135, deployment!$D$4:$D$502,"&lt;&gt;"&amp;""),"")</f>
        <v/>
      </c>
      <c r="J135" s="96" t="str">
        <f>IF(A135&lt;&gt;"",SUMIFS(deployment!$I$4:$I$502, deployment!$D$4:$D$502,"="&amp;A135, deployment!$D$4:$D$502,"&lt;&gt;"&amp;""),"")</f>
        <v/>
      </c>
      <c r="K135" s="112" t="str">
        <f>IF(A135&lt;&gt;"",SUMIFS(deployment!$J$4:$J$502, deployment!$D$4:$D$502,"="&amp;A135, deployment!$D$4:$D$502,"&lt;&gt;"&amp;""),"")</f>
        <v/>
      </c>
      <c r="L135" s="112" t="str">
        <f>IF(A135&lt;&gt;"",SUMIFS(deployment!$K$4:$K$502, deployment!$D$4:$D$502,"="&amp;A135, deployment!$D$4:$D$502,"&lt;&gt;"&amp;""),"")</f>
        <v/>
      </c>
      <c r="M135" s="97" t="str">
        <f>IF(A135&lt;&gt;"",SUMIFS(deployment!$L$4:$L$502, deployment!$D$4:$D$502,"="&amp;A135, deployment!$D$4:$D$502,"&lt;&gt;"&amp;""),"")</f>
        <v/>
      </c>
      <c r="N135" s="97" t="str">
        <f>IF(A135&lt;&gt;"",SUMIFS(deployment!$M$4:$M$502, deployment!$D$4:$D$502,"="&amp;A135, deployment!$D$4:$D$502,"&lt;&gt;"&amp;""),"")</f>
        <v/>
      </c>
      <c r="O135" s="127" t="str">
        <f t="shared" si="35"/>
        <v/>
      </c>
      <c r="P135" s="104"/>
      <c r="Q135" s="99" t="str">
        <f t="shared" si="24"/>
        <v/>
      </c>
      <c r="R135" s="100" t="str">
        <f t="shared" si="25"/>
        <v/>
      </c>
      <c r="S135" s="100" t="str">
        <f t="shared" si="26"/>
        <v/>
      </c>
      <c r="T135" s="101" t="str">
        <f t="shared" si="27"/>
        <v/>
      </c>
      <c r="U135" s="101" t="str">
        <f t="shared" si="28"/>
        <v/>
      </c>
      <c r="V135" s="128" t="str">
        <f t="shared" si="29"/>
        <v/>
      </c>
      <c r="W135" s="128" t="str">
        <f t="shared" si="30"/>
        <v/>
      </c>
      <c r="X135" s="101" t="str">
        <f t="shared" si="31"/>
        <v/>
      </c>
      <c r="Y135" s="101" t="str">
        <f t="shared" si="32"/>
        <v/>
      </c>
      <c r="Z135" s="102" t="str">
        <f t="shared" si="33"/>
        <v/>
      </c>
      <c r="AA135" s="103" t="str">
        <f t="shared" si="34"/>
        <v/>
      </c>
      <c r="AB135" s="142" t="str">
        <f>IF(A135&lt;&gt;"", SUMIFS(node!$J$2:$J$500, node!$C$2:$C$500,"="&amp;A135)/P135, "")</f>
        <v/>
      </c>
      <c r="AC135" s="134" t="str">
        <f>IF(A135&lt;&gt;"", SUMIFS(node!$K$2:$K$500, node!$C$2:$C$500,"="&amp;A135)/P135, "")</f>
        <v/>
      </c>
      <c r="AD135" s="135" t="str">
        <f>IF(A135&lt;&gt;"", SUMIFS(node!$L$2:$L$500, node!$C$2:$C$500,"="&amp;A135), "")</f>
        <v/>
      </c>
      <c r="AE135" s="145" t="str">
        <f>IF(A135&lt;&gt;"", SUMIFS(node!$M$2:$M$500, node!$C$2:$C$500,"="&amp;A135), "")</f>
        <v/>
      </c>
    </row>
    <row r="136" spans="1:31" ht="15.75" customHeight="1" x14ac:dyDescent="0.25">
      <c r="A136" s="119" t="str">
        <f>IF(ISNONTEXT(node_raw[[#This Row],[Column2]]), "", node_raw[[#This Row],[Column2]])</f>
        <v/>
      </c>
      <c r="B136" s="116" t="str">
        <f>IF(A136&lt;&gt;"", VLOOKUP(A136, node!$C$2:$D$500, 2, FALSE), "")</f>
        <v/>
      </c>
      <c r="C136" s="117" t="str">
        <f>IF(A136&lt;&gt;"", VLOOKUP(A136, node!$C$2:$E$500, 3, FALSE), "")</f>
        <v/>
      </c>
      <c r="D136" s="118" t="str">
        <f>IF(A136&lt;&gt;"",COUNTIFS(node!$C$2:$C$500,"="&amp;A136, node!$C$2:$C$500,"&lt;&gt;"&amp;""),"")</f>
        <v/>
      </c>
      <c r="E136" s="122" t="str">
        <f>IF(A136&lt;&gt;"",SUMIFS(node!$F$2:$F$500, node!$C$2:$C$500,"="&amp;A136, node!$C$2:$C$500,"&lt;&gt;"&amp;"")/(B136*D136),"")</f>
        <v/>
      </c>
      <c r="F136" s="124" t="str">
        <f>IF(A136&lt;&gt;"",SUMIFS(node!$H$2:$H$500, node!$C$2:$C$500,"="&amp;A136, node!$C$2:$C$500,"&lt;&gt;"&amp;"")/(C136*D136),"")</f>
        <v/>
      </c>
      <c r="G136" s="93" t="str">
        <f>IF(A136&lt;&gt;"",SUMIFS(deployment!$F$4:$F$502, deployment!$D$4:$D$502,"="&amp;A136, deployment!$D$4:$D$502,"&lt;&gt;"&amp;""),"")</f>
        <v/>
      </c>
      <c r="H136" s="94" t="str">
        <f>IF(A136&lt;&gt;"",SUMIFS(deployment!$G$4:$G$502, deployment!$D$4:$D$502,"="&amp;A136, deployment!$D$4:$D$502,"&lt;&gt;"&amp;""),"")</f>
        <v/>
      </c>
      <c r="I136" s="95" t="str">
        <f>IF(A136&lt;&gt;"",SUMIFS(deployment!$H$4:$H$502, deployment!$D$4:$D$502,"="&amp;A136, deployment!$D$4:$D$502,"&lt;&gt;"&amp;""),"")</f>
        <v/>
      </c>
      <c r="J136" s="96" t="str">
        <f>IF(A136&lt;&gt;"",SUMIFS(deployment!$I$4:$I$502, deployment!$D$4:$D$502,"="&amp;A136, deployment!$D$4:$D$502,"&lt;&gt;"&amp;""),"")</f>
        <v/>
      </c>
      <c r="K136" s="112" t="str">
        <f>IF(A136&lt;&gt;"",SUMIFS(deployment!$J$4:$J$502, deployment!$D$4:$D$502,"="&amp;A136, deployment!$D$4:$D$502,"&lt;&gt;"&amp;""),"")</f>
        <v/>
      </c>
      <c r="L136" s="112" t="str">
        <f>IF(A136&lt;&gt;"",SUMIFS(deployment!$K$4:$K$502, deployment!$D$4:$D$502,"="&amp;A136, deployment!$D$4:$D$502,"&lt;&gt;"&amp;""),"")</f>
        <v/>
      </c>
      <c r="M136" s="97" t="str">
        <f>IF(A136&lt;&gt;"",SUMIFS(deployment!$L$4:$L$502, deployment!$D$4:$D$502,"="&amp;A136, deployment!$D$4:$D$502,"&lt;&gt;"&amp;""),"")</f>
        <v/>
      </c>
      <c r="N136" s="97" t="str">
        <f>IF(A136&lt;&gt;"",SUMIFS(deployment!$M$4:$M$502, deployment!$D$4:$D$502,"="&amp;A136, deployment!$D$4:$D$502,"&lt;&gt;"&amp;""),"")</f>
        <v/>
      </c>
      <c r="O136" s="127" t="str">
        <f t="shared" si="35"/>
        <v/>
      </c>
      <c r="P136" s="104"/>
      <c r="Q136" s="99" t="str">
        <f t="shared" si="24"/>
        <v/>
      </c>
      <c r="R136" s="100" t="str">
        <f t="shared" si="25"/>
        <v/>
      </c>
      <c r="S136" s="100" t="str">
        <f t="shared" si="26"/>
        <v/>
      </c>
      <c r="T136" s="101" t="str">
        <f t="shared" si="27"/>
        <v/>
      </c>
      <c r="U136" s="101" t="str">
        <f t="shared" si="28"/>
        <v/>
      </c>
      <c r="V136" s="128" t="str">
        <f t="shared" si="29"/>
        <v/>
      </c>
      <c r="W136" s="128" t="str">
        <f t="shared" si="30"/>
        <v/>
      </c>
      <c r="X136" s="101" t="str">
        <f t="shared" si="31"/>
        <v/>
      </c>
      <c r="Y136" s="101" t="str">
        <f t="shared" si="32"/>
        <v/>
      </c>
      <c r="Z136" s="102" t="str">
        <f t="shared" si="33"/>
        <v/>
      </c>
      <c r="AA136" s="103" t="str">
        <f t="shared" si="34"/>
        <v/>
      </c>
      <c r="AB136" s="142" t="str">
        <f>IF(A136&lt;&gt;"", SUMIFS(node!$J$2:$J$500, node!$C$2:$C$500,"="&amp;A136)/P136, "")</f>
        <v/>
      </c>
      <c r="AC136" s="134" t="str">
        <f>IF(A136&lt;&gt;"", SUMIFS(node!$K$2:$K$500, node!$C$2:$C$500,"="&amp;A136)/P136, "")</f>
        <v/>
      </c>
      <c r="AD136" s="135" t="str">
        <f>IF(A136&lt;&gt;"", SUMIFS(node!$L$2:$L$500, node!$C$2:$C$500,"="&amp;A136), "")</f>
        <v/>
      </c>
      <c r="AE136" s="145" t="str">
        <f>IF(A136&lt;&gt;"", SUMIFS(node!$M$2:$M$500, node!$C$2:$C$500,"="&amp;A136), "")</f>
        <v/>
      </c>
    </row>
    <row r="137" spans="1:31" ht="15.75" customHeight="1" x14ac:dyDescent="0.25">
      <c r="A137" s="119" t="str">
        <f>IF(ISNONTEXT(node_raw[[#This Row],[Column2]]), "", node_raw[[#This Row],[Column2]])</f>
        <v/>
      </c>
      <c r="B137" s="116" t="str">
        <f>IF(A137&lt;&gt;"", VLOOKUP(A137, node!$C$2:$D$500, 2, FALSE), "")</f>
        <v/>
      </c>
      <c r="C137" s="117" t="str">
        <f>IF(A137&lt;&gt;"", VLOOKUP(A137, node!$C$2:$E$500, 3, FALSE), "")</f>
        <v/>
      </c>
      <c r="D137" s="118" t="str">
        <f>IF(A137&lt;&gt;"",COUNTIFS(node!$C$2:$C$500,"="&amp;A137, node!$C$2:$C$500,"&lt;&gt;"&amp;""),"")</f>
        <v/>
      </c>
      <c r="E137" s="122" t="str">
        <f>IF(A137&lt;&gt;"",SUMIFS(node!$F$2:$F$500, node!$C$2:$C$500,"="&amp;A137, node!$C$2:$C$500,"&lt;&gt;"&amp;"")/(B137*D137),"")</f>
        <v/>
      </c>
      <c r="F137" s="124" t="str">
        <f>IF(A137&lt;&gt;"",SUMIFS(node!$H$2:$H$500, node!$C$2:$C$500,"="&amp;A137, node!$C$2:$C$500,"&lt;&gt;"&amp;"")/(C137*D137),"")</f>
        <v/>
      </c>
      <c r="G137" s="93" t="str">
        <f>IF(A137&lt;&gt;"",SUMIFS(deployment!$F$4:$F$502, deployment!$D$4:$D$502,"="&amp;A137, deployment!$D$4:$D$502,"&lt;&gt;"&amp;""),"")</f>
        <v/>
      </c>
      <c r="H137" s="94" t="str">
        <f>IF(A137&lt;&gt;"",SUMIFS(deployment!$G$4:$G$502, deployment!$D$4:$D$502,"="&amp;A137, deployment!$D$4:$D$502,"&lt;&gt;"&amp;""),"")</f>
        <v/>
      </c>
      <c r="I137" s="95" t="str">
        <f>IF(A137&lt;&gt;"",SUMIFS(deployment!$H$4:$H$502, deployment!$D$4:$D$502,"="&amp;A137, deployment!$D$4:$D$502,"&lt;&gt;"&amp;""),"")</f>
        <v/>
      </c>
      <c r="J137" s="96" t="str">
        <f>IF(A137&lt;&gt;"",SUMIFS(deployment!$I$4:$I$502, deployment!$D$4:$D$502,"="&amp;A137, deployment!$D$4:$D$502,"&lt;&gt;"&amp;""),"")</f>
        <v/>
      </c>
      <c r="K137" s="112" t="str">
        <f>IF(A137&lt;&gt;"",SUMIFS(deployment!$J$4:$J$502, deployment!$D$4:$D$502,"="&amp;A137, deployment!$D$4:$D$502,"&lt;&gt;"&amp;""),"")</f>
        <v/>
      </c>
      <c r="L137" s="112" t="str">
        <f>IF(A137&lt;&gt;"",SUMIFS(deployment!$K$4:$K$502, deployment!$D$4:$D$502,"="&amp;A137, deployment!$D$4:$D$502,"&lt;&gt;"&amp;""),"")</f>
        <v/>
      </c>
      <c r="M137" s="97" t="str">
        <f>IF(A137&lt;&gt;"",SUMIFS(deployment!$L$4:$L$502, deployment!$D$4:$D$502,"="&amp;A137, deployment!$D$4:$D$502,"&lt;&gt;"&amp;""),"")</f>
        <v/>
      </c>
      <c r="N137" s="97" t="str">
        <f>IF(A137&lt;&gt;"",SUMIFS(deployment!$M$4:$M$502, deployment!$D$4:$D$502,"="&amp;A137, deployment!$D$4:$D$502,"&lt;&gt;"&amp;""),"")</f>
        <v/>
      </c>
      <c r="O137" s="127" t="str">
        <f t="shared" si="35"/>
        <v/>
      </c>
      <c r="P137" s="104"/>
      <c r="Q137" s="99" t="str">
        <f t="shared" si="24"/>
        <v/>
      </c>
      <c r="R137" s="100" t="str">
        <f t="shared" si="25"/>
        <v/>
      </c>
      <c r="S137" s="100" t="str">
        <f t="shared" si="26"/>
        <v/>
      </c>
      <c r="T137" s="101" t="str">
        <f t="shared" si="27"/>
        <v/>
      </c>
      <c r="U137" s="101" t="str">
        <f t="shared" si="28"/>
        <v/>
      </c>
      <c r="V137" s="128" t="str">
        <f t="shared" si="29"/>
        <v/>
      </c>
      <c r="W137" s="128" t="str">
        <f t="shared" si="30"/>
        <v/>
      </c>
      <c r="X137" s="101" t="str">
        <f t="shared" si="31"/>
        <v/>
      </c>
      <c r="Y137" s="101" t="str">
        <f t="shared" si="32"/>
        <v/>
      </c>
      <c r="Z137" s="102" t="str">
        <f t="shared" si="33"/>
        <v/>
      </c>
      <c r="AA137" s="103" t="str">
        <f t="shared" si="34"/>
        <v/>
      </c>
      <c r="AB137" s="142" t="str">
        <f>IF(A137&lt;&gt;"", SUMIFS(node!$J$2:$J$500, node!$C$2:$C$500,"="&amp;A137)/P137, "")</f>
        <v/>
      </c>
      <c r="AC137" s="134" t="str">
        <f>IF(A137&lt;&gt;"", SUMIFS(node!$K$2:$K$500, node!$C$2:$C$500,"="&amp;A137)/P137, "")</f>
        <v/>
      </c>
      <c r="AD137" s="135" t="str">
        <f>IF(A137&lt;&gt;"", SUMIFS(node!$L$2:$L$500, node!$C$2:$C$500,"="&amp;A137), "")</f>
        <v/>
      </c>
      <c r="AE137" s="145" t="str">
        <f>IF(A137&lt;&gt;"", SUMIFS(node!$M$2:$M$500, node!$C$2:$C$500,"="&amp;A137), "")</f>
        <v/>
      </c>
    </row>
    <row r="138" spans="1:31" ht="15.75" customHeight="1" x14ac:dyDescent="0.25">
      <c r="A138" s="119" t="str">
        <f>IF(ISNONTEXT(node_raw[[#This Row],[Column2]]), "", node_raw[[#This Row],[Column2]])</f>
        <v/>
      </c>
      <c r="B138" s="116" t="str">
        <f>IF(A138&lt;&gt;"", VLOOKUP(A138, node!$C$2:$D$500, 2, FALSE), "")</f>
        <v/>
      </c>
      <c r="C138" s="117" t="str">
        <f>IF(A138&lt;&gt;"", VLOOKUP(A138, node!$C$2:$E$500, 3, FALSE), "")</f>
        <v/>
      </c>
      <c r="D138" s="118" t="str">
        <f>IF(A138&lt;&gt;"",COUNTIFS(node!$C$2:$C$500,"="&amp;A138, node!$C$2:$C$500,"&lt;&gt;"&amp;""),"")</f>
        <v/>
      </c>
      <c r="E138" s="122" t="str">
        <f>IF(A138&lt;&gt;"",SUMIFS(node!$F$2:$F$500, node!$C$2:$C$500,"="&amp;A138, node!$C$2:$C$500,"&lt;&gt;"&amp;"")/(B138*D138),"")</f>
        <v/>
      </c>
      <c r="F138" s="124" t="str">
        <f>IF(A138&lt;&gt;"",SUMIFS(node!$H$2:$H$500, node!$C$2:$C$500,"="&amp;A138, node!$C$2:$C$500,"&lt;&gt;"&amp;"")/(C138*D138),"")</f>
        <v/>
      </c>
      <c r="G138" s="93" t="str">
        <f>IF(A138&lt;&gt;"",SUMIFS(deployment!$F$4:$F$502, deployment!$D$4:$D$502,"="&amp;A138, deployment!$D$4:$D$502,"&lt;&gt;"&amp;""),"")</f>
        <v/>
      </c>
      <c r="H138" s="94" t="str">
        <f>IF(A138&lt;&gt;"",SUMIFS(deployment!$G$4:$G$502, deployment!$D$4:$D$502,"="&amp;A138, deployment!$D$4:$D$502,"&lt;&gt;"&amp;""),"")</f>
        <v/>
      </c>
      <c r="I138" s="95" t="str">
        <f>IF(A138&lt;&gt;"",SUMIFS(deployment!$H$4:$H$502, deployment!$D$4:$D$502,"="&amp;A138, deployment!$D$4:$D$502,"&lt;&gt;"&amp;""),"")</f>
        <v/>
      </c>
      <c r="J138" s="96" t="str">
        <f>IF(A138&lt;&gt;"",SUMIFS(deployment!$I$4:$I$502, deployment!$D$4:$D$502,"="&amp;A138, deployment!$D$4:$D$502,"&lt;&gt;"&amp;""),"")</f>
        <v/>
      </c>
      <c r="K138" s="112" t="str">
        <f>IF(A138&lt;&gt;"",SUMIFS(deployment!$J$4:$J$502, deployment!$D$4:$D$502,"="&amp;A138, deployment!$D$4:$D$502,"&lt;&gt;"&amp;""),"")</f>
        <v/>
      </c>
      <c r="L138" s="112" t="str">
        <f>IF(A138&lt;&gt;"",SUMIFS(deployment!$K$4:$K$502, deployment!$D$4:$D$502,"="&amp;A138, deployment!$D$4:$D$502,"&lt;&gt;"&amp;""),"")</f>
        <v/>
      </c>
      <c r="M138" s="97" t="str">
        <f>IF(A138&lt;&gt;"",SUMIFS(deployment!$L$4:$L$502, deployment!$D$4:$D$502,"="&amp;A138, deployment!$D$4:$D$502,"&lt;&gt;"&amp;""),"")</f>
        <v/>
      </c>
      <c r="N138" s="97" t="str">
        <f>IF(A138&lt;&gt;"",SUMIFS(deployment!$M$4:$M$502, deployment!$D$4:$D$502,"="&amp;A138, deployment!$D$4:$D$502,"&lt;&gt;"&amp;""),"")</f>
        <v/>
      </c>
      <c r="O138" s="127" t="str">
        <f t="shared" si="35"/>
        <v/>
      </c>
      <c r="P138" s="104"/>
      <c r="Q138" s="99" t="str">
        <f t="shared" si="24"/>
        <v/>
      </c>
      <c r="R138" s="100" t="str">
        <f t="shared" si="25"/>
        <v/>
      </c>
      <c r="S138" s="100" t="str">
        <f t="shared" si="26"/>
        <v/>
      </c>
      <c r="T138" s="101" t="str">
        <f t="shared" si="27"/>
        <v/>
      </c>
      <c r="U138" s="101" t="str">
        <f t="shared" si="28"/>
        <v/>
      </c>
      <c r="V138" s="128" t="str">
        <f t="shared" si="29"/>
        <v/>
      </c>
      <c r="W138" s="128" t="str">
        <f t="shared" si="30"/>
        <v/>
      </c>
      <c r="X138" s="101" t="str">
        <f t="shared" si="31"/>
        <v/>
      </c>
      <c r="Y138" s="101" t="str">
        <f t="shared" si="32"/>
        <v/>
      </c>
      <c r="Z138" s="102" t="str">
        <f t="shared" si="33"/>
        <v/>
      </c>
      <c r="AA138" s="103" t="str">
        <f t="shared" si="34"/>
        <v/>
      </c>
      <c r="AB138" s="142" t="str">
        <f>IF(A138&lt;&gt;"", SUMIFS(node!$J$2:$J$500, node!$C$2:$C$500,"="&amp;A138)/P138, "")</f>
        <v/>
      </c>
      <c r="AC138" s="134" t="str">
        <f>IF(A138&lt;&gt;"", SUMIFS(node!$K$2:$K$500, node!$C$2:$C$500,"="&amp;A138)/P138, "")</f>
        <v/>
      </c>
      <c r="AD138" s="135" t="str">
        <f>IF(A138&lt;&gt;"", SUMIFS(node!$L$2:$L$500, node!$C$2:$C$500,"="&amp;A138), "")</f>
        <v/>
      </c>
      <c r="AE138" s="145" t="str">
        <f>IF(A138&lt;&gt;"", SUMIFS(node!$M$2:$M$500, node!$C$2:$C$500,"="&amp;A138), "")</f>
        <v/>
      </c>
    </row>
    <row r="139" spans="1:31" ht="15.75" customHeight="1" x14ac:dyDescent="0.25">
      <c r="A139" s="119" t="str">
        <f>IF(ISNONTEXT(node_raw[[#This Row],[Column2]]), "", node_raw[[#This Row],[Column2]])</f>
        <v/>
      </c>
      <c r="B139" s="116" t="str">
        <f>IF(A139&lt;&gt;"", VLOOKUP(A139, node!$C$2:$D$500, 2, FALSE), "")</f>
        <v/>
      </c>
      <c r="C139" s="117" t="str">
        <f>IF(A139&lt;&gt;"", VLOOKUP(A139, node!$C$2:$E$500, 3, FALSE), "")</f>
        <v/>
      </c>
      <c r="D139" s="118" t="str">
        <f>IF(A139&lt;&gt;"",COUNTIFS(node!$C$2:$C$500,"="&amp;A139, node!$C$2:$C$500,"&lt;&gt;"&amp;""),"")</f>
        <v/>
      </c>
      <c r="E139" s="122" t="str">
        <f>IF(A139&lt;&gt;"",SUMIFS(node!$F$2:$F$500, node!$C$2:$C$500,"="&amp;A139, node!$C$2:$C$500,"&lt;&gt;"&amp;"")/(B139*D139),"")</f>
        <v/>
      </c>
      <c r="F139" s="124" t="str">
        <f>IF(A139&lt;&gt;"",SUMIFS(node!$H$2:$H$500, node!$C$2:$C$500,"="&amp;A139, node!$C$2:$C$500,"&lt;&gt;"&amp;"")/(C139*D139),"")</f>
        <v/>
      </c>
      <c r="G139" s="93" t="str">
        <f>IF(A139&lt;&gt;"",SUMIFS(deployment!$F$4:$F$502, deployment!$D$4:$D$502,"="&amp;A139, deployment!$D$4:$D$502,"&lt;&gt;"&amp;""),"")</f>
        <v/>
      </c>
      <c r="H139" s="94" t="str">
        <f>IF(A139&lt;&gt;"",SUMIFS(deployment!$G$4:$G$502, deployment!$D$4:$D$502,"="&amp;A139, deployment!$D$4:$D$502,"&lt;&gt;"&amp;""),"")</f>
        <v/>
      </c>
      <c r="I139" s="95" t="str">
        <f>IF(A139&lt;&gt;"",SUMIFS(deployment!$H$4:$H$502, deployment!$D$4:$D$502,"="&amp;A139, deployment!$D$4:$D$502,"&lt;&gt;"&amp;""),"")</f>
        <v/>
      </c>
      <c r="J139" s="96" t="str">
        <f>IF(A139&lt;&gt;"",SUMIFS(deployment!$I$4:$I$502, deployment!$D$4:$D$502,"="&amp;A139, deployment!$D$4:$D$502,"&lt;&gt;"&amp;""),"")</f>
        <v/>
      </c>
      <c r="K139" s="112" t="str">
        <f>IF(A139&lt;&gt;"",SUMIFS(deployment!$J$4:$J$502, deployment!$D$4:$D$502,"="&amp;A139, deployment!$D$4:$D$502,"&lt;&gt;"&amp;""),"")</f>
        <v/>
      </c>
      <c r="L139" s="112" t="str">
        <f>IF(A139&lt;&gt;"",SUMIFS(deployment!$K$4:$K$502, deployment!$D$4:$D$502,"="&amp;A139, deployment!$D$4:$D$502,"&lt;&gt;"&amp;""),"")</f>
        <v/>
      </c>
      <c r="M139" s="97" t="str">
        <f>IF(A139&lt;&gt;"",SUMIFS(deployment!$L$4:$L$502, deployment!$D$4:$D$502,"="&amp;A139, deployment!$D$4:$D$502,"&lt;&gt;"&amp;""),"")</f>
        <v/>
      </c>
      <c r="N139" s="97" t="str">
        <f>IF(A139&lt;&gt;"",SUMIFS(deployment!$M$4:$M$502, deployment!$D$4:$D$502,"="&amp;A139, deployment!$D$4:$D$502,"&lt;&gt;"&amp;""),"")</f>
        <v/>
      </c>
      <c r="O139" s="127" t="str">
        <f t="shared" si="35"/>
        <v/>
      </c>
      <c r="P139" s="104"/>
      <c r="Q139" s="99" t="str">
        <f t="shared" si="24"/>
        <v/>
      </c>
      <c r="R139" s="100" t="str">
        <f t="shared" si="25"/>
        <v/>
      </c>
      <c r="S139" s="100" t="str">
        <f t="shared" si="26"/>
        <v/>
      </c>
      <c r="T139" s="101" t="str">
        <f t="shared" si="27"/>
        <v/>
      </c>
      <c r="U139" s="101" t="str">
        <f t="shared" si="28"/>
        <v/>
      </c>
      <c r="V139" s="128" t="str">
        <f t="shared" si="29"/>
        <v/>
      </c>
      <c r="W139" s="128" t="str">
        <f t="shared" si="30"/>
        <v/>
      </c>
      <c r="X139" s="101" t="str">
        <f t="shared" si="31"/>
        <v/>
      </c>
      <c r="Y139" s="101" t="str">
        <f t="shared" si="32"/>
        <v/>
      </c>
      <c r="Z139" s="102" t="str">
        <f t="shared" si="33"/>
        <v/>
      </c>
      <c r="AA139" s="103" t="str">
        <f t="shared" si="34"/>
        <v/>
      </c>
      <c r="AB139" s="142" t="str">
        <f>IF(A139&lt;&gt;"", SUMIFS(node!$J$2:$J$500, node!$C$2:$C$500,"="&amp;A139)/P139, "")</f>
        <v/>
      </c>
      <c r="AC139" s="134" t="str">
        <f>IF(A139&lt;&gt;"", SUMIFS(node!$K$2:$K$500, node!$C$2:$C$500,"="&amp;A139)/P139, "")</f>
        <v/>
      </c>
      <c r="AD139" s="135" t="str">
        <f>IF(A139&lt;&gt;"", SUMIFS(node!$L$2:$L$500, node!$C$2:$C$500,"="&amp;A139), "")</f>
        <v/>
      </c>
      <c r="AE139" s="145" t="str">
        <f>IF(A139&lt;&gt;"", SUMIFS(node!$M$2:$M$500, node!$C$2:$C$500,"="&amp;A139), "")</f>
        <v/>
      </c>
    </row>
    <row r="140" spans="1:31" ht="15.75" customHeight="1" x14ac:dyDescent="0.25">
      <c r="A140" s="119" t="str">
        <f>IF(ISNONTEXT(node_raw[[#This Row],[Column2]]), "", node_raw[[#This Row],[Column2]])</f>
        <v/>
      </c>
      <c r="B140" s="116" t="str">
        <f>IF(A140&lt;&gt;"", VLOOKUP(A140, node!$C$2:$D$500, 2, FALSE), "")</f>
        <v/>
      </c>
      <c r="C140" s="117" t="str">
        <f>IF(A140&lt;&gt;"", VLOOKUP(A140, node!$C$2:$E$500, 3, FALSE), "")</f>
        <v/>
      </c>
      <c r="D140" s="118" t="str">
        <f>IF(A140&lt;&gt;"",COUNTIFS(node!$C$2:$C$500,"="&amp;A140, node!$C$2:$C$500,"&lt;&gt;"&amp;""),"")</f>
        <v/>
      </c>
      <c r="E140" s="122" t="str">
        <f>IF(A140&lt;&gt;"",SUMIFS(node!$F$2:$F$500, node!$C$2:$C$500,"="&amp;A140, node!$C$2:$C$500,"&lt;&gt;"&amp;"")/(B140*D140),"")</f>
        <v/>
      </c>
      <c r="F140" s="124" t="str">
        <f>IF(A140&lt;&gt;"",SUMIFS(node!$H$2:$H$500, node!$C$2:$C$500,"="&amp;A140, node!$C$2:$C$500,"&lt;&gt;"&amp;"")/(C140*D140),"")</f>
        <v/>
      </c>
      <c r="G140" s="93" t="str">
        <f>IF(A140&lt;&gt;"",SUMIFS(deployment!$F$4:$F$502, deployment!$D$4:$D$502,"="&amp;A140, deployment!$D$4:$D$502,"&lt;&gt;"&amp;""),"")</f>
        <v/>
      </c>
      <c r="H140" s="94" t="str">
        <f>IF(A140&lt;&gt;"",SUMIFS(deployment!$G$4:$G$502, deployment!$D$4:$D$502,"="&amp;A140, deployment!$D$4:$D$502,"&lt;&gt;"&amp;""),"")</f>
        <v/>
      </c>
      <c r="I140" s="95" t="str">
        <f>IF(A140&lt;&gt;"",SUMIFS(deployment!$H$4:$H$502, deployment!$D$4:$D$502,"="&amp;A140, deployment!$D$4:$D$502,"&lt;&gt;"&amp;""),"")</f>
        <v/>
      </c>
      <c r="J140" s="96" t="str">
        <f>IF(A140&lt;&gt;"",SUMIFS(deployment!$I$4:$I$502, deployment!$D$4:$D$502,"="&amp;A140, deployment!$D$4:$D$502,"&lt;&gt;"&amp;""),"")</f>
        <v/>
      </c>
      <c r="K140" s="112" t="str">
        <f>IF(A140&lt;&gt;"",SUMIFS(deployment!$J$4:$J$502, deployment!$D$4:$D$502,"="&amp;A140, deployment!$D$4:$D$502,"&lt;&gt;"&amp;""),"")</f>
        <v/>
      </c>
      <c r="L140" s="112" t="str">
        <f>IF(A140&lt;&gt;"",SUMIFS(deployment!$K$4:$K$502, deployment!$D$4:$D$502,"="&amp;A140, deployment!$D$4:$D$502,"&lt;&gt;"&amp;""),"")</f>
        <v/>
      </c>
      <c r="M140" s="97" t="str">
        <f>IF(A140&lt;&gt;"",SUMIFS(deployment!$L$4:$L$502, deployment!$D$4:$D$502,"="&amp;A140, deployment!$D$4:$D$502,"&lt;&gt;"&amp;""),"")</f>
        <v/>
      </c>
      <c r="N140" s="97" t="str">
        <f>IF(A140&lt;&gt;"",SUMIFS(deployment!$M$4:$M$502, deployment!$D$4:$D$502,"="&amp;A140, deployment!$D$4:$D$502,"&lt;&gt;"&amp;""),"")</f>
        <v/>
      </c>
      <c r="O140" s="127" t="str">
        <f t="shared" si="35"/>
        <v/>
      </c>
      <c r="P140" s="104"/>
      <c r="Q140" s="99" t="str">
        <f t="shared" si="24"/>
        <v/>
      </c>
      <c r="R140" s="100" t="str">
        <f t="shared" si="25"/>
        <v/>
      </c>
      <c r="S140" s="100" t="str">
        <f t="shared" si="26"/>
        <v/>
      </c>
      <c r="T140" s="101" t="str">
        <f t="shared" si="27"/>
        <v/>
      </c>
      <c r="U140" s="101" t="str">
        <f t="shared" si="28"/>
        <v/>
      </c>
      <c r="V140" s="128" t="str">
        <f t="shared" si="29"/>
        <v/>
      </c>
      <c r="W140" s="128" t="str">
        <f t="shared" si="30"/>
        <v/>
      </c>
      <c r="X140" s="101" t="str">
        <f t="shared" si="31"/>
        <v/>
      </c>
      <c r="Y140" s="101" t="str">
        <f t="shared" si="32"/>
        <v/>
      </c>
      <c r="Z140" s="102" t="str">
        <f t="shared" si="33"/>
        <v/>
      </c>
      <c r="AA140" s="103" t="str">
        <f t="shared" si="34"/>
        <v/>
      </c>
      <c r="AB140" s="142" t="str">
        <f>IF(A140&lt;&gt;"", SUMIFS(node!$J$2:$J$500, node!$C$2:$C$500,"="&amp;A140)/P140, "")</f>
        <v/>
      </c>
      <c r="AC140" s="134" t="str">
        <f>IF(A140&lt;&gt;"", SUMIFS(node!$K$2:$K$500, node!$C$2:$C$500,"="&amp;A140)/P140, "")</f>
        <v/>
      </c>
      <c r="AD140" s="135" t="str">
        <f>IF(A140&lt;&gt;"", SUMIFS(node!$L$2:$L$500, node!$C$2:$C$500,"="&amp;A140), "")</f>
        <v/>
      </c>
      <c r="AE140" s="145" t="str">
        <f>IF(A140&lt;&gt;"", SUMIFS(node!$M$2:$M$500, node!$C$2:$C$500,"="&amp;A140), "")</f>
        <v/>
      </c>
    </row>
    <row r="141" spans="1:31" ht="15.75" customHeight="1" x14ac:dyDescent="0.25">
      <c r="A141" s="119" t="str">
        <f>IF(ISNONTEXT(node_raw[[#This Row],[Column2]]), "", node_raw[[#This Row],[Column2]])</f>
        <v/>
      </c>
      <c r="B141" s="116" t="str">
        <f>IF(A141&lt;&gt;"", VLOOKUP(A141, node!$C$2:$D$500, 2, FALSE), "")</f>
        <v/>
      </c>
      <c r="C141" s="117" t="str">
        <f>IF(A141&lt;&gt;"", VLOOKUP(A141, node!$C$2:$E$500, 3, FALSE), "")</f>
        <v/>
      </c>
      <c r="D141" s="118" t="str">
        <f>IF(A141&lt;&gt;"",COUNTIFS(node!$C$2:$C$500,"="&amp;A141, node!$C$2:$C$500,"&lt;&gt;"&amp;""),"")</f>
        <v/>
      </c>
      <c r="E141" s="122" t="str">
        <f>IF(A141&lt;&gt;"",SUMIFS(node!$F$2:$F$500, node!$C$2:$C$500,"="&amp;A141, node!$C$2:$C$500,"&lt;&gt;"&amp;"")/(B141*D141),"")</f>
        <v/>
      </c>
      <c r="F141" s="124" t="str">
        <f>IF(A141&lt;&gt;"",SUMIFS(node!$H$2:$H$500, node!$C$2:$C$500,"="&amp;A141, node!$C$2:$C$500,"&lt;&gt;"&amp;"")/(C141*D141),"")</f>
        <v/>
      </c>
      <c r="G141" s="93" t="str">
        <f>IF(A141&lt;&gt;"",SUMIFS(deployment!$F$4:$F$502, deployment!$D$4:$D$502,"="&amp;A141, deployment!$D$4:$D$502,"&lt;&gt;"&amp;""),"")</f>
        <v/>
      </c>
      <c r="H141" s="94" t="str">
        <f>IF(A141&lt;&gt;"",SUMIFS(deployment!$G$4:$G$502, deployment!$D$4:$D$502,"="&amp;A141, deployment!$D$4:$D$502,"&lt;&gt;"&amp;""),"")</f>
        <v/>
      </c>
      <c r="I141" s="95" t="str">
        <f>IF(A141&lt;&gt;"",SUMIFS(deployment!$H$4:$H$502, deployment!$D$4:$D$502,"="&amp;A141, deployment!$D$4:$D$502,"&lt;&gt;"&amp;""),"")</f>
        <v/>
      </c>
      <c r="J141" s="96" t="str">
        <f>IF(A141&lt;&gt;"",SUMIFS(deployment!$I$4:$I$502, deployment!$D$4:$D$502,"="&amp;A141, deployment!$D$4:$D$502,"&lt;&gt;"&amp;""),"")</f>
        <v/>
      </c>
      <c r="K141" s="112" t="str">
        <f>IF(A141&lt;&gt;"",SUMIFS(deployment!$J$4:$J$502, deployment!$D$4:$D$502,"="&amp;A141, deployment!$D$4:$D$502,"&lt;&gt;"&amp;""),"")</f>
        <v/>
      </c>
      <c r="L141" s="112" t="str">
        <f>IF(A141&lt;&gt;"",SUMIFS(deployment!$K$4:$K$502, deployment!$D$4:$D$502,"="&amp;A141, deployment!$D$4:$D$502,"&lt;&gt;"&amp;""),"")</f>
        <v/>
      </c>
      <c r="M141" s="97" t="str">
        <f>IF(A141&lt;&gt;"",SUMIFS(deployment!$L$4:$L$502, deployment!$D$4:$D$502,"="&amp;A141, deployment!$D$4:$D$502,"&lt;&gt;"&amp;""),"")</f>
        <v/>
      </c>
      <c r="N141" s="97" t="str">
        <f>IF(A141&lt;&gt;"",SUMIFS(deployment!$M$4:$M$502, deployment!$D$4:$D$502,"="&amp;A141, deployment!$D$4:$D$502,"&lt;&gt;"&amp;""),"")</f>
        <v/>
      </c>
      <c r="O141" s="127" t="str">
        <f t="shared" si="35"/>
        <v/>
      </c>
      <c r="P141" s="104"/>
      <c r="Q141" s="99" t="str">
        <f t="shared" si="24"/>
        <v/>
      </c>
      <c r="R141" s="100" t="str">
        <f t="shared" si="25"/>
        <v/>
      </c>
      <c r="S141" s="100" t="str">
        <f t="shared" si="26"/>
        <v/>
      </c>
      <c r="T141" s="101" t="str">
        <f t="shared" si="27"/>
        <v/>
      </c>
      <c r="U141" s="101" t="str">
        <f t="shared" si="28"/>
        <v/>
      </c>
      <c r="V141" s="128" t="str">
        <f t="shared" si="29"/>
        <v/>
      </c>
      <c r="W141" s="128" t="str">
        <f t="shared" si="30"/>
        <v/>
      </c>
      <c r="X141" s="101" t="str">
        <f t="shared" si="31"/>
        <v/>
      </c>
      <c r="Y141" s="101" t="str">
        <f t="shared" si="32"/>
        <v/>
      </c>
      <c r="Z141" s="102" t="str">
        <f t="shared" si="33"/>
        <v/>
      </c>
      <c r="AA141" s="103" t="str">
        <f t="shared" si="34"/>
        <v/>
      </c>
      <c r="AB141" s="142" t="str">
        <f>IF(A141&lt;&gt;"", SUMIFS(node!$J$2:$J$500, node!$C$2:$C$500,"="&amp;A141)/P141, "")</f>
        <v/>
      </c>
      <c r="AC141" s="134" t="str">
        <f>IF(A141&lt;&gt;"", SUMIFS(node!$K$2:$K$500, node!$C$2:$C$500,"="&amp;A141)/P141, "")</f>
        <v/>
      </c>
      <c r="AD141" s="135" t="str">
        <f>IF(A141&lt;&gt;"", SUMIFS(node!$L$2:$L$500, node!$C$2:$C$500,"="&amp;A141), "")</f>
        <v/>
      </c>
      <c r="AE141" s="145" t="str">
        <f>IF(A141&lt;&gt;"", SUMIFS(node!$M$2:$M$500, node!$C$2:$C$500,"="&amp;A141), "")</f>
        <v/>
      </c>
    </row>
    <row r="142" spans="1:31" ht="15.75" customHeight="1" x14ac:dyDescent="0.25">
      <c r="A142" s="119" t="str">
        <f>IF(ISNONTEXT(node_raw[[#This Row],[Column2]]), "", node_raw[[#This Row],[Column2]])</f>
        <v/>
      </c>
      <c r="B142" s="116" t="str">
        <f>IF(A142&lt;&gt;"", VLOOKUP(A142, node!$C$2:$D$500, 2, FALSE), "")</f>
        <v/>
      </c>
      <c r="C142" s="117" t="str">
        <f>IF(A142&lt;&gt;"", VLOOKUP(A142, node!$C$2:$E$500, 3, FALSE), "")</f>
        <v/>
      </c>
      <c r="D142" s="118" t="str">
        <f>IF(A142&lt;&gt;"",COUNTIFS(node!$C$2:$C$500,"="&amp;A142, node!$C$2:$C$500,"&lt;&gt;"&amp;""),"")</f>
        <v/>
      </c>
      <c r="E142" s="122" t="str">
        <f>IF(A142&lt;&gt;"",SUMIFS(node!$F$2:$F$500, node!$C$2:$C$500,"="&amp;A142, node!$C$2:$C$500,"&lt;&gt;"&amp;"")/(B142*D142),"")</f>
        <v/>
      </c>
      <c r="F142" s="124" t="str">
        <f>IF(A142&lt;&gt;"",SUMIFS(node!$H$2:$H$500, node!$C$2:$C$500,"="&amp;A142, node!$C$2:$C$500,"&lt;&gt;"&amp;"")/(C142*D142),"")</f>
        <v/>
      </c>
      <c r="G142" s="93" t="str">
        <f>IF(A142&lt;&gt;"",SUMIFS(deployment!$F$4:$F$502, deployment!$D$4:$D$502,"="&amp;A142, deployment!$D$4:$D$502,"&lt;&gt;"&amp;""),"")</f>
        <v/>
      </c>
      <c r="H142" s="94" t="str">
        <f>IF(A142&lt;&gt;"",SUMIFS(deployment!$G$4:$G$502, deployment!$D$4:$D$502,"="&amp;A142, deployment!$D$4:$D$502,"&lt;&gt;"&amp;""),"")</f>
        <v/>
      </c>
      <c r="I142" s="95" t="str">
        <f>IF(A142&lt;&gt;"",SUMIFS(deployment!$H$4:$H$502, deployment!$D$4:$D$502,"="&amp;A142, deployment!$D$4:$D$502,"&lt;&gt;"&amp;""),"")</f>
        <v/>
      </c>
      <c r="J142" s="96" t="str">
        <f>IF(A142&lt;&gt;"",SUMIFS(deployment!$I$4:$I$502, deployment!$D$4:$D$502,"="&amp;A142, deployment!$D$4:$D$502,"&lt;&gt;"&amp;""),"")</f>
        <v/>
      </c>
      <c r="K142" s="112" t="str">
        <f>IF(A142&lt;&gt;"",SUMIFS(deployment!$J$4:$J$502, deployment!$D$4:$D$502,"="&amp;A142, deployment!$D$4:$D$502,"&lt;&gt;"&amp;""),"")</f>
        <v/>
      </c>
      <c r="L142" s="112" t="str">
        <f>IF(A142&lt;&gt;"",SUMIFS(deployment!$K$4:$K$502, deployment!$D$4:$D$502,"="&amp;A142, deployment!$D$4:$D$502,"&lt;&gt;"&amp;""),"")</f>
        <v/>
      </c>
      <c r="M142" s="97" t="str">
        <f>IF(A142&lt;&gt;"",SUMIFS(deployment!$L$4:$L$502, deployment!$D$4:$D$502,"="&amp;A142, deployment!$D$4:$D$502,"&lt;&gt;"&amp;""),"")</f>
        <v/>
      </c>
      <c r="N142" s="97" t="str">
        <f>IF(A142&lt;&gt;"",SUMIFS(deployment!$M$4:$M$502, deployment!$D$4:$D$502,"="&amp;A142, deployment!$D$4:$D$502,"&lt;&gt;"&amp;""),"")</f>
        <v/>
      </c>
      <c r="O142" s="127" t="str">
        <f t="shared" si="35"/>
        <v/>
      </c>
      <c r="P142" s="104"/>
      <c r="Q142" s="99" t="str">
        <f t="shared" si="24"/>
        <v/>
      </c>
      <c r="R142" s="100" t="str">
        <f t="shared" si="25"/>
        <v/>
      </c>
      <c r="S142" s="100" t="str">
        <f t="shared" si="26"/>
        <v/>
      </c>
      <c r="T142" s="101" t="str">
        <f t="shared" si="27"/>
        <v/>
      </c>
      <c r="U142" s="101" t="str">
        <f t="shared" si="28"/>
        <v/>
      </c>
      <c r="V142" s="128" t="str">
        <f t="shared" si="29"/>
        <v/>
      </c>
      <c r="W142" s="128" t="str">
        <f t="shared" si="30"/>
        <v/>
      </c>
      <c r="X142" s="101" t="str">
        <f t="shared" si="31"/>
        <v/>
      </c>
      <c r="Y142" s="101" t="str">
        <f t="shared" si="32"/>
        <v/>
      </c>
      <c r="Z142" s="102" t="str">
        <f t="shared" si="33"/>
        <v/>
      </c>
      <c r="AA142" s="103" t="str">
        <f t="shared" si="34"/>
        <v/>
      </c>
      <c r="AB142" s="142" t="str">
        <f>IF(A142&lt;&gt;"", SUMIFS(node!$J$2:$J$500, node!$C$2:$C$500,"="&amp;A142)/P142, "")</f>
        <v/>
      </c>
      <c r="AC142" s="134" t="str">
        <f>IF(A142&lt;&gt;"", SUMIFS(node!$K$2:$K$500, node!$C$2:$C$500,"="&amp;A142)/P142, "")</f>
        <v/>
      </c>
      <c r="AD142" s="135" t="str">
        <f>IF(A142&lt;&gt;"", SUMIFS(node!$L$2:$L$500, node!$C$2:$C$500,"="&amp;A142), "")</f>
        <v/>
      </c>
      <c r="AE142" s="145" t="str">
        <f>IF(A142&lt;&gt;"", SUMIFS(node!$M$2:$M$500, node!$C$2:$C$500,"="&amp;A142), "")</f>
        <v/>
      </c>
    </row>
    <row r="143" spans="1:31" ht="15.75" customHeight="1" x14ac:dyDescent="0.25">
      <c r="A143" s="119" t="str">
        <f>IF(ISNONTEXT(node_raw[[#This Row],[Column2]]), "", node_raw[[#This Row],[Column2]])</f>
        <v/>
      </c>
      <c r="B143" s="116" t="str">
        <f>IF(A143&lt;&gt;"", VLOOKUP(A143, node!$C$2:$D$500, 2, FALSE), "")</f>
        <v/>
      </c>
      <c r="C143" s="117" t="str">
        <f>IF(A143&lt;&gt;"", VLOOKUP(A143, node!$C$2:$E$500, 3, FALSE), "")</f>
        <v/>
      </c>
      <c r="D143" s="118" t="str">
        <f>IF(A143&lt;&gt;"",COUNTIFS(node!$C$2:$C$500,"="&amp;A143, node!$C$2:$C$500,"&lt;&gt;"&amp;""),"")</f>
        <v/>
      </c>
      <c r="E143" s="122" t="str">
        <f>IF(A143&lt;&gt;"",SUMIFS(node!$F$2:$F$500, node!$C$2:$C$500,"="&amp;A143, node!$C$2:$C$500,"&lt;&gt;"&amp;"")/(B143*D143),"")</f>
        <v/>
      </c>
      <c r="F143" s="124" t="str">
        <f>IF(A143&lt;&gt;"",SUMIFS(node!$H$2:$H$500, node!$C$2:$C$500,"="&amp;A143, node!$C$2:$C$500,"&lt;&gt;"&amp;"")/(C143*D143),"")</f>
        <v/>
      </c>
      <c r="G143" s="93" t="str">
        <f>IF(A143&lt;&gt;"",SUMIFS(deployment!$F$4:$F$502, deployment!$D$4:$D$502,"="&amp;A143, deployment!$D$4:$D$502,"&lt;&gt;"&amp;""),"")</f>
        <v/>
      </c>
      <c r="H143" s="94" t="str">
        <f>IF(A143&lt;&gt;"",SUMIFS(deployment!$G$4:$G$502, deployment!$D$4:$D$502,"="&amp;A143, deployment!$D$4:$D$502,"&lt;&gt;"&amp;""),"")</f>
        <v/>
      </c>
      <c r="I143" s="95" t="str">
        <f>IF(A143&lt;&gt;"",SUMIFS(deployment!$H$4:$H$502, deployment!$D$4:$D$502,"="&amp;A143, deployment!$D$4:$D$502,"&lt;&gt;"&amp;""),"")</f>
        <v/>
      </c>
      <c r="J143" s="96" t="str">
        <f>IF(A143&lt;&gt;"",SUMIFS(deployment!$I$4:$I$502, deployment!$D$4:$D$502,"="&amp;A143, deployment!$D$4:$D$502,"&lt;&gt;"&amp;""),"")</f>
        <v/>
      </c>
      <c r="K143" s="112" t="str">
        <f>IF(A143&lt;&gt;"",SUMIFS(deployment!$J$4:$J$502, deployment!$D$4:$D$502,"="&amp;A143, deployment!$D$4:$D$502,"&lt;&gt;"&amp;""),"")</f>
        <v/>
      </c>
      <c r="L143" s="112" t="str">
        <f>IF(A143&lt;&gt;"",SUMIFS(deployment!$K$4:$K$502, deployment!$D$4:$D$502,"="&amp;A143, deployment!$D$4:$D$502,"&lt;&gt;"&amp;""),"")</f>
        <v/>
      </c>
      <c r="M143" s="97" t="str">
        <f>IF(A143&lt;&gt;"",SUMIFS(deployment!$L$4:$L$502, deployment!$D$4:$D$502,"="&amp;A143, deployment!$D$4:$D$502,"&lt;&gt;"&amp;""),"")</f>
        <v/>
      </c>
      <c r="N143" s="97" t="str">
        <f>IF(A143&lt;&gt;"",SUMIFS(deployment!$M$4:$M$502, deployment!$D$4:$D$502,"="&amp;A143, deployment!$D$4:$D$502,"&lt;&gt;"&amp;""),"")</f>
        <v/>
      </c>
      <c r="O143" s="127" t="str">
        <f t="shared" si="35"/>
        <v/>
      </c>
      <c r="P143" s="104"/>
      <c r="Q143" s="99" t="str">
        <f t="shared" si="24"/>
        <v/>
      </c>
      <c r="R143" s="100" t="str">
        <f t="shared" si="25"/>
        <v/>
      </c>
      <c r="S143" s="100" t="str">
        <f t="shared" si="26"/>
        <v/>
      </c>
      <c r="T143" s="101" t="str">
        <f t="shared" si="27"/>
        <v/>
      </c>
      <c r="U143" s="101" t="str">
        <f t="shared" si="28"/>
        <v/>
      </c>
      <c r="V143" s="128" t="str">
        <f t="shared" si="29"/>
        <v/>
      </c>
      <c r="W143" s="128" t="str">
        <f t="shared" si="30"/>
        <v/>
      </c>
      <c r="X143" s="101" t="str">
        <f t="shared" si="31"/>
        <v/>
      </c>
      <c r="Y143" s="101" t="str">
        <f t="shared" si="32"/>
        <v/>
      </c>
      <c r="Z143" s="102" t="str">
        <f t="shared" si="33"/>
        <v/>
      </c>
      <c r="AA143" s="103" t="str">
        <f t="shared" si="34"/>
        <v/>
      </c>
      <c r="AB143" s="142" t="str">
        <f>IF(A143&lt;&gt;"", SUMIFS(node!$J$2:$J$500, node!$C$2:$C$500,"="&amp;A143)/P143, "")</f>
        <v/>
      </c>
      <c r="AC143" s="134" t="str">
        <f>IF(A143&lt;&gt;"", SUMIFS(node!$K$2:$K$500, node!$C$2:$C$500,"="&amp;A143)/P143, "")</f>
        <v/>
      </c>
      <c r="AD143" s="135" t="str">
        <f>IF(A143&lt;&gt;"", SUMIFS(node!$L$2:$L$500, node!$C$2:$C$500,"="&amp;A143), "")</f>
        <v/>
      </c>
      <c r="AE143" s="145" t="str">
        <f>IF(A143&lt;&gt;"", SUMIFS(node!$M$2:$M$500, node!$C$2:$C$500,"="&amp;A143), "")</f>
        <v/>
      </c>
    </row>
    <row r="144" spans="1:31" ht="15.75" customHeight="1" x14ac:dyDescent="0.25">
      <c r="A144" s="119" t="str">
        <f>IF(ISNONTEXT(node_raw[[#This Row],[Column2]]), "", node_raw[[#This Row],[Column2]])</f>
        <v/>
      </c>
      <c r="B144" s="116" t="str">
        <f>IF(A144&lt;&gt;"", VLOOKUP(A144, node!$C$2:$D$500, 2, FALSE), "")</f>
        <v/>
      </c>
      <c r="C144" s="117" t="str">
        <f>IF(A144&lt;&gt;"", VLOOKUP(A144, node!$C$2:$E$500, 3, FALSE), "")</f>
        <v/>
      </c>
      <c r="D144" s="118" t="str">
        <f>IF(A144&lt;&gt;"",COUNTIFS(node!$C$2:$C$500,"="&amp;A144, node!$C$2:$C$500,"&lt;&gt;"&amp;""),"")</f>
        <v/>
      </c>
      <c r="E144" s="122" t="str">
        <f>IF(A144&lt;&gt;"",SUMIFS(node!$F$2:$F$500, node!$C$2:$C$500,"="&amp;A144, node!$C$2:$C$500,"&lt;&gt;"&amp;"")/(B144*D144),"")</f>
        <v/>
      </c>
      <c r="F144" s="124" t="str">
        <f>IF(A144&lt;&gt;"",SUMIFS(node!$H$2:$H$500, node!$C$2:$C$500,"="&amp;A144, node!$C$2:$C$500,"&lt;&gt;"&amp;"")/(C144*D144),"")</f>
        <v/>
      </c>
      <c r="G144" s="93" t="str">
        <f>IF(A144&lt;&gt;"",SUMIFS(deployment!$F$4:$F$502, deployment!$D$4:$D$502,"="&amp;A144, deployment!$D$4:$D$502,"&lt;&gt;"&amp;""),"")</f>
        <v/>
      </c>
      <c r="H144" s="94" t="str">
        <f>IF(A144&lt;&gt;"",SUMIFS(deployment!$G$4:$G$502, deployment!$D$4:$D$502,"="&amp;A144, deployment!$D$4:$D$502,"&lt;&gt;"&amp;""),"")</f>
        <v/>
      </c>
      <c r="I144" s="95" t="str">
        <f>IF(A144&lt;&gt;"",SUMIFS(deployment!$H$4:$H$502, deployment!$D$4:$D$502,"="&amp;A144, deployment!$D$4:$D$502,"&lt;&gt;"&amp;""),"")</f>
        <v/>
      </c>
      <c r="J144" s="96" t="str">
        <f>IF(A144&lt;&gt;"",SUMIFS(deployment!$I$4:$I$502, deployment!$D$4:$D$502,"="&amp;A144, deployment!$D$4:$D$502,"&lt;&gt;"&amp;""),"")</f>
        <v/>
      </c>
      <c r="K144" s="112" t="str">
        <f>IF(A144&lt;&gt;"",SUMIFS(deployment!$J$4:$J$502, deployment!$D$4:$D$502,"="&amp;A144, deployment!$D$4:$D$502,"&lt;&gt;"&amp;""),"")</f>
        <v/>
      </c>
      <c r="L144" s="112" t="str">
        <f>IF(A144&lt;&gt;"",SUMIFS(deployment!$K$4:$K$502, deployment!$D$4:$D$502,"="&amp;A144, deployment!$D$4:$D$502,"&lt;&gt;"&amp;""),"")</f>
        <v/>
      </c>
      <c r="M144" s="97" t="str">
        <f>IF(A144&lt;&gt;"",SUMIFS(deployment!$L$4:$L$502, deployment!$D$4:$D$502,"="&amp;A144, deployment!$D$4:$D$502,"&lt;&gt;"&amp;""),"")</f>
        <v/>
      </c>
      <c r="N144" s="97" t="str">
        <f>IF(A144&lt;&gt;"",SUMIFS(deployment!$M$4:$M$502, deployment!$D$4:$D$502,"="&amp;A144, deployment!$D$4:$D$502,"&lt;&gt;"&amp;""),"")</f>
        <v/>
      </c>
      <c r="O144" s="127" t="str">
        <f t="shared" si="35"/>
        <v/>
      </c>
      <c r="P144" s="104"/>
      <c r="Q144" s="99" t="str">
        <f t="shared" si="24"/>
        <v/>
      </c>
      <c r="R144" s="100" t="str">
        <f t="shared" si="25"/>
        <v/>
      </c>
      <c r="S144" s="100" t="str">
        <f t="shared" si="26"/>
        <v/>
      </c>
      <c r="T144" s="101" t="str">
        <f t="shared" si="27"/>
        <v/>
      </c>
      <c r="U144" s="101" t="str">
        <f t="shared" si="28"/>
        <v/>
      </c>
      <c r="V144" s="128" t="str">
        <f t="shared" si="29"/>
        <v/>
      </c>
      <c r="W144" s="128" t="str">
        <f t="shared" si="30"/>
        <v/>
      </c>
      <c r="X144" s="101" t="str">
        <f t="shared" si="31"/>
        <v/>
      </c>
      <c r="Y144" s="101" t="str">
        <f t="shared" si="32"/>
        <v/>
      </c>
      <c r="Z144" s="102" t="str">
        <f t="shared" si="33"/>
        <v/>
      </c>
      <c r="AA144" s="103" t="str">
        <f t="shared" si="34"/>
        <v/>
      </c>
      <c r="AB144" s="142" t="str">
        <f>IF(A144&lt;&gt;"", SUMIFS(node!$J$2:$J$500, node!$C$2:$C$500,"="&amp;A144)/P144, "")</f>
        <v/>
      </c>
      <c r="AC144" s="134" t="str">
        <f>IF(A144&lt;&gt;"", SUMIFS(node!$K$2:$K$500, node!$C$2:$C$500,"="&amp;A144)/P144, "")</f>
        <v/>
      </c>
      <c r="AD144" s="135" t="str">
        <f>IF(A144&lt;&gt;"", SUMIFS(node!$L$2:$L$500, node!$C$2:$C$500,"="&amp;A144), "")</f>
        <v/>
      </c>
      <c r="AE144" s="145" t="str">
        <f>IF(A144&lt;&gt;"", SUMIFS(node!$M$2:$M$500, node!$C$2:$C$500,"="&amp;A144), "")</f>
        <v/>
      </c>
    </row>
    <row r="145" spans="1:31" ht="15.75" customHeight="1" x14ac:dyDescent="0.25">
      <c r="A145" s="119" t="str">
        <f>IF(ISNONTEXT(node_raw[[#This Row],[Column2]]), "", node_raw[[#This Row],[Column2]])</f>
        <v/>
      </c>
      <c r="B145" s="116" t="str">
        <f>IF(A145&lt;&gt;"", VLOOKUP(A145, node!$C$2:$D$500, 2, FALSE), "")</f>
        <v/>
      </c>
      <c r="C145" s="117" t="str">
        <f>IF(A145&lt;&gt;"", VLOOKUP(A145, node!$C$2:$E$500, 3, FALSE), "")</f>
        <v/>
      </c>
      <c r="D145" s="118" t="str">
        <f>IF(A145&lt;&gt;"",COUNTIFS(node!$C$2:$C$500,"="&amp;A145, node!$C$2:$C$500,"&lt;&gt;"&amp;""),"")</f>
        <v/>
      </c>
      <c r="E145" s="122" t="str">
        <f>IF(A145&lt;&gt;"",SUMIFS(node!$F$2:$F$500, node!$C$2:$C$500,"="&amp;A145, node!$C$2:$C$500,"&lt;&gt;"&amp;"")/(B145*D145),"")</f>
        <v/>
      </c>
      <c r="F145" s="124" t="str">
        <f>IF(A145&lt;&gt;"",SUMIFS(node!$H$2:$H$500, node!$C$2:$C$500,"="&amp;A145, node!$C$2:$C$500,"&lt;&gt;"&amp;"")/(C145*D145),"")</f>
        <v/>
      </c>
      <c r="G145" s="93" t="str">
        <f>IF(A145&lt;&gt;"",SUMIFS(deployment!$F$4:$F$502, deployment!$D$4:$D$502,"="&amp;A145, deployment!$D$4:$D$502,"&lt;&gt;"&amp;""),"")</f>
        <v/>
      </c>
      <c r="H145" s="94" t="str">
        <f>IF(A145&lt;&gt;"",SUMIFS(deployment!$G$4:$G$502, deployment!$D$4:$D$502,"="&amp;A145, deployment!$D$4:$D$502,"&lt;&gt;"&amp;""),"")</f>
        <v/>
      </c>
      <c r="I145" s="95" t="str">
        <f>IF(A145&lt;&gt;"",SUMIFS(deployment!$H$4:$H$502, deployment!$D$4:$D$502,"="&amp;A145, deployment!$D$4:$D$502,"&lt;&gt;"&amp;""),"")</f>
        <v/>
      </c>
      <c r="J145" s="96" t="str">
        <f>IF(A145&lt;&gt;"",SUMIFS(deployment!$I$4:$I$502, deployment!$D$4:$D$502,"="&amp;A145, deployment!$D$4:$D$502,"&lt;&gt;"&amp;""),"")</f>
        <v/>
      </c>
      <c r="K145" s="112" t="str">
        <f>IF(A145&lt;&gt;"",SUMIFS(deployment!$J$4:$J$502, deployment!$D$4:$D$502,"="&amp;A145, deployment!$D$4:$D$502,"&lt;&gt;"&amp;""),"")</f>
        <v/>
      </c>
      <c r="L145" s="112" t="str">
        <f>IF(A145&lt;&gt;"",SUMIFS(deployment!$K$4:$K$502, deployment!$D$4:$D$502,"="&amp;A145, deployment!$D$4:$D$502,"&lt;&gt;"&amp;""),"")</f>
        <v/>
      </c>
      <c r="M145" s="97" t="str">
        <f>IF(A145&lt;&gt;"",SUMIFS(deployment!$L$4:$L$502, deployment!$D$4:$D$502,"="&amp;A145, deployment!$D$4:$D$502,"&lt;&gt;"&amp;""),"")</f>
        <v/>
      </c>
      <c r="N145" s="97" t="str">
        <f>IF(A145&lt;&gt;"",SUMIFS(deployment!$M$4:$M$502, deployment!$D$4:$D$502,"="&amp;A145, deployment!$D$4:$D$502,"&lt;&gt;"&amp;""),"")</f>
        <v/>
      </c>
      <c r="O145" s="127" t="str">
        <f t="shared" si="35"/>
        <v/>
      </c>
      <c r="P145" s="104"/>
      <c r="Q145" s="99" t="str">
        <f t="shared" si="24"/>
        <v/>
      </c>
      <c r="R145" s="100" t="str">
        <f t="shared" si="25"/>
        <v/>
      </c>
      <c r="S145" s="100" t="str">
        <f t="shared" si="26"/>
        <v/>
      </c>
      <c r="T145" s="101" t="str">
        <f t="shared" si="27"/>
        <v/>
      </c>
      <c r="U145" s="101" t="str">
        <f t="shared" si="28"/>
        <v/>
      </c>
      <c r="V145" s="128" t="str">
        <f t="shared" si="29"/>
        <v/>
      </c>
      <c r="W145" s="128" t="str">
        <f t="shared" si="30"/>
        <v/>
      </c>
      <c r="X145" s="101" t="str">
        <f t="shared" si="31"/>
        <v/>
      </c>
      <c r="Y145" s="101" t="str">
        <f t="shared" si="32"/>
        <v/>
      </c>
      <c r="Z145" s="102" t="str">
        <f t="shared" si="33"/>
        <v/>
      </c>
      <c r="AA145" s="103" t="str">
        <f t="shared" si="34"/>
        <v/>
      </c>
      <c r="AB145" s="142" t="str">
        <f>IF(A145&lt;&gt;"", SUMIFS(node!$J$2:$J$500, node!$C$2:$C$500,"="&amp;A145)/P145, "")</f>
        <v/>
      </c>
      <c r="AC145" s="134" t="str">
        <f>IF(A145&lt;&gt;"", SUMIFS(node!$K$2:$K$500, node!$C$2:$C$500,"="&amp;A145)/P145, "")</f>
        <v/>
      </c>
      <c r="AD145" s="135" t="str">
        <f>IF(A145&lt;&gt;"", SUMIFS(node!$L$2:$L$500, node!$C$2:$C$500,"="&amp;A145), "")</f>
        <v/>
      </c>
      <c r="AE145" s="145" t="str">
        <f>IF(A145&lt;&gt;"", SUMIFS(node!$M$2:$M$500, node!$C$2:$C$500,"="&amp;A145), "")</f>
        <v/>
      </c>
    </row>
    <row r="146" spans="1:31" ht="15.75" customHeight="1" x14ac:dyDescent="0.25">
      <c r="A146" s="119" t="str">
        <f>IF(ISNONTEXT(node_raw[[#This Row],[Column2]]), "", node_raw[[#This Row],[Column2]])</f>
        <v/>
      </c>
      <c r="B146" s="116" t="str">
        <f>IF(A146&lt;&gt;"", VLOOKUP(A146, node!$C$2:$D$500, 2, FALSE), "")</f>
        <v/>
      </c>
      <c r="C146" s="117" t="str">
        <f>IF(A146&lt;&gt;"", VLOOKUP(A146, node!$C$2:$E$500, 3, FALSE), "")</f>
        <v/>
      </c>
      <c r="D146" s="118" t="str">
        <f>IF(A146&lt;&gt;"",COUNTIFS(node!$C$2:$C$500,"="&amp;A146, node!$C$2:$C$500,"&lt;&gt;"&amp;""),"")</f>
        <v/>
      </c>
      <c r="E146" s="122" t="str">
        <f>IF(A146&lt;&gt;"",SUMIFS(node!$F$2:$F$500, node!$C$2:$C$500,"="&amp;A146, node!$C$2:$C$500,"&lt;&gt;"&amp;"")/(B146*D146),"")</f>
        <v/>
      </c>
      <c r="F146" s="124" t="str">
        <f>IF(A146&lt;&gt;"",SUMIFS(node!$H$2:$H$500, node!$C$2:$C$500,"="&amp;A146, node!$C$2:$C$500,"&lt;&gt;"&amp;"")/(C146*D146),"")</f>
        <v/>
      </c>
      <c r="G146" s="93" t="str">
        <f>IF(A146&lt;&gt;"",SUMIFS(deployment!$F$4:$F$502, deployment!$D$4:$D$502,"="&amp;A146, deployment!$D$4:$D$502,"&lt;&gt;"&amp;""),"")</f>
        <v/>
      </c>
      <c r="H146" s="94" t="str">
        <f>IF(A146&lt;&gt;"",SUMIFS(deployment!$G$4:$G$502, deployment!$D$4:$D$502,"="&amp;A146, deployment!$D$4:$D$502,"&lt;&gt;"&amp;""),"")</f>
        <v/>
      </c>
      <c r="I146" s="95" t="str">
        <f>IF(A146&lt;&gt;"",SUMIFS(deployment!$H$4:$H$502, deployment!$D$4:$D$502,"="&amp;A146, deployment!$D$4:$D$502,"&lt;&gt;"&amp;""),"")</f>
        <v/>
      </c>
      <c r="J146" s="96" t="str">
        <f>IF(A146&lt;&gt;"",SUMIFS(deployment!$I$4:$I$502, deployment!$D$4:$D$502,"="&amp;A146, deployment!$D$4:$D$502,"&lt;&gt;"&amp;""),"")</f>
        <v/>
      </c>
      <c r="K146" s="112" t="str">
        <f>IF(A146&lt;&gt;"",SUMIFS(deployment!$J$4:$J$502, deployment!$D$4:$D$502,"="&amp;A146, deployment!$D$4:$D$502,"&lt;&gt;"&amp;""),"")</f>
        <v/>
      </c>
      <c r="L146" s="112" t="str">
        <f>IF(A146&lt;&gt;"",SUMIFS(deployment!$K$4:$K$502, deployment!$D$4:$D$502,"="&amp;A146, deployment!$D$4:$D$502,"&lt;&gt;"&amp;""),"")</f>
        <v/>
      </c>
      <c r="M146" s="97" t="str">
        <f>IF(A146&lt;&gt;"",SUMIFS(deployment!$L$4:$L$502, deployment!$D$4:$D$502,"="&amp;A146, deployment!$D$4:$D$502,"&lt;&gt;"&amp;""),"")</f>
        <v/>
      </c>
      <c r="N146" s="97" t="str">
        <f>IF(A146&lt;&gt;"",SUMIFS(deployment!$M$4:$M$502, deployment!$D$4:$D$502,"="&amp;A146, deployment!$D$4:$D$502,"&lt;&gt;"&amp;""),"")</f>
        <v/>
      </c>
      <c r="O146" s="127" t="str">
        <f t="shared" si="35"/>
        <v/>
      </c>
      <c r="P146" s="104"/>
      <c r="Q146" s="99" t="str">
        <f t="shared" si="24"/>
        <v/>
      </c>
      <c r="R146" s="100" t="str">
        <f t="shared" si="25"/>
        <v/>
      </c>
      <c r="S146" s="100" t="str">
        <f t="shared" si="26"/>
        <v/>
      </c>
      <c r="T146" s="101" t="str">
        <f t="shared" si="27"/>
        <v/>
      </c>
      <c r="U146" s="101" t="str">
        <f t="shared" si="28"/>
        <v/>
      </c>
      <c r="V146" s="128" t="str">
        <f t="shared" si="29"/>
        <v/>
      </c>
      <c r="W146" s="128" t="str">
        <f t="shared" si="30"/>
        <v/>
      </c>
      <c r="X146" s="101" t="str">
        <f t="shared" si="31"/>
        <v/>
      </c>
      <c r="Y146" s="101" t="str">
        <f t="shared" si="32"/>
        <v/>
      </c>
      <c r="Z146" s="102" t="str">
        <f t="shared" si="33"/>
        <v/>
      </c>
      <c r="AA146" s="103" t="str">
        <f t="shared" si="34"/>
        <v/>
      </c>
      <c r="AB146" s="142" t="str">
        <f>IF(A146&lt;&gt;"", SUMIFS(node!$J$2:$J$500, node!$C$2:$C$500,"="&amp;A146)/P146, "")</f>
        <v/>
      </c>
      <c r="AC146" s="134" t="str">
        <f>IF(A146&lt;&gt;"", SUMIFS(node!$K$2:$K$500, node!$C$2:$C$500,"="&amp;A146)/P146, "")</f>
        <v/>
      </c>
      <c r="AD146" s="135" t="str">
        <f>IF(A146&lt;&gt;"", SUMIFS(node!$L$2:$L$500, node!$C$2:$C$500,"="&amp;A146), "")</f>
        <v/>
      </c>
      <c r="AE146" s="145" t="str">
        <f>IF(A146&lt;&gt;"", SUMIFS(node!$M$2:$M$500, node!$C$2:$C$500,"="&amp;A146), "")</f>
        <v/>
      </c>
    </row>
    <row r="147" spans="1:31" ht="15.75" customHeight="1" x14ac:dyDescent="0.25">
      <c r="A147" s="119" t="str">
        <f>IF(ISNONTEXT(node_raw[[#This Row],[Column2]]), "", node_raw[[#This Row],[Column2]])</f>
        <v/>
      </c>
      <c r="B147" s="116" t="str">
        <f>IF(A147&lt;&gt;"", VLOOKUP(A147, node!$C$2:$D$500, 2, FALSE), "")</f>
        <v/>
      </c>
      <c r="C147" s="117" t="str">
        <f>IF(A147&lt;&gt;"", VLOOKUP(A147, node!$C$2:$E$500, 3, FALSE), "")</f>
        <v/>
      </c>
      <c r="D147" s="118" t="str">
        <f>IF(A147&lt;&gt;"",COUNTIFS(node!$C$2:$C$500,"="&amp;A147, node!$C$2:$C$500,"&lt;&gt;"&amp;""),"")</f>
        <v/>
      </c>
      <c r="E147" s="122" t="str">
        <f>IF(A147&lt;&gt;"",SUMIFS(node!$F$2:$F$500, node!$C$2:$C$500,"="&amp;A147, node!$C$2:$C$500,"&lt;&gt;"&amp;"")/(B147*D147),"")</f>
        <v/>
      </c>
      <c r="F147" s="124" t="str">
        <f>IF(A147&lt;&gt;"",SUMIFS(node!$H$2:$H$500, node!$C$2:$C$500,"="&amp;A147, node!$C$2:$C$500,"&lt;&gt;"&amp;"")/(C147*D147),"")</f>
        <v/>
      </c>
      <c r="G147" s="93" t="str">
        <f>IF(A147&lt;&gt;"",SUMIFS(deployment!$F$4:$F$502, deployment!$D$4:$D$502,"="&amp;A147, deployment!$D$4:$D$502,"&lt;&gt;"&amp;""),"")</f>
        <v/>
      </c>
      <c r="H147" s="94" t="str">
        <f>IF(A147&lt;&gt;"",SUMIFS(deployment!$G$4:$G$502, deployment!$D$4:$D$502,"="&amp;A147, deployment!$D$4:$D$502,"&lt;&gt;"&amp;""),"")</f>
        <v/>
      </c>
      <c r="I147" s="95" t="str">
        <f>IF(A147&lt;&gt;"",SUMIFS(deployment!$H$4:$H$502, deployment!$D$4:$D$502,"="&amp;A147, deployment!$D$4:$D$502,"&lt;&gt;"&amp;""),"")</f>
        <v/>
      </c>
      <c r="J147" s="96" t="str">
        <f>IF(A147&lt;&gt;"",SUMIFS(deployment!$I$4:$I$502, deployment!$D$4:$D$502,"="&amp;A147, deployment!$D$4:$D$502,"&lt;&gt;"&amp;""),"")</f>
        <v/>
      </c>
      <c r="K147" s="112" t="str">
        <f>IF(A147&lt;&gt;"",SUMIFS(deployment!$J$4:$J$502, deployment!$D$4:$D$502,"="&amp;A147, deployment!$D$4:$D$502,"&lt;&gt;"&amp;""),"")</f>
        <v/>
      </c>
      <c r="L147" s="112" t="str">
        <f>IF(A147&lt;&gt;"",SUMIFS(deployment!$K$4:$K$502, deployment!$D$4:$D$502,"="&amp;A147, deployment!$D$4:$D$502,"&lt;&gt;"&amp;""),"")</f>
        <v/>
      </c>
      <c r="M147" s="97" t="str">
        <f>IF(A147&lt;&gt;"",SUMIFS(deployment!$L$4:$L$502, deployment!$D$4:$D$502,"="&amp;A147, deployment!$D$4:$D$502,"&lt;&gt;"&amp;""),"")</f>
        <v/>
      </c>
      <c r="N147" s="97" t="str">
        <f>IF(A147&lt;&gt;"",SUMIFS(deployment!$M$4:$M$502, deployment!$D$4:$D$502,"="&amp;A147, deployment!$D$4:$D$502,"&lt;&gt;"&amp;""),"")</f>
        <v/>
      </c>
      <c r="O147" s="127" t="str">
        <f t="shared" si="35"/>
        <v/>
      </c>
      <c r="P147" s="104"/>
      <c r="Q147" s="99" t="str">
        <f t="shared" si="24"/>
        <v/>
      </c>
      <c r="R147" s="100" t="str">
        <f t="shared" si="25"/>
        <v/>
      </c>
      <c r="S147" s="100" t="str">
        <f t="shared" si="26"/>
        <v/>
      </c>
      <c r="T147" s="101" t="str">
        <f t="shared" si="27"/>
        <v/>
      </c>
      <c r="U147" s="101" t="str">
        <f t="shared" si="28"/>
        <v/>
      </c>
      <c r="V147" s="128" t="str">
        <f t="shared" si="29"/>
        <v/>
      </c>
      <c r="W147" s="128" t="str">
        <f t="shared" si="30"/>
        <v/>
      </c>
      <c r="X147" s="101" t="str">
        <f t="shared" si="31"/>
        <v/>
      </c>
      <c r="Y147" s="101" t="str">
        <f t="shared" si="32"/>
        <v/>
      </c>
      <c r="Z147" s="102" t="str">
        <f t="shared" si="33"/>
        <v/>
      </c>
      <c r="AA147" s="103" t="str">
        <f t="shared" si="34"/>
        <v/>
      </c>
      <c r="AB147" s="142" t="str">
        <f>IF(A147&lt;&gt;"", SUMIFS(node!$J$2:$J$500, node!$C$2:$C$500,"="&amp;A147)/P147, "")</f>
        <v/>
      </c>
      <c r="AC147" s="134" t="str">
        <f>IF(A147&lt;&gt;"", SUMIFS(node!$K$2:$K$500, node!$C$2:$C$500,"="&amp;A147)/P147, "")</f>
        <v/>
      </c>
      <c r="AD147" s="135" t="str">
        <f>IF(A147&lt;&gt;"", SUMIFS(node!$L$2:$L$500, node!$C$2:$C$500,"="&amp;A147), "")</f>
        <v/>
      </c>
      <c r="AE147" s="145" t="str">
        <f>IF(A147&lt;&gt;"", SUMIFS(node!$M$2:$M$500, node!$C$2:$C$500,"="&amp;A147), "")</f>
        <v/>
      </c>
    </row>
    <row r="148" spans="1:31" ht="15.75" customHeight="1" x14ac:dyDescent="0.25">
      <c r="A148" s="119" t="str">
        <f>IF(ISNONTEXT(node_raw[[#This Row],[Column2]]), "", node_raw[[#This Row],[Column2]])</f>
        <v/>
      </c>
      <c r="B148" s="116" t="str">
        <f>IF(A148&lt;&gt;"", VLOOKUP(A148, node!$C$2:$D$500, 2, FALSE), "")</f>
        <v/>
      </c>
      <c r="C148" s="117" t="str">
        <f>IF(A148&lt;&gt;"", VLOOKUP(A148, node!$C$2:$E$500, 3, FALSE), "")</f>
        <v/>
      </c>
      <c r="D148" s="118" t="str">
        <f>IF(A148&lt;&gt;"",COUNTIFS(node!$C$2:$C$500,"="&amp;A148, node!$C$2:$C$500,"&lt;&gt;"&amp;""),"")</f>
        <v/>
      </c>
      <c r="E148" s="122" t="str">
        <f>IF(A148&lt;&gt;"",SUMIFS(node!$F$2:$F$500, node!$C$2:$C$500,"="&amp;A148, node!$C$2:$C$500,"&lt;&gt;"&amp;"")/(B148*D148),"")</f>
        <v/>
      </c>
      <c r="F148" s="124" t="str">
        <f>IF(A148&lt;&gt;"",SUMIFS(node!$H$2:$H$500, node!$C$2:$C$500,"="&amp;A148, node!$C$2:$C$500,"&lt;&gt;"&amp;"")/(C148*D148),"")</f>
        <v/>
      </c>
      <c r="G148" s="93" t="str">
        <f>IF(A148&lt;&gt;"",SUMIFS(deployment!$F$4:$F$502, deployment!$D$4:$D$502,"="&amp;A148, deployment!$D$4:$D$502,"&lt;&gt;"&amp;""),"")</f>
        <v/>
      </c>
      <c r="H148" s="94" t="str">
        <f>IF(A148&lt;&gt;"",SUMIFS(deployment!$G$4:$G$502, deployment!$D$4:$D$502,"="&amp;A148, deployment!$D$4:$D$502,"&lt;&gt;"&amp;""),"")</f>
        <v/>
      </c>
      <c r="I148" s="95" t="str">
        <f>IF(A148&lt;&gt;"",SUMIFS(deployment!$H$4:$H$502, deployment!$D$4:$D$502,"="&amp;A148, deployment!$D$4:$D$502,"&lt;&gt;"&amp;""),"")</f>
        <v/>
      </c>
      <c r="J148" s="96" t="str">
        <f>IF(A148&lt;&gt;"",SUMIFS(deployment!$I$4:$I$502, deployment!$D$4:$D$502,"="&amp;A148, deployment!$D$4:$D$502,"&lt;&gt;"&amp;""),"")</f>
        <v/>
      </c>
      <c r="K148" s="112" t="str">
        <f>IF(A148&lt;&gt;"",SUMIFS(deployment!$J$4:$J$502, deployment!$D$4:$D$502,"="&amp;A148, deployment!$D$4:$D$502,"&lt;&gt;"&amp;""),"")</f>
        <v/>
      </c>
      <c r="L148" s="112" t="str">
        <f>IF(A148&lt;&gt;"",SUMIFS(deployment!$K$4:$K$502, deployment!$D$4:$D$502,"="&amp;A148, deployment!$D$4:$D$502,"&lt;&gt;"&amp;""),"")</f>
        <v/>
      </c>
      <c r="M148" s="97" t="str">
        <f>IF(A148&lt;&gt;"",SUMIFS(deployment!$L$4:$L$502, deployment!$D$4:$D$502,"="&amp;A148, deployment!$D$4:$D$502,"&lt;&gt;"&amp;""),"")</f>
        <v/>
      </c>
      <c r="N148" s="97" t="str">
        <f>IF(A148&lt;&gt;"",SUMIFS(deployment!$M$4:$M$502, deployment!$D$4:$D$502,"="&amp;A148, deployment!$D$4:$D$502,"&lt;&gt;"&amp;""),"")</f>
        <v/>
      </c>
      <c r="O148" s="127" t="str">
        <f t="shared" si="35"/>
        <v/>
      </c>
      <c r="P148" s="104"/>
      <c r="Q148" s="99" t="str">
        <f t="shared" si="24"/>
        <v/>
      </c>
      <c r="R148" s="100" t="str">
        <f t="shared" si="25"/>
        <v/>
      </c>
      <c r="S148" s="100" t="str">
        <f t="shared" si="26"/>
        <v/>
      </c>
      <c r="T148" s="101" t="str">
        <f t="shared" si="27"/>
        <v/>
      </c>
      <c r="U148" s="101" t="str">
        <f t="shared" si="28"/>
        <v/>
      </c>
      <c r="V148" s="128" t="str">
        <f t="shared" si="29"/>
        <v/>
      </c>
      <c r="W148" s="128" t="str">
        <f t="shared" si="30"/>
        <v/>
      </c>
      <c r="X148" s="101" t="str">
        <f t="shared" si="31"/>
        <v/>
      </c>
      <c r="Y148" s="101" t="str">
        <f t="shared" si="32"/>
        <v/>
      </c>
      <c r="Z148" s="102" t="str">
        <f t="shared" si="33"/>
        <v/>
      </c>
      <c r="AA148" s="103" t="str">
        <f t="shared" si="34"/>
        <v/>
      </c>
      <c r="AB148" s="142" t="str">
        <f>IF(A148&lt;&gt;"", SUMIFS(node!$J$2:$J$500, node!$C$2:$C$500,"="&amp;A148)/P148, "")</f>
        <v/>
      </c>
      <c r="AC148" s="134" t="str">
        <f>IF(A148&lt;&gt;"", SUMIFS(node!$K$2:$K$500, node!$C$2:$C$500,"="&amp;A148)/P148, "")</f>
        <v/>
      </c>
      <c r="AD148" s="135" t="str">
        <f>IF(A148&lt;&gt;"", SUMIFS(node!$L$2:$L$500, node!$C$2:$C$500,"="&amp;A148), "")</f>
        <v/>
      </c>
      <c r="AE148" s="145" t="str">
        <f>IF(A148&lt;&gt;"", SUMIFS(node!$M$2:$M$500, node!$C$2:$C$500,"="&amp;A148), "")</f>
        <v/>
      </c>
    </row>
    <row r="149" spans="1:31" ht="15.75" customHeight="1" x14ac:dyDescent="0.25">
      <c r="A149" s="119" t="str">
        <f>IF(ISNONTEXT(node_raw[[#This Row],[Column2]]), "", node_raw[[#This Row],[Column2]])</f>
        <v/>
      </c>
      <c r="B149" s="116" t="str">
        <f>IF(A149&lt;&gt;"", VLOOKUP(A149, node!$C$2:$D$500, 2, FALSE), "")</f>
        <v/>
      </c>
      <c r="C149" s="117" t="str">
        <f>IF(A149&lt;&gt;"", VLOOKUP(A149, node!$C$2:$E$500, 3, FALSE), "")</f>
        <v/>
      </c>
      <c r="D149" s="118" t="str">
        <f>IF(A149&lt;&gt;"",COUNTIFS(node!$C$2:$C$500,"="&amp;A149, node!$C$2:$C$500,"&lt;&gt;"&amp;""),"")</f>
        <v/>
      </c>
      <c r="E149" s="122" t="str">
        <f>IF(A149&lt;&gt;"",SUMIFS(node!$F$2:$F$500, node!$C$2:$C$500,"="&amp;A149, node!$C$2:$C$500,"&lt;&gt;"&amp;"")/(B149*D149),"")</f>
        <v/>
      </c>
      <c r="F149" s="124" t="str">
        <f>IF(A149&lt;&gt;"",SUMIFS(node!$H$2:$H$500, node!$C$2:$C$500,"="&amp;A149, node!$C$2:$C$500,"&lt;&gt;"&amp;"")/(C149*D149),"")</f>
        <v/>
      </c>
      <c r="G149" s="93" t="str">
        <f>IF(A149&lt;&gt;"",SUMIFS(deployment!$F$4:$F$502, deployment!$D$4:$D$502,"="&amp;A149, deployment!$D$4:$D$502,"&lt;&gt;"&amp;""),"")</f>
        <v/>
      </c>
      <c r="H149" s="94" t="str">
        <f>IF(A149&lt;&gt;"",SUMIFS(deployment!$G$4:$G$502, deployment!$D$4:$D$502,"="&amp;A149, deployment!$D$4:$D$502,"&lt;&gt;"&amp;""),"")</f>
        <v/>
      </c>
      <c r="I149" s="95" t="str">
        <f>IF(A149&lt;&gt;"",SUMIFS(deployment!$H$4:$H$502, deployment!$D$4:$D$502,"="&amp;A149, deployment!$D$4:$D$502,"&lt;&gt;"&amp;""),"")</f>
        <v/>
      </c>
      <c r="J149" s="96" t="str">
        <f>IF(A149&lt;&gt;"",SUMIFS(deployment!$I$4:$I$502, deployment!$D$4:$D$502,"="&amp;A149, deployment!$D$4:$D$502,"&lt;&gt;"&amp;""),"")</f>
        <v/>
      </c>
      <c r="K149" s="112" t="str">
        <f>IF(A149&lt;&gt;"",SUMIFS(deployment!$J$4:$J$502, deployment!$D$4:$D$502,"="&amp;A149, deployment!$D$4:$D$502,"&lt;&gt;"&amp;""),"")</f>
        <v/>
      </c>
      <c r="L149" s="112" t="str">
        <f>IF(A149&lt;&gt;"",SUMIFS(deployment!$K$4:$K$502, deployment!$D$4:$D$502,"="&amp;A149, deployment!$D$4:$D$502,"&lt;&gt;"&amp;""),"")</f>
        <v/>
      </c>
      <c r="M149" s="97" t="str">
        <f>IF(A149&lt;&gt;"",SUMIFS(deployment!$L$4:$L$502, deployment!$D$4:$D$502,"="&amp;A149, deployment!$D$4:$D$502,"&lt;&gt;"&amp;""),"")</f>
        <v/>
      </c>
      <c r="N149" s="97" t="str">
        <f>IF(A149&lt;&gt;"",SUMIFS(deployment!$M$4:$M$502, deployment!$D$4:$D$502,"="&amp;A149, deployment!$D$4:$D$502,"&lt;&gt;"&amp;""),"")</f>
        <v/>
      </c>
      <c r="O149" s="127" t="str">
        <f t="shared" si="35"/>
        <v/>
      </c>
      <c r="P149" s="104"/>
      <c r="Q149" s="99" t="str">
        <f t="shared" si="24"/>
        <v/>
      </c>
      <c r="R149" s="100" t="str">
        <f t="shared" si="25"/>
        <v/>
      </c>
      <c r="S149" s="100" t="str">
        <f t="shared" si="26"/>
        <v/>
      </c>
      <c r="T149" s="101" t="str">
        <f t="shared" si="27"/>
        <v/>
      </c>
      <c r="U149" s="101" t="str">
        <f t="shared" si="28"/>
        <v/>
      </c>
      <c r="V149" s="128" t="str">
        <f t="shared" si="29"/>
        <v/>
      </c>
      <c r="W149" s="128" t="str">
        <f t="shared" si="30"/>
        <v/>
      </c>
      <c r="X149" s="101" t="str">
        <f t="shared" si="31"/>
        <v/>
      </c>
      <c r="Y149" s="101" t="str">
        <f t="shared" si="32"/>
        <v/>
      </c>
      <c r="Z149" s="102" t="str">
        <f t="shared" si="33"/>
        <v/>
      </c>
      <c r="AA149" s="103" t="str">
        <f t="shared" si="34"/>
        <v/>
      </c>
      <c r="AB149" s="142" t="str">
        <f>IF(A149&lt;&gt;"", SUMIFS(node!$J$2:$J$500, node!$C$2:$C$500,"="&amp;A149)/P149, "")</f>
        <v/>
      </c>
      <c r="AC149" s="134" t="str">
        <f>IF(A149&lt;&gt;"", SUMIFS(node!$K$2:$K$500, node!$C$2:$C$500,"="&amp;A149)/P149, "")</f>
        <v/>
      </c>
      <c r="AD149" s="135" t="str">
        <f>IF(A149&lt;&gt;"", SUMIFS(node!$L$2:$L$500, node!$C$2:$C$500,"="&amp;A149), "")</f>
        <v/>
      </c>
      <c r="AE149" s="145" t="str">
        <f>IF(A149&lt;&gt;"", SUMIFS(node!$M$2:$M$500, node!$C$2:$C$500,"="&amp;A149), "")</f>
        <v/>
      </c>
    </row>
    <row r="150" spans="1:31" ht="15.75" customHeight="1" x14ac:dyDescent="0.25">
      <c r="A150" s="119" t="str">
        <f>IF(ISNONTEXT(node_raw[[#This Row],[Column2]]), "", node_raw[[#This Row],[Column2]])</f>
        <v/>
      </c>
      <c r="B150" s="116" t="str">
        <f>IF(A150&lt;&gt;"", VLOOKUP(A150, node!$C$2:$D$500, 2, FALSE), "")</f>
        <v/>
      </c>
      <c r="C150" s="117" t="str">
        <f>IF(A150&lt;&gt;"", VLOOKUP(A150, node!$C$2:$E$500, 3, FALSE), "")</f>
        <v/>
      </c>
      <c r="D150" s="118" t="str">
        <f>IF(A150&lt;&gt;"",COUNTIFS(node!$C$2:$C$500,"="&amp;A150, node!$C$2:$C$500,"&lt;&gt;"&amp;""),"")</f>
        <v/>
      </c>
      <c r="E150" s="122" t="str">
        <f>IF(A150&lt;&gt;"",SUMIFS(node!$F$2:$F$500, node!$C$2:$C$500,"="&amp;A150, node!$C$2:$C$500,"&lt;&gt;"&amp;"")/(B150*D150),"")</f>
        <v/>
      </c>
      <c r="F150" s="124" t="str">
        <f>IF(A150&lt;&gt;"",SUMIFS(node!$H$2:$H$500, node!$C$2:$C$500,"="&amp;A150, node!$C$2:$C$500,"&lt;&gt;"&amp;"")/(C150*D150),"")</f>
        <v/>
      </c>
      <c r="G150" s="93" t="str">
        <f>IF(A150&lt;&gt;"",SUMIFS(deployment!$F$4:$F$502, deployment!$D$4:$D$502,"="&amp;A150, deployment!$D$4:$D$502,"&lt;&gt;"&amp;""),"")</f>
        <v/>
      </c>
      <c r="H150" s="94" t="str">
        <f>IF(A150&lt;&gt;"",SUMIFS(deployment!$G$4:$G$502, deployment!$D$4:$D$502,"="&amp;A150, deployment!$D$4:$D$502,"&lt;&gt;"&amp;""),"")</f>
        <v/>
      </c>
      <c r="I150" s="95" t="str">
        <f>IF(A150&lt;&gt;"",SUMIFS(deployment!$H$4:$H$502, deployment!$D$4:$D$502,"="&amp;A150, deployment!$D$4:$D$502,"&lt;&gt;"&amp;""),"")</f>
        <v/>
      </c>
      <c r="J150" s="96" t="str">
        <f>IF(A150&lt;&gt;"",SUMIFS(deployment!$I$4:$I$502, deployment!$D$4:$D$502,"="&amp;A150, deployment!$D$4:$D$502,"&lt;&gt;"&amp;""),"")</f>
        <v/>
      </c>
      <c r="K150" s="112" t="str">
        <f>IF(A150&lt;&gt;"",SUMIFS(deployment!$J$4:$J$502, deployment!$D$4:$D$502,"="&amp;A150, deployment!$D$4:$D$502,"&lt;&gt;"&amp;""),"")</f>
        <v/>
      </c>
      <c r="L150" s="112" t="str">
        <f>IF(A150&lt;&gt;"",SUMIFS(deployment!$K$4:$K$502, deployment!$D$4:$D$502,"="&amp;A150, deployment!$D$4:$D$502,"&lt;&gt;"&amp;""),"")</f>
        <v/>
      </c>
      <c r="M150" s="97" t="str">
        <f>IF(A150&lt;&gt;"",SUMIFS(deployment!$L$4:$L$502, deployment!$D$4:$D$502,"="&amp;A150, deployment!$D$4:$D$502,"&lt;&gt;"&amp;""),"")</f>
        <v/>
      </c>
      <c r="N150" s="97" t="str">
        <f>IF(A150&lt;&gt;"",SUMIFS(deployment!$M$4:$M$502, deployment!$D$4:$D$502,"="&amp;A150, deployment!$D$4:$D$502,"&lt;&gt;"&amp;""),"")</f>
        <v/>
      </c>
      <c r="O150" s="127" t="str">
        <f t="shared" si="35"/>
        <v/>
      </c>
      <c r="P150" s="104"/>
      <c r="Q150" s="99" t="str">
        <f t="shared" si="24"/>
        <v/>
      </c>
      <c r="R150" s="100" t="str">
        <f t="shared" si="25"/>
        <v/>
      </c>
      <c r="S150" s="100" t="str">
        <f t="shared" si="26"/>
        <v/>
      </c>
      <c r="T150" s="101" t="str">
        <f t="shared" si="27"/>
        <v/>
      </c>
      <c r="U150" s="101" t="str">
        <f t="shared" si="28"/>
        <v/>
      </c>
      <c r="V150" s="128" t="str">
        <f t="shared" si="29"/>
        <v/>
      </c>
      <c r="W150" s="128" t="str">
        <f t="shared" si="30"/>
        <v/>
      </c>
      <c r="X150" s="101" t="str">
        <f t="shared" si="31"/>
        <v/>
      </c>
      <c r="Y150" s="101" t="str">
        <f t="shared" si="32"/>
        <v/>
      </c>
      <c r="Z150" s="102" t="str">
        <f t="shared" si="33"/>
        <v/>
      </c>
      <c r="AA150" s="103" t="str">
        <f t="shared" si="34"/>
        <v/>
      </c>
      <c r="AB150" s="142" t="str">
        <f>IF(A150&lt;&gt;"", SUMIFS(node!$J$2:$J$500, node!$C$2:$C$500,"="&amp;A150)/P150, "")</f>
        <v/>
      </c>
      <c r="AC150" s="134" t="str">
        <f>IF(A150&lt;&gt;"", SUMIFS(node!$K$2:$K$500, node!$C$2:$C$500,"="&amp;A150)/P150, "")</f>
        <v/>
      </c>
      <c r="AD150" s="135" t="str">
        <f>IF(A150&lt;&gt;"", SUMIFS(node!$L$2:$L$500, node!$C$2:$C$500,"="&amp;A150), "")</f>
        <v/>
      </c>
      <c r="AE150" s="145" t="str">
        <f>IF(A150&lt;&gt;"", SUMIFS(node!$M$2:$M$500, node!$C$2:$C$500,"="&amp;A150), "")</f>
        <v/>
      </c>
    </row>
    <row r="151" spans="1:31" ht="15.75" customHeight="1" x14ac:dyDescent="0.25">
      <c r="A151" s="119" t="str">
        <f>IF(ISNONTEXT(node_raw[[#This Row],[Column2]]), "", node_raw[[#This Row],[Column2]])</f>
        <v/>
      </c>
      <c r="B151" s="116" t="str">
        <f>IF(A151&lt;&gt;"", VLOOKUP(A151, node!$C$2:$D$500, 2, FALSE), "")</f>
        <v/>
      </c>
      <c r="C151" s="117" t="str">
        <f>IF(A151&lt;&gt;"", VLOOKUP(A151, node!$C$2:$E$500, 3, FALSE), "")</f>
        <v/>
      </c>
      <c r="D151" s="118" t="str">
        <f>IF(A151&lt;&gt;"",COUNTIFS(node!$C$2:$C$500,"="&amp;A151, node!$C$2:$C$500,"&lt;&gt;"&amp;""),"")</f>
        <v/>
      </c>
      <c r="E151" s="122" t="str">
        <f>IF(A151&lt;&gt;"",SUMIFS(node!$F$2:$F$500, node!$C$2:$C$500,"="&amp;A151, node!$C$2:$C$500,"&lt;&gt;"&amp;"")/(B151*D151),"")</f>
        <v/>
      </c>
      <c r="F151" s="124" t="str">
        <f>IF(A151&lt;&gt;"",SUMIFS(node!$H$2:$H$500, node!$C$2:$C$500,"="&amp;A151, node!$C$2:$C$500,"&lt;&gt;"&amp;"")/(C151*D151),"")</f>
        <v/>
      </c>
      <c r="G151" s="93" t="str">
        <f>IF(A151&lt;&gt;"",SUMIFS(deployment!$F$4:$F$502, deployment!$D$4:$D$502,"="&amp;A151, deployment!$D$4:$D$502,"&lt;&gt;"&amp;""),"")</f>
        <v/>
      </c>
      <c r="H151" s="94" t="str">
        <f>IF(A151&lt;&gt;"",SUMIFS(deployment!$G$4:$G$502, deployment!$D$4:$D$502,"="&amp;A151, deployment!$D$4:$D$502,"&lt;&gt;"&amp;""),"")</f>
        <v/>
      </c>
      <c r="I151" s="95" t="str">
        <f>IF(A151&lt;&gt;"",SUMIFS(deployment!$H$4:$H$502, deployment!$D$4:$D$502,"="&amp;A151, deployment!$D$4:$D$502,"&lt;&gt;"&amp;""),"")</f>
        <v/>
      </c>
      <c r="J151" s="96" t="str">
        <f>IF(A151&lt;&gt;"",SUMIFS(deployment!$I$4:$I$502, deployment!$D$4:$D$502,"="&amp;A151, deployment!$D$4:$D$502,"&lt;&gt;"&amp;""),"")</f>
        <v/>
      </c>
      <c r="K151" s="112" t="str">
        <f>IF(A151&lt;&gt;"",SUMIFS(deployment!$J$4:$J$502, deployment!$D$4:$D$502,"="&amp;A151, deployment!$D$4:$D$502,"&lt;&gt;"&amp;""),"")</f>
        <v/>
      </c>
      <c r="L151" s="112" t="str">
        <f>IF(A151&lt;&gt;"",SUMIFS(deployment!$K$4:$K$502, deployment!$D$4:$D$502,"="&amp;A151, deployment!$D$4:$D$502,"&lt;&gt;"&amp;""),"")</f>
        <v/>
      </c>
      <c r="M151" s="97" t="str">
        <f>IF(A151&lt;&gt;"",SUMIFS(deployment!$L$4:$L$502, deployment!$D$4:$D$502,"="&amp;A151, deployment!$D$4:$D$502,"&lt;&gt;"&amp;""),"")</f>
        <v/>
      </c>
      <c r="N151" s="97" t="str">
        <f>IF(A151&lt;&gt;"",SUMIFS(deployment!$M$4:$M$502, deployment!$D$4:$D$502,"="&amp;A151, deployment!$D$4:$D$502,"&lt;&gt;"&amp;""),"")</f>
        <v/>
      </c>
      <c r="O151" s="127" t="str">
        <f t="shared" si="35"/>
        <v/>
      </c>
      <c r="P151" s="104"/>
      <c r="Q151" s="99" t="str">
        <f t="shared" si="24"/>
        <v/>
      </c>
      <c r="R151" s="100" t="str">
        <f t="shared" si="25"/>
        <v/>
      </c>
      <c r="S151" s="100" t="str">
        <f t="shared" si="26"/>
        <v/>
      </c>
      <c r="T151" s="101" t="str">
        <f t="shared" si="27"/>
        <v/>
      </c>
      <c r="U151" s="101" t="str">
        <f t="shared" si="28"/>
        <v/>
      </c>
      <c r="V151" s="128" t="str">
        <f t="shared" si="29"/>
        <v/>
      </c>
      <c r="W151" s="128" t="str">
        <f t="shared" si="30"/>
        <v/>
      </c>
      <c r="X151" s="101" t="str">
        <f t="shared" si="31"/>
        <v/>
      </c>
      <c r="Y151" s="101" t="str">
        <f t="shared" si="32"/>
        <v/>
      </c>
      <c r="Z151" s="102" t="str">
        <f t="shared" si="33"/>
        <v/>
      </c>
      <c r="AA151" s="103" t="str">
        <f t="shared" si="34"/>
        <v/>
      </c>
      <c r="AB151" s="142" t="str">
        <f>IF(A151&lt;&gt;"", SUMIFS(node!$J$2:$J$500, node!$C$2:$C$500,"="&amp;A151)/P151, "")</f>
        <v/>
      </c>
      <c r="AC151" s="134" t="str">
        <f>IF(A151&lt;&gt;"", SUMIFS(node!$K$2:$K$500, node!$C$2:$C$500,"="&amp;A151)/P151, "")</f>
        <v/>
      </c>
      <c r="AD151" s="135" t="str">
        <f>IF(A151&lt;&gt;"", SUMIFS(node!$L$2:$L$500, node!$C$2:$C$500,"="&amp;A151), "")</f>
        <v/>
      </c>
      <c r="AE151" s="145" t="str">
        <f>IF(A151&lt;&gt;"", SUMIFS(node!$M$2:$M$500, node!$C$2:$C$500,"="&amp;A151), "")</f>
        <v/>
      </c>
    </row>
    <row r="152" spans="1:31" ht="15.75" customHeight="1" x14ac:dyDescent="0.25">
      <c r="A152" s="119" t="str">
        <f>IF(ISNONTEXT(node_raw[[#This Row],[Column2]]), "", node_raw[[#This Row],[Column2]])</f>
        <v/>
      </c>
      <c r="B152" s="116" t="str">
        <f>IF(A152&lt;&gt;"", VLOOKUP(A152, node!$C$2:$D$500, 2, FALSE), "")</f>
        <v/>
      </c>
      <c r="C152" s="117" t="str">
        <f>IF(A152&lt;&gt;"", VLOOKUP(A152, node!$C$2:$E$500, 3, FALSE), "")</f>
        <v/>
      </c>
      <c r="D152" s="118" t="str">
        <f>IF(A152&lt;&gt;"",COUNTIFS(node!$C$2:$C$500,"="&amp;A152, node!$C$2:$C$500,"&lt;&gt;"&amp;""),"")</f>
        <v/>
      </c>
      <c r="E152" s="122" t="str">
        <f>IF(A152&lt;&gt;"",SUMIFS(node!$F$2:$F$500, node!$C$2:$C$500,"="&amp;A152, node!$C$2:$C$500,"&lt;&gt;"&amp;"")/(B152*D152),"")</f>
        <v/>
      </c>
      <c r="F152" s="124" t="str">
        <f>IF(A152&lt;&gt;"",SUMIFS(node!$H$2:$H$500, node!$C$2:$C$500,"="&amp;A152, node!$C$2:$C$500,"&lt;&gt;"&amp;"")/(C152*D152),"")</f>
        <v/>
      </c>
      <c r="G152" s="93" t="str">
        <f>IF(A152&lt;&gt;"",SUMIFS(deployment!$F$4:$F$502, deployment!$D$4:$D$502,"="&amp;A152, deployment!$D$4:$D$502,"&lt;&gt;"&amp;""),"")</f>
        <v/>
      </c>
      <c r="H152" s="94" t="str">
        <f>IF(A152&lt;&gt;"",SUMIFS(deployment!$G$4:$G$502, deployment!$D$4:$D$502,"="&amp;A152, deployment!$D$4:$D$502,"&lt;&gt;"&amp;""),"")</f>
        <v/>
      </c>
      <c r="I152" s="95" t="str">
        <f>IF(A152&lt;&gt;"",SUMIFS(deployment!$H$4:$H$502, deployment!$D$4:$D$502,"="&amp;A152, deployment!$D$4:$D$502,"&lt;&gt;"&amp;""),"")</f>
        <v/>
      </c>
      <c r="J152" s="96" t="str">
        <f>IF(A152&lt;&gt;"",SUMIFS(deployment!$I$4:$I$502, deployment!$D$4:$D$502,"="&amp;A152, deployment!$D$4:$D$502,"&lt;&gt;"&amp;""),"")</f>
        <v/>
      </c>
      <c r="K152" s="112" t="str">
        <f>IF(A152&lt;&gt;"",SUMIFS(deployment!$J$4:$J$502, deployment!$D$4:$D$502,"="&amp;A152, deployment!$D$4:$D$502,"&lt;&gt;"&amp;""),"")</f>
        <v/>
      </c>
      <c r="L152" s="112" t="str">
        <f>IF(A152&lt;&gt;"",SUMIFS(deployment!$K$4:$K$502, deployment!$D$4:$D$502,"="&amp;A152, deployment!$D$4:$D$502,"&lt;&gt;"&amp;""),"")</f>
        <v/>
      </c>
      <c r="M152" s="97" t="str">
        <f>IF(A152&lt;&gt;"",SUMIFS(deployment!$L$4:$L$502, deployment!$D$4:$D$502,"="&amp;A152, deployment!$D$4:$D$502,"&lt;&gt;"&amp;""),"")</f>
        <v/>
      </c>
      <c r="N152" s="97" t="str">
        <f>IF(A152&lt;&gt;"",SUMIFS(deployment!$M$4:$M$502, deployment!$D$4:$D$502,"="&amp;A152, deployment!$D$4:$D$502,"&lt;&gt;"&amp;""),"")</f>
        <v/>
      </c>
      <c r="O152" s="127" t="str">
        <f t="shared" si="35"/>
        <v/>
      </c>
      <c r="P152" s="104"/>
      <c r="Q152" s="99" t="str">
        <f t="shared" si="24"/>
        <v/>
      </c>
      <c r="R152" s="100" t="str">
        <f t="shared" si="25"/>
        <v/>
      </c>
      <c r="S152" s="100" t="str">
        <f t="shared" si="26"/>
        <v/>
      </c>
      <c r="T152" s="101" t="str">
        <f t="shared" si="27"/>
        <v/>
      </c>
      <c r="U152" s="101" t="str">
        <f t="shared" si="28"/>
        <v/>
      </c>
      <c r="V152" s="128" t="str">
        <f t="shared" si="29"/>
        <v/>
      </c>
      <c r="W152" s="128" t="str">
        <f t="shared" si="30"/>
        <v/>
      </c>
      <c r="X152" s="101" t="str">
        <f t="shared" si="31"/>
        <v/>
      </c>
      <c r="Y152" s="101" t="str">
        <f t="shared" si="32"/>
        <v/>
      </c>
      <c r="Z152" s="102" t="str">
        <f t="shared" si="33"/>
        <v/>
      </c>
      <c r="AA152" s="103" t="str">
        <f t="shared" si="34"/>
        <v/>
      </c>
      <c r="AB152" s="142" t="str">
        <f>IF(A152&lt;&gt;"", SUMIFS(node!$J$2:$J$500, node!$C$2:$C$500,"="&amp;A152)/P152, "")</f>
        <v/>
      </c>
      <c r="AC152" s="134" t="str">
        <f>IF(A152&lt;&gt;"", SUMIFS(node!$K$2:$K$500, node!$C$2:$C$500,"="&amp;A152)/P152, "")</f>
        <v/>
      </c>
      <c r="AD152" s="135" t="str">
        <f>IF(A152&lt;&gt;"", SUMIFS(node!$L$2:$L$500, node!$C$2:$C$500,"="&amp;A152), "")</f>
        <v/>
      </c>
      <c r="AE152" s="145" t="str">
        <f>IF(A152&lt;&gt;"", SUMIFS(node!$M$2:$M$500, node!$C$2:$C$500,"="&amp;A152), "")</f>
        <v/>
      </c>
    </row>
    <row r="153" spans="1:31" ht="15.75" customHeight="1" x14ac:dyDescent="0.25">
      <c r="A153" s="119" t="str">
        <f>IF(ISNONTEXT(node_raw[[#This Row],[Column2]]), "", node_raw[[#This Row],[Column2]])</f>
        <v/>
      </c>
      <c r="B153" s="116" t="str">
        <f>IF(A153&lt;&gt;"", VLOOKUP(A153, node!$C$2:$D$500, 2, FALSE), "")</f>
        <v/>
      </c>
      <c r="C153" s="117" t="str">
        <f>IF(A153&lt;&gt;"", VLOOKUP(A153, node!$C$2:$E$500, 3, FALSE), "")</f>
        <v/>
      </c>
      <c r="D153" s="118" t="str">
        <f>IF(A153&lt;&gt;"",COUNTIFS(node!$C$2:$C$500,"="&amp;A153, node!$C$2:$C$500,"&lt;&gt;"&amp;""),"")</f>
        <v/>
      </c>
      <c r="E153" s="122" t="str">
        <f>IF(A153&lt;&gt;"",SUMIFS(node!$F$2:$F$500, node!$C$2:$C$500,"="&amp;A153, node!$C$2:$C$500,"&lt;&gt;"&amp;"")/(B153*D153),"")</f>
        <v/>
      </c>
      <c r="F153" s="124" t="str">
        <f>IF(A153&lt;&gt;"",SUMIFS(node!$H$2:$H$500, node!$C$2:$C$500,"="&amp;A153, node!$C$2:$C$500,"&lt;&gt;"&amp;"")/(C153*D153),"")</f>
        <v/>
      </c>
      <c r="G153" s="93" t="str">
        <f>IF(A153&lt;&gt;"",SUMIFS(deployment!$F$4:$F$502, deployment!$D$4:$D$502,"="&amp;A153, deployment!$D$4:$D$502,"&lt;&gt;"&amp;""),"")</f>
        <v/>
      </c>
      <c r="H153" s="94" t="str">
        <f>IF(A153&lt;&gt;"",SUMIFS(deployment!$G$4:$G$502, deployment!$D$4:$D$502,"="&amp;A153, deployment!$D$4:$D$502,"&lt;&gt;"&amp;""),"")</f>
        <v/>
      </c>
      <c r="I153" s="95" t="str">
        <f>IF(A153&lt;&gt;"",SUMIFS(deployment!$H$4:$H$502, deployment!$D$4:$D$502,"="&amp;A153, deployment!$D$4:$D$502,"&lt;&gt;"&amp;""),"")</f>
        <v/>
      </c>
      <c r="J153" s="96" t="str">
        <f>IF(A153&lt;&gt;"",SUMIFS(deployment!$I$4:$I$502, deployment!$D$4:$D$502,"="&amp;A153, deployment!$D$4:$D$502,"&lt;&gt;"&amp;""),"")</f>
        <v/>
      </c>
      <c r="K153" s="112" t="str">
        <f>IF(A153&lt;&gt;"",SUMIFS(deployment!$J$4:$J$502, deployment!$D$4:$D$502,"="&amp;A153, deployment!$D$4:$D$502,"&lt;&gt;"&amp;""),"")</f>
        <v/>
      </c>
      <c r="L153" s="112" t="str">
        <f>IF(A153&lt;&gt;"",SUMIFS(deployment!$K$4:$K$502, deployment!$D$4:$D$502,"="&amp;A153, deployment!$D$4:$D$502,"&lt;&gt;"&amp;""),"")</f>
        <v/>
      </c>
      <c r="M153" s="97" t="str">
        <f>IF(A153&lt;&gt;"",SUMIFS(deployment!$L$4:$L$502, deployment!$D$4:$D$502,"="&amp;A153, deployment!$D$4:$D$502,"&lt;&gt;"&amp;""),"")</f>
        <v/>
      </c>
      <c r="N153" s="97" t="str">
        <f>IF(A153&lt;&gt;"",SUMIFS(deployment!$M$4:$M$502, deployment!$D$4:$D$502,"="&amp;A153, deployment!$D$4:$D$502,"&lt;&gt;"&amp;""),"")</f>
        <v/>
      </c>
      <c r="O153" s="127" t="str">
        <f t="shared" si="35"/>
        <v/>
      </c>
      <c r="P153" s="104"/>
      <c r="Q153" s="99" t="str">
        <f t="shared" si="24"/>
        <v/>
      </c>
      <c r="R153" s="100" t="str">
        <f t="shared" si="25"/>
        <v/>
      </c>
      <c r="S153" s="100" t="str">
        <f t="shared" si="26"/>
        <v/>
      </c>
      <c r="T153" s="101" t="str">
        <f t="shared" si="27"/>
        <v/>
      </c>
      <c r="U153" s="101" t="str">
        <f t="shared" si="28"/>
        <v/>
      </c>
      <c r="V153" s="128" t="str">
        <f t="shared" si="29"/>
        <v/>
      </c>
      <c r="W153" s="128" t="str">
        <f t="shared" si="30"/>
        <v/>
      </c>
      <c r="X153" s="101" t="str">
        <f t="shared" si="31"/>
        <v/>
      </c>
      <c r="Y153" s="101" t="str">
        <f t="shared" si="32"/>
        <v/>
      </c>
      <c r="Z153" s="102" t="str">
        <f t="shared" si="33"/>
        <v/>
      </c>
      <c r="AA153" s="103" t="str">
        <f t="shared" si="34"/>
        <v/>
      </c>
      <c r="AB153" s="142" t="str">
        <f>IF(A153&lt;&gt;"", SUMIFS(node!$J$2:$J$500, node!$C$2:$C$500,"="&amp;A153)/P153, "")</f>
        <v/>
      </c>
      <c r="AC153" s="134" t="str">
        <f>IF(A153&lt;&gt;"", SUMIFS(node!$K$2:$K$500, node!$C$2:$C$500,"="&amp;A153)/P153, "")</f>
        <v/>
      </c>
      <c r="AD153" s="135" t="str">
        <f>IF(A153&lt;&gt;"", SUMIFS(node!$L$2:$L$500, node!$C$2:$C$500,"="&amp;A153), "")</f>
        <v/>
      </c>
      <c r="AE153" s="145" t="str">
        <f>IF(A153&lt;&gt;"", SUMIFS(node!$M$2:$M$500, node!$C$2:$C$500,"="&amp;A153), "")</f>
        <v/>
      </c>
    </row>
    <row r="154" spans="1:31" ht="15.75" customHeight="1" x14ac:dyDescent="0.25">
      <c r="A154" s="119" t="str">
        <f>IF(ISNONTEXT(node_raw[[#This Row],[Column2]]), "", node_raw[[#This Row],[Column2]])</f>
        <v/>
      </c>
      <c r="B154" s="116" t="str">
        <f>IF(A154&lt;&gt;"", VLOOKUP(A154, node!$C$2:$D$500, 2, FALSE), "")</f>
        <v/>
      </c>
      <c r="C154" s="117" t="str">
        <f>IF(A154&lt;&gt;"", VLOOKUP(A154, node!$C$2:$E$500, 3, FALSE), "")</f>
        <v/>
      </c>
      <c r="D154" s="118" t="str">
        <f>IF(A154&lt;&gt;"",COUNTIFS(node!$C$2:$C$500,"="&amp;A154, node!$C$2:$C$500,"&lt;&gt;"&amp;""),"")</f>
        <v/>
      </c>
      <c r="E154" s="122" t="str">
        <f>IF(A154&lt;&gt;"",SUMIFS(node!$F$2:$F$500, node!$C$2:$C$500,"="&amp;A154, node!$C$2:$C$500,"&lt;&gt;"&amp;"")/(B154*D154),"")</f>
        <v/>
      </c>
      <c r="F154" s="124" t="str">
        <f>IF(A154&lt;&gt;"",SUMIFS(node!$H$2:$H$500, node!$C$2:$C$500,"="&amp;A154, node!$C$2:$C$500,"&lt;&gt;"&amp;"")/(C154*D154),"")</f>
        <v/>
      </c>
      <c r="G154" s="93" t="str">
        <f>IF(A154&lt;&gt;"",SUMIFS(deployment!$F$4:$F$502, deployment!$D$4:$D$502,"="&amp;A154, deployment!$D$4:$D$502,"&lt;&gt;"&amp;""),"")</f>
        <v/>
      </c>
      <c r="H154" s="94" t="str">
        <f>IF(A154&lt;&gt;"",SUMIFS(deployment!$G$4:$G$502, deployment!$D$4:$D$502,"="&amp;A154, deployment!$D$4:$D$502,"&lt;&gt;"&amp;""),"")</f>
        <v/>
      </c>
      <c r="I154" s="95" t="str">
        <f>IF(A154&lt;&gt;"",SUMIFS(deployment!$H$4:$H$502, deployment!$D$4:$D$502,"="&amp;A154, deployment!$D$4:$D$502,"&lt;&gt;"&amp;""),"")</f>
        <v/>
      </c>
      <c r="J154" s="96" t="str">
        <f>IF(A154&lt;&gt;"",SUMIFS(deployment!$I$4:$I$502, deployment!$D$4:$D$502,"="&amp;A154, deployment!$D$4:$D$502,"&lt;&gt;"&amp;""),"")</f>
        <v/>
      </c>
      <c r="K154" s="112" t="str">
        <f>IF(A154&lt;&gt;"",SUMIFS(deployment!$J$4:$J$502, deployment!$D$4:$D$502,"="&amp;A154, deployment!$D$4:$D$502,"&lt;&gt;"&amp;""),"")</f>
        <v/>
      </c>
      <c r="L154" s="112" t="str">
        <f>IF(A154&lt;&gt;"",SUMIFS(deployment!$K$4:$K$502, deployment!$D$4:$D$502,"="&amp;A154, deployment!$D$4:$D$502,"&lt;&gt;"&amp;""),"")</f>
        <v/>
      </c>
      <c r="M154" s="97" t="str">
        <f>IF(A154&lt;&gt;"",SUMIFS(deployment!$L$4:$L$502, deployment!$D$4:$D$502,"="&amp;A154, deployment!$D$4:$D$502,"&lt;&gt;"&amp;""),"")</f>
        <v/>
      </c>
      <c r="N154" s="97" t="str">
        <f>IF(A154&lt;&gt;"",SUMIFS(deployment!$M$4:$M$502, deployment!$D$4:$D$502,"="&amp;A154, deployment!$D$4:$D$502,"&lt;&gt;"&amp;""),"")</f>
        <v/>
      </c>
      <c r="O154" s="127" t="str">
        <f t="shared" si="35"/>
        <v/>
      </c>
      <c r="P154" s="104"/>
      <c r="Q154" s="99" t="str">
        <f t="shared" si="24"/>
        <v/>
      </c>
      <c r="R154" s="100" t="str">
        <f t="shared" si="25"/>
        <v/>
      </c>
      <c r="S154" s="100" t="str">
        <f t="shared" si="26"/>
        <v/>
      </c>
      <c r="T154" s="101" t="str">
        <f t="shared" si="27"/>
        <v/>
      </c>
      <c r="U154" s="101" t="str">
        <f t="shared" si="28"/>
        <v/>
      </c>
      <c r="V154" s="128" t="str">
        <f t="shared" si="29"/>
        <v/>
      </c>
      <c r="W154" s="128" t="str">
        <f t="shared" si="30"/>
        <v/>
      </c>
      <c r="X154" s="101" t="str">
        <f t="shared" si="31"/>
        <v/>
      </c>
      <c r="Y154" s="101" t="str">
        <f t="shared" si="32"/>
        <v/>
      </c>
      <c r="Z154" s="102" t="str">
        <f t="shared" si="33"/>
        <v/>
      </c>
      <c r="AA154" s="103" t="str">
        <f t="shared" si="34"/>
        <v/>
      </c>
      <c r="AB154" s="142" t="str">
        <f>IF(A154&lt;&gt;"", SUMIFS(node!$J$2:$J$500, node!$C$2:$C$500,"="&amp;A154)/P154, "")</f>
        <v/>
      </c>
      <c r="AC154" s="134" t="str">
        <f>IF(A154&lt;&gt;"", SUMIFS(node!$K$2:$K$500, node!$C$2:$C$500,"="&amp;A154)/P154, "")</f>
        <v/>
      </c>
      <c r="AD154" s="135" t="str">
        <f>IF(A154&lt;&gt;"", SUMIFS(node!$L$2:$L$500, node!$C$2:$C$500,"="&amp;A154), "")</f>
        <v/>
      </c>
      <c r="AE154" s="145" t="str">
        <f>IF(A154&lt;&gt;"", SUMIFS(node!$M$2:$M$500, node!$C$2:$C$500,"="&amp;A154), "")</f>
        <v/>
      </c>
    </row>
    <row r="155" spans="1:31" ht="15.75" customHeight="1" x14ac:dyDescent="0.25">
      <c r="A155" s="119" t="str">
        <f>IF(ISNONTEXT(node_raw[[#This Row],[Column2]]), "", node_raw[[#This Row],[Column2]])</f>
        <v/>
      </c>
      <c r="B155" s="116" t="str">
        <f>IF(A155&lt;&gt;"", VLOOKUP(A155, node!$C$2:$D$500, 2, FALSE), "")</f>
        <v/>
      </c>
      <c r="C155" s="117" t="str">
        <f>IF(A155&lt;&gt;"", VLOOKUP(A155, node!$C$2:$E$500, 3, FALSE), "")</f>
        <v/>
      </c>
      <c r="D155" s="118" t="str">
        <f>IF(A155&lt;&gt;"",COUNTIFS(node!$C$2:$C$500,"="&amp;A155, node!$C$2:$C$500,"&lt;&gt;"&amp;""),"")</f>
        <v/>
      </c>
      <c r="E155" s="122" t="str">
        <f>IF(A155&lt;&gt;"",SUMIFS(node!$F$2:$F$500, node!$C$2:$C$500,"="&amp;A155, node!$C$2:$C$500,"&lt;&gt;"&amp;"")/(B155*D155),"")</f>
        <v/>
      </c>
      <c r="F155" s="124" t="str">
        <f>IF(A155&lt;&gt;"",SUMIFS(node!$H$2:$H$500, node!$C$2:$C$500,"="&amp;A155, node!$C$2:$C$500,"&lt;&gt;"&amp;"")/(C155*D155),"")</f>
        <v/>
      </c>
      <c r="G155" s="93" t="str">
        <f>IF(A155&lt;&gt;"",SUMIFS(deployment!$F$4:$F$502, deployment!$D$4:$D$502,"="&amp;A155, deployment!$D$4:$D$502,"&lt;&gt;"&amp;""),"")</f>
        <v/>
      </c>
      <c r="H155" s="94" t="str">
        <f>IF(A155&lt;&gt;"",SUMIFS(deployment!$G$4:$G$502, deployment!$D$4:$D$502,"="&amp;A155, deployment!$D$4:$D$502,"&lt;&gt;"&amp;""),"")</f>
        <v/>
      </c>
      <c r="I155" s="95" t="str">
        <f>IF(A155&lt;&gt;"",SUMIFS(deployment!$H$4:$H$502, deployment!$D$4:$D$502,"="&amp;A155, deployment!$D$4:$D$502,"&lt;&gt;"&amp;""),"")</f>
        <v/>
      </c>
      <c r="J155" s="96" t="str">
        <f>IF(A155&lt;&gt;"",SUMIFS(deployment!$I$4:$I$502, deployment!$D$4:$D$502,"="&amp;A155, deployment!$D$4:$D$502,"&lt;&gt;"&amp;""),"")</f>
        <v/>
      </c>
      <c r="K155" s="112" t="str">
        <f>IF(A155&lt;&gt;"",SUMIFS(deployment!$J$4:$J$502, deployment!$D$4:$D$502,"="&amp;A155, deployment!$D$4:$D$502,"&lt;&gt;"&amp;""),"")</f>
        <v/>
      </c>
      <c r="L155" s="112" t="str">
        <f>IF(A155&lt;&gt;"",SUMIFS(deployment!$K$4:$K$502, deployment!$D$4:$D$502,"="&amp;A155, deployment!$D$4:$D$502,"&lt;&gt;"&amp;""),"")</f>
        <v/>
      </c>
      <c r="M155" s="97" t="str">
        <f>IF(A155&lt;&gt;"",SUMIFS(deployment!$L$4:$L$502, deployment!$D$4:$D$502,"="&amp;A155, deployment!$D$4:$D$502,"&lt;&gt;"&amp;""),"")</f>
        <v/>
      </c>
      <c r="N155" s="97" t="str">
        <f>IF(A155&lt;&gt;"",SUMIFS(deployment!$M$4:$M$502, deployment!$D$4:$D$502,"="&amp;A155, deployment!$D$4:$D$502,"&lt;&gt;"&amp;""),"")</f>
        <v/>
      </c>
      <c r="O155" s="127" t="str">
        <f t="shared" si="35"/>
        <v/>
      </c>
      <c r="P155" s="104"/>
      <c r="Q155" s="99" t="str">
        <f t="shared" si="24"/>
        <v/>
      </c>
      <c r="R155" s="100" t="str">
        <f t="shared" si="25"/>
        <v/>
      </c>
      <c r="S155" s="100" t="str">
        <f t="shared" si="26"/>
        <v/>
      </c>
      <c r="T155" s="101" t="str">
        <f t="shared" si="27"/>
        <v/>
      </c>
      <c r="U155" s="101" t="str">
        <f t="shared" si="28"/>
        <v/>
      </c>
      <c r="V155" s="128" t="str">
        <f t="shared" si="29"/>
        <v/>
      </c>
      <c r="W155" s="128" t="str">
        <f t="shared" si="30"/>
        <v/>
      </c>
      <c r="X155" s="101" t="str">
        <f t="shared" si="31"/>
        <v/>
      </c>
      <c r="Y155" s="101" t="str">
        <f t="shared" si="32"/>
        <v/>
      </c>
      <c r="Z155" s="102" t="str">
        <f t="shared" si="33"/>
        <v/>
      </c>
      <c r="AA155" s="103" t="str">
        <f t="shared" si="34"/>
        <v/>
      </c>
      <c r="AB155" s="142" t="str">
        <f>IF(A155&lt;&gt;"", SUMIFS(node!$J$2:$J$500, node!$C$2:$C$500,"="&amp;A155)/P155, "")</f>
        <v/>
      </c>
      <c r="AC155" s="134" t="str">
        <f>IF(A155&lt;&gt;"", SUMIFS(node!$K$2:$K$500, node!$C$2:$C$500,"="&amp;A155)/P155, "")</f>
        <v/>
      </c>
      <c r="AD155" s="135" t="str">
        <f>IF(A155&lt;&gt;"", SUMIFS(node!$L$2:$L$500, node!$C$2:$C$500,"="&amp;A155), "")</f>
        <v/>
      </c>
      <c r="AE155" s="145" t="str">
        <f>IF(A155&lt;&gt;"", SUMIFS(node!$M$2:$M$500, node!$C$2:$C$500,"="&amp;A155), "")</f>
        <v/>
      </c>
    </row>
    <row r="156" spans="1:31" ht="15.75" customHeight="1" x14ac:dyDescent="0.25">
      <c r="A156" s="119" t="str">
        <f>IF(ISNONTEXT(node_raw[[#This Row],[Column2]]), "", node_raw[[#This Row],[Column2]])</f>
        <v/>
      </c>
      <c r="B156" s="116" t="str">
        <f>IF(A156&lt;&gt;"", VLOOKUP(A156, node!$C$2:$D$500, 2, FALSE), "")</f>
        <v/>
      </c>
      <c r="C156" s="117" t="str">
        <f>IF(A156&lt;&gt;"", VLOOKUP(A156, node!$C$2:$E$500, 3, FALSE), "")</f>
        <v/>
      </c>
      <c r="D156" s="118" t="str">
        <f>IF(A156&lt;&gt;"",COUNTIFS(node!$C$2:$C$500,"="&amp;A156, node!$C$2:$C$500,"&lt;&gt;"&amp;""),"")</f>
        <v/>
      </c>
      <c r="E156" s="122" t="str">
        <f>IF(A156&lt;&gt;"",SUMIFS(node!$F$2:$F$500, node!$C$2:$C$500,"="&amp;A156, node!$C$2:$C$500,"&lt;&gt;"&amp;"")/(B156*D156),"")</f>
        <v/>
      </c>
      <c r="F156" s="124" t="str">
        <f>IF(A156&lt;&gt;"",SUMIFS(node!$H$2:$H$500, node!$C$2:$C$500,"="&amp;A156, node!$C$2:$C$500,"&lt;&gt;"&amp;"")/(C156*D156),"")</f>
        <v/>
      </c>
      <c r="G156" s="93" t="str">
        <f>IF(A156&lt;&gt;"",SUMIFS(deployment!$F$4:$F$502, deployment!$D$4:$D$502,"="&amp;A156, deployment!$D$4:$D$502,"&lt;&gt;"&amp;""),"")</f>
        <v/>
      </c>
      <c r="H156" s="94" t="str">
        <f>IF(A156&lt;&gt;"",SUMIFS(deployment!$G$4:$G$502, deployment!$D$4:$D$502,"="&amp;A156, deployment!$D$4:$D$502,"&lt;&gt;"&amp;""),"")</f>
        <v/>
      </c>
      <c r="I156" s="95" t="str">
        <f>IF(A156&lt;&gt;"",SUMIFS(deployment!$H$4:$H$502, deployment!$D$4:$D$502,"="&amp;A156, deployment!$D$4:$D$502,"&lt;&gt;"&amp;""),"")</f>
        <v/>
      </c>
      <c r="J156" s="96" t="str">
        <f>IF(A156&lt;&gt;"",SUMIFS(deployment!$I$4:$I$502, deployment!$D$4:$D$502,"="&amp;A156, deployment!$D$4:$D$502,"&lt;&gt;"&amp;""),"")</f>
        <v/>
      </c>
      <c r="K156" s="112" t="str">
        <f>IF(A156&lt;&gt;"",SUMIFS(deployment!$J$4:$J$502, deployment!$D$4:$D$502,"="&amp;A156, deployment!$D$4:$D$502,"&lt;&gt;"&amp;""),"")</f>
        <v/>
      </c>
      <c r="L156" s="112" t="str">
        <f>IF(A156&lt;&gt;"",SUMIFS(deployment!$K$4:$K$502, deployment!$D$4:$D$502,"="&amp;A156, deployment!$D$4:$D$502,"&lt;&gt;"&amp;""),"")</f>
        <v/>
      </c>
      <c r="M156" s="97" t="str">
        <f>IF(A156&lt;&gt;"",SUMIFS(deployment!$L$4:$L$502, deployment!$D$4:$D$502,"="&amp;A156, deployment!$D$4:$D$502,"&lt;&gt;"&amp;""),"")</f>
        <v/>
      </c>
      <c r="N156" s="97" t="str">
        <f>IF(A156&lt;&gt;"",SUMIFS(deployment!$M$4:$M$502, deployment!$D$4:$D$502,"="&amp;A156, deployment!$D$4:$D$502,"&lt;&gt;"&amp;""),"")</f>
        <v/>
      </c>
      <c r="O156" s="127" t="str">
        <f t="shared" si="35"/>
        <v/>
      </c>
      <c r="P156" s="104"/>
      <c r="Q156" s="99" t="str">
        <f t="shared" si="24"/>
        <v/>
      </c>
      <c r="R156" s="100" t="str">
        <f t="shared" si="25"/>
        <v/>
      </c>
      <c r="S156" s="100" t="str">
        <f t="shared" si="26"/>
        <v/>
      </c>
      <c r="T156" s="101" t="str">
        <f t="shared" si="27"/>
        <v/>
      </c>
      <c r="U156" s="101" t="str">
        <f t="shared" si="28"/>
        <v/>
      </c>
      <c r="V156" s="128" t="str">
        <f t="shared" si="29"/>
        <v/>
      </c>
      <c r="W156" s="128" t="str">
        <f t="shared" si="30"/>
        <v/>
      </c>
      <c r="X156" s="101" t="str">
        <f t="shared" si="31"/>
        <v/>
      </c>
      <c r="Y156" s="101" t="str">
        <f t="shared" si="32"/>
        <v/>
      </c>
      <c r="Z156" s="102" t="str">
        <f t="shared" si="33"/>
        <v/>
      </c>
      <c r="AA156" s="103" t="str">
        <f t="shared" si="34"/>
        <v/>
      </c>
      <c r="AB156" s="142" t="str">
        <f>IF(A156&lt;&gt;"", SUMIFS(node!$J$2:$J$500, node!$C$2:$C$500,"="&amp;A156)/P156, "")</f>
        <v/>
      </c>
      <c r="AC156" s="134" t="str">
        <f>IF(A156&lt;&gt;"", SUMIFS(node!$K$2:$K$500, node!$C$2:$C$500,"="&amp;A156)/P156, "")</f>
        <v/>
      </c>
      <c r="AD156" s="135" t="str">
        <f>IF(A156&lt;&gt;"", SUMIFS(node!$L$2:$L$500, node!$C$2:$C$500,"="&amp;A156), "")</f>
        <v/>
      </c>
      <c r="AE156" s="145" t="str">
        <f>IF(A156&lt;&gt;"", SUMIFS(node!$M$2:$M$500, node!$C$2:$C$500,"="&amp;A156), "")</f>
        <v/>
      </c>
    </row>
    <row r="157" spans="1:31" ht="15.75" customHeight="1" x14ac:dyDescent="0.25">
      <c r="A157" s="119" t="str">
        <f>IF(ISNONTEXT(node_raw[[#This Row],[Column2]]), "", node_raw[[#This Row],[Column2]])</f>
        <v/>
      </c>
      <c r="B157" s="116" t="str">
        <f>IF(A157&lt;&gt;"", VLOOKUP(A157, node!$C$2:$D$500, 2, FALSE), "")</f>
        <v/>
      </c>
      <c r="C157" s="117" t="str">
        <f>IF(A157&lt;&gt;"", VLOOKUP(A157, node!$C$2:$E$500, 3, FALSE), "")</f>
        <v/>
      </c>
      <c r="D157" s="118" t="str">
        <f>IF(A157&lt;&gt;"",COUNTIFS(node!$C$2:$C$500,"="&amp;A157, node!$C$2:$C$500,"&lt;&gt;"&amp;""),"")</f>
        <v/>
      </c>
      <c r="E157" s="122" t="str">
        <f>IF(A157&lt;&gt;"",SUMIFS(node!$F$2:$F$500, node!$C$2:$C$500,"="&amp;A157, node!$C$2:$C$500,"&lt;&gt;"&amp;"")/(B157*D157),"")</f>
        <v/>
      </c>
      <c r="F157" s="124" t="str">
        <f>IF(A157&lt;&gt;"",SUMIFS(node!$H$2:$H$500, node!$C$2:$C$500,"="&amp;A157, node!$C$2:$C$500,"&lt;&gt;"&amp;"")/(C157*D157),"")</f>
        <v/>
      </c>
      <c r="G157" s="93" t="str">
        <f>IF(A157&lt;&gt;"",SUMIFS(deployment!$F$4:$F$502, deployment!$D$4:$D$502,"="&amp;A157, deployment!$D$4:$D$502,"&lt;&gt;"&amp;""),"")</f>
        <v/>
      </c>
      <c r="H157" s="94" t="str">
        <f>IF(A157&lt;&gt;"",SUMIFS(deployment!$G$4:$G$502, deployment!$D$4:$D$502,"="&amp;A157, deployment!$D$4:$D$502,"&lt;&gt;"&amp;""),"")</f>
        <v/>
      </c>
      <c r="I157" s="95" t="str">
        <f>IF(A157&lt;&gt;"",SUMIFS(deployment!$H$4:$H$502, deployment!$D$4:$D$502,"="&amp;A157, deployment!$D$4:$D$502,"&lt;&gt;"&amp;""),"")</f>
        <v/>
      </c>
      <c r="J157" s="96" t="str">
        <f>IF(A157&lt;&gt;"",SUMIFS(deployment!$I$4:$I$502, deployment!$D$4:$D$502,"="&amp;A157, deployment!$D$4:$D$502,"&lt;&gt;"&amp;""),"")</f>
        <v/>
      </c>
      <c r="K157" s="112" t="str">
        <f>IF(A157&lt;&gt;"",SUMIFS(deployment!$J$4:$J$502, deployment!$D$4:$D$502,"="&amp;A157, deployment!$D$4:$D$502,"&lt;&gt;"&amp;""),"")</f>
        <v/>
      </c>
      <c r="L157" s="112" t="str">
        <f>IF(A157&lt;&gt;"",SUMIFS(deployment!$K$4:$K$502, deployment!$D$4:$D$502,"="&amp;A157, deployment!$D$4:$D$502,"&lt;&gt;"&amp;""),"")</f>
        <v/>
      </c>
      <c r="M157" s="97" t="str">
        <f>IF(A157&lt;&gt;"",SUMIFS(deployment!$L$4:$L$502, deployment!$D$4:$D$502,"="&amp;A157, deployment!$D$4:$D$502,"&lt;&gt;"&amp;""),"")</f>
        <v/>
      </c>
      <c r="N157" s="97" t="str">
        <f>IF(A157&lt;&gt;"",SUMIFS(deployment!$M$4:$M$502, deployment!$D$4:$D$502,"="&amp;A157, deployment!$D$4:$D$502,"&lt;&gt;"&amp;""),"")</f>
        <v/>
      </c>
      <c r="O157" s="127" t="str">
        <f t="shared" si="35"/>
        <v/>
      </c>
      <c r="P157" s="104"/>
      <c r="Q157" s="99" t="str">
        <f t="shared" si="24"/>
        <v/>
      </c>
      <c r="R157" s="100" t="str">
        <f t="shared" si="25"/>
        <v/>
      </c>
      <c r="S157" s="100" t="str">
        <f t="shared" si="26"/>
        <v/>
      </c>
      <c r="T157" s="101" t="str">
        <f t="shared" si="27"/>
        <v/>
      </c>
      <c r="U157" s="101" t="str">
        <f t="shared" si="28"/>
        <v/>
      </c>
      <c r="V157" s="128" t="str">
        <f t="shared" si="29"/>
        <v/>
      </c>
      <c r="W157" s="128" t="str">
        <f t="shared" si="30"/>
        <v/>
      </c>
      <c r="X157" s="101" t="str">
        <f t="shared" si="31"/>
        <v/>
      </c>
      <c r="Y157" s="101" t="str">
        <f t="shared" si="32"/>
        <v/>
      </c>
      <c r="Z157" s="102" t="str">
        <f t="shared" si="33"/>
        <v/>
      </c>
      <c r="AA157" s="103" t="str">
        <f t="shared" si="34"/>
        <v/>
      </c>
      <c r="AB157" s="142" t="str">
        <f>IF(A157&lt;&gt;"", SUMIFS(node!$J$2:$J$500, node!$C$2:$C$500,"="&amp;A157)/P157, "")</f>
        <v/>
      </c>
      <c r="AC157" s="134" t="str">
        <f>IF(A157&lt;&gt;"", SUMIFS(node!$K$2:$K$500, node!$C$2:$C$500,"="&amp;A157)/P157, "")</f>
        <v/>
      </c>
      <c r="AD157" s="135" t="str">
        <f>IF(A157&lt;&gt;"", SUMIFS(node!$L$2:$L$500, node!$C$2:$C$500,"="&amp;A157), "")</f>
        <v/>
      </c>
      <c r="AE157" s="145" t="str">
        <f>IF(A157&lt;&gt;"", SUMIFS(node!$M$2:$M$500, node!$C$2:$C$500,"="&amp;A157), "")</f>
        <v/>
      </c>
    </row>
    <row r="158" spans="1:31" ht="15.75" customHeight="1" x14ac:dyDescent="0.25">
      <c r="A158" s="119" t="str">
        <f>IF(ISNONTEXT(node_raw[[#This Row],[Column2]]), "", node_raw[[#This Row],[Column2]])</f>
        <v/>
      </c>
      <c r="B158" s="116" t="str">
        <f>IF(A158&lt;&gt;"", VLOOKUP(A158, node!$C$2:$D$500, 2, FALSE), "")</f>
        <v/>
      </c>
      <c r="C158" s="117" t="str">
        <f>IF(A158&lt;&gt;"", VLOOKUP(A158, node!$C$2:$E$500, 3, FALSE), "")</f>
        <v/>
      </c>
      <c r="D158" s="118" t="str">
        <f>IF(A158&lt;&gt;"",COUNTIFS(node!$C$2:$C$500,"="&amp;A158, node!$C$2:$C$500,"&lt;&gt;"&amp;""),"")</f>
        <v/>
      </c>
      <c r="E158" s="122" t="str">
        <f>IF(A158&lt;&gt;"",SUMIFS(node!$F$2:$F$500, node!$C$2:$C$500,"="&amp;A158, node!$C$2:$C$500,"&lt;&gt;"&amp;"")/(B158*D158),"")</f>
        <v/>
      </c>
      <c r="F158" s="124" t="str">
        <f>IF(A158&lt;&gt;"",SUMIFS(node!$H$2:$H$500, node!$C$2:$C$500,"="&amp;A158, node!$C$2:$C$500,"&lt;&gt;"&amp;"")/(C158*D158),"")</f>
        <v/>
      </c>
      <c r="G158" s="93" t="str">
        <f>IF(A158&lt;&gt;"",SUMIFS(deployment!$F$4:$F$502, deployment!$D$4:$D$502,"="&amp;A158, deployment!$D$4:$D$502,"&lt;&gt;"&amp;""),"")</f>
        <v/>
      </c>
      <c r="H158" s="94" t="str">
        <f>IF(A158&lt;&gt;"",SUMIFS(deployment!$G$4:$G$502, deployment!$D$4:$D$502,"="&amp;A158, deployment!$D$4:$D$502,"&lt;&gt;"&amp;""),"")</f>
        <v/>
      </c>
      <c r="I158" s="95" t="str">
        <f>IF(A158&lt;&gt;"",SUMIFS(deployment!$H$4:$H$502, deployment!$D$4:$D$502,"="&amp;A158, deployment!$D$4:$D$502,"&lt;&gt;"&amp;""),"")</f>
        <v/>
      </c>
      <c r="J158" s="96" t="str">
        <f>IF(A158&lt;&gt;"",SUMIFS(deployment!$I$4:$I$502, deployment!$D$4:$D$502,"="&amp;A158, deployment!$D$4:$D$502,"&lt;&gt;"&amp;""),"")</f>
        <v/>
      </c>
      <c r="K158" s="112" t="str">
        <f>IF(A158&lt;&gt;"",SUMIFS(deployment!$J$4:$J$502, deployment!$D$4:$D$502,"="&amp;A158, deployment!$D$4:$D$502,"&lt;&gt;"&amp;""),"")</f>
        <v/>
      </c>
      <c r="L158" s="112" t="str">
        <f>IF(A158&lt;&gt;"",SUMIFS(deployment!$K$4:$K$502, deployment!$D$4:$D$502,"="&amp;A158, deployment!$D$4:$D$502,"&lt;&gt;"&amp;""),"")</f>
        <v/>
      </c>
      <c r="M158" s="97" t="str">
        <f>IF(A158&lt;&gt;"",SUMIFS(deployment!$L$4:$L$502, deployment!$D$4:$D$502,"="&amp;A158, deployment!$D$4:$D$502,"&lt;&gt;"&amp;""),"")</f>
        <v/>
      </c>
      <c r="N158" s="97" t="str">
        <f>IF(A158&lt;&gt;"",SUMIFS(deployment!$M$4:$M$502, deployment!$D$4:$D$502,"="&amp;A158, deployment!$D$4:$D$502,"&lt;&gt;"&amp;""),"")</f>
        <v/>
      </c>
      <c r="O158" s="127" t="str">
        <f t="shared" si="35"/>
        <v/>
      </c>
      <c r="P158" s="104"/>
      <c r="Q158" s="99" t="str">
        <f t="shared" si="24"/>
        <v/>
      </c>
      <c r="R158" s="100" t="str">
        <f t="shared" si="25"/>
        <v/>
      </c>
      <c r="S158" s="100" t="str">
        <f t="shared" si="26"/>
        <v/>
      </c>
      <c r="T158" s="101" t="str">
        <f t="shared" si="27"/>
        <v/>
      </c>
      <c r="U158" s="101" t="str">
        <f t="shared" si="28"/>
        <v/>
      </c>
      <c r="V158" s="128" t="str">
        <f t="shared" si="29"/>
        <v/>
      </c>
      <c r="W158" s="128" t="str">
        <f t="shared" si="30"/>
        <v/>
      </c>
      <c r="X158" s="101" t="str">
        <f t="shared" si="31"/>
        <v/>
      </c>
      <c r="Y158" s="101" t="str">
        <f t="shared" si="32"/>
        <v/>
      </c>
      <c r="Z158" s="102" t="str">
        <f t="shared" si="33"/>
        <v/>
      </c>
      <c r="AA158" s="103" t="str">
        <f t="shared" si="34"/>
        <v/>
      </c>
      <c r="AB158" s="142" t="str">
        <f>IF(A158&lt;&gt;"", SUMIFS(node!$J$2:$J$500, node!$C$2:$C$500,"="&amp;A158)/P158, "")</f>
        <v/>
      </c>
      <c r="AC158" s="134" t="str">
        <f>IF(A158&lt;&gt;"", SUMIFS(node!$K$2:$K$500, node!$C$2:$C$500,"="&amp;A158)/P158, "")</f>
        <v/>
      </c>
      <c r="AD158" s="135" t="str">
        <f>IF(A158&lt;&gt;"", SUMIFS(node!$L$2:$L$500, node!$C$2:$C$500,"="&amp;A158), "")</f>
        <v/>
      </c>
      <c r="AE158" s="145" t="str">
        <f>IF(A158&lt;&gt;"", SUMIFS(node!$M$2:$M$500, node!$C$2:$C$500,"="&amp;A158), "")</f>
        <v/>
      </c>
    </row>
    <row r="159" spans="1:31" ht="15.75" customHeight="1" x14ac:dyDescent="0.25">
      <c r="A159" s="119" t="str">
        <f>IF(ISNONTEXT(node_raw[[#This Row],[Column2]]), "", node_raw[[#This Row],[Column2]])</f>
        <v/>
      </c>
      <c r="B159" s="116" t="str">
        <f>IF(A159&lt;&gt;"", VLOOKUP(A159, node!$C$2:$D$500, 2, FALSE), "")</f>
        <v/>
      </c>
      <c r="C159" s="117" t="str">
        <f>IF(A159&lt;&gt;"", VLOOKUP(A159, node!$C$2:$E$500, 3, FALSE), "")</f>
        <v/>
      </c>
      <c r="D159" s="118" t="str">
        <f>IF(A159&lt;&gt;"",COUNTIFS(node!$C$2:$C$500,"="&amp;A159, node!$C$2:$C$500,"&lt;&gt;"&amp;""),"")</f>
        <v/>
      </c>
      <c r="E159" s="122" t="str">
        <f>IF(A159&lt;&gt;"",SUMIFS(node!$F$2:$F$500, node!$C$2:$C$500,"="&amp;A159, node!$C$2:$C$500,"&lt;&gt;"&amp;"")/(B159*D159),"")</f>
        <v/>
      </c>
      <c r="F159" s="124" t="str">
        <f>IF(A159&lt;&gt;"",SUMIFS(node!$H$2:$H$500, node!$C$2:$C$500,"="&amp;A159, node!$C$2:$C$500,"&lt;&gt;"&amp;"")/(C159*D159),"")</f>
        <v/>
      </c>
      <c r="G159" s="93" t="str">
        <f>IF(A159&lt;&gt;"",SUMIFS(deployment!$F$4:$F$502, deployment!$D$4:$D$502,"="&amp;A159, deployment!$D$4:$D$502,"&lt;&gt;"&amp;""),"")</f>
        <v/>
      </c>
      <c r="H159" s="94" t="str">
        <f>IF(A159&lt;&gt;"",SUMIFS(deployment!$G$4:$G$502, deployment!$D$4:$D$502,"="&amp;A159, deployment!$D$4:$D$502,"&lt;&gt;"&amp;""),"")</f>
        <v/>
      </c>
      <c r="I159" s="95" t="str">
        <f>IF(A159&lt;&gt;"",SUMIFS(deployment!$H$4:$H$502, deployment!$D$4:$D$502,"="&amp;A159, deployment!$D$4:$D$502,"&lt;&gt;"&amp;""),"")</f>
        <v/>
      </c>
      <c r="J159" s="96" t="str">
        <f>IF(A159&lt;&gt;"",SUMIFS(deployment!$I$4:$I$502, deployment!$D$4:$D$502,"="&amp;A159, deployment!$D$4:$D$502,"&lt;&gt;"&amp;""),"")</f>
        <v/>
      </c>
      <c r="K159" s="112" t="str">
        <f>IF(A159&lt;&gt;"",SUMIFS(deployment!$J$4:$J$502, deployment!$D$4:$D$502,"="&amp;A159, deployment!$D$4:$D$502,"&lt;&gt;"&amp;""),"")</f>
        <v/>
      </c>
      <c r="L159" s="112" t="str">
        <f>IF(A159&lt;&gt;"",SUMIFS(deployment!$K$4:$K$502, deployment!$D$4:$D$502,"="&amp;A159, deployment!$D$4:$D$502,"&lt;&gt;"&amp;""),"")</f>
        <v/>
      </c>
      <c r="M159" s="97" t="str">
        <f>IF(A159&lt;&gt;"",SUMIFS(deployment!$L$4:$L$502, deployment!$D$4:$D$502,"="&amp;A159, deployment!$D$4:$D$502,"&lt;&gt;"&amp;""),"")</f>
        <v/>
      </c>
      <c r="N159" s="97" t="str">
        <f>IF(A159&lt;&gt;"",SUMIFS(deployment!$M$4:$M$502, deployment!$D$4:$D$502,"="&amp;A159, deployment!$D$4:$D$502,"&lt;&gt;"&amp;""),"")</f>
        <v/>
      </c>
      <c r="O159" s="127" t="str">
        <f t="shared" si="35"/>
        <v/>
      </c>
      <c r="P159" s="104"/>
      <c r="Q159" s="99" t="str">
        <f t="shared" si="24"/>
        <v/>
      </c>
      <c r="R159" s="100" t="str">
        <f t="shared" si="25"/>
        <v/>
      </c>
      <c r="S159" s="100" t="str">
        <f t="shared" si="26"/>
        <v/>
      </c>
      <c r="T159" s="101" t="str">
        <f t="shared" si="27"/>
        <v/>
      </c>
      <c r="U159" s="101" t="str">
        <f t="shared" si="28"/>
        <v/>
      </c>
      <c r="V159" s="128" t="str">
        <f t="shared" si="29"/>
        <v/>
      </c>
      <c r="W159" s="128" t="str">
        <f t="shared" si="30"/>
        <v/>
      </c>
      <c r="X159" s="101" t="str">
        <f t="shared" si="31"/>
        <v/>
      </c>
      <c r="Y159" s="101" t="str">
        <f t="shared" si="32"/>
        <v/>
      </c>
      <c r="Z159" s="102" t="str">
        <f t="shared" si="33"/>
        <v/>
      </c>
      <c r="AA159" s="103" t="str">
        <f t="shared" si="34"/>
        <v/>
      </c>
      <c r="AB159" s="142" t="str">
        <f>IF(A159&lt;&gt;"", SUMIFS(node!$J$2:$J$500, node!$C$2:$C$500,"="&amp;A159)/P159, "")</f>
        <v/>
      </c>
      <c r="AC159" s="134" t="str">
        <f>IF(A159&lt;&gt;"", SUMIFS(node!$K$2:$K$500, node!$C$2:$C$500,"="&amp;A159)/P159, "")</f>
        <v/>
      </c>
      <c r="AD159" s="135" t="str">
        <f>IF(A159&lt;&gt;"", SUMIFS(node!$L$2:$L$500, node!$C$2:$C$500,"="&amp;A159), "")</f>
        <v/>
      </c>
      <c r="AE159" s="145" t="str">
        <f>IF(A159&lt;&gt;"", SUMIFS(node!$M$2:$M$500, node!$C$2:$C$500,"="&amp;A159), "")</f>
        <v/>
      </c>
    </row>
    <row r="160" spans="1:31" ht="15.75" customHeight="1" x14ac:dyDescent="0.25">
      <c r="A160" s="119" t="str">
        <f>IF(ISNONTEXT(node_raw[[#This Row],[Column2]]), "", node_raw[[#This Row],[Column2]])</f>
        <v/>
      </c>
      <c r="B160" s="116" t="str">
        <f>IF(A160&lt;&gt;"", VLOOKUP(A160, node!$C$2:$D$500, 2, FALSE), "")</f>
        <v/>
      </c>
      <c r="C160" s="117" t="str">
        <f>IF(A160&lt;&gt;"", VLOOKUP(A160, node!$C$2:$E$500, 3, FALSE), "")</f>
        <v/>
      </c>
      <c r="D160" s="118" t="str">
        <f>IF(A160&lt;&gt;"",COUNTIFS(node!$C$2:$C$500,"="&amp;A160, node!$C$2:$C$500,"&lt;&gt;"&amp;""),"")</f>
        <v/>
      </c>
      <c r="E160" s="122" t="str">
        <f>IF(A160&lt;&gt;"",SUMIFS(node!$F$2:$F$500, node!$C$2:$C$500,"="&amp;A160, node!$C$2:$C$500,"&lt;&gt;"&amp;"")/(B160*D160),"")</f>
        <v/>
      </c>
      <c r="F160" s="124" t="str">
        <f>IF(A160&lt;&gt;"",SUMIFS(node!$H$2:$H$500, node!$C$2:$C$500,"="&amp;A160, node!$C$2:$C$500,"&lt;&gt;"&amp;"")/(C160*D160),"")</f>
        <v/>
      </c>
      <c r="G160" s="93" t="str">
        <f>IF(A160&lt;&gt;"",SUMIFS(deployment!$F$4:$F$502, deployment!$D$4:$D$502,"="&amp;A160, deployment!$D$4:$D$502,"&lt;&gt;"&amp;""),"")</f>
        <v/>
      </c>
      <c r="H160" s="94" t="str">
        <f>IF(A160&lt;&gt;"",SUMIFS(deployment!$G$4:$G$502, deployment!$D$4:$D$502,"="&amp;A160, deployment!$D$4:$D$502,"&lt;&gt;"&amp;""),"")</f>
        <v/>
      </c>
      <c r="I160" s="95" t="str">
        <f>IF(A160&lt;&gt;"",SUMIFS(deployment!$H$4:$H$502, deployment!$D$4:$D$502,"="&amp;A160, deployment!$D$4:$D$502,"&lt;&gt;"&amp;""),"")</f>
        <v/>
      </c>
      <c r="J160" s="96" t="str">
        <f>IF(A160&lt;&gt;"",SUMIFS(deployment!$I$4:$I$502, deployment!$D$4:$D$502,"="&amp;A160, deployment!$D$4:$D$502,"&lt;&gt;"&amp;""),"")</f>
        <v/>
      </c>
      <c r="K160" s="112" t="str">
        <f>IF(A160&lt;&gt;"",SUMIFS(deployment!$J$4:$J$502, deployment!$D$4:$D$502,"="&amp;A160, deployment!$D$4:$D$502,"&lt;&gt;"&amp;""),"")</f>
        <v/>
      </c>
      <c r="L160" s="112" t="str">
        <f>IF(A160&lt;&gt;"",SUMIFS(deployment!$K$4:$K$502, deployment!$D$4:$D$502,"="&amp;A160, deployment!$D$4:$D$502,"&lt;&gt;"&amp;""),"")</f>
        <v/>
      </c>
      <c r="M160" s="97" t="str">
        <f>IF(A160&lt;&gt;"",SUMIFS(deployment!$L$4:$L$502, deployment!$D$4:$D$502,"="&amp;A160, deployment!$D$4:$D$502,"&lt;&gt;"&amp;""),"")</f>
        <v/>
      </c>
      <c r="N160" s="97" t="str">
        <f>IF(A160&lt;&gt;"",SUMIFS(deployment!$M$4:$M$502, deployment!$D$4:$D$502,"="&amp;A160, deployment!$D$4:$D$502,"&lt;&gt;"&amp;""),"")</f>
        <v/>
      </c>
      <c r="O160" s="127" t="str">
        <f t="shared" si="35"/>
        <v/>
      </c>
      <c r="P160" s="104"/>
      <c r="Q160" s="99" t="str">
        <f t="shared" si="24"/>
        <v/>
      </c>
      <c r="R160" s="100" t="str">
        <f t="shared" si="25"/>
        <v/>
      </c>
      <c r="S160" s="100" t="str">
        <f t="shared" si="26"/>
        <v/>
      </c>
      <c r="T160" s="101" t="str">
        <f t="shared" si="27"/>
        <v/>
      </c>
      <c r="U160" s="101" t="str">
        <f t="shared" si="28"/>
        <v/>
      </c>
      <c r="V160" s="128" t="str">
        <f t="shared" si="29"/>
        <v/>
      </c>
      <c r="W160" s="128" t="str">
        <f t="shared" si="30"/>
        <v/>
      </c>
      <c r="X160" s="101" t="str">
        <f t="shared" si="31"/>
        <v/>
      </c>
      <c r="Y160" s="101" t="str">
        <f t="shared" si="32"/>
        <v/>
      </c>
      <c r="Z160" s="102" t="str">
        <f t="shared" si="33"/>
        <v/>
      </c>
      <c r="AA160" s="103" t="str">
        <f t="shared" si="34"/>
        <v/>
      </c>
      <c r="AB160" s="142" t="str">
        <f>IF(A160&lt;&gt;"", SUMIFS(node!$J$2:$J$500, node!$C$2:$C$500,"="&amp;A160)/P160, "")</f>
        <v/>
      </c>
      <c r="AC160" s="134" t="str">
        <f>IF(A160&lt;&gt;"", SUMIFS(node!$K$2:$K$500, node!$C$2:$C$500,"="&amp;A160)/P160, "")</f>
        <v/>
      </c>
      <c r="AD160" s="135" t="str">
        <f>IF(A160&lt;&gt;"", SUMIFS(node!$L$2:$L$500, node!$C$2:$C$500,"="&amp;A160), "")</f>
        <v/>
      </c>
      <c r="AE160" s="145" t="str">
        <f>IF(A160&lt;&gt;"", SUMIFS(node!$M$2:$M$500, node!$C$2:$C$500,"="&amp;A160), "")</f>
        <v/>
      </c>
    </row>
    <row r="161" spans="1:31" ht="15.75" customHeight="1" x14ac:dyDescent="0.25">
      <c r="A161" s="119" t="str">
        <f>IF(ISNONTEXT(node_raw[[#This Row],[Column2]]), "", node_raw[[#This Row],[Column2]])</f>
        <v/>
      </c>
      <c r="B161" s="116" t="str">
        <f>IF(A161&lt;&gt;"", VLOOKUP(A161, node!$C$2:$D$500, 2, FALSE), "")</f>
        <v/>
      </c>
      <c r="C161" s="117" t="str">
        <f>IF(A161&lt;&gt;"", VLOOKUP(A161, node!$C$2:$E$500, 3, FALSE), "")</f>
        <v/>
      </c>
      <c r="D161" s="118" t="str">
        <f>IF(A161&lt;&gt;"",COUNTIFS(node!$C$2:$C$500,"="&amp;A161, node!$C$2:$C$500,"&lt;&gt;"&amp;""),"")</f>
        <v/>
      </c>
      <c r="E161" s="122" t="str">
        <f>IF(A161&lt;&gt;"",SUMIFS(node!$F$2:$F$500, node!$C$2:$C$500,"="&amp;A161, node!$C$2:$C$500,"&lt;&gt;"&amp;"")/(B161*D161),"")</f>
        <v/>
      </c>
      <c r="F161" s="124" t="str">
        <f>IF(A161&lt;&gt;"",SUMIFS(node!$H$2:$H$500, node!$C$2:$C$500,"="&amp;A161, node!$C$2:$C$500,"&lt;&gt;"&amp;"")/(C161*D161),"")</f>
        <v/>
      </c>
      <c r="G161" s="93" t="str">
        <f>IF(A161&lt;&gt;"",SUMIFS(deployment!$F$4:$F$502, deployment!$D$4:$D$502,"="&amp;A161, deployment!$D$4:$D$502,"&lt;&gt;"&amp;""),"")</f>
        <v/>
      </c>
      <c r="H161" s="94" t="str">
        <f>IF(A161&lt;&gt;"",SUMIFS(deployment!$G$4:$G$502, deployment!$D$4:$D$502,"="&amp;A161, deployment!$D$4:$D$502,"&lt;&gt;"&amp;""),"")</f>
        <v/>
      </c>
      <c r="I161" s="95" t="str">
        <f>IF(A161&lt;&gt;"",SUMIFS(deployment!$H$4:$H$502, deployment!$D$4:$D$502,"="&amp;A161, deployment!$D$4:$D$502,"&lt;&gt;"&amp;""),"")</f>
        <v/>
      </c>
      <c r="J161" s="96" t="str">
        <f>IF(A161&lt;&gt;"",SUMIFS(deployment!$I$4:$I$502, deployment!$D$4:$D$502,"="&amp;A161, deployment!$D$4:$D$502,"&lt;&gt;"&amp;""),"")</f>
        <v/>
      </c>
      <c r="K161" s="112" t="str">
        <f>IF(A161&lt;&gt;"",SUMIFS(deployment!$J$4:$J$502, deployment!$D$4:$D$502,"="&amp;A161, deployment!$D$4:$D$502,"&lt;&gt;"&amp;""),"")</f>
        <v/>
      </c>
      <c r="L161" s="112" t="str">
        <f>IF(A161&lt;&gt;"",SUMIFS(deployment!$K$4:$K$502, deployment!$D$4:$D$502,"="&amp;A161, deployment!$D$4:$D$502,"&lt;&gt;"&amp;""),"")</f>
        <v/>
      </c>
      <c r="M161" s="97" t="str">
        <f>IF(A161&lt;&gt;"",SUMIFS(deployment!$L$4:$L$502, deployment!$D$4:$D$502,"="&amp;A161, deployment!$D$4:$D$502,"&lt;&gt;"&amp;""),"")</f>
        <v/>
      </c>
      <c r="N161" s="97" t="str">
        <f>IF(A161&lt;&gt;"",SUMIFS(deployment!$M$4:$M$502, deployment!$D$4:$D$502,"="&amp;A161, deployment!$D$4:$D$502,"&lt;&gt;"&amp;""),"")</f>
        <v/>
      </c>
      <c r="O161" s="127" t="str">
        <f t="shared" si="35"/>
        <v/>
      </c>
      <c r="P161" s="104"/>
      <c r="Q161" s="99" t="str">
        <f t="shared" si="24"/>
        <v/>
      </c>
      <c r="R161" s="100" t="str">
        <f t="shared" si="25"/>
        <v/>
      </c>
      <c r="S161" s="100" t="str">
        <f t="shared" si="26"/>
        <v/>
      </c>
      <c r="T161" s="101" t="str">
        <f t="shared" si="27"/>
        <v/>
      </c>
      <c r="U161" s="101" t="str">
        <f t="shared" si="28"/>
        <v/>
      </c>
      <c r="V161" s="128" t="str">
        <f t="shared" si="29"/>
        <v/>
      </c>
      <c r="W161" s="128" t="str">
        <f t="shared" si="30"/>
        <v/>
      </c>
      <c r="X161" s="101" t="str">
        <f t="shared" si="31"/>
        <v/>
      </c>
      <c r="Y161" s="101" t="str">
        <f t="shared" si="32"/>
        <v/>
      </c>
      <c r="Z161" s="102" t="str">
        <f t="shared" si="33"/>
        <v/>
      </c>
      <c r="AA161" s="103" t="str">
        <f t="shared" si="34"/>
        <v/>
      </c>
      <c r="AB161" s="142" t="str">
        <f>IF(A161&lt;&gt;"", SUMIFS(node!$J$2:$J$500, node!$C$2:$C$500,"="&amp;A161)/P161, "")</f>
        <v/>
      </c>
      <c r="AC161" s="134" t="str">
        <f>IF(A161&lt;&gt;"", SUMIFS(node!$K$2:$K$500, node!$C$2:$C$500,"="&amp;A161)/P161, "")</f>
        <v/>
      </c>
      <c r="AD161" s="135" t="str">
        <f>IF(A161&lt;&gt;"", SUMIFS(node!$L$2:$L$500, node!$C$2:$C$500,"="&amp;A161), "")</f>
        <v/>
      </c>
      <c r="AE161" s="145" t="str">
        <f>IF(A161&lt;&gt;"", SUMIFS(node!$M$2:$M$500, node!$C$2:$C$500,"="&amp;A161), "")</f>
        <v/>
      </c>
    </row>
    <row r="162" spans="1:31" ht="15.75" customHeight="1" x14ac:dyDescent="0.25">
      <c r="A162" s="119" t="str">
        <f>IF(ISNONTEXT(node_raw[[#This Row],[Column2]]), "", node_raw[[#This Row],[Column2]])</f>
        <v/>
      </c>
      <c r="B162" s="116" t="str">
        <f>IF(A162&lt;&gt;"", VLOOKUP(A162, node!$C$2:$D$500, 2, FALSE), "")</f>
        <v/>
      </c>
      <c r="C162" s="117" t="str">
        <f>IF(A162&lt;&gt;"", VLOOKUP(A162, node!$C$2:$E$500, 3, FALSE), "")</f>
        <v/>
      </c>
      <c r="D162" s="118" t="str">
        <f>IF(A162&lt;&gt;"",COUNTIFS(node!$C$2:$C$500,"="&amp;A162, node!$C$2:$C$500,"&lt;&gt;"&amp;""),"")</f>
        <v/>
      </c>
      <c r="E162" s="122" t="str">
        <f>IF(A162&lt;&gt;"",SUMIFS(node!$F$2:$F$500, node!$C$2:$C$500,"="&amp;A162, node!$C$2:$C$500,"&lt;&gt;"&amp;"")/(B162*D162),"")</f>
        <v/>
      </c>
      <c r="F162" s="124" t="str">
        <f>IF(A162&lt;&gt;"",SUMIFS(node!$H$2:$H$500, node!$C$2:$C$500,"="&amp;A162, node!$C$2:$C$500,"&lt;&gt;"&amp;"")/(C162*D162),"")</f>
        <v/>
      </c>
      <c r="G162" s="93" t="str">
        <f>IF(A162&lt;&gt;"",SUMIFS(deployment!$F$4:$F$502, deployment!$D$4:$D$502,"="&amp;A162, deployment!$D$4:$D$502,"&lt;&gt;"&amp;""),"")</f>
        <v/>
      </c>
      <c r="H162" s="94" t="str">
        <f>IF(A162&lt;&gt;"",SUMIFS(deployment!$G$4:$G$502, deployment!$D$4:$D$502,"="&amp;A162, deployment!$D$4:$D$502,"&lt;&gt;"&amp;""),"")</f>
        <v/>
      </c>
      <c r="I162" s="95" t="str">
        <f>IF(A162&lt;&gt;"",SUMIFS(deployment!$H$4:$H$502, deployment!$D$4:$D$502,"="&amp;A162, deployment!$D$4:$D$502,"&lt;&gt;"&amp;""),"")</f>
        <v/>
      </c>
      <c r="J162" s="96" t="str">
        <f>IF(A162&lt;&gt;"",SUMIFS(deployment!$I$4:$I$502, deployment!$D$4:$D$502,"="&amp;A162, deployment!$D$4:$D$502,"&lt;&gt;"&amp;""),"")</f>
        <v/>
      </c>
      <c r="K162" s="112" t="str">
        <f>IF(A162&lt;&gt;"",SUMIFS(deployment!$J$4:$J$502, deployment!$D$4:$D$502,"="&amp;A162, deployment!$D$4:$D$502,"&lt;&gt;"&amp;""),"")</f>
        <v/>
      </c>
      <c r="L162" s="112" t="str">
        <f>IF(A162&lt;&gt;"",SUMIFS(deployment!$K$4:$K$502, deployment!$D$4:$D$502,"="&amp;A162, deployment!$D$4:$D$502,"&lt;&gt;"&amp;""),"")</f>
        <v/>
      </c>
      <c r="M162" s="97" t="str">
        <f>IF(A162&lt;&gt;"",SUMIFS(deployment!$L$4:$L$502, deployment!$D$4:$D$502,"="&amp;A162, deployment!$D$4:$D$502,"&lt;&gt;"&amp;""),"")</f>
        <v/>
      </c>
      <c r="N162" s="97" t="str">
        <f>IF(A162&lt;&gt;"",SUMIFS(deployment!$M$4:$M$502, deployment!$D$4:$D$502,"="&amp;A162, deployment!$D$4:$D$502,"&lt;&gt;"&amp;""),"")</f>
        <v/>
      </c>
      <c r="O162" s="127" t="str">
        <f t="shared" si="35"/>
        <v/>
      </c>
      <c r="P162" s="104"/>
      <c r="Q162" s="99" t="str">
        <f t="shared" si="24"/>
        <v/>
      </c>
      <c r="R162" s="100" t="str">
        <f t="shared" si="25"/>
        <v/>
      </c>
      <c r="S162" s="100" t="str">
        <f t="shared" si="26"/>
        <v/>
      </c>
      <c r="T162" s="101" t="str">
        <f t="shared" si="27"/>
        <v/>
      </c>
      <c r="U162" s="101" t="str">
        <f t="shared" si="28"/>
        <v/>
      </c>
      <c r="V162" s="128" t="str">
        <f t="shared" si="29"/>
        <v/>
      </c>
      <c r="W162" s="128" t="str">
        <f t="shared" si="30"/>
        <v/>
      </c>
      <c r="X162" s="101" t="str">
        <f t="shared" si="31"/>
        <v/>
      </c>
      <c r="Y162" s="101" t="str">
        <f t="shared" si="32"/>
        <v/>
      </c>
      <c r="Z162" s="102" t="str">
        <f t="shared" si="33"/>
        <v/>
      </c>
      <c r="AA162" s="103" t="str">
        <f t="shared" si="34"/>
        <v/>
      </c>
      <c r="AB162" s="142" t="str">
        <f>IF(A162&lt;&gt;"", SUMIFS(node!$J$2:$J$500, node!$C$2:$C$500,"="&amp;A162)/P162, "")</f>
        <v/>
      </c>
      <c r="AC162" s="134" t="str">
        <f>IF(A162&lt;&gt;"", SUMIFS(node!$K$2:$K$500, node!$C$2:$C$500,"="&amp;A162)/P162, "")</f>
        <v/>
      </c>
      <c r="AD162" s="135" t="str">
        <f>IF(A162&lt;&gt;"", SUMIFS(node!$L$2:$L$500, node!$C$2:$C$500,"="&amp;A162), "")</f>
        <v/>
      </c>
      <c r="AE162" s="145" t="str">
        <f>IF(A162&lt;&gt;"", SUMIFS(node!$M$2:$M$500, node!$C$2:$C$500,"="&amp;A162), "")</f>
        <v/>
      </c>
    </row>
    <row r="163" spans="1:31" ht="15.75" customHeight="1" x14ac:dyDescent="0.25">
      <c r="A163" s="119" t="str">
        <f>IF(ISNONTEXT(node_raw[[#This Row],[Column2]]), "", node_raw[[#This Row],[Column2]])</f>
        <v/>
      </c>
      <c r="B163" s="116" t="str">
        <f>IF(A163&lt;&gt;"", VLOOKUP(A163, node!$C$2:$D$500, 2, FALSE), "")</f>
        <v/>
      </c>
      <c r="C163" s="117" t="str">
        <f>IF(A163&lt;&gt;"", VLOOKUP(A163, node!$C$2:$E$500, 3, FALSE), "")</f>
        <v/>
      </c>
      <c r="D163" s="118" t="str">
        <f>IF(A163&lt;&gt;"",COUNTIFS(node!$C$2:$C$500,"="&amp;A163, node!$C$2:$C$500,"&lt;&gt;"&amp;""),"")</f>
        <v/>
      </c>
      <c r="E163" s="122" t="str">
        <f>IF(A163&lt;&gt;"",SUMIFS(node!$F$2:$F$500, node!$C$2:$C$500,"="&amp;A163, node!$C$2:$C$500,"&lt;&gt;"&amp;"")/(B163*D163),"")</f>
        <v/>
      </c>
      <c r="F163" s="124" t="str">
        <f>IF(A163&lt;&gt;"",SUMIFS(node!$H$2:$H$500, node!$C$2:$C$500,"="&amp;A163, node!$C$2:$C$500,"&lt;&gt;"&amp;"")/(C163*D163),"")</f>
        <v/>
      </c>
      <c r="G163" s="93" t="str">
        <f>IF(A163&lt;&gt;"",SUMIFS(deployment!$F$4:$F$502, deployment!$D$4:$D$502,"="&amp;A163, deployment!$D$4:$D$502,"&lt;&gt;"&amp;""),"")</f>
        <v/>
      </c>
      <c r="H163" s="94" t="str">
        <f>IF(A163&lt;&gt;"",SUMIFS(deployment!$G$4:$G$502, deployment!$D$4:$D$502,"="&amp;A163, deployment!$D$4:$D$502,"&lt;&gt;"&amp;""),"")</f>
        <v/>
      </c>
      <c r="I163" s="95" t="str">
        <f>IF(A163&lt;&gt;"",SUMIFS(deployment!$H$4:$H$502, deployment!$D$4:$D$502,"="&amp;A163, deployment!$D$4:$D$502,"&lt;&gt;"&amp;""),"")</f>
        <v/>
      </c>
      <c r="J163" s="96" t="str">
        <f>IF(A163&lt;&gt;"",SUMIFS(deployment!$I$4:$I$502, deployment!$D$4:$D$502,"="&amp;A163, deployment!$D$4:$D$502,"&lt;&gt;"&amp;""),"")</f>
        <v/>
      </c>
      <c r="K163" s="112" t="str">
        <f>IF(A163&lt;&gt;"",SUMIFS(deployment!$J$4:$J$502, deployment!$D$4:$D$502,"="&amp;A163, deployment!$D$4:$D$502,"&lt;&gt;"&amp;""),"")</f>
        <v/>
      </c>
      <c r="L163" s="112" t="str">
        <f>IF(A163&lt;&gt;"",SUMIFS(deployment!$K$4:$K$502, deployment!$D$4:$D$502,"="&amp;A163, deployment!$D$4:$D$502,"&lt;&gt;"&amp;""),"")</f>
        <v/>
      </c>
      <c r="M163" s="97" t="str">
        <f>IF(A163&lt;&gt;"",SUMIFS(deployment!$L$4:$L$502, deployment!$D$4:$D$502,"="&amp;A163, deployment!$D$4:$D$502,"&lt;&gt;"&amp;""),"")</f>
        <v/>
      </c>
      <c r="N163" s="97" t="str">
        <f>IF(A163&lt;&gt;"",SUMIFS(deployment!$M$4:$M$502, deployment!$D$4:$D$502,"="&amp;A163, deployment!$D$4:$D$502,"&lt;&gt;"&amp;""),"")</f>
        <v/>
      </c>
      <c r="O163" s="127" t="str">
        <f t="shared" si="35"/>
        <v/>
      </c>
      <c r="P163" s="104"/>
      <c r="Q163" s="99" t="str">
        <f t="shared" si="24"/>
        <v/>
      </c>
      <c r="R163" s="100" t="str">
        <f t="shared" si="25"/>
        <v/>
      </c>
      <c r="S163" s="100" t="str">
        <f t="shared" si="26"/>
        <v/>
      </c>
      <c r="T163" s="101" t="str">
        <f t="shared" si="27"/>
        <v/>
      </c>
      <c r="U163" s="101" t="str">
        <f t="shared" si="28"/>
        <v/>
      </c>
      <c r="V163" s="128" t="str">
        <f t="shared" si="29"/>
        <v/>
      </c>
      <c r="W163" s="128" t="str">
        <f t="shared" si="30"/>
        <v/>
      </c>
      <c r="X163" s="101" t="str">
        <f t="shared" si="31"/>
        <v/>
      </c>
      <c r="Y163" s="101" t="str">
        <f t="shared" si="32"/>
        <v/>
      </c>
      <c r="Z163" s="102" t="str">
        <f t="shared" si="33"/>
        <v/>
      </c>
      <c r="AA163" s="103" t="str">
        <f t="shared" si="34"/>
        <v/>
      </c>
      <c r="AB163" s="142" t="str">
        <f>IF(A163&lt;&gt;"", SUMIFS(node!$J$2:$J$500, node!$C$2:$C$500,"="&amp;A163)/P163, "")</f>
        <v/>
      </c>
      <c r="AC163" s="134" t="str">
        <f>IF(A163&lt;&gt;"", SUMIFS(node!$K$2:$K$500, node!$C$2:$C$500,"="&amp;A163)/P163, "")</f>
        <v/>
      </c>
      <c r="AD163" s="135" t="str">
        <f>IF(A163&lt;&gt;"", SUMIFS(node!$L$2:$L$500, node!$C$2:$C$500,"="&amp;A163), "")</f>
        <v/>
      </c>
      <c r="AE163" s="145" t="str">
        <f>IF(A163&lt;&gt;"", SUMIFS(node!$M$2:$M$500, node!$C$2:$C$500,"="&amp;A163), "")</f>
        <v/>
      </c>
    </row>
    <row r="164" spans="1:31" ht="15.75" customHeight="1" x14ac:dyDescent="0.25">
      <c r="A164" s="119" t="str">
        <f>IF(ISNONTEXT(node_raw[[#This Row],[Column2]]), "", node_raw[[#This Row],[Column2]])</f>
        <v/>
      </c>
      <c r="B164" s="116" t="str">
        <f>IF(A164&lt;&gt;"", VLOOKUP(A164, node!$C$2:$D$500, 2, FALSE), "")</f>
        <v/>
      </c>
      <c r="C164" s="117" t="str">
        <f>IF(A164&lt;&gt;"", VLOOKUP(A164, node!$C$2:$E$500, 3, FALSE), "")</f>
        <v/>
      </c>
      <c r="D164" s="118" t="str">
        <f>IF(A164&lt;&gt;"",COUNTIFS(node!$C$2:$C$500,"="&amp;A164, node!$C$2:$C$500,"&lt;&gt;"&amp;""),"")</f>
        <v/>
      </c>
      <c r="E164" s="122" t="str">
        <f>IF(A164&lt;&gt;"",SUMIFS(node!$F$2:$F$500, node!$C$2:$C$500,"="&amp;A164, node!$C$2:$C$500,"&lt;&gt;"&amp;"")/(B164*D164),"")</f>
        <v/>
      </c>
      <c r="F164" s="124" t="str">
        <f>IF(A164&lt;&gt;"",SUMIFS(node!$H$2:$H$500, node!$C$2:$C$500,"="&amp;A164, node!$C$2:$C$500,"&lt;&gt;"&amp;"")/(C164*D164),"")</f>
        <v/>
      </c>
      <c r="G164" s="93" t="str">
        <f>IF(A164&lt;&gt;"",SUMIFS(deployment!$F$4:$F$502, deployment!$D$4:$D$502,"="&amp;A164, deployment!$D$4:$D$502,"&lt;&gt;"&amp;""),"")</f>
        <v/>
      </c>
      <c r="H164" s="94" t="str">
        <f>IF(A164&lt;&gt;"",SUMIFS(deployment!$G$4:$G$502, deployment!$D$4:$D$502,"="&amp;A164, deployment!$D$4:$D$502,"&lt;&gt;"&amp;""),"")</f>
        <v/>
      </c>
      <c r="I164" s="95" t="str">
        <f>IF(A164&lt;&gt;"",SUMIFS(deployment!$H$4:$H$502, deployment!$D$4:$D$502,"="&amp;A164, deployment!$D$4:$D$502,"&lt;&gt;"&amp;""),"")</f>
        <v/>
      </c>
      <c r="J164" s="96" t="str">
        <f>IF(A164&lt;&gt;"",SUMIFS(deployment!$I$4:$I$502, deployment!$D$4:$D$502,"="&amp;A164, deployment!$D$4:$D$502,"&lt;&gt;"&amp;""),"")</f>
        <v/>
      </c>
      <c r="K164" s="112" t="str">
        <f>IF(A164&lt;&gt;"",SUMIFS(deployment!$J$4:$J$502, deployment!$D$4:$D$502,"="&amp;A164, deployment!$D$4:$D$502,"&lt;&gt;"&amp;""),"")</f>
        <v/>
      </c>
      <c r="L164" s="112" t="str">
        <f>IF(A164&lt;&gt;"",SUMIFS(deployment!$K$4:$K$502, deployment!$D$4:$D$502,"="&amp;A164, deployment!$D$4:$D$502,"&lt;&gt;"&amp;""),"")</f>
        <v/>
      </c>
      <c r="M164" s="97" t="str">
        <f>IF(A164&lt;&gt;"",SUMIFS(deployment!$L$4:$L$502, deployment!$D$4:$D$502,"="&amp;A164, deployment!$D$4:$D$502,"&lt;&gt;"&amp;""),"")</f>
        <v/>
      </c>
      <c r="N164" s="97" t="str">
        <f>IF(A164&lt;&gt;"",SUMIFS(deployment!$M$4:$M$502, deployment!$D$4:$D$502,"="&amp;A164, deployment!$D$4:$D$502,"&lt;&gt;"&amp;""),"")</f>
        <v/>
      </c>
      <c r="O164" s="127" t="str">
        <f t="shared" si="35"/>
        <v/>
      </c>
      <c r="P164" s="104"/>
      <c r="Q164" s="99" t="str">
        <f t="shared" si="24"/>
        <v/>
      </c>
      <c r="R164" s="100" t="str">
        <f t="shared" si="25"/>
        <v/>
      </c>
      <c r="S164" s="100" t="str">
        <f t="shared" si="26"/>
        <v/>
      </c>
      <c r="T164" s="101" t="str">
        <f t="shared" si="27"/>
        <v/>
      </c>
      <c r="U164" s="101" t="str">
        <f t="shared" si="28"/>
        <v/>
      </c>
      <c r="V164" s="128" t="str">
        <f t="shared" si="29"/>
        <v/>
      </c>
      <c r="W164" s="128" t="str">
        <f t="shared" si="30"/>
        <v/>
      </c>
      <c r="X164" s="101" t="str">
        <f t="shared" si="31"/>
        <v/>
      </c>
      <c r="Y164" s="101" t="str">
        <f t="shared" si="32"/>
        <v/>
      </c>
      <c r="Z164" s="102" t="str">
        <f t="shared" si="33"/>
        <v/>
      </c>
      <c r="AA164" s="103" t="str">
        <f t="shared" si="34"/>
        <v/>
      </c>
      <c r="AB164" s="142" t="str">
        <f>IF(A164&lt;&gt;"", SUMIFS(node!$J$2:$J$500, node!$C$2:$C$500,"="&amp;A164)/P164, "")</f>
        <v/>
      </c>
      <c r="AC164" s="134" t="str">
        <f>IF(A164&lt;&gt;"", SUMIFS(node!$K$2:$K$500, node!$C$2:$C$500,"="&amp;A164)/P164, "")</f>
        <v/>
      </c>
      <c r="AD164" s="135" t="str">
        <f>IF(A164&lt;&gt;"", SUMIFS(node!$L$2:$L$500, node!$C$2:$C$500,"="&amp;A164), "")</f>
        <v/>
      </c>
      <c r="AE164" s="145" t="str">
        <f>IF(A164&lt;&gt;"", SUMIFS(node!$M$2:$M$500, node!$C$2:$C$500,"="&amp;A164), "")</f>
        <v/>
      </c>
    </row>
    <row r="165" spans="1:31" ht="15.75" customHeight="1" x14ac:dyDescent="0.25">
      <c r="A165" s="119" t="str">
        <f>IF(ISNONTEXT(node_raw[[#This Row],[Column2]]), "", node_raw[[#This Row],[Column2]])</f>
        <v/>
      </c>
      <c r="B165" s="116" t="str">
        <f>IF(A165&lt;&gt;"", VLOOKUP(A165, node!$C$2:$D$500, 2, FALSE), "")</f>
        <v/>
      </c>
      <c r="C165" s="117" t="str">
        <f>IF(A165&lt;&gt;"", VLOOKUP(A165, node!$C$2:$E$500, 3, FALSE), "")</f>
        <v/>
      </c>
      <c r="D165" s="118" t="str">
        <f>IF(A165&lt;&gt;"",COUNTIFS(node!$C$2:$C$500,"="&amp;A165, node!$C$2:$C$500,"&lt;&gt;"&amp;""),"")</f>
        <v/>
      </c>
      <c r="E165" s="122" t="str">
        <f>IF(A165&lt;&gt;"",SUMIFS(node!$F$2:$F$500, node!$C$2:$C$500,"="&amp;A165, node!$C$2:$C$500,"&lt;&gt;"&amp;"")/(B165*D165),"")</f>
        <v/>
      </c>
      <c r="F165" s="124" t="str">
        <f>IF(A165&lt;&gt;"",SUMIFS(node!$H$2:$H$500, node!$C$2:$C$500,"="&amp;A165, node!$C$2:$C$500,"&lt;&gt;"&amp;"")/(C165*D165),"")</f>
        <v/>
      </c>
      <c r="G165" s="93" t="str">
        <f>IF(A165&lt;&gt;"",SUMIFS(deployment!$F$4:$F$502, deployment!$D$4:$D$502,"="&amp;A165, deployment!$D$4:$D$502,"&lt;&gt;"&amp;""),"")</f>
        <v/>
      </c>
      <c r="H165" s="94" t="str">
        <f>IF(A165&lt;&gt;"",SUMIFS(deployment!$G$4:$G$502, deployment!$D$4:$D$502,"="&amp;A165, deployment!$D$4:$D$502,"&lt;&gt;"&amp;""),"")</f>
        <v/>
      </c>
      <c r="I165" s="95" t="str">
        <f>IF(A165&lt;&gt;"",SUMIFS(deployment!$H$4:$H$502, deployment!$D$4:$D$502,"="&amp;A165, deployment!$D$4:$D$502,"&lt;&gt;"&amp;""),"")</f>
        <v/>
      </c>
      <c r="J165" s="96" t="str">
        <f>IF(A165&lt;&gt;"",SUMIFS(deployment!$I$4:$I$502, deployment!$D$4:$D$502,"="&amp;A165, deployment!$D$4:$D$502,"&lt;&gt;"&amp;""),"")</f>
        <v/>
      </c>
      <c r="K165" s="112" t="str">
        <f>IF(A165&lt;&gt;"",SUMIFS(deployment!$J$4:$J$502, deployment!$D$4:$D$502,"="&amp;A165, deployment!$D$4:$D$502,"&lt;&gt;"&amp;""),"")</f>
        <v/>
      </c>
      <c r="L165" s="112" t="str">
        <f>IF(A165&lt;&gt;"",SUMIFS(deployment!$K$4:$K$502, deployment!$D$4:$D$502,"="&amp;A165, deployment!$D$4:$D$502,"&lt;&gt;"&amp;""),"")</f>
        <v/>
      </c>
      <c r="M165" s="97" t="str">
        <f>IF(A165&lt;&gt;"",SUMIFS(deployment!$L$4:$L$502, deployment!$D$4:$D$502,"="&amp;A165, deployment!$D$4:$D$502,"&lt;&gt;"&amp;""),"")</f>
        <v/>
      </c>
      <c r="N165" s="97" t="str">
        <f>IF(A165&lt;&gt;"",SUMIFS(deployment!$M$4:$M$502, deployment!$D$4:$D$502,"="&amp;A165, deployment!$D$4:$D$502,"&lt;&gt;"&amp;""),"")</f>
        <v/>
      </c>
      <c r="O165" s="127" t="str">
        <f t="shared" si="35"/>
        <v/>
      </c>
      <c r="P165" s="104"/>
      <c r="Q165" s="99" t="str">
        <f t="shared" si="24"/>
        <v/>
      </c>
      <c r="R165" s="100" t="str">
        <f t="shared" si="25"/>
        <v/>
      </c>
      <c r="S165" s="100" t="str">
        <f t="shared" si="26"/>
        <v/>
      </c>
      <c r="T165" s="101" t="str">
        <f t="shared" si="27"/>
        <v/>
      </c>
      <c r="U165" s="101" t="str">
        <f t="shared" si="28"/>
        <v/>
      </c>
      <c r="V165" s="128" t="str">
        <f t="shared" si="29"/>
        <v/>
      </c>
      <c r="W165" s="128" t="str">
        <f t="shared" si="30"/>
        <v/>
      </c>
      <c r="X165" s="101" t="str">
        <f t="shared" si="31"/>
        <v/>
      </c>
      <c r="Y165" s="101" t="str">
        <f t="shared" si="32"/>
        <v/>
      </c>
      <c r="Z165" s="102" t="str">
        <f t="shared" si="33"/>
        <v/>
      </c>
      <c r="AA165" s="103" t="str">
        <f t="shared" si="34"/>
        <v/>
      </c>
      <c r="AB165" s="142" t="str">
        <f>IF(A165&lt;&gt;"", SUMIFS(node!$J$2:$J$500, node!$C$2:$C$500,"="&amp;A165)/P165, "")</f>
        <v/>
      </c>
      <c r="AC165" s="134" t="str">
        <f>IF(A165&lt;&gt;"", SUMIFS(node!$K$2:$K$500, node!$C$2:$C$500,"="&amp;A165)/P165, "")</f>
        <v/>
      </c>
      <c r="AD165" s="135" t="str">
        <f>IF(A165&lt;&gt;"", SUMIFS(node!$L$2:$L$500, node!$C$2:$C$500,"="&amp;A165), "")</f>
        <v/>
      </c>
      <c r="AE165" s="145" t="str">
        <f>IF(A165&lt;&gt;"", SUMIFS(node!$M$2:$M$500, node!$C$2:$C$500,"="&amp;A165), "")</f>
        <v/>
      </c>
    </row>
    <row r="166" spans="1:31" ht="15.75" customHeight="1" x14ac:dyDescent="0.25">
      <c r="A166" s="119" t="str">
        <f>IF(ISNONTEXT(node_raw[[#This Row],[Column2]]), "", node_raw[[#This Row],[Column2]])</f>
        <v/>
      </c>
      <c r="B166" s="116" t="str">
        <f>IF(A166&lt;&gt;"", VLOOKUP(A166, node!$C$2:$D$500, 2, FALSE), "")</f>
        <v/>
      </c>
      <c r="C166" s="117" t="str">
        <f>IF(A166&lt;&gt;"", VLOOKUP(A166, node!$C$2:$E$500, 3, FALSE), "")</f>
        <v/>
      </c>
      <c r="D166" s="118" t="str">
        <f>IF(A166&lt;&gt;"",COUNTIFS(node!$C$2:$C$500,"="&amp;A166, node!$C$2:$C$500,"&lt;&gt;"&amp;""),"")</f>
        <v/>
      </c>
      <c r="E166" s="122" t="str">
        <f>IF(A166&lt;&gt;"",SUMIFS(node!$F$2:$F$500, node!$C$2:$C$500,"="&amp;A166, node!$C$2:$C$500,"&lt;&gt;"&amp;"")/(B166*D166),"")</f>
        <v/>
      </c>
      <c r="F166" s="124" t="str">
        <f>IF(A166&lt;&gt;"",SUMIFS(node!$H$2:$H$500, node!$C$2:$C$500,"="&amp;A166, node!$C$2:$C$500,"&lt;&gt;"&amp;"")/(C166*D166),"")</f>
        <v/>
      </c>
      <c r="G166" s="93" t="str">
        <f>IF(A166&lt;&gt;"",SUMIFS(deployment!$F$4:$F$502, deployment!$D$4:$D$502,"="&amp;A166, deployment!$D$4:$D$502,"&lt;&gt;"&amp;""),"")</f>
        <v/>
      </c>
      <c r="H166" s="94" t="str">
        <f>IF(A166&lt;&gt;"",SUMIFS(deployment!$G$4:$G$502, deployment!$D$4:$D$502,"="&amp;A166, deployment!$D$4:$D$502,"&lt;&gt;"&amp;""),"")</f>
        <v/>
      </c>
      <c r="I166" s="95" t="str">
        <f>IF(A166&lt;&gt;"",SUMIFS(deployment!$H$4:$H$502, deployment!$D$4:$D$502,"="&amp;A166, deployment!$D$4:$D$502,"&lt;&gt;"&amp;""),"")</f>
        <v/>
      </c>
      <c r="J166" s="96" t="str">
        <f>IF(A166&lt;&gt;"",SUMIFS(deployment!$I$4:$I$502, deployment!$D$4:$D$502,"="&amp;A166, deployment!$D$4:$D$502,"&lt;&gt;"&amp;""),"")</f>
        <v/>
      </c>
      <c r="K166" s="112" t="str">
        <f>IF(A166&lt;&gt;"",SUMIFS(deployment!$J$4:$J$502, deployment!$D$4:$D$502,"="&amp;A166, deployment!$D$4:$D$502,"&lt;&gt;"&amp;""),"")</f>
        <v/>
      </c>
      <c r="L166" s="112" t="str">
        <f>IF(A166&lt;&gt;"",SUMIFS(deployment!$K$4:$K$502, deployment!$D$4:$D$502,"="&amp;A166, deployment!$D$4:$D$502,"&lt;&gt;"&amp;""),"")</f>
        <v/>
      </c>
      <c r="M166" s="97" t="str">
        <f>IF(A166&lt;&gt;"",SUMIFS(deployment!$L$4:$L$502, deployment!$D$4:$D$502,"="&amp;A166, deployment!$D$4:$D$502,"&lt;&gt;"&amp;""),"")</f>
        <v/>
      </c>
      <c r="N166" s="97" t="str">
        <f>IF(A166&lt;&gt;"",SUMIFS(deployment!$M$4:$M$502, deployment!$D$4:$D$502,"="&amp;A166, deployment!$D$4:$D$502,"&lt;&gt;"&amp;""),"")</f>
        <v/>
      </c>
      <c r="O166" s="127" t="str">
        <f t="shared" si="35"/>
        <v/>
      </c>
      <c r="P166" s="104"/>
      <c r="Q166" s="99" t="str">
        <f t="shared" si="24"/>
        <v/>
      </c>
      <c r="R166" s="100" t="str">
        <f t="shared" si="25"/>
        <v/>
      </c>
      <c r="S166" s="100" t="str">
        <f t="shared" si="26"/>
        <v/>
      </c>
      <c r="T166" s="101" t="str">
        <f t="shared" si="27"/>
        <v/>
      </c>
      <c r="U166" s="101" t="str">
        <f t="shared" si="28"/>
        <v/>
      </c>
      <c r="V166" s="128" t="str">
        <f t="shared" si="29"/>
        <v/>
      </c>
      <c r="W166" s="128" t="str">
        <f t="shared" si="30"/>
        <v/>
      </c>
      <c r="X166" s="101" t="str">
        <f t="shared" si="31"/>
        <v/>
      </c>
      <c r="Y166" s="101" t="str">
        <f t="shared" si="32"/>
        <v/>
      </c>
      <c r="Z166" s="102" t="str">
        <f t="shared" si="33"/>
        <v/>
      </c>
      <c r="AA166" s="103" t="str">
        <f t="shared" si="34"/>
        <v/>
      </c>
      <c r="AB166" s="142" t="str">
        <f>IF(A166&lt;&gt;"", SUMIFS(node!$J$2:$J$500, node!$C$2:$C$500,"="&amp;A166)/P166, "")</f>
        <v/>
      </c>
      <c r="AC166" s="134" t="str">
        <f>IF(A166&lt;&gt;"", SUMIFS(node!$K$2:$K$500, node!$C$2:$C$500,"="&amp;A166)/P166, "")</f>
        <v/>
      </c>
      <c r="AD166" s="135" t="str">
        <f>IF(A166&lt;&gt;"", SUMIFS(node!$L$2:$L$500, node!$C$2:$C$500,"="&amp;A166), "")</f>
        <v/>
      </c>
      <c r="AE166" s="145" t="str">
        <f>IF(A166&lt;&gt;"", SUMIFS(node!$M$2:$M$500, node!$C$2:$C$500,"="&amp;A166), "")</f>
        <v/>
      </c>
    </row>
    <row r="167" spans="1:31" ht="15.75" customHeight="1" x14ac:dyDescent="0.25">
      <c r="A167" s="119" t="str">
        <f>IF(ISNONTEXT(node_raw[[#This Row],[Column2]]), "", node_raw[[#This Row],[Column2]])</f>
        <v/>
      </c>
      <c r="B167" s="116" t="str">
        <f>IF(A167&lt;&gt;"", VLOOKUP(A167, node!$C$2:$D$500, 2, FALSE), "")</f>
        <v/>
      </c>
      <c r="C167" s="117" t="str">
        <f>IF(A167&lt;&gt;"", VLOOKUP(A167, node!$C$2:$E$500, 3, FALSE), "")</f>
        <v/>
      </c>
      <c r="D167" s="118" t="str">
        <f>IF(A167&lt;&gt;"",COUNTIFS(node!$C$2:$C$500,"="&amp;A167, node!$C$2:$C$500,"&lt;&gt;"&amp;""),"")</f>
        <v/>
      </c>
      <c r="E167" s="122" t="str">
        <f>IF(A167&lt;&gt;"",SUMIFS(node!$F$2:$F$500, node!$C$2:$C$500,"="&amp;A167, node!$C$2:$C$500,"&lt;&gt;"&amp;"")/(B167*D167),"")</f>
        <v/>
      </c>
      <c r="F167" s="124" t="str">
        <f>IF(A167&lt;&gt;"",SUMIFS(node!$H$2:$H$500, node!$C$2:$C$500,"="&amp;A167, node!$C$2:$C$500,"&lt;&gt;"&amp;"")/(C167*D167),"")</f>
        <v/>
      </c>
      <c r="G167" s="93" t="str">
        <f>IF(A167&lt;&gt;"",SUMIFS(deployment!$F$4:$F$502, deployment!$D$4:$D$502,"="&amp;A167, deployment!$D$4:$D$502,"&lt;&gt;"&amp;""),"")</f>
        <v/>
      </c>
      <c r="H167" s="94" t="str">
        <f>IF(A167&lt;&gt;"",SUMIFS(deployment!$G$4:$G$502, deployment!$D$4:$D$502,"="&amp;A167, deployment!$D$4:$D$502,"&lt;&gt;"&amp;""),"")</f>
        <v/>
      </c>
      <c r="I167" s="95" t="str">
        <f>IF(A167&lt;&gt;"",SUMIFS(deployment!$H$4:$H$502, deployment!$D$4:$D$502,"="&amp;A167, deployment!$D$4:$D$502,"&lt;&gt;"&amp;""),"")</f>
        <v/>
      </c>
      <c r="J167" s="96" t="str">
        <f>IF(A167&lt;&gt;"",SUMIFS(deployment!$I$4:$I$502, deployment!$D$4:$D$502,"="&amp;A167, deployment!$D$4:$D$502,"&lt;&gt;"&amp;""),"")</f>
        <v/>
      </c>
      <c r="K167" s="112" t="str">
        <f>IF(A167&lt;&gt;"",SUMIFS(deployment!$J$4:$J$502, deployment!$D$4:$D$502,"="&amp;A167, deployment!$D$4:$D$502,"&lt;&gt;"&amp;""),"")</f>
        <v/>
      </c>
      <c r="L167" s="112" t="str">
        <f>IF(A167&lt;&gt;"",SUMIFS(deployment!$K$4:$K$502, deployment!$D$4:$D$502,"="&amp;A167, deployment!$D$4:$D$502,"&lt;&gt;"&amp;""),"")</f>
        <v/>
      </c>
      <c r="M167" s="97" t="str">
        <f>IF(A167&lt;&gt;"",SUMIFS(deployment!$L$4:$L$502, deployment!$D$4:$D$502,"="&amp;A167, deployment!$D$4:$D$502,"&lt;&gt;"&amp;""),"")</f>
        <v/>
      </c>
      <c r="N167" s="97" t="str">
        <f>IF(A167&lt;&gt;"",SUMIFS(deployment!$M$4:$M$502, deployment!$D$4:$D$502,"="&amp;A167, deployment!$D$4:$D$502,"&lt;&gt;"&amp;""),"")</f>
        <v/>
      </c>
      <c r="O167" s="127" t="str">
        <f t="shared" si="35"/>
        <v/>
      </c>
      <c r="P167" s="104"/>
      <c r="Q167" s="99" t="str">
        <f t="shared" si="24"/>
        <v/>
      </c>
      <c r="R167" s="100" t="str">
        <f t="shared" si="25"/>
        <v/>
      </c>
      <c r="S167" s="100" t="str">
        <f t="shared" si="26"/>
        <v/>
      </c>
      <c r="T167" s="101" t="str">
        <f t="shared" si="27"/>
        <v/>
      </c>
      <c r="U167" s="101" t="str">
        <f t="shared" si="28"/>
        <v/>
      </c>
      <c r="V167" s="128" t="str">
        <f t="shared" si="29"/>
        <v/>
      </c>
      <c r="W167" s="128" t="str">
        <f t="shared" si="30"/>
        <v/>
      </c>
      <c r="X167" s="101" t="str">
        <f t="shared" si="31"/>
        <v/>
      </c>
      <c r="Y167" s="101" t="str">
        <f t="shared" si="32"/>
        <v/>
      </c>
      <c r="Z167" s="102" t="str">
        <f t="shared" si="33"/>
        <v/>
      </c>
      <c r="AA167" s="103" t="str">
        <f t="shared" si="34"/>
        <v/>
      </c>
      <c r="AB167" s="142" t="str">
        <f>IF(A167&lt;&gt;"", SUMIFS(node!$J$2:$J$500, node!$C$2:$C$500,"="&amp;A167)/P167, "")</f>
        <v/>
      </c>
      <c r="AC167" s="134" t="str">
        <f>IF(A167&lt;&gt;"", SUMIFS(node!$K$2:$K$500, node!$C$2:$C$500,"="&amp;A167)/P167, "")</f>
        <v/>
      </c>
      <c r="AD167" s="135" t="str">
        <f>IF(A167&lt;&gt;"", SUMIFS(node!$L$2:$L$500, node!$C$2:$C$500,"="&amp;A167), "")</f>
        <v/>
      </c>
      <c r="AE167" s="145" t="str">
        <f>IF(A167&lt;&gt;"", SUMIFS(node!$M$2:$M$500, node!$C$2:$C$500,"="&amp;A167), "")</f>
        <v/>
      </c>
    </row>
    <row r="168" spans="1:31" ht="15.75" customHeight="1" x14ac:dyDescent="0.25">
      <c r="A168" s="119" t="str">
        <f>IF(ISNONTEXT(node_raw[[#This Row],[Column2]]), "", node_raw[[#This Row],[Column2]])</f>
        <v/>
      </c>
      <c r="B168" s="116" t="str">
        <f>IF(A168&lt;&gt;"", VLOOKUP(A168, node!$C$2:$D$500, 2, FALSE), "")</f>
        <v/>
      </c>
      <c r="C168" s="117" t="str">
        <f>IF(A168&lt;&gt;"", VLOOKUP(A168, node!$C$2:$E$500, 3, FALSE), "")</f>
        <v/>
      </c>
      <c r="D168" s="118" t="str">
        <f>IF(A168&lt;&gt;"",COUNTIFS(node!$C$2:$C$500,"="&amp;A168, node!$C$2:$C$500,"&lt;&gt;"&amp;""),"")</f>
        <v/>
      </c>
      <c r="E168" s="122" t="str">
        <f>IF(A168&lt;&gt;"",SUMIFS(node!$F$2:$F$500, node!$C$2:$C$500,"="&amp;A168, node!$C$2:$C$500,"&lt;&gt;"&amp;"")/(B168*D168),"")</f>
        <v/>
      </c>
      <c r="F168" s="124" t="str">
        <f>IF(A168&lt;&gt;"",SUMIFS(node!$H$2:$H$500, node!$C$2:$C$500,"="&amp;A168, node!$C$2:$C$500,"&lt;&gt;"&amp;"")/(C168*D168),"")</f>
        <v/>
      </c>
      <c r="G168" s="93" t="str">
        <f>IF(A168&lt;&gt;"",SUMIFS(deployment!$F$4:$F$502, deployment!$D$4:$D$502,"="&amp;A168, deployment!$D$4:$D$502,"&lt;&gt;"&amp;""),"")</f>
        <v/>
      </c>
      <c r="H168" s="94" t="str">
        <f>IF(A168&lt;&gt;"",SUMIFS(deployment!$G$4:$G$502, deployment!$D$4:$D$502,"="&amp;A168, deployment!$D$4:$D$502,"&lt;&gt;"&amp;""),"")</f>
        <v/>
      </c>
      <c r="I168" s="95" t="str">
        <f>IF(A168&lt;&gt;"",SUMIFS(deployment!$H$4:$H$502, deployment!$D$4:$D$502,"="&amp;A168, deployment!$D$4:$D$502,"&lt;&gt;"&amp;""),"")</f>
        <v/>
      </c>
      <c r="J168" s="96" t="str">
        <f>IF(A168&lt;&gt;"",SUMIFS(deployment!$I$4:$I$502, deployment!$D$4:$D$502,"="&amp;A168, deployment!$D$4:$D$502,"&lt;&gt;"&amp;""),"")</f>
        <v/>
      </c>
      <c r="K168" s="112" t="str">
        <f>IF(A168&lt;&gt;"",SUMIFS(deployment!$J$4:$J$502, deployment!$D$4:$D$502,"="&amp;A168, deployment!$D$4:$D$502,"&lt;&gt;"&amp;""),"")</f>
        <v/>
      </c>
      <c r="L168" s="112" t="str">
        <f>IF(A168&lt;&gt;"",SUMIFS(deployment!$K$4:$K$502, deployment!$D$4:$D$502,"="&amp;A168, deployment!$D$4:$D$502,"&lt;&gt;"&amp;""),"")</f>
        <v/>
      </c>
      <c r="M168" s="97" t="str">
        <f>IF(A168&lt;&gt;"",SUMIFS(deployment!$L$4:$L$502, deployment!$D$4:$D$502,"="&amp;A168, deployment!$D$4:$D$502,"&lt;&gt;"&amp;""),"")</f>
        <v/>
      </c>
      <c r="N168" s="97" t="str">
        <f>IF(A168&lt;&gt;"",SUMIFS(deployment!$M$4:$M$502, deployment!$D$4:$D$502,"="&amp;A168, deployment!$D$4:$D$502,"&lt;&gt;"&amp;""),"")</f>
        <v/>
      </c>
      <c r="O168" s="127" t="str">
        <f t="shared" si="35"/>
        <v/>
      </c>
      <c r="P168" s="104"/>
      <c r="Q168" s="99" t="str">
        <f t="shared" si="24"/>
        <v/>
      </c>
      <c r="R168" s="100" t="str">
        <f t="shared" si="25"/>
        <v/>
      </c>
      <c r="S168" s="100" t="str">
        <f t="shared" si="26"/>
        <v/>
      </c>
      <c r="T168" s="101" t="str">
        <f t="shared" si="27"/>
        <v/>
      </c>
      <c r="U168" s="101" t="str">
        <f t="shared" si="28"/>
        <v/>
      </c>
      <c r="V168" s="128" t="str">
        <f t="shared" si="29"/>
        <v/>
      </c>
      <c r="W168" s="128" t="str">
        <f t="shared" si="30"/>
        <v/>
      </c>
      <c r="X168" s="101" t="str">
        <f t="shared" si="31"/>
        <v/>
      </c>
      <c r="Y168" s="101" t="str">
        <f t="shared" si="32"/>
        <v/>
      </c>
      <c r="Z168" s="102" t="str">
        <f t="shared" si="33"/>
        <v/>
      </c>
      <c r="AA168" s="103" t="str">
        <f t="shared" si="34"/>
        <v/>
      </c>
      <c r="AB168" s="142" t="str">
        <f>IF(A168&lt;&gt;"", SUMIFS(node!$J$2:$J$500, node!$C$2:$C$500,"="&amp;A168)/P168, "")</f>
        <v/>
      </c>
      <c r="AC168" s="134" t="str">
        <f>IF(A168&lt;&gt;"", SUMIFS(node!$K$2:$K$500, node!$C$2:$C$500,"="&amp;A168)/P168, "")</f>
        <v/>
      </c>
      <c r="AD168" s="135" t="str">
        <f>IF(A168&lt;&gt;"", SUMIFS(node!$L$2:$L$500, node!$C$2:$C$500,"="&amp;A168), "")</f>
        <v/>
      </c>
      <c r="AE168" s="145" t="str">
        <f>IF(A168&lt;&gt;"", SUMIFS(node!$M$2:$M$500, node!$C$2:$C$500,"="&amp;A168), "")</f>
        <v/>
      </c>
    </row>
    <row r="169" spans="1:31" ht="15.75" customHeight="1" x14ac:dyDescent="0.25">
      <c r="A169" s="119" t="str">
        <f>IF(ISNONTEXT(node_raw[[#This Row],[Column2]]), "", node_raw[[#This Row],[Column2]])</f>
        <v/>
      </c>
      <c r="B169" s="116" t="str">
        <f>IF(A169&lt;&gt;"", VLOOKUP(A169, node!$C$2:$D$500, 2, FALSE), "")</f>
        <v/>
      </c>
      <c r="C169" s="117" t="str">
        <f>IF(A169&lt;&gt;"", VLOOKUP(A169, node!$C$2:$E$500, 3, FALSE), "")</f>
        <v/>
      </c>
      <c r="D169" s="118" t="str">
        <f>IF(A169&lt;&gt;"",COUNTIFS(node!$C$2:$C$500,"="&amp;A169, node!$C$2:$C$500,"&lt;&gt;"&amp;""),"")</f>
        <v/>
      </c>
      <c r="E169" s="122" t="str">
        <f>IF(A169&lt;&gt;"",SUMIFS(node!$F$2:$F$500, node!$C$2:$C$500,"="&amp;A169, node!$C$2:$C$500,"&lt;&gt;"&amp;"")/(B169*D169),"")</f>
        <v/>
      </c>
      <c r="F169" s="124" t="str">
        <f>IF(A169&lt;&gt;"",SUMIFS(node!$H$2:$H$500, node!$C$2:$C$500,"="&amp;A169, node!$C$2:$C$500,"&lt;&gt;"&amp;"")/(C169*D169),"")</f>
        <v/>
      </c>
      <c r="G169" s="93" t="str">
        <f>IF(A169&lt;&gt;"",SUMIFS(deployment!$F$4:$F$502, deployment!$D$4:$D$502,"="&amp;A169, deployment!$D$4:$D$502,"&lt;&gt;"&amp;""),"")</f>
        <v/>
      </c>
      <c r="H169" s="94" t="str">
        <f>IF(A169&lt;&gt;"",SUMIFS(deployment!$G$4:$G$502, deployment!$D$4:$D$502,"="&amp;A169, deployment!$D$4:$D$502,"&lt;&gt;"&amp;""),"")</f>
        <v/>
      </c>
      <c r="I169" s="95" t="str">
        <f>IF(A169&lt;&gt;"",SUMIFS(deployment!$H$4:$H$502, deployment!$D$4:$D$502,"="&amp;A169, deployment!$D$4:$D$502,"&lt;&gt;"&amp;""),"")</f>
        <v/>
      </c>
      <c r="J169" s="96" t="str">
        <f>IF(A169&lt;&gt;"",SUMIFS(deployment!$I$4:$I$502, deployment!$D$4:$D$502,"="&amp;A169, deployment!$D$4:$D$502,"&lt;&gt;"&amp;""),"")</f>
        <v/>
      </c>
      <c r="K169" s="112" t="str">
        <f>IF(A169&lt;&gt;"",SUMIFS(deployment!$J$4:$J$502, deployment!$D$4:$D$502,"="&amp;A169, deployment!$D$4:$D$502,"&lt;&gt;"&amp;""),"")</f>
        <v/>
      </c>
      <c r="L169" s="112" t="str">
        <f>IF(A169&lt;&gt;"",SUMIFS(deployment!$K$4:$K$502, deployment!$D$4:$D$502,"="&amp;A169, deployment!$D$4:$D$502,"&lt;&gt;"&amp;""),"")</f>
        <v/>
      </c>
      <c r="M169" s="97" t="str">
        <f>IF(A169&lt;&gt;"",SUMIFS(deployment!$L$4:$L$502, deployment!$D$4:$D$502,"="&amp;A169, deployment!$D$4:$D$502,"&lt;&gt;"&amp;""),"")</f>
        <v/>
      </c>
      <c r="N169" s="97" t="str">
        <f>IF(A169&lt;&gt;"",SUMIFS(deployment!$M$4:$M$502, deployment!$D$4:$D$502,"="&amp;A169, deployment!$D$4:$D$502,"&lt;&gt;"&amp;""),"")</f>
        <v/>
      </c>
      <c r="O169" s="127" t="str">
        <f t="shared" si="35"/>
        <v/>
      </c>
      <c r="P169" s="104"/>
      <c r="Q169" s="99" t="str">
        <f t="shared" si="24"/>
        <v/>
      </c>
      <c r="R169" s="100" t="str">
        <f t="shared" si="25"/>
        <v/>
      </c>
      <c r="S169" s="100" t="str">
        <f t="shared" si="26"/>
        <v/>
      </c>
      <c r="T169" s="101" t="str">
        <f t="shared" si="27"/>
        <v/>
      </c>
      <c r="U169" s="101" t="str">
        <f t="shared" si="28"/>
        <v/>
      </c>
      <c r="V169" s="128" t="str">
        <f t="shared" si="29"/>
        <v/>
      </c>
      <c r="W169" s="128" t="str">
        <f t="shared" si="30"/>
        <v/>
      </c>
      <c r="X169" s="101" t="str">
        <f t="shared" si="31"/>
        <v/>
      </c>
      <c r="Y169" s="101" t="str">
        <f t="shared" si="32"/>
        <v/>
      </c>
      <c r="Z169" s="102" t="str">
        <f t="shared" si="33"/>
        <v/>
      </c>
      <c r="AA169" s="103" t="str">
        <f t="shared" si="34"/>
        <v/>
      </c>
      <c r="AB169" s="142" t="str">
        <f>IF(A169&lt;&gt;"", SUMIFS(node!$J$2:$J$500, node!$C$2:$C$500,"="&amp;A169)/P169, "")</f>
        <v/>
      </c>
      <c r="AC169" s="134" t="str">
        <f>IF(A169&lt;&gt;"", SUMIFS(node!$K$2:$K$500, node!$C$2:$C$500,"="&amp;A169)/P169, "")</f>
        <v/>
      </c>
      <c r="AD169" s="135" t="str">
        <f>IF(A169&lt;&gt;"", SUMIFS(node!$L$2:$L$500, node!$C$2:$C$500,"="&amp;A169), "")</f>
        <v/>
      </c>
      <c r="AE169" s="145" t="str">
        <f>IF(A169&lt;&gt;"", SUMIFS(node!$M$2:$M$500, node!$C$2:$C$500,"="&amp;A169), "")</f>
        <v/>
      </c>
    </row>
    <row r="170" spans="1:31" ht="15.75" customHeight="1" x14ac:dyDescent="0.25">
      <c r="A170" s="119" t="str">
        <f>IF(ISNONTEXT(node_raw[[#This Row],[Column2]]), "", node_raw[[#This Row],[Column2]])</f>
        <v/>
      </c>
      <c r="B170" s="116" t="str">
        <f>IF(A170&lt;&gt;"", VLOOKUP(A170, node!$C$2:$D$500, 2, FALSE), "")</f>
        <v/>
      </c>
      <c r="C170" s="117" t="str">
        <f>IF(A170&lt;&gt;"", VLOOKUP(A170, node!$C$2:$E$500, 3, FALSE), "")</f>
        <v/>
      </c>
      <c r="D170" s="118" t="str">
        <f>IF(A170&lt;&gt;"",COUNTIFS(node!$C$2:$C$500,"="&amp;A170, node!$C$2:$C$500,"&lt;&gt;"&amp;""),"")</f>
        <v/>
      </c>
      <c r="E170" s="122" t="str">
        <f>IF(A170&lt;&gt;"",SUMIFS(node!$F$2:$F$500, node!$C$2:$C$500,"="&amp;A170, node!$C$2:$C$500,"&lt;&gt;"&amp;"")/(B170*D170),"")</f>
        <v/>
      </c>
      <c r="F170" s="124" t="str">
        <f>IF(A170&lt;&gt;"",SUMIFS(node!$H$2:$H$500, node!$C$2:$C$500,"="&amp;A170, node!$C$2:$C$500,"&lt;&gt;"&amp;"")/(C170*D170),"")</f>
        <v/>
      </c>
      <c r="G170" s="93" t="str">
        <f>IF(A170&lt;&gt;"",SUMIFS(deployment!$F$4:$F$502, deployment!$D$4:$D$502,"="&amp;A170, deployment!$D$4:$D$502,"&lt;&gt;"&amp;""),"")</f>
        <v/>
      </c>
      <c r="H170" s="94" t="str">
        <f>IF(A170&lt;&gt;"",SUMIFS(deployment!$G$4:$G$502, deployment!$D$4:$D$502,"="&amp;A170, deployment!$D$4:$D$502,"&lt;&gt;"&amp;""),"")</f>
        <v/>
      </c>
      <c r="I170" s="95" t="str">
        <f>IF(A170&lt;&gt;"",SUMIFS(deployment!$H$4:$H$502, deployment!$D$4:$D$502,"="&amp;A170, deployment!$D$4:$D$502,"&lt;&gt;"&amp;""),"")</f>
        <v/>
      </c>
      <c r="J170" s="96" t="str">
        <f>IF(A170&lt;&gt;"",SUMIFS(deployment!$I$4:$I$502, deployment!$D$4:$D$502,"="&amp;A170, deployment!$D$4:$D$502,"&lt;&gt;"&amp;""),"")</f>
        <v/>
      </c>
      <c r="K170" s="112" t="str">
        <f>IF(A170&lt;&gt;"",SUMIFS(deployment!$J$4:$J$502, deployment!$D$4:$D$502,"="&amp;A170, deployment!$D$4:$D$502,"&lt;&gt;"&amp;""),"")</f>
        <v/>
      </c>
      <c r="L170" s="112" t="str">
        <f>IF(A170&lt;&gt;"",SUMIFS(deployment!$K$4:$K$502, deployment!$D$4:$D$502,"="&amp;A170, deployment!$D$4:$D$502,"&lt;&gt;"&amp;""),"")</f>
        <v/>
      </c>
      <c r="M170" s="97" t="str">
        <f>IF(A170&lt;&gt;"",SUMIFS(deployment!$L$4:$L$502, deployment!$D$4:$D$502,"="&amp;A170, deployment!$D$4:$D$502,"&lt;&gt;"&amp;""),"")</f>
        <v/>
      </c>
      <c r="N170" s="97" t="str">
        <f>IF(A170&lt;&gt;"",SUMIFS(deployment!$M$4:$M$502, deployment!$D$4:$D$502,"="&amp;A170, deployment!$D$4:$D$502,"&lt;&gt;"&amp;""),"")</f>
        <v/>
      </c>
      <c r="O170" s="127" t="str">
        <f t="shared" si="35"/>
        <v/>
      </c>
      <c r="P170" s="104"/>
      <c r="Q170" s="99" t="str">
        <f t="shared" si="24"/>
        <v/>
      </c>
      <c r="R170" s="100" t="str">
        <f t="shared" si="25"/>
        <v/>
      </c>
      <c r="S170" s="100" t="str">
        <f t="shared" si="26"/>
        <v/>
      </c>
      <c r="T170" s="101" t="str">
        <f t="shared" si="27"/>
        <v/>
      </c>
      <c r="U170" s="101" t="str">
        <f t="shared" si="28"/>
        <v/>
      </c>
      <c r="V170" s="128" t="str">
        <f t="shared" si="29"/>
        <v/>
      </c>
      <c r="W170" s="128" t="str">
        <f t="shared" si="30"/>
        <v/>
      </c>
      <c r="X170" s="101" t="str">
        <f t="shared" si="31"/>
        <v/>
      </c>
      <c r="Y170" s="101" t="str">
        <f t="shared" si="32"/>
        <v/>
      </c>
      <c r="Z170" s="102" t="str">
        <f t="shared" si="33"/>
        <v/>
      </c>
      <c r="AA170" s="103" t="str">
        <f t="shared" si="34"/>
        <v/>
      </c>
      <c r="AB170" s="142" t="str">
        <f>IF(A170&lt;&gt;"", SUMIFS(node!$J$2:$J$500, node!$C$2:$C$500,"="&amp;A170)/P170, "")</f>
        <v/>
      </c>
      <c r="AC170" s="134" t="str">
        <f>IF(A170&lt;&gt;"", SUMIFS(node!$K$2:$K$500, node!$C$2:$C$500,"="&amp;A170)/P170, "")</f>
        <v/>
      </c>
      <c r="AD170" s="135" t="str">
        <f>IF(A170&lt;&gt;"", SUMIFS(node!$L$2:$L$500, node!$C$2:$C$500,"="&amp;A170), "")</f>
        <v/>
      </c>
      <c r="AE170" s="145" t="str">
        <f>IF(A170&lt;&gt;"", SUMIFS(node!$M$2:$M$500, node!$C$2:$C$500,"="&amp;A170), "")</f>
        <v/>
      </c>
    </row>
    <row r="171" spans="1:31" ht="15.75" customHeight="1" x14ac:dyDescent="0.25">
      <c r="A171" s="119" t="str">
        <f>IF(ISNONTEXT(node_raw[[#This Row],[Column2]]), "", node_raw[[#This Row],[Column2]])</f>
        <v/>
      </c>
      <c r="B171" s="116" t="str">
        <f>IF(A171&lt;&gt;"", VLOOKUP(A171, node!$C$2:$D$500, 2, FALSE), "")</f>
        <v/>
      </c>
      <c r="C171" s="117" t="str">
        <f>IF(A171&lt;&gt;"", VLOOKUP(A171, node!$C$2:$E$500, 3, FALSE), "")</f>
        <v/>
      </c>
      <c r="D171" s="118" t="str">
        <f>IF(A171&lt;&gt;"",COUNTIFS(node!$C$2:$C$500,"="&amp;A171, node!$C$2:$C$500,"&lt;&gt;"&amp;""),"")</f>
        <v/>
      </c>
      <c r="E171" s="122" t="str">
        <f>IF(A171&lt;&gt;"",SUMIFS(node!$F$2:$F$500, node!$C$2:$C$500,"="&amp;A171, node!$C$2:$C$500,"&lt;&gt;"&amp;"")/(B171*D171),"")</f>
        <v/>
      </c>
      <c r="F171" s="124" t="str">
        <f>IF(A171&lt;&gt;"",SUMIFS(node!$H$2:$H$500, node!$C$2:$C$500,"="&amp;A171, node!$C$2:$C$500,"&lt;&gt;"&amp;"")/(C171*D171),"")</f>
        <v/>
      </c>
      <c r="G171" s="93" t="str">
        <f>IF(A171&lt;&gt;"",SUMIFS(deployment!$F$4:$F$502, deployment!$D$4:$D$502,"="&amp;A171, deployment!$D$4:$D$502,"&lt;&gt;"&amp;""),"")</f>
        <v/>
      </c>
      <c r="H171" s="94" t="str">
        <f>IF(A171&lt;&gt;"",SUMIFS(deployment!$G$4:$G$502, deployment!$D$4:$D$502,"="&amp;A171, deployment!$D$4:$D$502,"&lt;&gt;"&amp;""),"")</f>
        <v/>
      </c>
      <c r="I171" s="95" t="str">
        <f>IF(A171&lt;&gt;"",SUMIFS(deployment!$H$4:$H$502, deployment!$D$4:$D$502,"="&amp;A171, deployment!$D$4:$D$502,"&lt;&gt;"&amp;""),"")</f>
        <v/>
      </c>
      <c r="J171" s="96" t="str">
        <f>IF(A171&lt;&gt;"",SUMIFS(deployment!$I$4:$I$502, deployment!$D$4:$D$502,"="&amp;A171, deployment!$D$4:$D$502,"&lt;&gt;"&amp;""),"")</f>
        <v/>
      </c>
      <c r="K171" s="112" t="str">
        <f>IF(A171&lt;&gt;"",SUMIFS(deployment!$J$4:$J$502, deployment!$D$4:$D$502,"="&amp;A171, deployment!$D$4:$D$502,"&lt;&gt;"&amp;""),"")</f>
        <v/>
      </c>
      <c r="L171" s="112" t="str">
        <f>IF(A171&lt;&gt;"",SUMIFS(deployment!$K$4:$K$502, deployment!$D$4:$D$502,"="&amp;A171, deployment!$D$4:$D$502,"&lt;&gt;"&amp;""),"")</f>
        <v/>
      </c>
      <c r="M171" s="97" t="str">
        <f>IF(A171&lt;&gt;"",SUMIFS(deployment!$L$4:$L$502, deployment!$D$4:$D$502,"="&amp;A171, deployment!$D$4:$D$502,"&lt;&gt;"&amp;""),"")</f>
        <v/>
      </c>
      <c r="N171" s="97" t="str">
        <f>IF(A171&lt;&gt;"",SUMIFS(deployment!$M$4:$M$502, deployment!$D$4:$D$502,"="&amp;A171, deployment!$D$4:$D$502,"&lt;&gt;"&amp;""),"")</f>
        <v/>
      </c>
      <c r="O171" s="127" t="str">
        <f t="shared" si="35"/>
        <v/>
      </c>
      <c r="P171" s="104"/>
      <c r="Q171" s="99" t="str">
        <f t="shared" si="24"/>
        <v/>
      </c>
      <c r="R171" s="100" t="str">
        <f t="shared" si="25"/>
        <v/>
      </c>
      <c r="S171" s="100" t="str">
        <f t="shared" si="26"/>
        <v/>
      </c>
      <c r="T171" s="101" t="str">
        <f t="shared" si="27"/>
        <v/>
      </c>
      <c r="U171" s="101" t="str">
        <f t="shared" si="28"/>
        <v/>
      </c>
      <c r="V171" s="128" t="str">
        <f t="shared" si="29"/>
        <v/>
      </c>
      <c r="W171" s="128" t="str">
        <f t="shared" si="30"/>
        <v/>
      </c>
      <c r="X171" s="101" t="str">
        <f t="shared" si="31"/>
        <v/>
      </c>
      <c r="Y171" s="101" t="str">
        <f t="shared" si="32"/>
        <v/>
      </c>
      <c r="Z171" s="102" t="str">
        <f t="shared" si="33"/>
        <v/>
      </c>
      <c r="AA171" s="103" t="str">
        <f t="shared" si="34"/>
        <v/>
      </c>
      <c r="AB171" s="142" t="str">
        <f>IF(A171&lt;&gt;"", SUMIFS(node!$J$2:$J$500, node!$C$2:$C$500,"="&amp;A171)/P171, "")</f>
        <v/>
      </c>
      <c r="AC171" s="134" t="str">
        <f>IF(A171&lt;&gt;"", SUMIFS(node!$K$2:$K$500, node!$C$2:$C$500,"="&amp;A171)/P171, "")</f>
        <v/>
      </c>
      <c r="AD171" s="135" t="str">
        <f>IF(A171&lt;&gt;"", SUMIFS(node!$L$2:$L$500, node!$C$2:$C$500,"="&amp;A171), "")</f>
        <v/>
      </c>
      <c r="AE171" s="145" t="str">
        <f>IF(A171&lt;&gt;"", SUMIFS(node!$M$2:$M$500, node!$C$2:$C$500,"="&amp;A171), "")</f>
        <v/>
      </c>
    </row>
    <row r="172" spans="1:31" ht="15.75" customHeight="1" x14ac:dyDescent="0.25">
      <c r="A172" s="119" t="str">
        <f>IF(ISNONTEXT(node_raw[[#This Row],[Column2]]), "", node_raw[[#This Row],[Column2]])</f>
        <v/>
      </c>
      <c r="B172" s="116" t="str">
        <f>IF(A172&lt;&gt;"", VLOOKUP(A172, node!$C$2:$D$500, 2, FALSE), "")</f>
        <v/>
      </c>
      <c r="C172" s="117" t="str">
        <f>IF(A172&lt;&gt;"", VLOOKUP(A172, node!$C$2:$E$500, 3, FALSE), "")</f>
        <v/>
      </c>
      <c r="D172" s="118" t="str">
        <f>IF(A172&lt;&gt;"",COUNTIFS(node!$C$2:$C$500,"="&amp;A172, node!$C$2:$C$500,"&lt;&gt;"&amp;""),"")</f>
        <v/>
      </c>
      <c r="E172" s="122" t="str">
        <f>IF(A172&lt;&gt;"",SUMIFS(node!$F$2:$F$500, node!$C$2:$C$500,"="&amp;A172, node!$C$2:$C$500,"&lt;&gt;"&amp;"")/(B172*D172),"")</f>
        <v/>
      </c>
      <c r="F172" s="124" t="str">
        <f>IF(A172&lt;&gt;"",SUMIFS(node!$H$2:$H$500, node!$C$2:$C$500,"="&amp;A172, node!$C$2:$C$500,"&lt;&gt;"&amp;"")/(C172*D172),"")</f>
        <v/>
      </c>
      <c r="G172" s="93" t="str">
        <f>IF(A172&lt;&gt;"",SUMIFS(deployment!$F$4:$F$502, deployment!$D$4:$D$502,"="&amp;A172, deployment!$D$4:$D$502,"&lt;&gt;"&amp;""),"")</f>
        <v/>
      </c>
      <c r="H172" s="94" t="str">
        <f>IF(A172&lt;&gt;"",SUMIFS(deployment!$G$4:$G$502, deployment!$D$4:$D$502,"="&amp;A172, deployment!$D$4:$D$502,"&lt;&gt;"&amp;""),"")</f>
        <v/>
      </c>
      <c r="I172" s="95" t="str">
        <f>IF(A172&lt;&gt;"",SUMIFS(deployment!$H$4:$H$502, deployment!$D$4:$D$502,"="&amp;A172, deployment!$D$4:$D$502,"&lt;&gt;"&amp;""),"")</f>
        <v/>
      </c>
      <c r="J172" s="96" t="str">
        <f>IF(A172&lt;&gt;"",SUMIFS(deployment!$I$4:$I$502, deployment!$D$4:$D$502,"="&amp;A172, deployment!$D$4:$D$502,"&lt;&gt;"&amp;""),"")</f>
        <v/>
      </c>
      <c r="K172" s="112" t="str">
        <f>IF(A172&lt;&gt;"",SUMIFS(deployment!$J$4:$J$502, deployment!$D$4:$D$502,"="&amp;A172, deployment!$D$4:$D$502,"&lt;&gt;"&amp;""),"")</f>
        <v/>
      </c>
      <c r="L172" s="112" t="str">
        <f>IF(A172&lt;&gt;"",SUMIFS(deployment!$K$4:$K$502, deployment!$D$4:$D$502,"="&amp;A172, deployment!$D$4:$D$502,"&lt;&gt;"&amp;""),"")</f>
        <v/>
      </c>
      <c r="M172" s="97" t="str">
        <f>IF(A172&lt;&gt;"",SUMIFS(deployment!$L$4:$L$502, deployment!$D$4:$D$502,"="&amp;A172, deployment!$D$4:$D$502,"&lt;&gt;"&amp;""),"")</f>
        <v/>
      </c>
      <c r="N172" s="97" t="str">
        <f>IF(A172&lt;&gt;"",SUMIFS(deployment!$M$4:$M$502, deployment!$D$4:$D$502,"="&amp;A172, deployment!$D$4:$D$502,"&lt;&gt;"&amp;""),"")</f>
        <v/>
      </c>
      <c r="O172" s="127" t="str">
        <f t="shared" si="35"/>
        <v/>
      </c>
      <c r="P172" s="104"/>
      <c r="Q172" s="99" t="str">
        <f t="shared" si="24"/>
        <v/>
      </c>
      <c r="R172" s="100" t="str">
        <f t="shared" si="25"/>
        <v/>
      </c>
      <c r="S172" s="100" t="str">
        <f t="shared" si="26"/>
        <v/>
      </c>
      <c r="T172" s="101" t="str">
        <f t="shared" si="27"/>
        <v/>
      </c>
      <c r="U172" s="101" t="str">
        <f t="shared" si="28"/>
        <v/>
      </c>
      <c r="V172" s="128" t="str">
        <f t="shared" si="29"/>
        <v/>
      </c>
      <c r="W172" s="128" t="str">
        <f t="shared" si="30"/>
        <v/>
      </c>
      <c r="X172" s="101" t="str">
        <f t="shared" si="31"/>
        <v/>
      </c>
      <c r="Y172" s="101" t="str">
        <f t="shared" si="32"/>
        <v/>
      </c>
      <c r="Z172" s="102" t="str">
        <f t="shared" si="33"/>
        <v/>
      </c>
      <c r="AA172" s="103" t="str">
        <f t="shared" si="34"/>
        <v/>
      </c>
      <c r="AB172" s="142" t="str">
        <f>IF(A172&lt;&gt;"", SUMIFS(node!$J$2:$J$500, node!$C$2:$C$500,"="&amp;A172)/P172, "")</f>
        <v/>
      </c>
      <c r="AC172" s="134" t="str">
        <f>IF(A172&lt;&gt;"", SUMIFS(node!$K$2:$K$500, node!$C$2:$C$500,"="&amp;A172)/P172, "")</f>
        <v/>
      </c>
      <c r="AD172" s="135" t="str">
        <f>IF(A172&lt;&gt;"", SUMIFS(node!$L$2:$L$500, node!$C$2:$C$500,"="&amp;A172), "")</f>
        <v/>
      </c>
      <c r="AE172" s="145" t="str">
        <f>IF(A172&lt;&gt;"", SUMIFS(node!$M$2:$M$500, node!$C$2:$C$500,"="&amp;A172), "")</f>
        <v/>
      </c>
    </row>
    <row r="173" spans="1:31" ht="15.75" customHeight="1" x14ac:dyDescent="0.25">
      <c r="A173" s="119" t="str">
        <f>IF(ISNONTEXT(node_raw[[#This Row],[Column2]]), "", node_raw[[#This Row],[Column2]])</f>
        <v/>
      </c>
      <c r="B173" s="116" t="str">
        <f>IF(A173&lt;&gt;"", VLOOKUP(A173, node!$C$2:$D$500, 2, FALSE), "")</f>
        <v/>
      </c>
      <c r="C173" s="117" t="str">
        <f>IF(A173&lt;&gt;"", VLOOKUP(A173, node!$C$2:$E$500, 3, FALSE), "")</f>
        <v/>
      </c>
      <c r="D173" s="118" t="str">
        <f>IF(A173&lt;&gt;"",COUNTIFS(node!$C$2:$C$500,"="&amp;A173, node!$C$2:$C$500,"&lt;&gt;"&amp;""),"")</f>
        <v/>
      </c>
      <c r="E173" s="122" t="str">
        <f>IF(A173&lt;&gt;"",SUMIFS(node!$F$2:$F$500, node!$C$2:$C$500,"="&amp;A173, node!$C$2:$C$500,"&lt;&gt;"&amp;"")/(B173*D173),"")</f>
        <v/>
      </c>
      <c r="F173" s="124" t="str">
        <f>IF(A173&lt;&gt;"",SUMIFS(node!$H$2:$H$500, node!$C$2:$C$500,"="&amp;A173, node!$C$2:$C$500,"&lt;&gt;"&amp;"")/(C173*D173),"")</f>
        <v/>
      </c>
      <c r="G173" s="93" t="str">
        <f>IF(A173&lt;&gt;"",SUMIFS(deployment!$F$4:$F$502, deployment!$D$4:$D$502,"="&amp;A173, deployment!$D$4:$D$502,"&lt;&gt;"&amp;""),"")</f>
        <v/>
      </c>
      <c r="H173" s="94" t="str">
        <f>IF(A173&lt;&gt;"",SUMIFS(deployment!$G$4:$G$502, deployment!$D$4:$D$502,"="&amp;A173, deployment!$D$4:$D$502,"&lt;&gt;"&amp;""),"")</f>
        <v/>
      </c>
      <c r="I173" s="95" t="str">
        <f>IF(A173&lt;&gt;"",SUMIFS(deployment!$H$4:$H$502, deployment!$D$4:$D$502,"="&amp;A173, deployment!$D$4:$D$502,"&lt;&gt;"&amp;""),"")</f>
        <v/>
      </c>
      <c r="J173" s="96" t="str">
        <f>IF(A173&lt;&gt;"",SUMIFS(deployment!$I$4:$I$502, deployment!$D$4:$D$502,"="&amp;A173, deployment!$D$4:$D$502,"&lt;&gt;"&amp;""),"")</f>
        <v/>
      </c>
      <c r="K173" s="112" t="str">
        <f>IF(A173&lt;&gt;"",SUMIFS(deployment!$J$4:$J$502, deployment!$D$4:$D$502,"="&amp;A173, deployment!$D$4:$D$502,"&lt;&gt;"&amp;""),"")</f>
        <v/>
      </c>
      <c r="L173" s="112" t="str">
        <f>IF(A173&lt;&gt;"",SUMIFS(deployment!$K$4:$K$502, deployment!$D$4:$D$502,"="&amp;A173, deployment!$D$4:$D$502,"&lt;&gt;"&amp;""),"")</f>
        <v/>
      </c>
      <c r="M173" s="97" t="str">
        <f>IF(A173&lt;&gt;"",SUMIFS(deployment!$L$4:$L$502, deployment!$D$4:$D$502,"="&amp;A173, deployment!$D$4:$D$502,"&lt;&gt;"&amp;""),"")</f>
        <v/>
      </c>
      <c r="N173" s="97" t="str">
        <f>IF(A173&lt;&gt;"",SUMIFS(deployment!$M$4:$M$502, deployment!$D$4:$D$502,"="&amp;A173, deployment!$D$4:$D$502,"&lt;&gt;"&amp;""),"")</f>
        <v/>
      </c>
      <c r="O173" s="127" t="str">
        <f t="shared" si="35"/>
        <v/>
      </c>
      <c r="P173" s="104"/>
      <c r="Q173" s="99" t="str">
        <f t="shared" si="24"/>
        <v/>
      </c>
      <c r="R173" s="100" t="str">
        <f t="shared" si="25"/>
        <v/>
      </c>
      <c r="S173" s="100" t="str">
        <f t="shared" si="26"/>
        <v/>
      </c>
      <c r="T173" s="101" t="str">
        <f t="shared" si="27"/>
        <v/>
      </c>
      <c r="U173" s="101" t="str">
        <f t="shared" si="28"/>
        <v/>
      </c>
      <c r="V173" s="128" t="str">
        <f t="shared" si="29"/>
        <v/>
      </c>
      <c r="W173" s="128" t="str">
        <f t="shared" si="30"/>
        <v/>
      </c>
      <c r="X173" s="101" t="str">
        <f t="shared" si="31"/>
        <v/>
      </c>
      <c r="Y173" s="101" t="str">
        <f t="shared" si="32"/>
        <v/>
      </c>
      <c r="Z173" s="102" t="str">
        <f t="shared" si="33"/>
        <v/>
      </c>
      <c r="AA173" s="103" t="str">
        <f t="shared" si="34"/>
        <v/>
      </c>
      <c r="AB173" s="142" t="str">
        <f>IF(A173&lt;&gt;"", SUMIFS(node!$J$2:$J$500, node!$C$2:$C$500,"="&amp;A173)/P173, "")</f>
        <v/>
      </c>
      <c r="AC173" s="134" t="str">
        <f>IF(A173&lt;&gt;"", SUMIFS(node!$K$2:$K$500, node!$C$2:$C$500,"="&amp;A173)/P173, "")</f>
        <v/>
      </c>
      <c r="AD173" s="135" t="str">
        <f>IF(A173&lt;&gt;"", SUMIFS(node!$L$2:$L$500, node!$C$2:$C$500,"="&amp;A173), "")</f>
        <v/>
      </c>
      <c r="AE173" s="145" t="str">
        <f>IF(A173&lt;&gt;"", SUMIFS(node!$M$2:$M$500, node!$C$2:$C$500,"="&amp;A173), "")</f>
        <v/>
      </c>
    </row>
    <row r="174" spans="1:31" ht="15.75" customHeight="1" x14ac:dyDescent="0.25">
      <c r="A174" s="119" t="str">
        <f>IF(ISNONTEXT(node_raw[[#This Row],[Column2]]), "", node_raw[[#This Row],[Column2]])</f>
        <v/>
      </c>
      <c r="B174" s="116" t="str">
        <f>IF(A174&lt;&gt;"", VLOOKUP(A174, node!$C$2:$D$500, 2, FALSE), "")</f>
        <v/>
      </c>
      <c r="C174" s="117" t="str">
        <f>IF(A174&lt;&gt;"", VLOOKUP(A174, node!$C$2:$E$500, 3, FALSE), "")</f>
        <v/>
      </c>
      <c r="D174" s="118" t="str">
        <f>IF(A174&lt;&gt;"",COUNTIFS(node!$C$2:$C$500,"="&amp;A174, node!$C$2:$C$500,"&lt;&gt;"&amp;""),"")</f>
        <v/>
      </c>
      <c r="E174" s="122" t="str">
        <f>IF(A174&lt;&gt;"",SUMIFS(node!$F$2:$F$500, node!$C$2:$C$500,"="&amp;A174, node!$C$2:$C$500,"&lt;&gt;"&amp;"")/(B174*D174),"")</f>
        <v/>
      </c>
      <c r="F174" s="124" t="str">
        <f>IF(A174&lt;&gt;"",SUMIFS(node!$H$2:$H$500, node!$C$2:$C$500,"="&amp;A174, node!$C$2:$C$500,"&lt;&gt;"&amp;"")/(C174*D174),"")</f>
        <v/>
      </c>
      <c r="G174" s="93" t="str">
        <f>IF(A174&lt;&gt;"",SUMIFS(deployment!$F$4:$F$502, deployment!$D$4:$D$502,"="&amp;A174, deployment!$D$4:$D$502,"&lt;&gt;"&amp;""),"")</f>
        <v/>
      </c>
      <c r="H174" s="94" t="str">
        <f>IF(A174&lt;&gt;"",SUMIFS(deployment!$G$4:$G$502, deployment!$D$4:$D$502,"="&amp;A174, deployment!$D$4:$D$502,"&lt;&gt;"&amp;""),"")</f>
        <v/>
      </c>
      <c r="I174" s="95" t="str">
        <f>IF(A174&lt;&gt;"",SUMIFS(deployment!$H$4:$H$502, deployment!$D$4:$D$502,"="&amp;A174, deployment!$D$4:$D$502,"&lt;&gt;"&amp;""),"")</f>
        <v/>
      </c>
      <c r="J174" s="96" t="str">
        <f>IF(A174&lt;&gt;"",SUMIFS(deployment!$I$4:$I$502, deployment!$D$4:$D$502,"="&amp;A174, deployment!$D$4:$D$502,"&lt;&gt;"&amp;""),"")</f>
        <v/>
      </c>
      <c r="K174" s="112" t="str">
        <f>IF(A174&lt;&gt;"",SUMIFS(deployment!$J$4:$J$502, deployment!$D$4:$D$502,"="&amp;A174, deployment!$D$4:$D$502,"&lt;&gt;"&amp;""),"")</f>
        <v/>
      </c>
      <c r="L174" s="112" t="str">
        <f>IF(A174&lt;&gt;"",SUMIFS(deployment!$K$4:$K$502, deployment!$D$4:$D$502,"="&amp;A174, deployment!$D$4:$D$502,"&lt;&gt;"&amp;""),"")</f>
        <v/>
      </c>
      <c r="M174" s="97" t="str">
        <f>IF(A174&lt;&gt;"",SUMIFS(deployment!$L$4:$L$502, deployment!$D$4:$D$502,"="&amp;A174, deployment!$D$4:$D$502,"&lt;&gt;"&amp;""),"")</f>
        <v/>
      </c>
      <c r="N174" s="97" t="str">
        <f>IF(A174&lt;&gt;"",SUMIFS(deployment!$M$4:$M$502, deployment!$D$4:$D$502,"="&amp;A174, deployment!$D$4:$D$502,"&lt;&gt;"&amp;""),"")</f>
        <v/>
      </c>
      <c r="O174" s="127" t="str">
        <f t="shared" si="35"/>
        <v/>
      </c>
      <c r="P174" s="104"/>
      <c r="Q174" s="99" t="str">
        <f t="shared" si="24"/>
        <v/>
      </c>
      <c r="R174" s="100" t="str">
        <f t="shared" si="25"/>
        <v/>
      </c>
      <c r="S174" s="100" t="str">
        <f t="shared" si="26"/>
        <v/>
      </c>
      <c r="T174" s="101" t="str">
        <f t="shared" si="27"/>
        <v/>
      </c>
      <c r="U174" s="101" t="str">
        <f t="shared" si="28"/>
        <v/>
      </c>
      <c r="V174" s="128" t="str">
        <f t="shared" si="29"/>
        <v/>
      </c>
      <c r="W174" s="128" t="str">
        <f t="shared" si="30"/>
        <v/>
      </c>
      <c r="X174" s="101" t="str">
        <f t="shared" si="31"/>
        <v/>
      </c>
      <c r="Y174" s="101" t="str">
        <f t="shared" si="32"/>
        <v/>
      </c>
      <c r="Z174" s="102" t="str">
        <f t="shared" si="33"/>
        <v/>
      </c>
      <c r="AA174" s="103" t="str">
        <f t="shared" si="34"/>
        <v/>
      </c>
      <c r="AB174" s="142" t="str">
        <f>IF(A174&lt;&gt;"", SUMIFS(node!$J$2:$J$500, node!$C$2:$C$500,"="&amp;A174)/P174, "")</f>
        <v/>
      </c>
      <c r="AC174" s="134" t="str">
        <f>IF(A174&lt;&gt;"", SUMIFS(node!$K$2:$K$500, node!$C$2:$C$500,"="&amp;A174)/P174, "")</f>
        <v/>
      </c>
      <c r="AD174" s="135" t="str">
        <f>IF(A174&lt;&gt;"", SUMIFS(node!$L$2:$L$500, node!$C$2:$C$500,"="&amp;A174), "")</f>
        <v/>
      </c>
      <c r="AE174" s="145" t="str">
        <f>IF(A174&lt;&gt;"", SUMIFS(node!$M$2:$M$500, node!$C$2:$C$500,"="&amp;A174), "")</f>
        <v/>
      </c>
    </row>
    <row r="175" spans="1:31" ht="15.75" customHeight="1" x14ac:dyDescent="0.25">
      <c r="A175" s="119" t="str">
        <f>IF(ISNONTEXT(node_raw[[#This Row],[Column2]]), "", node_raw[[#This Row],[Column2]])</f>
        <v/>
      </c>
      <c r="B175" s="116" t="str">
        <f>IF(A175&lt;&gt;"", VLOOKUP(A175, node!$C$2:$D$500, 2, FALSE), "")</f>
        <v/>
      </c>
      <c r="C175" s="117" t="str">
        <f>IF(A175&lt;&gt;"", VLOOKUP(A175, node!$C$2:$E$500, 3, FALSE), "")</f>
        <v/>
      </c>
      <c r="D175" s="118" t="str">
        <f>IF(A175&lt;&gt;"",COUNTIFS(node!$C$2:$C$500,"="&amp;A175, node!$C$2:$C$500,"&lt;&gt;"&amp;""),"")</f>
        <v/>
      </c>
      <c r="E175" s="122" t="str">
        <f>IF(A175&lt;&gt;"",SUMIFS(node!$F$2:$F$500, node!$C$2:$C$500,"="&amp;A175, node!$C$2:$C$500,"&lt;&gt;"&amp;"")/(B175*D175),"")</f>
        <v/>
      </c>
      <c r="F175" s="124" t="str">
        <f>IF(A175&lt;&gt;"",SUMIFS(node!$H$2:$H$500, node!$C$2:$C$500,"="&amp;A175, node!$C$2:$C$500,"&lt;&gt;"&amp;"")/(C175*D175),"")</f>
        <v/>
      </c>
      <c r="G175" s="93" t="str">
        <f>IF(A175&lt;&gt;"",SUMIFS(deployment!$F$4:$F$502, deployment!$D$4:$D$502,"="&amp;A175, deployment!$D$4:$D$502,"&lt;&gt;"&amp;""),"")</f>
        <v/>
      </c>
      <c r="H175" s="94" t="str">
        <f>IF(A175&lt;&gt;"",SUMIFS(deployment!$G$4:$G$502, deployment!$D$4:$D$502,"="&amp;A175, deployment!$D$4:$D$502,"&lt;&gt;"&amp;""),"")</f>
        <v/>
      </c>
      <c r="I175" s="95" t="str">
        <f>IF(A175&lt;&gt;"",SUMIFS(deployment!$H$4:$H$502, deployment!$D$4:$D$502,"="&amp;A175, deployment!$D$4:$D$502,"&lt;&gt;"&amp;""),"")</f>
        <v/>
      </c>
      <c r="J175" s="96" t="str">
        <f>IF(A175&lt;&gt;"",SUMIFS(deployment!$I$4:$I$502, deployment!$D$4:$D$502,"="&amp;A175, deployment!$D$4:$D$502,"&lt;&gt;"&amp;""),"")</f>
        <v/>
      </c>
      <c r="K175" s="112" t="str">
        <f>IF(A175&lt;&gt;"",SUMIFS(deployment!$J$4:$J$502, deployment!$D$4:$D$502,"="&amp;A175, deployment!$D$4:$D$502,"&lt;&gt;"&amp;""),"")</f>
        <v/>
      </c>
      <c r="L175" s="112" t="str">
        <f>IF(A175&lt;&gt;"",SUMIFS(deployment!$K$4:$K$502, deployment!$D$4:$D$502,"="&amp;A175, deployment!$D$4:$D$502,"&lt;&gt;"&amp;""),"")</f>
        <v/>
      </c>
      <c r="M175" s="97" t="str">
        <f>IF(A175&lt;&gt;"",SUMIFS(deployment!$L$4:$L$502, deployment!$D$4:$D$502,"="&amp;A175, deployment!$D$4:$D$502,"&lt;&gt;"&amp;""),"")</f>
        <v/>
      </c>
      <c r="N175" s="97" t="str">
        <f>IF(A175&lt;&gt;"",SUMIFS(deployment!$M$4:$M$502, deployment!$D$4:$D$502,"="&amp;A175, deployment!$D$4:$D$502,"&lt;&gt;"&amp;""),"")</f>
        <v/>
      </c>
      <c r="O175" s="127" t="str">
        <f t="shared" si="35"/>
        <v/>
      </c>
      <c r="P175" s="104"/>
      <c r="Q175" s="99" t="str">
        <f t="shared" si="24"/>
        <v/>
      </c>
      <c r="R175" s="100" t="str">
        <f t="shared" si="25"/>
        <v/>
      </c>
      <c r="S175" s="100" t="str">
        <f t="shared" si="26"/>
        <v/>
      </c>
      <c r="T175" s="101" t="str">
        <f t="shared" si="27"/>
        <v/>
      </c>
      <c r="U175" s="101" t="str">
        <f t="shared" si="28"/>
        <v/>
      </c>
      <c r="V175" s="128" t="str">
        <f t="shared" si="29"/>
        <v/>
      </c>
      <c r="W175" s="128" t="str">
        <f t="shared" si="30"/>
        <v/>
      </c>
      <c r="X175" s="101" t="str">
        <f t="shared" si="31"/>
        <v/>
      </c>
      <c r="Y175" s="101" t="str">
        <f t="shared" si="32"/>
        <v/>
      </c>
      <c r="Z175" s="102" t="str">
        <f t="shared" si="33"/>
        <v/>
      </c>
      <c r="AA175" s="103" t="str">
        <f t="shared" si="34"/>
        <v/>
      </c>
      <c r="AB175" s="142" t="str">
        <f>IF(A175&lt;&gt;"", SUMIFS(node!$J$2:$J$500, node!$C$2:$C$500,"="&amp;A175)/P175, "")</f>
        <v/>
      </c>
      <c r="AC175" s="134" t="str">
        <f>IF(A175&lt;&gt;"", SUMIFS(node!$K$2:$K$500, node!$C$2:$C$500,"="&amp;A175)/P175, "")</f>
        <v/>
      </c>
      <c r="AD175" s="135" t="str">
        <f>IF(A175&lt;&gt;"", SUMIFS(node!$L$2:$L$500, node!$C$2:$C$500,"="&amp;A175), "")</f>
        <v/>
      </c>
      <c r="AE175" s="145" t="str">
        <f>IF(A175&lt;&gt;"", SUMIFS(node!$M$2:$M$500, node!$C$2:$C$500,"="&amp;A175), "")</f>
        <v/>
      </c>
    </row>
    <row r="176" spans="1:31" ht="15.75" customHeight="1" x14ac:dyDescent="0.25">
      <c r="A176" s="119" t="str">
        <f>IF(ISNONTEXT(node_raw[[#This Row],[Column2]]), "", node_raw[[#This Row],[Column2]])</f>
        <v/>
      </c>
      <c r="B176" s="116" t="str">
        <f>IF(A176&lt;&gt;"", VLOOKUP(A176, node!$C$2:$D$500, 2, FALSE), "")</f>
        <v/>
      </c>
      <c r="C176" s="117" t="str">
        <f>IF(A176&lt;&gt;"", VLOOKUP(A176, node!$C$2:$E$500, 3, FALSE), "")</f>
        <v/>
      </c>
      <c r="D176" s="118" t="str">
        <f>IF(A176&lt;&gt;"",COUNTIFS(node!$C$2:$C$500,"="&amp;A176, node!$C$2:$C$500,"&lt;&gt;"&amp;""),"")</f>
        <v/>
      </c>
      <c r="E176" s="122" t="str">
        <f>IF(A176&lt;&gt;"",SUMIFS(node!$F$2:$F$500, node!$C$2:$C$500,"="&amp;A176, node!$C$2:$C$500,"&lt;&gt;"&amp;"")/(B176*D176),"")</f>
        <v/>
      </c>
      <c r="F176" s="124" t="str">
        <f>IF(A176&lt;&gt;"",SUMIFS(node!$H$2:$H$500, node!$C$2:$C$500,"="&amp;A176, node!$C$2:$C$500,"&lt;&gt;"&amp;"")/(C176*D176),"")</f>
        <v/>
      </c>
      <c r="G176" s="93" t="str">
        <f>IF(A176&lt;&gt;"",SUMIFS(deployment!$F$4:$F$502, deployment!$D$4:$D$502,"="&amp;A176, deployment!$D$4:$D$502,"&lt;&gt;"&amp;""),"")</f>
        <v/>
      </c>
      <c r="H176" s="94" t="str">
        <f>IF(A176&lt;&gt;"",SUMIFS(deployment!$G$4:$G$502, deployment!$D$4:$D$502,"="&amp;A176, deployment!$D$4:$D$502,"&lt;&gt;"&amp;""),"")</f>
        <v/>
      </c>
      <c r="I176" s="95" t="str">
        <f>IF(A176&lt;&gt;"",SUMIFS(deployment!$H$4:$H$502, deployment!$D$4:$D$502,"="&amp;A176, deployment!$D$4:$D$502,"&lt;&gt;"&amp;""),"")</f>
        <v/>
      </c>
      <c r="J176" s="96" t="str">
        <f>IF(A176&lt;&gt;"",SUMIFS(deployment!$I$4:$I$502, deployment!$D$4:$D$502,"="&amp;A176, deployment!$D$4:$D$502,"&lt;&gt;"&amp;""),"")</f>
        <v/>
      </c>
      <c r="K176" s="112" t="str">
        <f>IF(A176&lt;&gt;"",SUMIFS(deployment!$J$4:$J$502, deployment!$D$4:$D$502,"="&amp;A176, deployment!$D$4:$D$502,"&lt;&gt;"&amp;""),"")</f>
        <v/>
      </c>
      <c r="L176" s="112" t="str">
        <f>IF(A176&lt;&gt;"",SUMIFS(deployment!$K$4:$K$502, deployment!$D$4:$D$502,"="&amp;A176, deployment!$D$4:$D$502,"&lt;&gt;"&amp;""),"")</f>
        <v/>
      </c>
      <c r="M176" s="97" t="str">
        <f>IF(A176&lt;&gt;"",SUMIFS(deployment!$L$4:$L$502, deployment!$D$4:$D$502,"="&amp;A176, deployment!$D$4:$D$502,"&lt;&gt;"&amp;""),"")</f>
        <v/>
      </c>
      <c r="N176" s="97" t="str">
        <f>IF(A176&lt;&gt;"",SUMIFS(deployment!$M$4:$M$502, deployment!$D$4:$D$502,"="&amp;A176, deployment!$D$4:$D$502,"&lt;&gt;"&amp;""),"")</f>
        <v/>
      </c>
      <c r="O176" s="127" t="str">
        <f t="shared" si="35"/>
        <v/>
      </c>
      <c r="P176" s="104"/>
      <c r="Q176" s="99" t="str">
        <f t="shared" si="24"/>
        <v/>
      </c>
      <c r="R176" s="100" t="str">
        <f t="shared" si="25"/>
        <v/>
      </c>
      <c r="S176" s="100" t="str">
        <f t="shared" si="26"/>
        <v/>
      </c>
      <c r="T176" s="101" t="str">
        <f t="shared" si="27"/>
        <v/>
      </c>
      <c r="U176" s="101" t="str">
        <f t="shared" si="28"/>
        <v/>
      </c>
      <c r="V176" s="128" t="str">
        <f t="shared" si="29"/>
        <v/>
      </c>
      <c r="W176" s="128" t="str">
        <f t="shared" si="30"/>
        <v/>
      </c>
      <c r="X176" s="101" t="str">
        <f t="shared" si="31"/>
        <v/>
      </c>
      <c r="Y176" s="101" t="str">
        <f t="shared" si="32"/>
        <v/>
      </c>
      <c r="Z176" s="102" t="str">
        <f t="shared" si="33"/>
        <v/>
      </c>
      <c r="AA176" s="103" t="str">
        <f t="shared" si="34"/>
        <v/>
      </c>
      <c r="AB176" s="142" t="str">
        <f>IF(A176&lt;&gt;"", SUMIFS(node!$J$2:$J$500, node!$C$2:$C$500,"="&amp;A176)/P176, "")</f>
        <v/>
      </c>
      <c r="AC176" s="134" t="str">
        <f>IF(A176&lt;&gt;"", SUMIFS(node!$K$2:$K$500, node!$C$2:$C$500,"="&amp;A176)/P176, "")</f>
        <v/>
      </c>
      <c r="AD176" s="135" t="str">
        <f>IF(A176&lt;&gt;"", SUMIFS(node!$L$2:$L$500, node!$C$2:$C$500,"="&amp;A176), "")</f>
        <v/>
      </c>
      <c r="AE176" s="145" t="str">
        <f>IF(A176&lt;&gt;"", SUMIFS(node!$M$2:$M$500, node!$C$2:$C$500,"="&amp;A176), "")</f>
        <v/>
      </c>
    </row>
    <row r="177" spans="1:31" ht="15.75" customHeight="1" x14ac:dyDescent="0.25">
      <c r="A177" s="119" t="str">
        <f>IF(ISNONTEXT(node_raw[[#This Row],[Column2]]), "", node_raw[[#This Row],[Column2]])</f>
        <v/>
      </c>
      <c r="B177" s="116" t="str">
        <f>IF(A177&lt;&gt;"", VLOOKUP(A177, node!$C$2:$D$500, 2, FALSE), "")</f>
        <v/>
      </c>
      <c r="C177" s="117" t="str">
        <f>IF(A177&lt;&gt;"", VLOOKUP(A177, node!$C$2:$E$500, 3, FALSE), "")</f>
        <v/>
      </c>
      <c r="D177" s="118" t="str">
        <f>IF(A177&lt;&gt;"",COUNTIFS(node!$C$2:$C$500,"="&amp;A177, node!$C$2:$C$500,"&lt;&gt;"&amp;""),"")</f>
        <v/>
      </c>
      <c r="E177" s="122" t="str">
        <f>IF(A177&lt;&gt;"",SUMIFS(node!$F$2:$F$500, node!$C$2:$C$500,"="&amp;A177, node!$C$2:$C$500,"&lt;&gt;"&amp;"")/(B177*D177),"")</f>
        <v/>
      </c>
      <c r="F177" s="124" t="str">
        <f>IF(A177&lt;&gt;"",SUMIFS(node!$H$2:$H$500, node!$C$2:$C$500,"="&amp;A177, node!$C$2:$C$500,"&lt;&gt;"&amp;"")/(C177*D177),"")</f>
        <v/>
      </c>
      <c r="G177" s="93" t="str">
        <f>IF(A177&lt;&gt;"",SUMIFS(deployment!$F$4:$F$502, deployment!$D$4:$D$502,"="&amp;A177, deployment!$D$4:$D$502,"&lt;&gt;"&amp;""),"")</f>
        <v/>
      </c>
      <c r="H177" s="94" t="str">
        <f>IF(A177&lt;&gt;"",SUMIFS(deployment!$G$4:$G$502, deployment!$D$4:$D$502,"="&amp;A177, deployment!$D$4:$D$502,"&lt;&gt;"&amp;""),"")</f>
        <v/>
      </c>
      <c r="I177" s="95" t="str">
        <f>IF(A177&lt;&gt;"",SUMIFS(deployment!$H$4:$H$502, deployment!$D$4:$D$502,"="&amp;A177, deployment!$D$4:$D$502,"&lt;&gt;"&amp;""),"")</f>
        <v/>
      </c>
      <c r="J177" s="96" t="str">
        <f>IF(A177&lt;&gt;"",SUMIFS(deployment!$I$4:$I$502, deployment!$D$4:$D$502,"="&amp;A177, deployment!$D$4:$D$502,"&lt;&gt;"&amp;""),"")</f>
        <v/>
      </c>
      <c r="K177" s="112" t="str">
        <f>IF(A177&lt;&gt;"",SUMIFS(deployment!$J$4:$J$502, deployment!$D$4:$D$502,"="&amp;A177, deployment!$D$4:$D$502,"&lt;&gt;"&amp;""),"")</f>
        <v/>
      </c>
      <c r="L177" s="112" t="str">
        <f>IF(A177&lt;&gt;"",SUMIFS(deployment!$K$4:$K$502, deployment!$D$4:$D$502,"="&amp;A177, deployment!$D$4:$D$502,"&lt;&gt;"&amp;""),"")</f>
        <v/>
      </c>
      <c r="M177" s="97" t="str">
        <f>IF(A177&lt;&gt;"",SUMIFS(deployment!$L$4:$L$502, deployment!$D$4:$D$502,"="&amp;A177, deployment!$D$4:$D$502,"&lt;&gt;"&amp;""),"")</f>
        <v/>
      </c>
      <c r="N177" s="97" t="str">
        <f>IF(A177&lt;&gt;"",SUMIFS(deployment!$M$4:$M$502, deployment!$D$4:$D$502,"="&amp;A177, deployment!$D$4:$D$502,"&lt;&gt;"&amp;""),"")</f>
        <v/>
      </c>
      <c r="O177" s="127" t="str">
        <f t="shared" si="35"/>
        <v/>
      </c>
      <c r="P177" s="104"/>
      <c r="Q177" s="99" t="str">
        <f t="shared" si="24"/>
        <v/>
      </c>
      <c r="R177" s="100" t="str">
        <f t="shared" si="25"/>
        <v/>
      </c>
      <c r="S177" s="100" t="str">
        <f t="shared" si="26"/>
        <v/>
      </c>
      <c r="T177" s="101" t="str">
        <f t="shared" si="27"/>
        <v/>
      </c>
      <c r="U177" s="101" t="str">
        <f t="shared" si="28"/>
        <v/>
      </c>
      <c r="V177" s="128" t="str">
        <f t="shared" si="29"/>
        <v/>
      </c>
      <c r="W177" s="128" t="str">
        <f t="shared" si="30"/>
        <v/>
      </c>
      <c r="X177" s="101" t="str">
        <f t="shared" si="31"/>
        <v/>
      </c>
      <c r="Y177" s="101" t="str">
        <f t="shared" si="32"/>
        <v/>
      </c>
      <c r="Z177" s="102" t="str">
        <f t="shared" si="33"/>
        <v/>
      </c>
      <c r="AA177" s="103" t="str">
        <f t="shared" si="34"/>
        <v/>
      </c>
      <c r="AB177" s="142" t="str">
        <f>IF(A177&lt;&gt;"", SUMIFS(node!$J$2:$J$500, node!$C$2:$C$500,"="&amp;A177)/P177, "")</f>
        <v/>
      </c>
      <c r="AC177" s="134" t="str">
        <f>IF(A177&lt;&gt;"", SUMIFS(node!$K$2:$K$500, node!$C$2:$C$500,"="&amp;A177)/P177, "")</f>
        <v/>
      </c>
      <c r="AD177" s="135" t="str">
        <f>IF(A177&lt;&gt;"", SUMIFS(node!$L$2:$L$500, node!$C$2:$C$500,"="&amp;A177), "")</f>
        <v/>
      </c>
      <c r="AE177" s="145" t="str">
        <f>IF(A177&lt;&gt;"", SUMIFS(node!$M$2:$M$500, node!$C$2:$C$500,"="&amp;A177), "")</f>
        <v/>
      </c>
    </row>
    <row r="178" spans="1:31" ht="15.75" customHeight="1" x14ac:dyDescent="0.25">
      <c r="A178" s="119" t="str">
        <f>IF(ISNONTEXT(node_raw[[#This Row],[Column2]]), "", node_raw[[#This Row],[Column2]])</f>
        <v/>
      </c>
      <c r="B178" s="116" t="str">
        <f>IF(A178&lt;&gt;"", VLOOKUP(A178, node!$C$2:$D$500, 2, FALSE), "")</f>
        <v/>
      </c>
      <c r="C178" s="117" t="str">
        <f>IF(A178&lt;&gt;"", VLOOKUP(A178, node!$C$2:$E$500, 3, FALSE), "")</f>
        <v/>
      </c>
      <c r="D178" s="118" t="str">
        <f>IF(A178&lt;&gt;"",COUNTIFS(node!$C$2:$C$500,"="&amp;A178, node!$C$2:$C$500,"&lt;&gt;"&amp;""),"")</f>
        <v/>
      </c>
      <c r="E178" s="122" t="str">
        <f>IF(A178&lt;&gt;"",SUMIFS(node!$F$2:$F$500, node!$C$2:$C$500,"="&amp;A178, node!$C$2:$C$500,"&lt;&gt;"&amp;"")/(B178*D178),"")</f>
        <v/>
      </c>
      <c r="F178" s="124" t="str">
        <f>IF(A178&lt;&gt;"",SUMIFS(node!$H$2:$H$500, node!$C$2:$C$500,"="&amp;A178, node!$C$2:$C$500,"&lt;&gt;"&amp;"")/(C178*D178),"")</f>
        <v/>
      </c>
      <c r="G178" s="93" t="str">
        <f>IF(A178&lt;&gt;"",SUMIFS(deployment!$F$4:$F$502, deployment!$D$4:$D$502,"="&amp;A178, deployment!$D$4:$D$502,"&lt;&gt;"&amp;""),"")</f>
        <v/>
      </c>
      <c r="H178" s="94" t="str">
        <f>IF(A178&lt;&gt;"",SUMIFS(deployment!$G$4:$G$502, deployment!$D$4:$D$502,"="&amp;A178, deployment!$D$4:$D$502,"&lt;&gt;"&amp;""),"")</f>
        <v/>
      </c>
      <c r="I178" s="95" t="str">
        <f>IF(A178&lt;&gt;"",SUMIFS(deployment!$H$4:$H$502, deployment!$D$4:$D$502,"="&amp;A178, deployment!$D$4:$D$502,"&lt;&gt;"&amp;""),"")</f>
        <v/>
      </c>
      <c r="J178" s="96" t="str">
        <f>IF(A178&lt;&gt;"",SUMIFS(deployment!$I$4:$I$502, deployment!$D$4:$D$502,"="&amp;A178, deployment!$D$4:$D$502,"&lt;&gt;"&amp;""),"")</f>
        <v/>
      </c>
      <c r="K178" s="112" t="str">
        <f>IF(A178&lt;&gt;"",SUMIFS(deployment!$J$4:$J$502, deployment!$D$4:$D$502,"="&amp;A178, deployment!$D$4:$D$502,"&lt;&gt;"&amp;""),"")</f>
        <v/>
      </c>
      <c r="L178" s="112" t="str">
        <f>IF(A178&lt;&gt;"",SUMIFS(deployment!$K$4:$K$502, deployment!$D$4:$D$502,"="&amp;A178, deployment!$D$4:$D$502,"&lt;&gt;"&amp;""),"")</f>
        <v/>
      </c>
      <c r="M178" s="97" t="str">
        <f>IF(A178&lt;&gt;"",SUMIFS(deployment!$L$4:$L$502, deployment!$D$4:$D$502,"="&amp;A178, deployment!$D$4:$D$502,"&lt;&gt;"&amp;""),"")</f>
        <v/>
      </c>
      <c r="N178" s="97" t="str">
        <f>IF(A178&lt;&gt;"",SUMIFS(deployment!$M$4:$M$502, deployment!$D$4:$D$502,"="&amp;A178, deployment!$D$4:$D$502,"&lt;&gt;"&amp;""),"")</f>
        <v/>
      </c>
      <c r="O178" s="127" t="str">
        <f t="shared" si="35"/>
        <v/>
      </c>
      <c r="P178" s="104"/>
      <c r="Q178" s="99" t="str">
        <f t="shared" si="24"/>
        <v/>
      </c>
      <c r="R178" s="100" t="str">
        <f t="shared" si="25"/>
        <v/>
      </c>
      <c r="S178" s="100" t="str">
        <f t="shared" si="26"/>
        <v/>
      </c>
      <c r="T178" s="101" t="str">
        <f t="shared" si="27"/>
        <v/>
      </c>
      <c r="U178" s="101" t="str">
        <f t="shared" si="28"/>
        <v/>
      </c>
      <c r="V178" s="128" t="str">
        <f t="shared" si="29"/>
        <v/>
      </c>
      <c r="W178" s="128" t="str">
        <f t="shared" si="30"/>
        <v/>
      </c>
      <c r="X178" s="101" t="str">
        <f t="shared" si="31"/>
        <v/>
      </c>
      <c r="Y178" s="101" t="str">
        <f t="shared" si="32"/>
        <v/>
      </c>
      <c r="Z178" s="102" t="str">
        <f t="shared" si="33"/>
        <v/>
      </c>
      <c r="AA178" s="103" t="str">
        <f t="shared" si="34"/>
        <v/>
      </c>
      <c r="AB178" s="142" t="str">
        <f>IF(A178&lt;&gt;"", SUMIFS(node!$J$2:$J$500, node!$C$2:$C$500,"="&amp;A178)/P178, "")</f>
        <v/>
      </c>
      <c r="AC178" s="134" t="str">
        <f>IF(A178&lt;&gt;"", SUMIFS(node!$K$2:$K$500, node!$C$2:$C$500,"="&amp;A178)/P178, "")</f>
        <v/>
      </c>
      <c r="AD178" s="135" t="str">
        <f>IF(A178&lt;&gt;"", SUMIFS(node!$L$2:$L$500, node!$C$2:$C$500,"="&amp;A178), "")</f>
        <v/>
      </c>
      <c r="AE178" s="145" t="str">
        <f>IF(A178&lt;&gt;"", SUMIFS(node!$M$2:$M$500, node!$C$2:$C$500,"="&amp;A178), "")</f>
        <v/>
      </c>
    </row>
    <row r="179" spans="1:31" ht="15.75" customHeight="1" x14ac:dyDescent="0.25">
      <c r="A179" s="119" t="str">
        <f>IF(ISNONTEXT(node_raw[[#This Row],[Column2]]), "", node_raw[[#This Row],[Column2]])</f>
        <v/>
      </c>
      <c r="B179" s="116" t="str">
        <f>IF(A179&lt;&gt;"", VLOOKUP(A179, node!$C$2:$D$500, 2, FALSE), "")</f>
        <v/>
      </c>
      <c r="C179" s="117" t="str">
        <f>IF(A179&lt;&gt;"", VLOOKUP(A179, node!$C$2:$E$500, 3, FALSE), "")</f>
        <v/>
      </c>
      <c r="D179" s="118" t="str">
        <f>IF(A179&lt;&gt;"",COUNTIFS(node!$C$2:$C$500,"="&amp;A179, node!$C$2:$C$500,"&lt;&gt;"&amp;""),"")</f>
        <v/>
      </c>
      <c r="E179" s="122" t="str">
        <f>IF(A179&lt;&gt;"",SUMIFS(node!$F$2:$F$500, node!$C$2:$C$500,"="&amp;A179, node!$C$2:$C$500,"&lt;&gt;"&amp;"")/(B179*D179),"")</f>
        <v/>
      </c>
      <c r="F179" s="124" t="str">
        <f>IF(A179&lt;&gt;"",SUMIFS(node!$H$2:$H$500, node!$C$2:$C$500,"="&amp;A179, node!$C$2:$C$500,"&lt;&gt;"&amp;"")/(C179*D179),"")</f>
        <v/>
      </c>
      <c r="G179" s="93" t="str">
        <f>IF(A179&lt;&gt;"",SUMIFS(deployment!$F$4:$F$502, deployment!$D$4:$D$502,"="&amp;A179, deployment!$D$4:$D$502,"&lt;&gt;"&amp;""),"")</f>
        <v/>
      </c>
      <c r="H179" s="94" t="str">
        <f>IF(A179&lt;&gt;"",SUMIFS(deployment!$G$4:$G$502, deployment!$D$4:$D$502,"="&amp;A179, deployment!$D$4:$D$502,"&lt;&gt;"&amp;""),"")</f>
        <v/>
      </c>
      <c r="I179" s="95" t="str">
        <f>IF(A179&lt;&gt;"",SUMIFS(deployment!$H$4:$H$502, deployment!$D$4:$D$502,"="&amp;A179, deployment!$D$4:$D$502,"&lt;&gt;"&amp;""),"")</f>
        <v/>
      </c>
      <c r="J179" s="96" t="str">
        <f>IF(A179&lt;&gt;"",SUMIFS(deployment!$I$4:$I$502, deployment!$D$4:$D$502,"="&amp;A179, deployment!$D$4:$D$502,"&lt;&gt;"&amp;""),"")</f>
        <v/>
      </c>
      <c r="K179" s="112" t="str">
        <f>IF(A179&lt;&gt;"",SUMIFS(deployment!$J$4:$J$502, deployment!$D$4:$D$502,"="&amp;A179, deployment!$D$4:$D$502,"&lt;&gt;"&amp;""),"")</f>
        <v/>
      </c>
      <c r="L179" s="112" t="str">
        <f>IF(A179&lt;&gt;"",SUMIFS(deployment!$K$4:$K$502, deployment!$D$4:$D$502,"="&amp;A179, deployment!$D$4:$D$502,"&lt;&gt;"&amp;""),"")</f>
        <v/>
      </c>
      <c r="M179" s="97" t="str">
        <f>IF(A179&lt;&gt;"",SUMIFS(deployment!$L$4:$L$502, deployment!$D$4:$D$502,"="&amp;A179, deployment!$D$4:$D$502,"&lt;&gt;"&amp;""),"")</f>
        <v/>
      </c>
      <c r="N179" s="97" t="str">
        <f>IF(A179&lt;&gt;"",SUMIFS(deployment!$M$4:$M$502, deployment!$D$4:$D$502,"="&amp;A179, deployment!$D$4:$D$502,"&lt;&gt;"&amp;""),"")</f>
        <v/>
      </c>
      <c r="O179" s="127" t="str">
        <f t="shared" si="35"/>
        <v/>
      </c>
      <c r="P179" s="104"/>
      <c r="Q179" s="99" t="str">
        <f t="shared" si="24"/>
        <v/>
      </c>
      <c r="R179" s="100" t="str">
        <f t="shared" si="25"/>
        <v/>
      </c>
      <c r="S179" s="100" t="str">
        <f t="shared" si="26"/>
        <v/>
      </c>
      <c r="T179" s="101" t="str">
        <f t="shared" si="27"/>
        <v/>
      </c>
      <c r="U179" s="101" t="str">
        <f t="shared" si="28"/>
        <v/>
      </c>
      <c r="V179" s="128" t="str">
        <f t="shared" si="29"/>
        <v/>
      </c>
      <c r="W179" s="128" t="str">
        <f t="shared" si="30"/>
        <v/>
      </c>
      <c r="X179" s="101" t="str">
        <f t="shared" si="31"/>
        <v/>
      </c>
      <c r="Y179" s="101" t="str">
        <f t="shared" si="32"/>
        <v/>
      </c>
      <c r="Z179" s="102" t="str">
        <f t="shared" si="33"/>
        <v/>
      </c>
      <c r="AA179" s="103" t="str">
        <f t="shared" si="34"/>
        <v/>
      </c>
      <c r="AB179" s="142" t="str">
        <f>IF(A179&lt;&gt;"", SUMIFS(node!$J$2:$J$500, node!$C$2:$C$500,"="&amp;A179)/P179, "")</f>
        <v/>
      </c>
      <c r="AC179" s="134" t="str">
        <f>IF(A179&lt;&gt;"", SUMIFS(node!$K$2:$K$500, node!$C$2:$C$500,"="&amp;A179)/P179, "")</f>
        <v/>
      </c>
      <c r="AD179" s="135" t="str">
        <f>IF(A179&lt;&gt;"", SUMIFS(node!$L$2:$L$500, node!$C$2:$C$500,"="&amp;A179), "")</f>
        <v/>
      </c>
      <c r="AE179" s="145" t="str">
        <f>IF(A179&lt;&gt;"", SUMIFS(node!$M$2:$M$500, node!$C$2:$C$500,"="&amp;A179), "")</f>
        <v/>
      </c>
    </row>
    <row r="180" spans="1:31" ht="15.75" customHeight="1" x14ac:dyDescent="0.25">
      <c r="A180" s="119" t="str">
        <f>IF(ISNONTEXT(node_raw[[#This Row],[Column2]]), "", node_raw[[#This Row],[Column2]])</f>
        <v/>
      </c>
      <c r="B180" s="116" t="str">
        <f>IF(A180&lt;&gt;"", VLOOKUP(A180, node!$C$2:$D$500, 2, FALSE), "")</f>
        <v/>
      </c>
      <c r="C180" s="117" t="str">
        <f>IF(A180&lt;&gt;"", VLOOKUP(A180, node!$C$2:$E$500, 3, FALSE), "")</f>
        <v/>
      </c>
      <c r="D180" s="118" t="str">
        <f>IF(A180&lt;&gt;"",COUNTIFS(node!$C$2:$C$500,"="&amp;A180, node!$C$2:$C$500,"&lt;&gt;"&amp;""),"")</f>
        <v/>
      </c>
      <c r="E180" s="122" t="str">
        <f>IF(A180&lt;&gt;"",SUMIFS(node!$F$2:$F$500, node!$C$2:$C$500,"="&amp;A180, node!$C$2:$C$500,"&lt;&gt;"&amp;"")/(B180*D180),"")</f>
        <v/>
      </c>
      <c r="F180" s="124" t="str">
        <f>IF(A180&lt;&gt;"",SUMIFS(node!$H$2:$H$500, node!$C$2:$C$500,"="&amp;A180, node!$C$2:$C$500,"&lt;&gt;"&amp;"")/(C180*D180),"")</f>
        <v/>
      </c>
      <c r="G180" s="93" t="str">
        <f>IF(A180&lt;&gt;"",SUMIFS(deployment!$F$4:$F$502, deployment!$D$4:$D$502,"="&amp;A180, deployment!$D$4:$D$502,"&lt;&gt;"&amp;""),"")</f>
        <v/>
      </c>
      <c r="H180" s="94" t="str">
        <f>IF(A180&lt;&gt;"",SUMIFS(deployment!$G$4:$G$502, deployment!$D$4:$D$502,"="&amp;A180, deployment!$D$4:$D$502,"&lt;&gt;"&amp;""),"")</f>
        <v/>
      </c>
      <c r="I180" s="95" t="str">
        <f>IF(A180&lt;&gt;"",SUMIFS(deployment!$H$4:$H$502, deployment!$D$4:$D$502,"="&amp;A180, deployment!$D$4:$D$502,"&lt;&gt;"&amp;""),"")</f>
        <v/>
      </c>
      <c r="J180" s="96" t="str">
        <f>IF(A180&lt;&gt;"",SUMIFS(deployment!$I$4:$I$502, deployment!$D$4:$D$502,"="&amp;A180, deployment!$D$4:$D$502,"&lt;&gt;"&amp;""),"")</f>
        <v/>
      </c>
      <c r="K180" s="112" t="str">
        <f>IF(A180&lt;&gt;"",SUMIFS(deployment!$J$4:$J$502, deployment!$D$4:$D$502,"="&amp;A180, deployment!$D$4:$D$502,"&lt;&gt;"&amp;""),"")</f>
        <v/>
      </c>
      <c r="L180" s="112" t="str">
        <f>IF(A180&lt;&gt;"",SUMIFS(deployment!$K$4:$K$502, deployment!$D$4:$D$502,"="&amp;A180, deployment!$D$4:$D$502,"&lt;&gt;"&amp;""),"")</f>
        <v/>
      </c>
      <c r="M180" s="97" t="str">
        <f>IF(A180&lt;&gt;"",SUMIFS(deployment!$L$4:$L$502, deployment!$D$4:$D$502,"="&amp;A180, deployment!$D$4:$D$502,"&lt;&gt;"&amp;""),"")</f>
        <v/>
      </c>
      <c r="N180" s="97" t="str">
        <f>IF(A180&lt;&gt;"",SUMIFS(deployment!$M$4:$M$502, deployment!$D$4:$D$502,"="&amp;A180, deployment!$D$4:$D$502,"&lt;&gt;"&amp;""),"")</f>
        <v/>
      </c>
      <c r="O180" s="127" t="str">
        <f t="shared" si="35"/>
        <v/>
      </c>
      <c r="P180" s="104"/>
      <c r="Q180" s="99" t="str">
        <f t="shared" si="24"/>
        <v/>
      </c>
      <c r="R180" s="100" t="str">
        <f t="shared" si="25"/>
        <v/>
      </c>
      <c r="S180" s="100" t="str">
        <f t="shared" si="26"/>
        <v/>
      </c>
      <c r="T180" s="101" t="str">
        <f t="shared" si="27"/>
        <v/>
      </c>
      <c r="U180" s="101" t="str">
        <f t="shared" si="28"/>
        <v/>
      </c>
      <c r="V180" s="128" t="str">
        <f t="shared" si="29"/>
        <v/>
      </c>
      <c r="W180" s="128" t="str">
        <f t="shared" si="30"/>
        <v/>
      </c>
      <c r="X180" s="101" t="str">
        <f t="shared" si="31"/>
        <v/>
      </c>
      <c r="Y180" s="101" t="str">
        <f t="shared" si="32"/>
        <v/>
      </c>
      <c r="Z180" s="102" t="str">
        <f t="shared" si="33"/>
        <v/>
      </c>
      <c r="AA180" s="103" t="str">
        <f t="shared" si="34"/>
        <v/>
      </c>
      <c r="AB180" s="142" t="str">
        <f>IF(A180&lt;&gt;"", SUMIFS(node!$J$2:$J$500, node!$C$2:$C$500,"="&amp;A180)/P180, "")</f>
        <v/>
      </c>
      <c r="AC180" s="134" t="str">
        <f>IF(A180&lt;&gt;"", SUMIFS(node!$K$2:$K$500, node!$C$2:$C$500,"="&amp;A180)/P180, "")</f>
        <v/>
      </c>
      <c r="AD180" s="135" t="str">
        <f>IF(A180&lt;&gt;"", SUMIFS(node!$L$2:$L$500, node!$C$2:$C$500,"="&amp;A180), "")</f>
        <v/>
      </c>
      <c r="AE180" s="145" t="str">
        <f>IF(A180&lt;&gt;"", SUMIFS(node!$M$2:$M$500, node!$C$2:$C$500,"="&amp;A180), "")</f>
        <v/>
      </c>
    </row>
    <row r="181" spans="1:31" ht="15.75" customHeight="1" x14ac:dyDescent="0.25">
      <c r="A181" s="119" t="str">
        <f>IF(ISNONTEXT(node_raw[[#This Row],[Column2]]), "", node_raw[[#This Row],[Column2]])</f>
        <v/>
      </c>
      <c r="B181" s="116" t="str">
        <f>IF(A181&lt;&gt;"", VLOOKUP(A181, node!$C$2:$D$500, 2, FALSE), "")</f>
        <v/>
      </c>
      <c r="C181" s="117" t="str">
        <f>IF(A181&lt;&gt;"", VLOOKUP(A181, node!$C$2:$E$500, 3, FALSE), "")</f>
        <v/>
      </c>
      <c r="D181" s="118" t="str">
        <f>IF(A181&lt;&gt;"",COUNTIFS(node!$C$2:$C$500,"="&amp;A181, node!$C$2:$C$500,"&lt;&gt;"&amp;""),"")</f>
        <v/>
      </c>
      <c r="E181" s="122" t="str">
        <f>IF(A181&lt;&gt;"",SUMIFS(node!$F$2:$F$500, node!$C$2:$C$500,"="&amp;A181, node!$C$2:$C$500,"&lt;&gt;"&amp;"")/(B181*D181),"")</f>
        <v/>
      </c>
      <c r="F181" s="124" t="str">
        <f>IF(A181&lt;&gt;"",SUMIFS(node!$H$2:$H$500, node!$C$2:$C$500,"="&amp;A181, node!$C$2:$C$500,"&lt;&gt;"&amp;"")/(C181*D181),"")</f>
        <v/>
      </c>
      <c r="G181" s="93" t="str">
        <f>IF(A181&lt;&gt;"",SUMIFS(deployment!$F$4:$F$502, deployment!$D$4:$D$502,"="&amp;A181, deployment!$D$4:$D$502,"&lt;&gt;"&amp;""),"")</f>
        <v/>
      </c>
      <c r="H181" s="94" t="str">
        <f>IF(A181&lt;&gt;"",SUMIFS(deployment!$G$4:$G$502, deployment!$D$4:$D$502,"="&amp;A181, deployment!$D$4:$D$502,"&lt;&gt;"&amp;""),"")</f>
        <v/>
      </c>
      <c r="I181" s="95" t="str">
        <f>IF(A181&lt;&gt;"",SUMIFS(deployment!$H$4:$H$502, deployment!$D$4:$D$502,"="&amp;A181, deployment!$D$4:$D$502,"&lt;&gt;"&amp;""),"")</f>
        <v/>
      </c>
      <c r="J181" s="96" t="str">
        <f>IF(A181&lt;&gt;"",SUMIFS(deployment!$I$4:$I$502, deployment!$D$4:$D$502,"="&amp;A181, deployment!$D$4:$D$502,"&lt;&gt;"&amp;""),"")</f>
        <v/>
      </c>
      <c r="K181" s="112" t="str">
        <f>IF(A181&lt;&gt;"",SUMIFS(deployment!$J$4:$J$502, deployment!$D$4:$D$502,"="&amp;A181, deployment!$D$4:$D$502,"&lt;&gt;"&amp;""),"")</f>
        <v/>
      </c>
      <c r="L181" s="112" t="str">
        <f>IF(A181&lt;&gt;"",SUMIFS(deployment!$K$4:$K$502, deployment!$D$4:$D$502,"="&amp;A181, deployment!$D$4:$D$502,"&lt;&gt;"&amp;""),"")</f>
        <v/>
      </c>
      <c r="M181" s="97" t="str">
        <f>IF(A181&lt;&gt;"",SUMIFS(deployment!$L$4:$L$502, deployment!$D$4:$D$502,"="&amp;A181, deployment!$D$4:$D$502,"&lt;&gt;"&amp;""),"")</f>
        <v/>
      </c>
      <c r="N181" s="97" t="str">
        <f>IF(A181&lt;&gt;"",SUMIFS(deployment!$M$4:$M$502, deployment!$D$4:$D$502,"="&amp;A181, deployment!$D$4:$D$502,"&lt;&gt;"&amp;""),"")</f>
        <v/>
      </c>
      <c r="O181" s="127" t="str">
        <f t="shared" si="35"/>
        <v/>
      </c>
      <c r="P181" s="104"/>
      <c r="Q181" s="99" t="str">
        <f t="shared" si="24"/>
        <v/>
      </c>
      <c r="R181" s="100" t="str">
        <f t="shared" si="25"/>
        <v/>
      </c>
      <c r="S181" s="100" t="str">
        <f t="shared" si="26"/>
        <v/>
      </c>
      <c r="T181" s="101" t="str">
        <f t="shared" si="27"/>
        <v/>
      </c>
      <c r="U181" s="101" t="str">
        <f t="shared" si="28"/>
        <v/>
      </c>
      <c r="V181" s="128" t="str">
        <f t="shared" si="29"/>
        <v/>
      </c>
      <c r="W181" s="128" t="str">
        <f t="shared" si="30"/>
        <v/>
      </c>
      <c r="X181" s="101" t="str">
        <f t="shared" si="31"/>
        <v/>
      </c>
      <c r="Y181" s="101" t="str">
        <f t="shared" si="32"/>
        <v/>
      </c>
      <c r="Z181" s="102" t="str">
        <f t="shared" si="33"/>
        <v/>
      </c>
      <c r="AA181" s="103" t="str">
        <f t="shared" si="34"/>
        <v/>
      </c>
      <c r="AB181" s="142" t="str">
        <f>IF(A181&lt;&gt;"", SUMIFS(node!$J$2:$J$500, node!$C$2:$C$500,"="&amp;A181)/P181, "")</f>
        <v/>
      </c>
      <c r="AC181" s="134" t="str">
        <f>IF(A181&lt;&gt;"", SUMIFS(node!$K$2:$K$500, node!$C$2:$C$500,"="&amp;A181)/P181, "")</f>
        <v/>
      </c>
      <c r="AD181" s="135" t="str">
        <f>IF(A181&lt;&gt;"", SUMIFS(node!$L$2:$L$500, node!$C$2:$C$500,"="&amp;A181), "")</f>
        <v/>
      </c>
      <c r="AE181" s="145" t="str">
        <f>IF(A181&lt;&gt;"", SUMIFS(node!$M$2:$M$500, node!$C$2:$C$500,"="&amp;A181), "")</f>
        <v/>
      </c>
    </row>
    <row r="182" spans="1:31" ht="15.75" customHeight="1" x14ac:dyDescent="0.25">
      <c r="A182" s="119" t="str">
        <f>IF(ISNONTEXT(node_raw[[#This Row],[Column2]]), "", node_raw[[#This Row],[Column2]])</f>
        <v/>
      </c>
      <c r="B182" s="116" t="str">
        <f>IF(A182&lt;&gt;"", VLOOKUP(A182, node!$C$2:$D$500, 2, FALSE), "")</f>
        <v/>
      </c>
      <c r="C182" s="117" t="str">
        <f>IF(A182&lt;&gt;"", VLOOKUP(A182, node!$C$2:$E$500, 3, FALSE), "")</f>
        <v/>
      </c>
      <c r="D182" s="118" t="str">
        <f>IF(A182&lt;&gt;"",COUNTIFS(node!$C$2:$C$500,"="&amp;A182, node!$C$2:$C$500,"&lt;&gt;"&amp;""),"")</f>
        <v/>
      </c>
      <c r="E182" s="122" t="str">
        <f>IF(A182&lt;&gt;"",SUMIFS(node!$F$2:$F$500, node!$C$2:$C$500,"="&amp;A182, node!$C$2:$C$500,"&lt;&gt;"&amp;"")/(B182*D182),"")</f>
        <v/>
      </c>
      <c r="F182" s="124" t="str">
        <f>IF(A182&lt;&gt;"",SUMIFS(node!$H$2:$H$500, node!$C$2:$C$500,"="&amp;A182, node!$C$2:$C$500,"&lt;&gt;"&amp;"")/(C182*D182),"")</f>
        <v/>
      </c>
      <c r="G182" s="93" t="str">
        <f>IF(A182&lt;&gt;"",SUMIFS(deployment!$F$4:$F$502, deployment!$D$4:$D$502,"="&amp;A182, deployment!$D$4:$D$502,"&lt;&gt;"&amp;""),"")</f>
        <v/>
      </c>
      <c r="H182" s="94" t="str">
        <f>IF(A182&lt;&gt;"",SUMIFS(deployment!$G$4:$G$502, deployment!$D$4:$D$502,"="&amp;A182, deployment!$D$4:$D$502,"&lt;&gt;"&amp;""),"")</f>
        <v/>
      </c>
      <c r="I182" s="95" t="str">
        <f>IF(A182&lt;&gt;"",SUMIFS(deployment!$H$4:$H$502, deployment!$D$4:$D$502,"="&amp;A182, deployment!$D$4:$D$502,"&lt;&gt;"&amp;""),"")</f>
        <v/>
      </c>
      <c r="J182" s="96" t="str">
        <f>IF(A182&lt;&gt;"",SUMIFS(deployment!$I$4:$I$502, deployment!$D$4:$D$502,"="&amp;A182, deployment!$D$4:$D$502,"&lt;&gt;"&amp;""),"")</f>
        <v/>
      </c>
      <c r="K182" s="112" t="str">
        <f>IF(A182&lt;&gt;"",SUMIFS(deployment!$J$4:$J$502, deployment!$D$4:$D$502,"="&amp;A182, deployment!$D$4:$D$502,"&lt;&gt;"&amp;""),"")</f>
        <v/>
      </c>
      <c r="L182" s="112" t="str">
        <f>IF(A182&lt;&gt;"",SUMIFS(deployment!$K$4:$K$502, deployment!$D$4:$D$502,"="&amp;A182, deployment!$D$4:$D$502,"&lt;&gt;"&amp;""),"")</f>
        <v/>
      </c>
      <c r="M182" s="97" t="str">
        <f>IF(A182&lt;&gt;"",SUMIFS(deployment!$L$4:$L$502, deployment!$D$4:$D$502,"="&amp;A182, deployment!$D$4:$D$502,"&lt;&gt;"&amp;""),"")</f>
        <v/>
      </c>
      <c r="N182" s="97" t="str">
        <f>IF(A182&lt;&gt;"",SUMIFS(deployment!$M$4:$M$502, deployment!$D$4:$D$502,"="&amp;A182, deployment!$D$4:$D$502,"&lt;&gt;"&amp;""),"")</f>
        <v/>
      </c>
      <c r="O182" s="127" t="str">
        <f t="shared" si="35"/>
        <v/>
      </c>
      <c r="P182" s="104"/>
      <c r="Q182" s="99" t="str">
        <f t="shared" si="24"/>
        <v/>
      </c>
      <c r="R182" s="100" t="str">
        <f t="shared" si="25"/>
        <v/>
      </c>
      <c r="S182" s="100" t="str">
        <f t="shared" si="26"/>
        <v/>
      </c>
      <c r="T182" s="101" t="str">
        <f t="shared" si="27"/>
        <v/>
      </c>
      <c r="U182" s="101" t="str">
        <f t="shared" si="28"/>
        <v/>
      </c>
      <c r="V182" s="128" t="str">
        <f t="shared" si="29"/>
        <v/>
      </c>
      <c r="W182" s="128" t="str">
        <f t="shared" si="30"/>
        <v/>
      </c>
      <c r="X182" s="101" t="str">
        <f t="shared" si="31"/>
        <v/>
      </c>
      <c r="Y182" s="101" t="str">
        <f t="shared" si="32"/>
        <v/>
      </c>
      <c r="Z182" s="102" t="str">
        <f t="shared" si="33"/>
        <v/>
      </c>
      <c r="AA182" s="103" t="str">
        <f t="shared" si="34"/>
        <v/>
      </c>
      <c r="AB182" s="142" t="str">
        <f>IF(A182&lt;&gt;"", SUMIFS(node!$J$2:$J$500, node!$C$2:$C$500,"="&amp;A182)/P182, "")</f>
        <v/>
      </c>
      <c r="AC182" s="134" t="str">
        <f>IF(A182&lt;&gt;"", SUMIFS(node!$K$2:$K$500, node!$C$2:$C$500,"="&amp;A182)/P182, "")</f>
        <v/>
      </c>
      <c r="AD182" s="135" t="str">
        <f>IF(A182&lt;&gt;"", SUMIFS(node!$L$2:$L$500, node!$C$2:$C$500,"="&amp;A182), "")</f>
        <v/>
      </c>
      <c r="AE182" s="145" t="str">
        <f>IF(A182&lt;&gt;"", SUMIFS(node!$M$2:$M$500, node!$C$2:$C$500,"="&amp;A182), "")</f>
        <v/>
      </c>
    </row>
    <row r="183" spans="1:31" ht="15.75" customHeight="1" x14ac:dyDescent="0.25">
      <c r="A183" s="119" t="str">
        <f>IF(ISNONTEXT(node_raw[[#This Row],[Column2]]), "", node_raw[[#This Row],[Column2]])</f>
        <v/>
      </c>
      <c r="B183" s="116" t="str">
        <f>IF(A183&lt;&gt;"", VLOOKUP(A183, node!$C$2:$D$500, 2, FALSE), "")</f>
        <v/>
      </c>
      <c r="C183" s="117" t="str">
        <f>IF(A183&lt;&gt;"", VLOOKUP(A183, node!$C$2:$E$500, 3, FALSE), "")</f>
        <v/>
      </c>
      <c r="D183" s="118" t="str">
        <f>IF(A183&lt;&gt;"",COUNTIFS(node!$C$2:$C$500,"="&amp;A183, node!$C$2:$C$500,"&lt;&gt;"&amp;""),"")</f>
        <v/>
      </c>
      <c r="E183" s="122" t="str">
        <f>IF(A183&lt;&gt;"",SUMIFS(node!$F$2:$F$500, node!$C$2:$C$500,"="&amp;A183, node!$C$2:$C$500,"&lt;&gt;"&amp;"")/(B183*D183),"")</f>
        <v/>
      </c>
      <c r="F183" s="124" t="str">
        <f>IF(A183&lt;&gt;"",SUMIFS(node!$H$2:$H$500, node!$C$2:$C$500,"="&amp;A183, node!$C$2:$C$500,"&lt;&gt;"&amp;"")/(C183*D183),"")</f>
        <v/>
      </c>
      <c r="G183" s="93" t="str">
        <f>IF(A183&lt;&gt;"",SUMIFS(deployment!$F$4:$F$502, deployment!$D$4:$D$502,"="&amp;A183, deployment!$D$4:$D$502,"&lt;&gt;"&amp;""),"")</f>
        <v/>
      </c>
      <c r="H183" s="94" t="str">
        <f>IF(A183&lt;&gt;"",SUMIFS(deployment!$G$4:$G$502, deployment!$D$4:$D$502,"="&amp;A183, deployment!$D$4:$D$502,"&lt;&gt;"&amp;""),"")</f>
        <v/>
      </c>
      <c r="I183" s="95" t="str">
        <f>IF(A183&lt;&gt;"",SUMIFS(deployment!$H$4:$H$502, deployment!$D$4:$D$502,"="&amp;A183, deployment!$D$4:$D$502,"&lt;&gt;"&amp;""),"")</f>
        <v/>
      </c>
      <c r="J183" s="96" t="str">
        <f>IF(A183&lt;&gt;"",SUMIFS(deployment!$I$4:$I$502, deployment!$D$4:$D$502,"="&amp;A183, deployment!$D$4:$D$502,"&lt;&gt;"&amp;""),"")</f>
        <v/>
      </c>
      <c r="K183" s="112" t="str">
        <f>IF(A183&lt;&gt;"",SUMIFS(deployment!$J$4:$J$502, deployment!$D$4:$D$502,"="&amp;A183, deployment!$D$4:$D$502,"&lt;&gt;"&amp;""),"")</f>
        <v/>
      </c>
      <c r="L183" s="112" t="str">
        <f>IF(A183&lt;&gt;"",SUMIFS(deployment!$K$4:$K$502, deployment!$D$4:$D$502,"="&amp;A183, deployment!$D$4:$D$502,"&lt;&gt;"&amp;""),"")</f>
        <v/>
      </c>
      <c r="M183" s="97" t="str">
        <f>IF(A183&lt;&gt;"",SUMIFS(deployment!$L$4:$L$502, deployment!$D$4:$D$502,"="&amp;A183, deployment!$D$4:$D$502,"&lt;&gt;"&amp;""),"")</f>
        <v/>
      </c>
      <c r="N183" s="97" t="str">
        <f>IF(A183&lt;&gt;"",SUMIFS(deployment!$M$4:$M$502, deployment!$D$4:$D$502,"="&amp;A183, deployment!$D$4:$D$502,"&lt;&gt;"&amp;""),"")</f>
        <v/>
      </c>
      <c r="O183" s="127" t="str">
        <f t="shared" si="35"/>
        <v/>
      </c>
      <c r="P183" s="104"/>
      <c r="Q183" s="99" t="str">
        <f t="shared" si="24"/>
        <v/>
      </c>
      <c r="R183" s="100" t="str">
        <f t="shared" si="25"/>
        <v/>
      </c>
      <c r="S183" s="100" t="str">
        <f t="shared" si="26"/>
        <v/>
      </c>
      <c r="T183" s="101" t="str">
        <f t="shared" si="27"/>
        <v/>
      </c>
      <c r="U183" s="101" t="str">
        <f t="shared" si="28"/>
        <v/>
      </c>
      <c r="V183" s="128" t="str">
        <f t="shared" si="29"/>
        <v/>
      </c>
      <c r="W183" s="128" t="str">
        <f t="shared" si="30"/>
        <v/>
      </c>
      <c r="X183" s="101" t="str">
        <f t="shared" si="31"/>
        <v/>
      </c>
      <c r="Y183" s="101" t="str">
        <f t="shared" si="32"/>
        <v/>
      </c>
      <c r="Z183" s="102" t="str">
        <f t="shared" si="33"/>
        <v/>
      </c>
      <c r="AA183" s="103" t="str">
        <f t="shared" si="34"/>
        <v/>
      </c>
      <c r="AB183" s="142" t="str">
        <f>IF(A183&lt;&gt;"", SUMIFS(node!$J$2:$J$500, node!$C$2:$C$500,"="&amp;A183)/P183, "")</f>
        <v/>
      </c>
      <c r="AC183" s="134" t="str">
        <f>IF(A183&lt;&gt;"", SUMIFS(node!$K$2:$K$500, node!$C$2:$C$500,"="&amp;A183)/P183, "")</f>
        <v/>
      </c>
      <c r="AD183" s="135" t="str">
        <f>IF(A183&lt;&gt;"", SUMIFS(node!$L$2:$L$500, node!$C$2:$C$500,"="&amp;A183), "")</f>
        <v/>
      </c>
      <c r="AE183" s="145" t="str">
        <f>IF(A183&lt;&gt;"", SUMIFS(node!$M$2:$M$500, node!$C$2:$C$500,"="&amp;A183), "")</f>
        <v/>
      </c>
    </row>
    <row r="184" spans="1:31" ht="15.75" customHeight="1" x14ac:dyDescent="0.25">
      <c r="A184" s="119" t="str">
        <f>IF(ISNONTEXT(node_raw[[#This Row],[Column2]]), "", node_raw[[#This Row],[Column2]])</f>
        <v/>
      </c>
      <c r="B184" s="116" t="str">
        <f>IF(A184&lt;&gt;"", VLOOKUP(A184, node!$C$2:$D$500, 2, FALSE), "")</f>
        <v/>
      </c>
      <c r="C184" s="117" t="str">
        <f>IF(A184&lt;&gt;"", VLOOKUP(A184, node!$C$2:$E$500, 3, FALSE), "")</f>
        <v/>
      </c>
      <c r="D184" s="118" t="str">
        <f>IF(A184&lt;&gt;"",COUNTIFS(node!$C$2:$C$500,"="&amp;A184, node!$C$2:$C$500,"&lt;&gt;"&amp;""),"")</f>
        <v/>
      </c>
      <c r="E184" s="122" t="str">
        <f>IF(A184&lt;&gt;"",SUMIFS(node!$F$2:$F$500, node!$C$2:$C$500,"="&amp;A184, node!$C$2:$C$500,"&lt;&gt;"&amp;"")/(B184*D184),"")</f>
        <v/>
      </c>
      <c r="F184" s="124" t="str">
        <f>IF(A184&lt;&gt;"",SUMIFS(node!$H$2:$H$500, node!$C$2:$C$500,"="&amp;A184, node!$C$2:$C$500,"&lt;&gt;"&amp;"")/(C184*D184),"")</f>
        <v/>
      </c>
      <c r="G184" s="93" t="str">
        <f>IF(A184&lt;&gt;"",SUMIFS(deployment!$F$4:$F$502, deployment!$D$4:$D$502,"="&amp;A184, deployment!$D$4:$D$502,"&lt;&gt;"&amp;""),"")</f>
        <v/>
      </c>
      <c r="H184" s="94" t="str">
        <f>IF(A184&lt;&gt;"",SUMIFS(deployment!$G$4:$G$502, deployment!$D$4:$D$502,"="&amp;A184, deployment!$D$4:$D$502,"&lt;&gt;"&amp;""),"")</f>
        <v/>
      </c>
      <c r="I184" s="95" t="str">
        <f>IF(A184&lt;&gt;"",SUMIFS(deployment!$H$4:$H$502, deployment!$D$4:$D$502,"="&amp;A184, deployment!$D$4:$D$502,"&lt;&gt;"&amp;""),"")</f>
        <v/>
      </c>
      <c r="J184" s="96" t="str">
        <f>IF(A184&lt;&gt;"",SUMIFS(deployment!$I$4:$I$502, deployment!$D$4:$D$502,"="&amp;A184, deployment!$D$4:$D$502,"&lt;&gt;"&amp;""),"")</f>
        <v/>
      </c>
      <c r="K184" s="112" t="str">
        <f>IF(A184&lt;&gt;"",SUMIFS(deployment!$J$4:$J$502, deployment!$D$4:$D$502,"="&amp;A184, deployment!$D$4:$D$502,"&lt;&gt;"&amp;""),"")</f>
        <v/>
      </c>
      <c r="L184" s="112" t="str">
        <f>IF(A184&lt;&gt;"",SUMIFS(deployment!$K$4:$K$502, deployment!$D$4:$D$502,"="&amp;A184, deployment!$D$4:$D$502,"&lt;&gt;"&amp;""),"")</f>
        <v/>
      </c>
      <c r="M184" s="97" t="str">
        <f>IF(A184&lt;&gt;"",SUMIFS(deployment!$L$4:$L$502, deployment!$D$4:$D$502,"="&amp;A184, deployment!$D$4:$D$502,"&lt;&gt;"&amp;""),"")</f>
        <v/>
      </c>
      <c r="N184" s="97" t="str">
        <f>IF(A184&lt;&gt;"",SUMIFS(deployment!$M$4:$M$502, deployment!$D$4:$D$502,"="&amp;A184, deployment!$D$4:$D$502,"&lt;&gt;"&amp;""),"")</f>
        <v/>
      </c>
      <c r="O184" s="127" t="str">
        <f t="shared" si="35"/>
        <v/>
      </c>
      <c r="P184" s="104"/>
      <c r="Q184" s="99" t="str">
        <f t="shared" si="24"/>
        <v/>
      </c>
      <c r="R184" s="100" t="str">
        <f t="shared" si="25"/>
        <v/>
      </c>
      <c r="S184" s="100" t="str">
        <f t="shared" si="26"/>
        <v/>
      </c>
      <c r="T184" s="101" t="str">
        <f t="shared" si="27"/>
        <v/>
      </c>
      <c r="U184" s="101" t="str">
        <f t="shared" si="28"/>
        <v/>
      </c>
      <c r="V184" s="128" t="str">
        <f t="shared" si="29"/>
        <v/>
      </c>
      <c r="W184" s="128" t="str">
        <f t="shared" si="30"/>
        <v/>
      </c>
      <c r="X184" s="101" t="str">
        <f t="shared" si="31"/>
        <v/>
      </c>
      <c r="Y184" s="101" t="str">
        <f t="shared" si="32"/>
        <v/>
      </c>
      <c r="Z184" s="102" t="str">
        <f t="shared" si="33"/>
        <v/>
      </c>
      <c r="AA184" s="103" t="str">
        <f t="shared" si="34"/>
        <v/>
      </c>
      <c r="AB184" s="142" t="str">
        <f>IF(A184&lt;&gt;"", SUMIFS(node!$J$2:$J$500, node!$C$2:$C$500,"="&amp;A184)/P184, "")</f>
        <v/>
      </c>
      <c r="AC184" s="134" t="str">
        <f>IF(A184&lt;&gt;"", SUMIFS(node!$K$2:$K$500, node!$C$2:$C$500,"="&amp;A184)/P184, "")</f>
        <v/>
      </c>
      <c r="AD184" s="135" t="str">
        <f>IF(A184&lt;&gt;"", SUMIFS(node!$L$2:$L$500, node!$C$2:$C$500,"="&amp;A184), "")</f>
        <v/>
      </c>
      <c r="AE184" s="145" t="str">
        <f>IF(A184&lt;&gt;"", SUMIFS(node!$M$2:$M$500, node!$C$2:$C$500,"="&amp;A184), "")</f>
        <v/>
      </c>
    </row>
    <row r="185" spans="1:31" ht="15.75" customHeight="1" x14ac:dyDescent="0.25">
      <c r="A185" s="119" t="str">
        <f>IF(ISNONTEXT(node_raw[[#This Row],[Column2]]), "", node_raw[[#This Row],[Column2]])</f>
        <v/>
      </c>
      <c r="B185" s="116" t="str">
        <f>IF(A185&lt;&gt;"", VLOOKUP(A185, node!$C$2:$D$500, 2, FALSE), "")</f>
        <v/>
      </c>
      <c r="C185" s="117" t="str">
        <f>IF(A185&lt;&gt;"", VLOOKUP(A185, node!$C$2:$E$500, 3, FALSE), "")</f>
        <v/>
      </c>
      <c r="D185" s="118" t="str">
        <f>IF(A185&lt;&gt;"",COUNTIFS(node!$C$2:$C$500,"="&amp;A185, node!$C$2:$C$500,"&lt;&gt;"&amp;""),"")</f>
        <v/>
      </c>
      <c r="E185" s="122" t="str">
        <f>IF(A185&lt;&gt;"",SUMIFS(node!$F$2:$F$500, node!$C$2:$C$500,"="&amp;A185, node!$C$2:$C$500,"&lt;&gt;"&amp;"")/(B185*D185),"")</f>
        <v/>
      </c>
      <c r="F185" s="124" t="str">
        <f>IF(A185&lt;&gt;"",SUMIFS(node!$H$2:$H$500, node!$C$2:$C$500,"="&amp;A185, node!$C$2:$C$500,"&lt;&gt;"&amp;"")/(C185*D185),"")</f>
        <v/>
      </c>
      <c r="G185" s="93" t="str">
        <f>IF(A185&lt;&gt;"",SUMIFS(deployment!$F$4:$F$502, deployment!$D$4:$D$502,"="&amp;A185, deployment!$D$4:$D$502,"&lt;&gt;"&amp;""),"")</f>
        <v/>
      </c>
      <c r="H185" s="94" t="str">
        <f>IF(A185&lt;&gt;"",SUMIFS(deployment!$G$4:$G$502, deployment!$D$4:$D$502,"="&amp;A185, deployment!$D$4:$D$502,"&lt;&gt;"&amp;""),"")</f>
        <v/>
      </c>
      <c r="I185" s="95" t="str">
        <f>IF(A185&lt;&gt;"",SUMIFS(deployment!$H$4:$H$502, deployment!$D$4:$D$502,"="&amp;A185, deployment!$D$4:$D$502,"&lt;&gt;"&amp;""),"")</f>
        <v/>
      </c>
      <c r="J185" s="96" t="str">
        <f>IF(A185&lt;&gt;"",SUMIFS(deployment!$I$4:$I$502, deployment!$D$4:$D$502,"="&amp;A185, deployment!$D$4:$D$502,"&lt;&gt;"&amp;""),"")</f>
        <v/>
      </c>
      <c r="K185" s="112" t="str">
        <f>IF(A185&lt;&gt;"",SUMIFS(deployment!$J$4:$J$502, deployment!$D$4:$D$502,"="&amp;A185, deployment!$D$4:$D$502,"&lt;&gt;"&amp;""),"")</f>
        <v/>
      </c>
      <c r="L185" s="112" t="str">
        <f>IF(A185&lt;&gt;"",SUMIFS(deployment!$K$4:$K$502, deployment!$D$4:$D$502,"="&amp;A185, deployment!$D$4:$D$502,"&lt;&gt;"&amp;""),"")</f>
        <v/>
      </c>
      <c r="M185" s="97" t="str">
        <f>IF(A185&lt;&gt;"",SUMIFS(deployment!$L$4:$L$502, deployment!$D$4:$D$502,"="&amp;A185, deployment!$D$4:$D$502,"&lt;&gt;"&amp;""),"")</f>
        <v/>
      </c>
      <c r="N185" s="97" t="str">
        <f>IF(A185&lt;&gt;"",SUMIFS(deployment!$M$4:$M$502, deployment!$D$4:$D$502,"="&amp;A185, deployment!$D$4:$D$502,"&lt;&gt;"&amp;""),"")</f>
        <v/>
      </c>
      <c r="O185" s="127" t="str">
        <f t="shared" si="35"/>
        <v/>
      </c>
      <c r="P185" s="104"/>
      <c r="Q185" s="99" t="str">
        <f t="shared" si="24"/>
        <v/>
      </c>
      <c r="R185" s="100" t="str">
        <f t="shared" si="25"/>
        <v/>
      </c>
      <c r="S185" s="100" t="str">
        <f t="shared" si="26"/>
        <v/>
      </c>
      <c r="T185" s="101" t="str">
        <f t="shared" si="27"/>
        <v/>
      </c>
      <c r="U185" s="101" t="str">
        <f t="shared" si="28"/>
        <v/>
      </c>
      <c r="V185" s="128" t="str">
        <f t="shared" si="29"/>
        <v/>
      </c>
      <c r="W185" s="128" t="str">
        <f t="shared" si="30"/>
        <v/>
      </c>
      <c r="X185" s="101" t="str">
        <f t="shared" si="31"/>
        <v/>
      </c>
      <c r="Y185" s="101" t="str">
        <f t="shared" si="32"/>
        <v/>
      </c>
      <c r="Z185" s="102" t="str">
        <f t="shared" si="33"/>
        <v/>
      </c>
      <c r="AA185" s="103" t="str">
        <f t="shared" si="34"/>
        <v/>
      </c>
      <c r="AB185" s="142" t="str">
        <f>IF(A185&lt;&gt;"", SUMIFS(node!$J$2:$J$500, node!$C$2:$C$500,"="&amp;A185)/P185, "")</f>
        <v/>
      </c>
      <c r="AC185" s="134" t="str">
        <f>IF(A185&lt;&gt;"", SUMIFS(node!$K$2:$K$500, node!$C$2:$C$500,"="&amp;A185)/P185, "")</f>
        <v/>
      </c>
      <c r="AD185" s="135" t="str">
        <f>IF(A185&lt;&gt;"", SUMIFS(node!$L$2:$L$500, node!$C$2:$C$500,"="&amp;A185), "")</f>
        <v/>
      </c>
      <c r="AE185" s="145" t="str">
        <f>IF(A185&lt;&gt;"", SUMIFS(node!$M$2:$M$500, node!$C$2:$C$500,"="&amp;A185), "")</f>
        <v/>
      </c>
    </row>
    <row r="186" spans="1:31" ht="15.75" customHeight="1" x14ac:dyDescent="0.25">
      <c r="A186" s="119" t="str">
        <f>IF(ISNONTEXT(node_raw[[#This Row],[Column2]]), "", node_raw[[#This Row],[Column2]])</f>
        <v/>
      </c>
      <c r="B186" s="116" t="str">
        <f>IF(A186&lt;&gt;"", VLOOKUP(A186, node!$C$2:$D$500, 2, FALSE), "")</f>
        <v/>
      </c>
      <c r="C186" s="117" t="str">
        <f>IF(A186&lt;&gt;"", VLOOKUP(A186, node!$C$2:$E$500, 3, FALSE), "")</f>
        <v/>
      </c>
      <c r="D186" s="118" t="str">
        <f>IF(A186&lt;&gt;"",COUNTIFS(node!$C$2:$C$500,"="&amp;A186, node!$C$2:$C$500,"&lt;&gt;"&amp;""),"")</f>
        <v/>
      </c>
      <c r="E186" s="122" t="str">
        <f>IF(A186&lt;&gt;"",SUMIFS(node!$F$2:$F$500, node!$C$2:$C$500,"="&amp;A186, node!$C$2:$C$500,"&lt;&gt;"&amp;"")/(B186*D186),"")</f>
        <v/>
      </c>
      <c r="F186" s="124" t="str">
        <f>IF(A186&lt;&gt;"",SUMIFS(node!$H$2:$H$500, node!$C$2:$C$500,"="&amp;A186, node!$C$2:$C$500,"&lt;&gt;"&amp;"")/(C186*D186),"")</f>
        <v/>
      </c>
      <c r="G186" s="93" t="str">
        <f>IF(A186&lt;&gt;"",SUMIFS(deployment!$F$4:$F$502, deployment!$D$4:$D$502,"="&amp;A186, deployment!$D$4:$D$502,"&lt;&gt;"&amp;""),"")</f>
        <v/>
      </c>
      <c r="H186" s="94" t="str">
        <f>IF(A186&lt;&gt;"",SUMIFS(deployment!$G$4:$G$502, deployment!$D$4:$D$502,"="&amp;A186, deployment!$D$4:$D$502,"&lt;&gt;"&amp;""),"")</f>
        <v/>
      </c>
      <c r="I186" s="95" t="str">
        <f>IF(A186&lt;&gt;"",SUMIFS(deployment!$H$4:$H$502, deployment!$D$4:$D$502,"="&amp;A186, deployment!$D$4:$D$502,"&lt;&gt;"&amp;""),"")</f>
        <v/>
      </c>
      <c r="J186" s="96" t="str">
        <f>IF(A186&lt;&gt;"",SUMIFS(deployment!$I$4:$I$502, deployment!$D$4:$D$502,"="&amp;A186, deployment!$D$4:$D$502,"&lt;&gt;"&amp;""),"")</f>
        <v/>
      </c>
      <c r="K186" s="112" t="str">
        <f>IF(A186&lt;&gt;"",SUMIFS(deployment!$J$4:$J$502, deployment!$D$4:$D$502,"="&amp;A186, deployment!$D$4:$D$502,"&lt;&gt;"&amp;""),"")</f>
        <v/>
      </c>
      <c r="L186" s="112" t="str">
        <f>IF(A186&lt;&gt;"",SUMIFS(deployment!$K$4:$K$502, deployment!$D$4:$D$502,"="&amp;A186, deployment!$D$4:$D$502,"&lt;&gt;"&amp;""),"")</f>
        <v/>
      </c>
      <c r="M186" s="97" t="str">
        <f>IF(A186&lt;&gt;"",SUMIFS(deployment!$L$4:$L$502, deployment!$D$4:$D$502,"="&amp;A186, deployment!$D$4:$D$502,"&lt;&gt;"&amp;""),"")</f>
        <v/>
      </c>
      <c r="N186" s="97" t="str">
        <f>IF(A186&lt;&gt;"",SUMIFS(deployment!$M$4:$M$502, deployment!$D$4:$D$502,"="&amp;A186, deployment!$D$4:$D$502,"&lt;&gt;"&amp;""),"")</f>
        <v/>
      </c>
      <c r="O186" s="127" t="str">
        <f t="shared" si="35"/>
        <v/>
      </c>
      <c r="P186" s="104"/>
      <c r="Q186" s="99" t="str">
        <f t="shared" si="24"/>
        <v/>
      </c>
      <c r="R186" s="100" t="str">
        <f t="shared" si="25"/>
        <v/>
      </c>
      <c r="S186" s="100" t="str">
        <f t="shared" si="26"/>
        <v/>
      </c>
      <c r="T186" s="101" t="str">
        <f t="shared" si="27"/>
        <v/>
      </c>
      <c r="U186" s="101" t="str">
        <f t="shared" si="28"/>
        <v/>
      </c>
      <c r="V186" s="128" t="str">
        <f t="shared" si="29"/>
        <v/>
      </c>
      <c r="W186" s="128" t="str">
        <f t="shared" si="30"/>
        <v/>
      </c>
      <c r="X186" s="101" t="str">
        <f t="shared" si="31"/>
        <v/>
      </c>
      <c r="Y186" s="101" t="str">
        <f t="shared" si="32"/>
        <v/>
      </c>
      <c r="Z186" s="102" t="str">
        <f t="shared" si="33"/>
        <v/>
      </c>
      <c r="AA186" s="103" t="str">
        <f t="shared" si="34"/>
        <v/>
      </c>
      <c r="AB186" s="142" t="str">
        <f>IF(A186&lt;&gt;"", SUMIFS(node!$J$2:$J$500, node!$C$2:$C$500,"="&amp;A186)/P186, "")</f>
        <v/>
      </c>
      <c r="AC186" s="134" t="str">
        <f>IF(A186&lt;&gt;"", SUMIFS(node!$K$2:$K$500, node!$C$2:$C$500,"="&amp;A186)/P186, "")</f>
        <v/>
      </c>
      <c r="AD186" s="135" t="str">
        <f>IF(A186&lt;&gt;"", SUMIFS(node!$L$2:$L$500, node!$C$2:$C$500,"="&amp;A186), "")</f>
        <v/>
      </c>
      <c r="AE186" s="145" t="str">
        <f>IF(A186&lt;&gt;"", SUMIFS(node!$M$2:$M$500, node!$C$2:$C$500,"="&amp;A186), "")</f>
        <v/>
      </c>
    </row>
    <row r="187" spans="1:31" ht="15.75" customHeight="1" x14ac:dyDescent="0.25">
      <c r="A187" s="119" t="str">
        <f>IF(ISNONTEXT(node_raw[[#This Row],[Column2]]), "", node_raw[[#This Row],[Column2]])</f>
        <v/>
      </c>
      <c r="B187" s="116" t="str">
        <f>IF(A187&lt;&gt;"", VLOOKUP(A187, node!$C$2:$D$500, 2, FALSE), "")</f>
        <v/>
      </c>
      <c r="C187" s="117" t="str">
        <f>IF(A187&lt;&gt;"", VLOOKUP(A187, node!$C$2:$E$500, 3, FALSE), "")</f>
        <v/>
      </c>
      <c r="D187" s="118" t="str">
        <f>IF(A187&lt;&gt;"",COUNTIFS(node!$C$2:$C$500,"="&amp;A187, node!$C$2:$C$500,"&lt;&gt;"&amp;""),"")</f>
        <v/>
      </c>
      <c r="E187" s="122" t="str">
        <f>IF(A187&lt;&gt;"",SUMIFS(node!$F$2:$F$500, node!$C$2:$C$500,"="&amp;A187, node!$C$2:$C$500,"&lt;&gt;"&amp;"")/(B187*D187),"")</f>
        <v/>
      </c>
      <c r="F187" s="124" t="str">
        <f>IF(A187&lt;&gt;"",SUMIFS(node!$H$2:$H$500, node!$C$2:$C$500,"="&amp;A187, node!$C$2:$C$500,"&lt;&gt;"&amp;"")/(C187*D187),"")</f>
        <v/>
      </c>
      <c r="G187" s="93" t="str">
        <f>IF(A187&lt;&gt;"",SUMIFS(deployment!$F$4:$F$502, deployment!$D$4:$D$502,"="&amp;A187, deployment!$D$4:$D$502,"&lt;&gt;"&amp;""),"")</f>
        <v/>
      </c>
      <c r="H187" s="94" t="str">
        <f>IF(A187&lt;&gt;"",SUMIFS(deployment!$G$4:$G$502, deployment!$D$4:$D$502,"="&amp;A187, deployment!$D$4:$D$502,"&lt;&gt;"&amp;""),"")</f>
        <v/>
      </c>
      <c r="I187" s="95" t="str">
        <f>IF(A187&lt;&gt;"",SUMIFS(deployment!$H$4:$H$502, deployment!$D$4:$D$502,"="&amp;A187, deployment!$D$4:$D$502,"&lt;&gt;"&amp;""),"")</f>
        <v/>
      </c>
      <c r="J187" s="96" t="str">
        <f>IF(A187&lt;&gt;"",SUMIFS(deployment!$I$4:$I$502, deployment!$D$4:$D$502,"="&amp;A187, deployment!$D$4:$D$502,"&lt;&gt;"&amp;""),"")</f>
        <v/>
      </c>
      <c r="K187" s="112" t="str">
        <f>IF(A187&lt;&gt;"",SUMIFS(deployment!$J$4:$J$502, deployment!$D$4:$D$502,"="&amp;A187, deployment!$D$4:$D$502,"&lt;&gt;"&amp;""),"")</f>
        <v/>
      </c>
      <c r="L187" s="112" t="str">
        <f>IF(A187&lt;&gt;"",SUMIFS(deployment!$K$4:$K$502, deployment!$D$4:$D$502,"="&amp;A187, deployment!$D$4:$D$502,"&lt;&gt;"&amp;""),"")</f>
        <v/>
      </c>
      <c r="M187" s="97" t="str">
        <f>IF(A187&lt;&gt;"",SUMIFS(deployment!$L$4:$L$502, deployment!$D$4:$D$502,"="&amp;A187, deployment!$D$4:$D$502,"&lt;&gt;"&amp;""),"")</f>
        <v/>
      </c>
      <c r="N187" s="97" t="str">
        <f>IF(A187&lt;&gt;"",SUMIFS(deployment!$M$4:$M$502, deployment!$D$4:$D$502,"="&amp;A187, deployment!$D$4:$D$502,"&lt;&gt;"&amp;""),"")</f>
        <v/>
      </c>
      <c r="O187" s="127" t="str">
        <f t="shared" si="35"/>
        <v/>
      </c>
      <c r="P187" s="104"/>
      <c r="Q187" s="99" t="str">
        <f t="shared" si="24"/>
        <v/>
      </c>
      <c r="R187" s="100" t="str">
        <f t="shared" si="25"/>
        <v/>
      </c>
      <c r="S187" s="100" t="str">
        <f t="shared" si="26"/>
        <v/>
      </c>
      <c r="T187" s="101" t="str">
        <f t="shared" si="27"/>
        <v/>
      </c>
      <c r="U187" s="101" t="str">
        <f t="shared" si="28"/>
        <v/>
      </c>
      <c r="V187" s="128" t="str">
        <f t="shared" si="29"/>
        <v/>
      </c>
      <c r="W187" s="128" t="str">
        <f t="shared" si="30"/>
        <v/>
      </c>
      <c r="X187" s="101" t="str">
        <f t="shared" si="31"/>
        <v/>
      </c>
      <c r="Y187" s="101" t="str">
        <f t="shared" si="32"/>
        <v/>
      </c>
      <c r="Z187" s="102" t="str">
        <f t="shared" si="33"/>
        <v/>
      </c>
      <c r="AA187" s="103" t="str">
        <f t="shared" si="34"/>
        <v/>
      </c>
      <c r="AB187" s="142" t="str">
        <f>IF(A187&lt;&gt;"", SUMIFS(node!$J$2:$J$500, node!$C$2:$C$500,"="&amp;A187)/P187, "")</f>
        <v/>
      </c>
      <c r="AC187" s="134" t="str">
        <f>IF(A187&lt;&gt;"", SUMIFS(node!$K$2:$K$500, node!$C$2:$C$500,"="&amp;A187)/P187, "")</f>
        <v/>
      </c>
      <c r="AD187" s="135" t="str">
        <f>IF(A187&lt;&gt;"", SUMIFS(node!$L$2:$L$500, node!$C$2:$C$500,"="&amp;A187), "")</f>
        <v/>
      </c>
      <c r="AE187" s="145" t="str">
        <f>IF(A187&lt;&gt;"", SUMIFS(node!$M$2:$M$500, node!$C$2:$C$500,"="&amp;A187), "")</f>
        <v/>
      </c>
    </row>
    <row r="188" spans="1:31" ht="15.75" customHeight="1" x14ac:dyDescent="0.25">
      <c r="A188" s="119" t="str">
        <f>IF(ISNONTEXT(node_raw[[#This Row],[Column2]]), "", node_raw[[#This Row],[Column2]])</f>
        <v/>
      </c>
      <c r="B188" s="116" t="str">
        <f>IF(A188&lt;&gt;"", VLOOKUP(A188, node!$C$2:$D$500, 2, FALSE), "")</f>
        <v/>
      </c>
      <c r="C188" s="117" t="str">
        <f>IF(A188&lt;&gt;"", VLOOKUP(A188, node!$C$2:$E$500, 3, FALSE), "")</f>
        <v/>
      </c>
      <c r="D188" s="118" t="str">
        <f>IF(A188&lt;&gt;"",COUNTIFS(node!$C$2:$C$500,"="&amp;A188, node!$C$2:$C$500,"&lt;&gt;"&amp;""),"")</f>
        <v/>
      </c>
      <c r="E188" s="122" t="str">
        <f>IF(A188&lt;&gt;"",SUMIFS(node!$F$2:$F$500, node!$C$2:$C$500,"="&amp;A188, node!$C$2:$C$500,"&lt;&gt;"&amp;"")/(B188*D188),"")</f>
        <v/>
      </c>
      <c r="F188" s="124" t="str">
        <f>IF(A188&lt;&gt;"",SUMIFS(node!$H$2:$H$500, node!$C$2:$C$500,"="&amp;A188, node!$C$2:$C$500,"&lt;&gt;"&amp;"")/(C188*D188),"")</f>
        <v/>
      </c>
      <c r="G188" s="93" t="str">
        <f>IF(A188&lt;&gt;"",SUMIFS(deployment!$F$4:$F$502, deployment!$D$4:$D$502,"="&amp;A188, deployment!$D$4:$D$502,"&lt;&gt;"&amp;""),"")</f>
        <v/>
      </c>
      <c r="H188" s="94" t="str">
        <f>IF(A188&lt;&gt;"",SUMIFS(deployment!$G$4:$G$502, deployment!$D$4:$D$502,"="&amp;A188, deployment!$D$4:$D$502,"&lt;&gt;"&amp;""),"")</f>
        <v/>
      </c>
      <c r="I188" s="95" t="str">
        <f>IF(A188&lt;&gt;"",SUMIFS(deployment!$H$4:$H$502, deployment!$D$4:$D$502,"="&amp;A188, deployment!$D$4:$D$502,"&lt;&gt;"&amp;""),"")</f>
        <v/>
      </c>
      <c r="J188" s="96" t="str">
        <f>IF(A188&lt;&gt;"",SUMIFS(deployment!$I$4:$I$502, deployment!$D$4:$D$502,"="&amp;A188, deployment!$D$4:$D$502,"&lt;&gt;"&amp;""),"")</f>
        <v/>
      </c>
      <c r="K188" s="112" t="str">
        <f>IF(A188&lt;&gt;"",SUMIFS(deployment!$J$4:$J$502, deployment!$D$4:$D$502,"="&amp;A188, deployment!$D$4:$D$502,"&lt;&gt;"&amp;""),"")</f>
        <v/>
      </c>
      <c r="L188" s="112" t="str">
        <f>IF(A188&lt;&gt;"",SUMIFS(deployment!$K$4:$K$502, deployment!$D$4:$D$502,"="&amp;A188, deployment!$D$4:$D$502,"&lt;&gt;"&amp;""),"")</f>
        <v/>
      </c>
      <c r="M188" s="97" t="str">
        <f>IF(A188&lt;&gt;"",SUMIFS(deployment!$L$4:$L$502, deployment!$D$4:$D$502,"="&amp;A188, deployment!$D$4:$D$502,"&lt;&gt;"&amp;""),"")</f>
        <v/>
      </c>
      <c r="N188" s="97" t="str">
        <f>IF(A188&lt;&gt;"",SUMIFS(deployment!$M$4:$M$502, deployment!$D$4:$D$502,"="&amp;A188, deployment!$D$4:$D$502,"&lt;&gt;"&amp;""),"")</f>
        <v/>
      </c>
      <c r="O188" s="127" t="str">
        <f t="shared" si="35"/>
        <v/>
      </c>
      <c r="P188" s="104"/>
      <c r="Q188" s="99" t="str">
        <f t="shared" si="24"/>
        <v/>
      </c>
      <c r="R188" s="100" t="str">
        <f t="shared" si="25"/>
        <v/>
      </c>
      <c r="S188" s="100" t="str">
        <f t="shared" si="26"/>
        <v/>
      </c>
      <c r="T188" s="101" t="str">
        <f t="shared" si="27"/>
        <v/>
      </c>
      <c r="U188" s="101" t="str">
        <f t="shared" si="28"/>
        <v/>
      </c>
      <c r="V188" s="128" t="str">
        <f t="shared" si="29"/>
        <v/>
      </c>
      <c r="W188" s="128" t="str">
        <f t="shared" si="30"/>
        <v/>
      </c>
      <c r="X188" s="101" t="str">
        <f t="shared" si="31"/>
        <v/>
      </c>
      <c r="Y188" s="101" t="str">
        <f t="shared" si="32"/>
        <v/>
      </c>
      <c r="Z188" s="102" t="str">
        <f t="shared" si="33"/>
        <v/>
      </c>
      <c r="AA188" s="103" t="str">
        <f t="shared" si="34"/>
        <v/>
      </c>
      <c r="AB188" s="142" t="str">
        <f>IF(A188&lt;&gt;"", SUMIFS(node!$J$2:$J$500, node!$C$2:$C$500,"="&amp;A188)/P188, "")</f>
        <v/>
      </c>
      <c r="AC188" s="134" t="str">
        <f>IF(A188&lt;&gt;"", SUMIFS(node!$K$2:$K$500, node!$C$2:$C$500,"="&amp;A188)/P188, "")</f>
        <v/>
      </c>
      <c r="AD188" s="135" t="str">
        <f>IF(A188&lt;&gt;"", SUMIFS(node!$L$2:$L$500, node!$C$2:$C$500,"="&amp;A188), "")</f>
        <v/>
      </c>
      <c r="AE188" s="145" t="str">
        <f>IF(A188&lt;&gt;"", SUMIFS(node!$M$2:$M$500, node!$C$2:$C$500,"="&amp;A188), "")</f>
        <v/>
      </c>
    </row>
    <row r="189" spans="1:31" ht="15.75" customHeight="1" x14ac:dyDescent="0.25">
      <c r="A189" s="119" t="str">
        <f>IF(ISNONTEXT(node_raw[[#This Row],[Column2]]), "", node_raw[[#This Row],[Column2]])</f>
        <v/>
      </c>
      <c r="B189" s="116" t="str">
        <f>IF(A189&lt;&gt;"", VLOOKUP(A189, node!$C$2:$D$500, 2, FALSE), "")</f>
        <v/>
      </c>
      <c r="C189" s="117" t="str">
        <f>IF(A189&lt;&gt;"", VLOOKUP(A189, node!$C$2:$E$500, 3, FALSE), "")</f>
        <v/>
      </c>
      <c r="D189" s="118" t="str">
        <f>IF(A189&lt;&gt;"",COUNTIFS(node!$C$2:$C$500,"="&amp;A189, node!$C$2:$C$500,"&lt;&gt;"&amp;""),"")</f>
        <v/>
      </c>
      <c r="E189" s="122" t="str">
        <f>IF(A189&lt;&gt;"",SUMIFS(node!$F$2:$F$500, node!$C$2:$C$500,"="&amp;A189, node!$C$2:$C$500,"&lt;&gt;"&amp;"")/(B189*D189),"")</f>
        <v/>
      </c>
      <c r="F189" s="124" t="str">
        <f>IF(A189&lt;&gt;"",SUMIFS(node!$H$2:$H$500, node!$C$2:$C$500,"="&amp;A189, node!$C$2:$C$500,"&lt;&gt;"&amp;"")/(C189*D189),"")</f>
        <v/>
      </c>
      <c r="G189" s="93" t="str">
        <f>IF(A189&lt;&gt;"",SUMIFS(deployment!$F$4:$F$502, deployment!$D$4:$D$502,"="&amp;A189, deployment!$D$4:$D$502,"&lt;&gt;"&amp;""),"")</f>
        <v/>
      </c>
      <c r="H189" s="94" t="str">
        <f>IF(A189&lt;&gt;"",SUMIFS(deployment!$G$4:$G$502, deployment!$D$4:$D$502,"="&amp;A189, deployment!$D$4:$D$502,"&lt;&gt;"&amp;""),"")</f>
        <v/>
      </c>
      <c r="I189" s="95" t="str">
        <f>IF(A189&lt;&gt;"",SUMIFS(deployment!$H$4:$H$502, deployment!$D$4:$D$502,"="&amp;A189, deployment!$D$4:$D$502,"&lt;&gt;"&amp;""),"")</f>
        <v/>
      </c>
      <c r="J189" s="96" t="str">
        <f>IF(A189&lt;&gt;"",SUMIFS(deployment!$I$4:$I$502, deployment!$D$4:$D$502,"="&amp;A189, deployment!$D$4:$D$502,"&lt;&gt;"&amp;""),"")</f>
        <v/>
      </c>
      <c r="K189" s="112" t="str">
        <f>IF(A189&lt;&gt;"",SUMIFS(deployment!$J$4:$J$502, deployment!$D$4:$D$502,"="&amp;A189, deployment!$D$4:$D$502,"&lt;&gt;"&amp;""),"")</f>
        <v/>
      </c>
      <c r="L189" s="112" t="str">
        <f>IF(A189&lt;&gt;"",SUMIFS(deployment!$K$4:$K$502, deployment!$D$4:$D$502,"="&amp;A189, deployment!$D$4:$D$502,"&lt;&gt;"&amp;""),"")</f>
        <v/>
      </c>
      <c r="M189" s="97" t="str">
        <f>IF(A189&lt;&gt;"",SUMIFS(deployment!$L$4:$L$502, deployment!$D$4:$D$502,"="&amp;A189, deployment!$D$4:$D$502,"&lt;&gt;"&amp;""),"")</f>
        <v/>
      </c>
      <c r="N189" s="97" t="str">
        <f>IF(A189&lt;&gt;"",SUMIFS(deployment!$M$4:$M$502, deployment!$D$4:$D$502,"="&amp;A189, deployment!$D$4:$D$502,"&lt;&gt;"&amp;""),"")</f>
        <v/>
      </c>
      <c r="O189" s="127" t="str">
        <f t="shared" si="35"/>
        <v/>
      </c>
      <c r="P189" s="104"/>
      <c r="Q189" s="99" t="str">
        <f t="shared" si="24"/>
        <v/>
      </c>
      <c r="R189" s="100" t="str">
        <f t="shared" si="25"/>
        <v/>
      </c>
      <c r="S189" s="100" t="str">
        <f t="shared" si="26"/>
        <v/>
      </c>
      <c r="T189" s="101" t="str">
        <f t="shared" si="27"/>
        <v/>
      </c>
      <c r="U189" s="101" t="str">
        <f t="shared" si="28"/>
        <v/>
      </c>
      <c r="V189" s="128" t="str">
        <f t="shared" si="29"/>
        <v/>
      </c>
      <c r="W189" s="128" t="str">
        <f t="shared" si="30"/>
        <v/>
      </c>
      <c r="X189" s="101" t="str">
        <f t="shared" si="31"/>
        <v/>
      </c>
      <c r="Y189" s="101" t="str">
        <f t="shared" si="32"/>
        <v/>
      </c>
      <c r="Z189" s="102" t="str">
        <f t="shared" si="33"/>
        <v/>
      </c>
      <c r="AA189" s="103" t="str">
        <f t="shared" si="34"/>
        <v/>
      </c>
      <c r="AB189" s="142" t="str">
        <f>IF(A189&lt;&gt;"", SUMIFS(node!$J$2:$J$500, node!$C$2:$C$500,"="&amp;A189)/P189, "")</f>
        <v/>
      </c>
      <c r="AC189" s="134" t="str">
        <f>IF(A189&lt;&gt;"", SUMIFS(node!$K$2:$K$500, node!$C$2:$C$500,"="&amp;A189)/P189, "")</f>
        <v/>
      </c>
      <c r="AD189" s="135" t="str">
        <f>IF(A189&lt;&gt;"", SUMIFS(node!$L$2:$L$500, node!$C$2:$C$500,"="&amp;A189), "")</f>
        <v/>
      </c>
      <c r="AE189" s="145" t="str">
        <f>IF(A189&lt;&gt;"", SUMIFS(node!$M$2:$M$500, node!$C$2:$C$500,"="&amp;A189), "")</f>
        <v/>
      </c>
    </row>
    <row r="190" spans="1:31" ht="15.75" customHeight="1" x14ac:dyDescent="0.25">
      <c r="A190" s="119" t="str">
        <f>IF(ISNONTEXT(node_raw[[#This Row],[Column2]]), "", node_raw[[#This Row],[Column2]])</f>
        <v/>
      </c>
      <c r="B190" s="116" t="str">
        <f>IF(A190&lt;&gt;"", VLOOKUP(A190, node!$C$2:$D$500, 2, FALSE), "")</f>
        <v/>
      </c>
      <c r="C190" s="117" t="str">
        <f>IF(A190&lt;&gt;"", VLOOKUP(A190, node!$C$2:$E$500, 3, FALSE), "")</f>
        <v/>
      </c>
      <c r="D190" s="118" t="str">
        <f>IF(A190&lt;&gt;"",COUNTIFS(node!$C$2:$C$500,"="&amp;A190, node!$C$2:$C$500,"&lt;&gt;"&amp;""),"")</f>
        <v/>
      </c>
      <c r="E190" s="122" t="str">
        <f>IF(A190&lt;&gt;"",SUMIFS(node!$F$2:$F$500, node!$C$2:$C$500,"="&amp;A190, node!$C$2:$C$500,"&lt;&gt;"&amp;"")/(B190*D190),"")</f>
        <v/>
      </c>
      <c r="F190" s="124" t="str">
        <f>IF(A190&lt;&gt;"",SUMIFS(node!$H$2:$H$500, node!$C$2:$C$500,"="&amp;A190, node!$C$2:$C$500,"&lt;&gt;"&amp;"")/(C190*D190),"")</f>
        <v/>
      </c>
      <c r="G190" s="93" t="str">
        <f>IF(A190&lt;&gt;"",SUMIFS(deployment!$F$4:$F$502, deployment!$D$4:$D$502,"="&amp;A190, deployment!$D$4:$D$502,"&lt;&gt;"&amp;""),"")</f>
        <v/>
      </c>
      <c r="H190" s="94" t="str">
        <f>IF(A190&lt;&gt;"",SUMIFS(deployment!$G$4:$G$502, deployment!$D$4:$D$502,"="&amp;A190, deployment!$D$4:$D$502,"&lt;&gt;"&amp;""),"")</f>
        <v/>
      </c>
      <c r="I190" s="95" t="str">
        <f>IF(A190&lt;&gt;"",SUMIFS(deployment!$H$4:$H$502, deployment!$D$4:$D$502,"="&amp;A190, deployment!$D$4:$D$502,"&lt;&gt;"&amp;""),"")</f>
        <v/>
      </c>
      <c r="J190" s="96" t="str">
        <f>IF(A190&lt;&gt;"",SUMIFS(deployment!$I$4:$I$502, deployment!$D$4:$D$502,"="&amp;A190, deployment!$D$4:$D$502,"&lt;&gt;"&amp;""),"")</f>
        <v/>
      </c>
      <c r="K190" s="112" t="str">
        <f>IF(A190&lt;&gt;"",SUMIFS(deployment!$J$4:$J$502, deployment!$D$4:$D$502,"="&amp;A190, deployment!$D$4:$D$502,"&lt;&gt;"&amp;""),"")</f>
        <v/>
      </c>
      <c r="L190" s="112" t="str">
        <f>IF(A190&lt;&gt;"",SUMIFS(deployment!$K$4:$K$502, deployment!$D$4:$D$502,"="&amp;A190, deployment!$D$4:$D$502,"&lt;&gt;"&amp;""),"")</f>
        <v/>
      </c>
      <c r="M190" s="97" t="str">
        <f>IF(A190&lt;&gt;"",SUMIFS(deployment!$L$4:$L$502, deployment!$D$4:$D$502,"="&amp;A190, deployment!$D$4:$D$502,"&lt;&gt;"&amp;""),"")</f>
        <v/>
      </c>
      <c r="N190" s="97" t="str">
        <f>IF(A190&lt;&gt;"",SUMIFS(deployment!$M$4:$M$502, deployment!$D$4:$D$502,"="&amp;A190, deployment!$D$4:$D$502,"&lt;&gt;"&amp;""),"")</f>
        <v/>
      </c>
      <c r="O190" s="127" t="str">
        <f t="shared" si="35"/>
        <v/>
      </c>
      <c r="P190" s="104"/>
      <c r="Q190" s="99" t="str">
        <f t="shared" si="24"/>
        <v/>
      </c>
      <c r="R190" s="100" t="str">
        <f t="shared" si="25"/>
        <v/>
      </c>
      <c r="S190" s="100" t="str">
        <f t="shared" si="26"/>
        <v/>
      </c>
      <c r="T190" s="101" t="str">
        <f t="shared" si="27"/>
        <v/>
      </c>
      <c r="U190" s="101" t="str">
        <f t="shared" si="28"/>
        <v/>
      </c>
      <c r="V190" s="128" t="str">
        <f t="shared" si="29"/>
        <v/>
      </c>
      <c r="W190" s="128" t="str">
        <f t="shared" si="30"/>
        <v/>
      </c>
      <c r="X190" s="101" t="str">
        <f t="shared" si="31"/>
        <v/>
      </c>
      <c r="Y190" s="101" t="str">
        <f t="shared" si="32"/>
        <v/>
      </c>
      <c r="Z190" s="102" t="str">
        <f t="shared" si="33"/>
        <v/>
      </c>
      <c r="AA190" s="103" t="str">
        <f t="shared" si="34"/>
        <v/>
      </c>
      <c r="AB190" s="142" t="str">
        <f>IF(A190&lt;&gt;"", SUMIFS(node!$J$2:$J$500, node!$C$2:$C$500,"="&amp;A190)/P190, "")</f>
        <v/>
      </c>
      <c r="AC190" s="134" t="str">
        <f>IF(A190&lt;&gt;"", SUMIFS(node!$K$2:$K$500, node!$C$2:$C$500,"="&amp;A190)/P190, "")</f>
        <v/>
      </c>
      <c r="AD190" s="135" t="str">
        <f>IF(A190&lt;&gt;"", SUMIFS(node!$L$2:$L$500, node!$C$2:$C$500,"="&amp;A190), "")</f>
        <v/>
      </c>
      <c r="AE190" s="145" t="str">
        <f>IF(A190&lt;&gt;"", SUMIFS(node!$M$2:$M$500, node!$C$2:$C$500,"="&amp;A190), "")</f>
        <v/>
      </c>
    </row>
    <row r="191" spans="1:31" ht="15.75" customHeight="1" x14ac:dyDescent="0.25">
      <c r="A191" s="119" t="str">
        <f>IF(ISNONTEXT(node_raw[[#This Row],[Column2]]), "", node_raw[[#This Row],[Column2]])</f>
        <v/>
      </c>
      <c r="B191" s="116" t="str">
        <f>IF(A191&lt;&gt;"", VLOOKUP(A191, node!$C$2:$D$500, 2, FALSE), "")</f>
        <v/>
      </c>
      <c r="C191" s="117" t="str">
        <f>IF(A191&lt;&gt;"", VLOOKUP(A191, node!$C$2:$E$500, 3, FALSE), "")</f>
        <v/>
      </c>
      <c r="D191" s="118" t="str">
        <f>IF(A191&lt;&gt;"",COUNTIFS(node!$C$2:$C$500,"="&amp;A191, node!$C$2:$C$500,"&lt;&gt;"&amp;""),"")</f>
        <v/>
      </c>
      <c r="E191" s="122" t="str">
        <f>IF(A191&lt;&gt;"",SUMIFS(node!$F$2:$F$500, node!$C$2:$C$500,"="&amp;A191, node!$C$2:$C$500,"&lt;&gt;"&amp;"")/(B191*D191),"")</f>
        <v/>
      </c>
      <c r="F191" s="124" t="str">
        <f>IF(A191&lt;&gt;"",SUMIFS(node!$H$2:$H$500, node!$C$2:$C$500,"="&amp;A191, node!$C$2:$C$500,"&lt;&gt;"&amp;"")/(C191*D191),"")</f>
        <v/>
      </c>
      <c r="G191" s="93" t="str">
        <f>IF(A191&lt;&gt;"",SUMIFS(deployment!$F$4:$F$502, deployment!$D$4:$D$502,"="&amp;A191, deployment!$D$4:$D$502,"&lt;&gt;"&amp;""),"")</f>
        <v/>
      </c>
      <c r="H191" s="94" t="str">
        <f>IF(A191&lt;&gt;"",SUMIFS(deployment!$G$4:$G$502, deployment!$D$4:$D$502,"="&amp;A191, deployment!$D$4:$D$502,"&lt;&gt;"&amp;""),"")</f>
        <v/>
      </c>
      <c r="I191" s="95" t="str">
        <f>IF(A191&lt;&gt;"",SUMIFS(deployment!$H$4:$H$502, deployment!$D$4:$D$502,"="&amp;A191, deployment!$D$4:$D$502,"&lt;&gt;"&amp;""),"")</f>
        <v/>
      </c>
      <c r="J191" s="96" t="str">
        <f>IF(A191&lt;&gt;"",SUMIFS(deployment!$I$4:$I$502, deployment!$D$4:$D$502,"="&amp;A191, deployment!$D$4:$D$502,"&lt;&gt;"&amp;""),"")</f>
        <v/>
      </c>
      <c r="K191" s="112" t="str">
        <f>IF(A191&lt;&gt;"",SUMIFS(deployment!$J$4:$J$502, deployment!$D$4:$D$502,"="&amp;A191, deployment!$D$4:$D$502,"&lt;&gt;"&amp;""),"")</f>
        <v/>
      </c>
      <c r="L191" s="112" t="str">
        <f>IF(A191&lt;&gt;"",SUMIFS(deployment!$K$4:$K$502, deployment!$D$4:$D$502,"="&amp;A191, deployment!$D$4:$D$502,"&lt;&gt;"&amp;""),"")</f>
        <v/>
      </c>
      <c r="M191" s="97" t="str">
        <f>IF(A191&lt;&gt;"",SUMIFS(deployment!$L$4:$L$502, deployment!$D$4:$D$502,"="&amp;A191, deployment!$D$4:$D$502,"&lt;&gt;"&amp;""),"")</f>
        <v/>
      </c>
      <c r="N191" s="97" t="str">
        <f>IF(A191&lt;&gt;"",SUMIFS(deployment!$M$4:$M$502, deployment!$D$4:$D$502,"="&amp;A191, deployment!$D$4:$D$502,"&lt;&gt;"&amp;""),"")</f>
        <v/>
      </c>
      <c r="O191" s="127" t="str">
        <f t="shared" si="35"/>
        <v/>
      </c>
      <c r="P191" s="104"/>
      <c r="Q191" s="99" t="str">
        <f t="shared" si="24"/>
        <v/>
      </c>
      <c r="R191" s="100" t="str">
        <f t="shared" si="25"/>
        <v/>
      </c>
      <c r="S191" s="100" t="str">
        <f t="shared" si="26"/>
        <v/>
      </c>
      <c r="T191" s="101" t="str">
        <f t="shared" si="27"/>
        <v/>
      </c>
      <c r="U191" s="101" t="str">
        <f t="shared" si="28"/>
        <v/>
      </c>
      <c r="V191" s="128" t="str">
        <f t="shared" si="29"/>
        <v/>
      </c>
      <c r="W191" s="128" t="str">
        <f t="shared" si="30"/>
        <v/>
      </c>
      <c r="X191" s="101" t="str">
        <f t="shared" si="31"/>
        <v/>
      </c>
      <c r="Y191" s="101" t="str">
        <f t="shared" si="32"/>
        <v/>
      </c>
      <c r="Z191" s="102" t="str">
        <f t="shared" si="33"/>
        <v/>
      </c>
      <c r="AA191" s="103" t="str">
        <f t="shared" si="34"/>
        <v/>
      </c>
      <c r="AB191" s="142" t="str">
        <f>IF(A191&lt;&gt;"", SUMIFS(node!$J$2:$J$500, node!$C$2:$C$500,"="&amp;A191)/P191, "")</f>
        <v/>
      </c>
      <c r="AC191" s="134" t="str">
        <f>IF(A191&lt;&gt;"", SUMIFS(node!$K$2:$K$500, node!$C$2:$C$500,"="&amp;A191)/P191, "")</f>
        <v/>
      </c>
      <c r="AD191" s="135" t="str">
        <f>IF(A191&lt;&gt;"", SUMIFS(node!$L$2:$L$500, node!$C$2:$C$500,"="&amp;A191), "")</f>
        <v/>
      </c>
      <c r="AE191" s="145" t="str">
        <f>IF(A191&lt;&gt;"", SUMIFS(node!$M$2:$M$500, node!$C$2:$C$500,"="&amp;A191), "")</f>
        <v/>
      </c>
    </row>
    <row r="192" spans="1:31" ht="15.75" customHeight="1" x14ac:dyDescent="0.25">
      <c r="A192" s="119" t="str">
        <f>IF(ISNONTEXT(node_raw[[#This Row],[Column2]]), "", node_raw[[#This Row],[Column2]])</f>
        <v/>
      </c>
      <c r="B192" s="116" t="str">
        <f>IF(A192&lt;&gt;"", VLOOKUP(A192, node!$C$2:$D$500, 2, FALSE), "")</f>
        <v/>
      </c>
      <c r="C192" s="117" t="str">
        <f>IF(A192&lt;&gt;"", VLOOKUP(A192, node!$C$2:$E$500, 3, FALSE), "")</f>
        <v/>
      </c>
      <c r="D192" s="118" t="str">
        <f>IF(A192&lt;&gt;"",COUNTIFS(node!$C$2:$C$500,"="&amp;A192, node!$C$2:$C$500,"&lt;&gt;"&amp;""),"")</f>
        <v/>
      </c>
      <c r="E192" s="122" t="str">
        <f>IF(A192&lt;&gt;"",SUMIFS(node!$F$2:$F$500, node!$C$2:$C$500,"="&amp;A192, node!$C$2:$C$500,"&lt;&gt;"&amp;"")/(B192*D192),"")</f>
        <v/>
      </c>
      <c r="F192" s="124" t="str">
        <f>IF(A192&lt;&gt;"",SUMIFS(node!$H$2:$H$500, node!$C$2:$C$500,"="&amp;A192, node!$C$2:$C$500,"&lt;&gt;"&amp;"")/(C192*D192),"")</f>
        <v/>
      </c>
      <c r="G192" s="93" t="str">
        <f>IF(A192&lt;&gt;"",SUMIFS(deployment!$F$4:$F$502, deployment!$D$4:$D$502,"="&amp;A192, deployment!$D$4:$D$502,"&lt;&gt;"&amp;""),"")</f>
        <v/>
      </c>
      <c r="H192" s="94" t="str">
        <f>IF(A192&lt;&gt;"",SUMIFS(deployment!$G$4:$G$502, deployment!$D$4:$D$502,"="&amp;A192, deployment!$D$4:$D$502,"&lt;&gt;"&amp;""),"")</f>
        <v/>
      </c>
      <c r="I192" s="95" t="str">
        <f>IF(A192&lt;&gt;"",SUMIFS(deployment!$H$4:$H$502, deployment!$D$4:$D$502,"="&amp;A192, deployment!$D$4:$D$502,"&lt;&gt;"&amp;""),"")</f>
        <v/>
      </c>
      <c r="J192" s="96" t="str">
        <f>IF(A192&lt;&gt;"",SUMIFS(deployment!$I$4:$I$502, deployment!$D$4:$D$502,"="&amp;A192, deployment!$D$4:$D$502,"&lt;&gt;"&amp;""),"")</f>
        <v/>
      </c>
      <c r="K192" s="112" t="str">
        <f>IF(A192&lt;&gt;"",SUMIFS(deployment!$J$4:$J$502, deployment!$D$4:$D$502,"="&amp;A192, deployment!$D$4:$D$502,"&lt;&gt;"&amp;""),"")</f>
        <v/>
      </c>
      <c r="L192" s="112" t="str">
        <f>IF(A192&lt;&gt;"",SUMIFS(deployment!$K$4:$K$502, deployment!$D$4:$D$502,"="&amp;A192, deployment!$D$4:$D$502,"&lt;&gt;"&amp;""),"")</f>
        <v/>
      </c>
      <c r="M192" s="97" t="str">
        <f>IF(A192&lt;&gt;"",SUMIFS(deployment!$L$4:$L$502, deployment!$D$4:$D$502,"="&amp;A192, deployment!$D$4:$D$502,"&lt;&gt;"&amp;""),"")</f>
        <v/>
      </c>
      <c r="N192" s="97" t="str">
        <f>IF(A192&lt;&gt;"",SUMIFS(deployment!$M$4:$M$502, deployment!$D$4:$D$502,"="&amp;A192, deployment!$D$4:$D$502,"&lt;&gt;"&amp;""),"")</f>
        <v/>
      </c>
      <c r="O192" s="127" t="str">
        <f t="shared" si="35"/>
        <v/>
      </c>
      <c r="P192" s="104"/>
      <c r="Q192" s="99" t="str">
        <f t="shared" si="24"/>
        <v/>
      </c>
      <c r="R192" s="100" t="str">
        <f t="shared" si="25"/>
        <v/>
      </c>
      <c r="S192" s="100" t="str">
        <f t="shared" si="26"/>
        <v/>
      </c>
      <c r="T192" s="101" t="str">
        <f t="shared" si="27"/>
        <v/>
      </c>
      <c r="U192" s="101" t="str">
        <f t="shared" si="28"/>
        <v/>
      </c>
      <c r="V192" s="128" t="str">
        <f t="shared" si="29"/>
        <v/>
      </c>
      <c r="W192" s="128" t="str">
        <f t="shared" si="30"/>
        <v/>
      </c>
      <c r="X192" s="101" t="str">
        <f t="shared" si="31"/>
        <v/>
      </c>
      <c r="Y192" s="101" t="str">
        <f t="shared" si="32"/>
        <v/>
      </c>
      <c r="Z192" s="102" t="str">
        <f t="shared" si="33"/>
        <v/>
      </c>
      <c r="AA192" s="103" t="str">
        <f t="shared" si="34"/>
        <v/>
      </c>
      <c r="AB192" s="142" t="str">
        <f>IF(A192&lt;&gt;"", SUMIFS(node!$J$2:$J$500, node!$C$2:$C$500,"="&amp;A192)/P192, "")</f>
        <v/>
      </c>
      <c r="AC192" s="134" t="str">
        <f>IF(A192&lt;&gt;"", SUMIFS(node!$K$2:$K$500, node!$C$2:$C$500,"="&amp;A192)/P192, "")</f>
        <v/>
      </c>
      <c r="AD192" s="135" t="str">
        <f>IF(A192&lt;&gt;"", SUMIFS(node!$L$2:$L$500, node!$C$2:$C$500,"="&amp;A192), "")</f>
        <v/>
      </c>
      <c r="AE192" s="145" t="str">
        <f>IF(A192&lt;&gt;"", SUMIFS(node!$M$2:$M$500, node!$C$2:$C$500,"="&amp;A192), "")</f>
        <v/>
      </c>
    </row>
    <row r="193" spans="1:31" ht="15.75" customHeight="1" x14ac:dyDescent="0.25">
      <c r="A193" s="119" t="str">
        <f>IF(ISNONTEXT(node_raw[[#This Row],[Column2]]), "", node_raw[[#This Row],[Column2]])</f>
        <v/>
      </c>
      <c r="B193" s="116" t="str">
        <f>IF(A193&lt;&gt;"", VLOOKUP(A193, node!$C$2:$D$500, 2, FALSE), "")</f>
        <v/>
      </c>
      <c r="C193" s="117" t="str">
        <f>IF(A193&lt;&gt;"", VLOOKUP(A193, node!$C$2:$E$500, 3, FALSE), "")</f>
        <v/>
      </c>
      <c r="D193" s="118" t="str">
        <f>IF(A193&lt;&gt;"",COUNTIFS(node!$C$2:$C$500,"="&amp;A193, node!$C$2:$C$500,"&lt;&gt;"&amp;""),"")</f>
        <v/>
      </c>
      <c r="E193" s="122" t="str">
        <f>IF(A193&lt;&gt;"",SUMIFS(node!$F$2:$F$500, node!$C$2:$C$500,"="&amp;A193, node!$C$2:$C$500,"&lt;&gt;"&amp;"")/(B193*D193),"")</f>
        <v/>
      </c>
      <c r="F193" s="124" t="str">
        <f>IF(A193&lt;&gt;"",SUMIFS(node!$H$2:$H$500, node!$C$2:$C$500,"="&amp;A193, node!$C$2:$C$500,"&lt;&gt;"&amp;"")/(C193*D193),"")</f>
        <v/>
      </c>
      <c r="G193" s="93" t="str">
        <f>IF(A193&lt;&gt;"",SUMIFS(deployment!$F$4:$F$502, deployment!$D$4:$D$502,"="&amp;A193, deployment!$D$4:$D$502,"&lt;&gt;"&amp;""),"")</f>
        <v/>
      </c>
      <c r="H193" s="94" t="str">
        <f>IF(A193&lt;&gt;"",SUMIFS(deployment!$G$4:$G$502, deployment!$D$4:$D$502,"="&amp;A193, deployment!$D$4:$D$502,"&lt;&gt;"&amp;""),"")</f>
        <v/>
      </c>
      <c r="I193" s="95" t="str">
        <f>IF(A193&lt;&gt;"",SUMIFS(deployment!$H$4:$H$502, deployment!$D$4:$D$502,"="&amp;A193, deployment!$D$4:$D$502,"&lt;&gt;"&amp;""),"")</f>
        <v/>
      </c>
      <c r="J193" s="96" t="str">
        <f>IF(A193&lt;&gt;"",SUMIFS(deployment!$I$4:$I$502, deployment!$D$4:$D$502,"="&amp;A193, deployment!$D$4:$D$502,"&lt;&gt;"&amp;""),"")</f>
        <v/>
      </c>
      <c r="K193" s="112" t="str">
        <f>IF(A193&lt;&gt;"",SUMIFS(deployment!$J$4:$J$502, deployment!$D$4:$D$502,"="&amp;A193, deployment!$D$4:$D$502,"&lt;&gt;"&amp;""),"")</f>
        <v/>
      </c>
      <c r="L193" s="112" t="str">
        <f>IF(A193&lt;&gt;"",SUMIFS(deployment!$K$4:$K$502, deployment!$D$4:$D$502,"="&amp;A193, deployment!$D$4:$D$502,"&lt;&gt;"&amp;""),"")</f>
        <v/>
      </c>
      <c r="M193" s="97" t="str">
        <f>IF(A193&lt;&gt;"",SUMIFS(deployment!$L$4:$L$502, deployment!$D$4:$D$502,"="&amp;A193, deployment!$D$4:$D$502,"&lt;&gt;"&amp;""),"")</f>
        <v/>
      </c>
      <c r="N193" s="97" t="str">
        <f>IF(A193&lt;&gt;"",SUMIFS(deployment!$M$4:$M$502, deployment!$D$4:$D$502,"="&amp;A193, deployment!$D$4:$D$502,"&lt;&gt;"&amp;""),"")</f>
        <v/>
      </c>
      <c r="O193" s="127" t="str">
        <f t="shared" si="35"/>
        <v/>
      </c>
      <c r="P193" s="104"/>
      <c r="Q193" s="99" t="str">
        <f t="shared" si="24"/>
        <v/>
      </c>
      <c r="R193" s="100" t="str">
        <f t="shared" si="25"/>
        <v/>
      </c>
      <c r="S193" s="100" t="str">
        <f t="shared" si="26"/>
        <v/>
      </c>
      <c r="T193" s="101" t="str">
        <f t="shared" si="27"/>
        <v/>
      </c>
      <c r="U193" s="101" t="str">
        <f t="shared" si="28"/>
        <v/>
      </c>
      <c r="V193" s="128" t="str">
        <f t="shared" si="29"/>
        <v/>
      </c>
      <c r="W193" s="128" t="str">
        <f t="shared" si="30"/>
        <v/>
      </c>
      <c r="X193" s="101" t="str">
        <f t="shared" si="31"/>
        <v/>
      </c>
      <c r="Y193" s="101" t="str">
        <f t="shared" si="32"/>
        <v/>
      </c>
      <c r="Z193" s="102" t="str">
        <f t="shared" si="33"/>
        <v/>
      </c>
      <c r="AA193" s="103" t="str">
        <f t="shared" si="34"/>
        <v/>
      </c>
      <c r="AB193" s="142" t="str">
        <f>IF(A193&lt;&gt;"", SUMIFS(node!$J$2:$J$500, node!$C$2:$C$500,"="&amp;A193)/P193, "")</f>
        <v/>
      </c>
      <c r="AC193" s="134" t="str">
        <f>IF(A193&lt;&gt;"", SUMIFS(node!$K$2:$K$500, node!$C$2:$C$500,"="&amp;A193)/P193, "")</f>
        <v/>
      </c>
      <c r="AD193" s="135" t="str">
        <f>IF(A193&lt;&gt;"", SUMIFS(node!$L$2:$L$500, node!$C$2:$C$500,"="&amp;A193), "")</f>
        <v/>
      </c>
      <c r="AE193" s="145" t="str">
        <f>IF(A193&lt;&gt;"", SUMIFS(node!$M$2:$M$500, node!$C$2:$C$500,"="&amp;A193), "")</f>
        <v/>
      </c>
    </row>
    <row r="194" spans="1:31" ht="15.75" customHeight="1" x14ac:dyDescent="0.25">
      <c r="A194" s="119" t="str">
        <f>IF(ISNONTEXT(node_raw[[#This Row],[Column2]]), "", node_raw[[#This Row],[Column2]])</f>
        <v/>
      </c>
      <c r="B194" s="116" t="str">
        <f>IF(A194&lt;&gt;"", VLOOKUP(A194, node!$C$2:$D$500, 2, FALSE), "")</f>
        <v/>
      </c>
      <c r="C194" s="117" t="str">
        <f>IF(A194&lt;&gt;"", VLOOKUP(A194, node!$C$2:$E$500, 3, FALSE), "")</f>
        <v/>
      </c>
      <c r="D194" s="118" t="str">
        <f>IF(A194&lt;&gt;"",COUNTIFS(node!$C$2:$C$500,"="&amp;A194, node!$C$2:$C$500,"&lt;&gt;"&amp;""),"")</f>
        <v/>
      </c>
      <c r="E194" s="122" t="str">
        <f>IF(A194&lt;&gt;"",SUMIFS(node!$F$2:$F$500, node!$C$2:$C$500,"="&amp;A194, node!$C$2:$C$500,"&lt;&gt;"&amp;"")/(B194*D194),"")</f>
        <v/>
      </c>
      <c r="F194" s="124" t="str">
        <f>IF(A194&lt;&gt;"",SUMIFS(node!$H$2:$H$500, node!$C$2:$C$500,"="&amp;A194, node!$C$2:$C$500,"&lt;&gt;"&amp;"")/(C194*D194),"")</f>
        <v/>
      </c>
      <c r="G194" s="93" t="str">
        <f>IF(A194&lt;&gt;"",SUMIFS(deployment!$F$4:$F$502, deployment!$D$4:$D$502,"="&amp;A194, deployment!$D$4:$D$502,"&lt;&gt;"&amp;""),"")</f>
        <v/>
      </c>
      <c r="H194" s="94" t="str">
        <f>IF(A194&lt;&gt;"",SUMIFS(deployment!$G$4:$G$502, deployment!$D$4:$D$502,"="&amp;A194, deployment!$D$4:$D$502,"&lt;&gt;"&amp;""),"")</f>
        <v/>
      </c>
      <c r="I194" s="95" t="str">
        <f>IF(A194&lt;&gt;"",SUMIFS(deployment!$H$4:$H$502, deployment!$D$4:$D$502,"="&amp;A194, deployment!$D$4:$D$502,"&lt;&gt;"&amp;""),"")</f>
        <v/>
      </c>
      <c r="J194" s="96" t="str">
        <f>IF(A194&lt;&gt;"",SUMIFS(deployment!$I$4:$I$502, deployment!$D$4:$D$502,"="&amp;A194, deployment!$D$4:$D$502,"&lt;&gt;"&amp;""),"")</f>
        <v/>
      </c>
      <c r="K194" s="112" t="str">
        <f>IF(A194&lt;&gt;"",SUMIFS(deployment!$J$4:$J$502, deployment!$D$4:$D$502,"="&amp;A194, deployment!$D$4:$D$502,"&lt;&gt;"&amp;""),"")</f>
        <v/>
      </c>
      <c r="L194" s="112" t="str">
        <f>IF(A194&lt;&gt;"",SUMIFS(deployment!$K$4:$K$502, deployment!$D$4:$D$502,"="&amp;A194, deployment!$D$4:$D$502,"&lt;&gt;"&amp;""),"")</f>
        <v/>
      </c>
      <c r="M194" s="97" t="str">
        <f>IF(A194&lt;&gt;"",SUMIFS(deployment!$L$4:$L$502, deployment!$D$4:$D$502,"="&amp;A194, deployment!$D$4:$D$502,"&lt;&gt;"&amp;""),"")</f>
        <v/>
      </c>
      <c r="N194" s="97" t="str">
        <f>IF(A194&lt;&gt;"",SUMIFS(deployment!$M$4:$M$502, deployment!$D$4:$D$502,"="&amp;A194, deployment!$D$4:$D$502,"&lt;&gt;"&amp;""),"")</f>
        <v/>
      </c>
      <c r="O194" s="127" t="str">
        <f t="shared" si="35"/>
        <v/>
      </c>
      <c r="P194" s="104"/>
      <c r="Q194" s="99" t="str">
        <f t="shared" si="24"/>
        <v/>
      </c>
      <c r="R194" s="100" t="str">
        <f t="shared" si="25"/>
        <v/>
      </c>
      <c r="S194" s="100" t="str">
        <f t="shared" si="26"/>
        <v/>
      </c>
      <c r="T194" s="101" t="str">
        <f t="shared" si="27"/>
        <v/>
      </c>
      <c r="U194" s="101" t="str">
        <f t="shared" si="28"/>
        <v/>
      </c>
      <c r="V194" s="128" t="str">
        <f t="shared" si="29"/>
        <v/>
      </c>
      <c r="W194" s="128" t="str">
        <f t="shared" si="30"/>
        <v/>
      </c>
      <c r="X194" s="101" t="str">
        <f t="shared" si="31"/>
        <v/>
      </c>
      <c r="Y194" s="101" t="str">
        <f t="shared" si="32"/>
        <v/>
      </c>
      <c r="Z194" s="102" t="str">
        <f t="shared" si="33"/>
        <v/>
      </c>
      <c r="AA194" s="103" t="str">
        <f t="shared" si="34"/>
        <v/>
      </c>
      <c r="AB194" s="142" t="str">
        <f>IF(A194&lt;&gt;"", SUMIFS(node!$J$2:$J$500, node!$C$2:$C$500,"="&amp;A194)/P194, "")</f>
        <v/>
      </c>
      <c r="AC194" s="134" t="str">
        <f>IF(A194&lt;&gt;"", SUMIFS(node!$K$2:$K$500, node!$C$2:$C$500,"="&amp;A194)/P194, "")</f>
        <v/>
      </c>
      <c r="AD194" s="135" t="str">
        <f>IF(A194&lt;&gt;"", SUMIFS(node!$L$2:$L$500, node!$C$2:$C$500,"="&amp;A194), "")</f>
        <v/>
      </c>
      <c r="AE194" s="145" t="str">
        <f>IF(A194&lt;&gt;"", SUMIFS(node!$M$2:$M$500, node!$C$2:$C$500,"="&amp;A194), "")</f>
        <v/>
      </c>
    </row>
    <row r="195" spans="1:31" ht="15.75" customHeight="1" x14ac:dyDescent="0.25">
      <c r="A195" s="119" t="str">
        <f>IF(ISNONTEXT(node_raw[[#This Row],[Column2]]), "", node_raw[[#This Row],[Column2]])</f>
        <v/>
      </c>
      <c r="B195" s="116" t="str">
        <f>IF(A195&lt;&gt;"", VLOOKUP(A195, node!$C$2:$D$500, 2, FALSE), "")</f>
        <v/>
      </c>
      <c r="C195" s="117" t="str">
        <f>IF(A195&lt;&gt;"", VLOOKUP(A195, node!$C$2:$E$500, 3, FALSE), "")</f>
        <v/>
      </c>
      <c r="D195" s="118" t="str">
        <f>IF(A195&lt;&gt;"",COUNTIFS(node!$C$2:$C$500,"="&amp;A195, node!$C$2:$C$500,"&lt;&gt;"&amp;""),"")</f>
        <v/>
      </c>
      <c r="E195" s="122" t="str">
        <f>IF(A195&lt;&gt;"",SUMIFS(node!$F$2:$F$500, node!$C$2:$C$500,"="&amp;A195, node!$C$2:$C$500,"&lt;&gt;"&amp;"")/(B195*D195),"")</f>
        <v/>
      </c>
      <c r="F195" s="124" t="str">
        <f>IF(A195&lt;&gt;"",SUMIFS(node!$H$2:$H$500, node!$C$2:$C$500,"="&amp;A195, node!$C$2:$C$500,"&lt;&gt;"&amp;"")/(C195*D195),"")</f>
        <v/>
      </c>
      <c r="G195" s="93" t="str">
        <f>IF(A195&lt;&gt;"",SUMIFS(deployment!$F$4:$F$502, deployment!$D$4:$D$502,"="&amp;A195, deployment!$D$4:$D$502,"&lt;&gt;"&amp;""),"")</f>
        <v/>
      </c>
      <c r="H195" s="94" t="str">
        <f>IF(A195&lt;&gt;"",SUMIFS(deployment!$G$4:$G$502, deployment!$D$4:$D$502,"="&amp;A195, deployment!$D$4:$D$502,"&lt;&gt;"&amp;""),"")</f>
        <v/>
      </c>
      <c r="I195" s="95" t="str">
        <f>IF(A195&lt;&gt;"",SUMIFS(deployment!$H$4:$H$502, deployment!$D$4:$D$502,"="&amp;A195, deployment!$D$4:$D$502,"&lt;&gt;"&amp;""),"")</f>
        <v/>
      </c>
      <c r="J195" s="96" t="str">
        <f>IF(A195&lt;&gt;"",SUMIFS(deployment!$I$4:$I$502, deployment!$D$4:$D$502,"="&amp;A195, deployment!$D$4:$D$502,"&lt;&gt;"&amp;""),"")</f>
        <v/>
      </c>
      <c r="K195" s="112" t="str">
        <f>IF(A195&lt;&gt;"",SUMIFS(deployment!$J$4:$J$502, deployment!$D$4:$D$502,"="&amp;A195, deployment!$D$4:$D$502,"&lt;&gt;"&amp;""),"")</f>
        <v/>
      </c>
      <c r="L195" s="112" t="str">
        <f>IF(A195&lt;&gt;"",SUMIFS(deployment!$K$4:$K$502, deployment!$D$4:$D$502,"="&amp;A195, deployment!$D$4:$D$502,"&lt;&gt;"&amp;""),"")</f>
        <v/>
      </c>
      <c r="M195" s="97" t="str">
        <f>IF(A195&lt;&gt;"",SUMIFS(deployment!$L$4:$L$502, deployment!$D$4:$D$502,"="&amp;A195, deployment!$D$4:$D$502,"&lt;&gt;"&amp;""),"")</f>
        <v/>
      </c>
      <c r="N195" s="97" t="str">
        <f>IF(A195&lt;&gt;"",SUMIFS(deployment!$M$4:$M$502, deployment!$D$4:$D$502,"="&amp;A195, deployment!$D$4:$D$502,"&lt;&gt;"&amp;""),"")</f>
        <v/>
      </c>
      <c r="O195" s="127" t="str">
        <f t="shared" si="35"/>
        <v/>
      </c>
      <c r="P195" s="104"/>
      <c r="Q195" s="99" t="str">
        <f t="shared" si="24"/>
        <v/>
      </c>
      <c r="R195" s="100" t="str">
        <f t="shared" si="25"/>
        <v/>
      </c>
      <c r="S195" s="100" t="str">
        <f t="shared" si="26"/>
        <v/>
      </c>
      <c r="T195" s="101" t="str">
        <f t="shared" si="27"/>
        <v/>
      </c>
      <c r="U195" s="101" t="str">
        <f t="shared" si="28"/>
        <v/>
      </c>
      <c r="V195" s="128" t="str">
        <f t="shared" si="29"/>
        <v/>
      </c>
      <c r="W195" s="128" t="str">
        <f t="shared" si="30"/>
        <v/>
      </c>
      <c r="X195" s="101" t="str">
        <f t="shared" si="31"/>
        <v/>
      </c>
      <c r="Y195" s="101" t="str">
        <f t="shared" si="32"/>
        <v/>
      </c>
      <c r="Z195" s="102" t="str">
        <f t="shared" si="33"/>
        <v/>
      </c>
      <c r="AA195" s="103" t="str">
        <f t="shared" si="34"/>
        <v/>
      </c>
      <c r="AB195" s="142" t="str">
        <f>IF(A195&lt;&gt;"", SUMIFS(node!$J$2:$J$500, node!$C$2:$C$500,"="&amp;A195)/P195, "")</f>
        <v/>
      </c>
      <c r="AC195" s="134" t="str">
        <f>IF(A195&lt;&gt;"", SUMIFS(node!$K$2:$K$500, node!$C$2:$C$500,"="&amp;A195)/P195, "")</f>
        <v/>
      </c>
      <c r="AD195" s="135" t="str">
        <f>IF(A195&lt;&gt;"", SUMIFS(node!$L$2:$L$500, node!$C$2:$C$500,"="&amp;A195), "")</f>
        <v/>
      </c>
      <c r="AE195" s="145" t="str">
        <f>IF(A195&lt;&gt;"", SUMIFS(node!$M$2:$M$500, node!$C$2:$C$500,"="&amp;A195), "")</f>
        <v/>
      </c>
    </row>
    <row r="196" spans="1:31" ht="15.75" customHeight="1" x14ac:dyDescent="0.25">
      <c r="A196" s="119" t="str">
        <f>IF(ISNONTEXT(node_raw[[#This Row],[Column2]]), "", node_raw[[#This Row],[Column2]])</f>
        <v/>
      </c>
      <c r="B196" s="116" t="str">
        <f>IF(A196&lt;&gt;"", VLOOKUP(A196, node!$C$2:$D$500, 2, FALSE), "")</f>
        <v/>
      </c>
      <c r="C196" s="117" t="str">
        <f>IF(A196&lt;&gt;"", VLOOKUP(A196, node!$C$2:$E$500, 3, FALSE), "")</f>
        <v/>
      </c>
      <c r="D196" s="118" t="str">
        <f>IF(A196&lt;&gt;"",COUNTIFS(node!$C$2:$C$500,"="&amp;A196, node!$C$2:$C$500,"&lt;&gt;"&amp;""),"")</f>
        <v/>
      </c>
      <c r="E196" s="122" t="str">
        <f>IF(A196&lt;&gt;"",SUMIFS(node!$F$2:$F$500, node!$C$2:$C$500,"="&amp;A196, node!$C$2:$C$500,"&lt;&gt;"&amp;"")/(B196*D196),"")</f>
        <v/>
      </c>
      <c r="F196" s="124" t="str">
        <f>IF(A196&lt;&gt;"",SUMIFS(node!$H$2:$H$500, node!$C$2:$C$500,"="&amp;A196, node!$C$2:$C$500,"&lt;&gt;"&amp;"")/(C196*D196),"")</f>
        <v/>
      </c>
      <c r="G196" s="93" t="str">
        <f>IF(A196&lt;&gt;"",SUMIFS(deployment!$F$4:$F$502, deployment!$D$4:$D$502,"="&amp;A196, deployment!$D$4:$D$502,"&lt;&gt;"&amp;""),"")</f>
        <v/>
      </c>
      <c r="H196" s="94" t="str">
        <f>IF(A196&lt;&gt;"",SUMIFS(deployment!$G$4:$G$502, deployment!$D$4:$D$502,"="&amp;A196, deployment!$D$4:$D$502,"&lt;&gt;"&amp;""),"")</f>
        <v/>
      </c>
      <c r="I196" s="95" t="str">
        <f>IF(A196&lt;&gt;"",SUMIFS(deployment!$H$4:$H$502, deployment!$D$4:$D$502,"="&amp;A196, deployment!$D$4:$D$502,"&lt;&gt;"&amp;""),"")</f>
        <v/>
      </c>
      <c r="J196" s="96" t="str">
        <f>IF(A196&lt;&gt;"",SUMIFS(deployment!$I$4:$I$502, deployment!$D$4:$D$502,"="&amp;A196, deployment!$D$4:$D$502,"&lt;&gt;"&amp;""),"")</f>
        <v/>
      </c>
      <c r="K196" s="112" t="str">
        <f>IF(A196&lt;&gt;"",SUMIFS(deployment!$J$4:$J$502, deployment!$D$4:$D$502,"="&amp;A196, deployment!$D$4:$D$502,"&lt;&gt;"&amp;""),"")</f>
        <v/>
      </c>
      <c r="L196" s="112" t="str">
        <f>IF(A196&lt;&gt;"",SUMIFS(deployment!$K$4:$K$502, deployment!$D$4:$D$502,"="&amp;A196, deployment!$D$4:$D$502,"&lt;&gt;"&amp;""),"")</f>
        <v/>
      </c>
      <c r="M196" s="97" t="str">
        <f>IF(A196&lt;&gt;"",SUMIFS(deployment!$L$4:$L$502, deployment!$D$4:$D$502,"="&amp;A196, deployment!$D$4:$D$502,"&lt;&gt;"&amp;""),"")</f>
        <v/>
      </c>
      <c r="N196" s="97" t="str">
        <f>IF(A196&lt;&gt;"",SUMIFS(deployment!$M$4:$M$502, deployment!$D$4:$D$502,"="&amp;A196, deployment!$D$4:$D$502,"&lt;&gt;"&amp;""),"")</f>
        <v/>
      </c>
      <c r="O196" s="127" t="str">
        <f t="shared" si="35"/>
        <v/>
      </c>
      <c r="P196" s="104"/>
      <c r="Q196" s="99" t="str">
        <f t="shared" ref="Q196:Q259" si="36">IF(A196&lt;&gt;"",(D196-P196)/D196,"")</f>
        <v/>
      </c>
      <c r="R196" s="100" t="str">
        <f t="shared" ref="R196:R259" si="37">IF(A196&lt;&gt;"",G196/(P196*B196),"")</f>
        <v/>
      </c>
      <c r="S196" s="100" t="str">
        <f t="shared" ref="S196:S259" si="38">IF(A196&lt;&gt;"",H196/(P196*C196),"")</f>
        <v/>
      </c>
      <c r="T196" s="101" t="str">
        <f t="shared" ref="T196:T259" si="39">IF(A196&lt;&gt;"",I196/(P196*B196),"")</f>
        <v/>
      </c>
      <c r="U196" s="101" t="str">
        <f t="shared" ref="U196:U259" si="40">IF(A196&lt;&gt;"",J196/(P196*C196),"")</f>
        <v/>
      </c>
      <c r="V196" s="128" t="str">
        <f t="shared" ref="V196:V259" si="41">IF(A196&lt;&gt;"",K196/(P196*B196),"")</f>
        <v/>
      </c>
      <c r="W196" s="128" t="str">
        <f t="shared" ref="W196:W259" si="42">IF(A196&lt;&gt;"",L196/(P196*C196),"")</f>
        <v/>
      </c>
      <c r="X196" s="101" t="str">
        <f t="shared" ref="X196:X259" si="43">IF(A196&lt;&gt;"",M196/(P196*B196),"")</f>
        <v/>
      </c>
      <c r="Y196" s="101" t="str">
        <f t="shared" ref="Y196:Y259" si="44">IF(A196&lt;&gt;"",N196/(P196*C196),"")</f>
        <v/>
      </c>
      <c r="Z196" s="102" t="str">
        <f t="shared" ref="Z196:Z259" si="45">IF(A196&lt;&gt;"",(D196*E196)/P196,"")</f>
        <v/>
      </c>
      <c r="AA196" s="103" t="str">
        <f t="shared" ref="AA196:AA259" si="46">IF(A196&lt;&gt;"",(D196*F196)/P196,"")</f>
        <v/>
      </c>
      <c r="AB196" s="142" t="str">
        <f>IF(A196&lt;&gt;"", SUMIFS(node!$J$2:$J$500, node!$C$2:$C$500,"="&amp;A196)/P196, "")</f>
        <v/>
      </c>
      <c r="AC196" s="134" t="str">
        <f>IF(A196&lt;&gt;"", SUMIFS(node!$K$2:$K$500, node!$C$2:$C$500,"="&amp;A196)/P196, "")</f>
        <v/>
      </c>
      <c r="AD196" s="135" t="str">
        <f>IF(A196&lt;&gt;"", SUMIFS(node!$L$2:$L$500, node!$C$2:$C$500,"="&amp;A196), "")</f>
        <v/>
      </c>
      <c r="AE196" s="145" t="str">
        <f>IF(A196&lt;&gt;"", SUMIFS(node!$M$2:$M$500, node!$C$2:$C$500,"="&amp;A196), "")</f>
        <v/>
      </c>
    </row>
    <row r="197" spans="1:31" ht="15.75" customHeight="1" x14ac:dyDescent="0.25">
      <c r="A197" s="119" t="str">
        <f>IF(ISNONTEXT(node_raw[[#This Row],[Column2]]), "", node_raw[[#This Row],[Column2]])</f>
        <v/>
      </c>
      <c r="B197" s="116" t="str">
        <f>IF(A197&lt;&gt;"", VLOOKUP(A197, node!$C$2:$D$500, 2, FALSE), "")</f>
        <v/>
      </c>
      <c r="C197" s="117" t="str">
        <f>IF(A197&lt;&gt;"", VLOOKUP(A197, node!$C$2:$E$500, 3, FALSE), "")</f>
        <v/>
      </c>
      <c r="D197" s="118" t="str">
        <f>IF(A197&lt;&gt;"",COUNTIFS(node!$C$2:$C$500,"="&amp;A197, node!$C$2:$C$500,"&lt;&gt;"&amp;""),"")</f>
        <v/>
      </c>
      <c r="E197" s="122" t="str">
        <f>IF(A197&lt;&gt;"",SUMIFS(node!$F$2:$F$500, node!$C$2:$C$500,"="&amp;A197, node!$C$2:$C$500,"&lt;&gt;"&amp;"")/(B197*D197),"")</f>
        <v/>
      </c>
      <c r="F197" s="124" t="str">
        <f>IF(A197&lt;&gt;"",SUMIFS(node!$H$2:$H$500, node!$C$2:$C$500,"="&amp;A197, node!$C$2:$C$500,"&lt;&gt;"&amp;"")/(C197*D197),"")</f>
        <v/>
      </c>
      <c r="G197" s="93" t="str">
        <f>IF(A197&lt;&gt;"",SUMIFS(deployment!$F$4:$F$502, deployment!$D$4:$D$502,"="&amp;A197, deployment!$D$4:$D$502,"&lt;&gt;"&amp;""),"")</f>
        <v/>
      </c>
      <c r="H197" s="94" t="str">
        <f>IF(A197&lt;&gt;"",SUMIFS(deployment!$G$4:$G$502, deployment!$D$4:$D$502,"="&amp;A197, deployment!$D$4:$D$502,"&lt;&gt;"&amp;""),"")</f>
        <v/>
      </c>
      <c r="I197" s="95" t="str">
        <f>IF(A197&lt;&gt;"",SUMIFS(deployment!$H$4:$H$502, deployment!$D$4:$D$502,"="&amp;A197, deployment!$D$4:$D$502,"&lt;&gt;"&amp;""),"")</f>
        <v/>
      </c>
      <c r="J197" s="96" t="str">
        <f>IF(A197&lt;&gt;"",SUMIFS(deployment!$I$4:$I$502, deployment!$D$4:$D$502,"="&amp;A197, deployment!$D$4:$D$502,"&lt;&gt;"&amp;""),"")</f>
        <v/>
      </c>
      <c r="K197" s="112" t="str">
        <f>IF(A197&lt;&gt;"",SUMIFS(deployment!$J$4:$J$502, deployment!$D$4:$D$502,"="&amp;A197, deployment!$D$4:$D$502,"&lt;&gt;"&amp;""),"")</f>
        <v/>
      </c>
      <c r="L197" s="112" t="str">
        <f>IF(A197&lt;&gt;"",SUMIFS(deployment!$K$4:$K$502, deployment!$D$4:$D$502,"="&amp;A197, deployment!$D$4:$D$502,"&lt;&gt;"&amp;""),"")</f>
        <v/>
      </c>
      <c r="M197" s="97" t="str">
        <f>IF(A197&lt;&gt;"",SUMIFS(deployment!$L$4:$L$502, deployment!$D$4:$D$502,"="&amp;A197, deployment!$D$4:$D$502,"&lt;&gt;"&amp;""),"")</f>
        <v/>
      </c>
      <c r="N197" s="97" t="str">
        <f>IF(A197&lt;&gt;"",SUMIFS(deployment!$M$4:$M$502, deployment!$D$4:$D$502,"="&amp;A197, deployment!$D$4:$D$502,"&lt;&gt;"&amp;""),"")</f>
        <v/>
      </c>
      <c r="O197" s="127" t="str">
        <f t="shared" ref="O197:O260" si="47">IF(A197&lt;&gt;"",MAX(ROUNDUP(K197/(B197*$B$2), 0), ROUNDUP(L197/(C197*$C$2), 0), ROUNDUP(M197/(B197*$B$2), 0), ROUNDUP(N197/(C197*$C$2), 0), 1),"")</f>
        <v/>
      </c>
      <c r="P197" s="104"/>
      <c r="Q197" s="99" t="str">
        <f t="shared" si="36"/>
        <v/>
      </c>
      <c r="R197" s="100" t="str">
        <f t="shared" si="37"/>
        <v/>
      </c>
      <c r="S197" s="100" t="str">
        <f t="shared" si="38"/>
        <v/>
      </c>
      <c r="T197" s="101" t="str">
        <f t="shared" si="39"/>
        <v/>
      </c>
      <c r="U197" s="101" t="str">
        <f t="shared" si="40"/>
        <v/>
      </c>
      <c r="V197" s="128" t="str">
        <f t="shared" si="41"/>
        <v/>
      </c>
      <c r="W197" s="128" t="str">
        <f t="shared" si="42"/>
        <v/>
      </c>
      <c r="X197" s="101" t="str">
        <f t="shared" si="43"/>
        <v/>
      </c>
      <c r="Y197" s="101" t="str">
        <f t="shared" si="44"/>
        <v/>
      </c>
      <c r="Z197" s="102" t="str">
        <f t="shared" si="45"/>
        <v/>
      </c>
      <c r="AA197" s="103" t="str">
        <f t="shared" si="46"/>
        <v/>
      </c>
      <c r="AB197" s="142" t="str">
        <f>IF(A197&lt;&gt;"", SUMIFS(node!$J$2:$J$500, node!$C$2:$C$500,"="&amp;A197)/P197, "")</f>
        <v/>
      </c>
      <c r="AC197" s="134" t="str">
        <f>IF(A197&lt;&gt;"", SUMIFS(node!$K$2:$K$500, node!$C$2:$C$500,"="&amp;A197)/P197, "")</f>
        <v/>
      </c>
      <c r="AD197" s="135" t="str">
        <f>IF(A197&lt;&gt;"", SUMIFS(node!$L$2:$L$500, node!$C$2:$C$500,"="&amp;A197), "")</f>
        <v/>
      </c>
      <c r="AE197" s="145" t="str">
        <f>IF(A197&lt;&gt;"", SUMIFS(node!$M$2:$M$500, node!$C$2:$C$500,"="&amp;A197), "")</f>
        <v/>
      </c>
    </row>
    <row r="198" spans="1:31" ht="15.75" customHeight="1" x14ac:dyDescent="0.25">
      <c r="A198" s="119" t="str">
        <f>IF(ISNONTEXT(node_raw[[#This Row],[Column2]]), "", node_raw[[#This Row],[Column2]])</f>
        <v/>
      </c>
      <c r="B198" s="116" t="str">
        <f>IF(A198&lt;&gt;"", VLOOKUP(A198, node!$C$2:$D$500, 2, FALSE), "")</f>
        <v/>
      </c>
      <c r="C198" s="117" t="str">
        <f>IF(A198&lt;&gt;"", VLOOKUP(A198, node!$C$2:$E$500, 3, FALSE), "")</f>
        <v/>
      </c>
      <c r="D198" s="118" t="str">
        <f>IF(A198&lt;&gt;"",COUNTIFS(node!$C$2:$C$500,"="&amp;A198, node!$C$2:$C$500,"&lt;&gt;"&amp;""),"")</f>
        <v/>
      </c>
      <c r="E198" s="122" t="str">
        <f>IF(A198&lt;&gt;"",SUMIFS(node!$F$2:$F$500, node!$C$2:$C$500,"="&amp;A198, node!$C$2:$C$500,"&lt;&gt;"&amp;"")/(B198*D198),"")</f>
        <v/>
      </c>
      <c r="F198" s="124" t="str">
        <f>IF(A198&lt;&gt;"",SUMIFS(node!$H$2:$H$500, node!$C$2:$C$500,"="&amp;A198, node!$C$2:$C$500,"&lt;&gt;"&amp;"")/(C198*D198),"")</f>
        <v/>
      </c>
      <c r="G198" s="93" t="str">
        <f>IF(A198&lt;&gt;"",SUMIFS(deployment!$F$4:$F$502, deployment!$D$4:$D$502,"="&amp;A198, deployment!$D$4:$D$502,"&lt;&gt;"&amp;""),"")</f>
        <v/>
      </c>
      <c r="H198" s="94" t="str">
        <f>IF(A198&lt;&gt;"",SUMIFS(deployment!$G$4:$G$502, deployment!$D$4:$D$502,"="&amp;A198, deployment!$D$4:$D$502,"&lt;&gt;"&amp;""),"")</f>
        <v/>
      </c>
      <c r="I198" s="95" t="str">
        <f>IF(A198&lt;&gt;"",SUMIFS(deployment!$H$4:$H$502, deployment!$D$4:$D$502,"="&amp;A198, deployment!$D$4:$D$502,"&lt;&gt;"&amp;""),"")</f>
        <v/>
      </c>
      <c r="J198" s="96" t="str">
        <f>IF(A198&lt;&gt;"",SUMIFS(deployment!$I$4:$I$502, deployment!$D$4:$D$502,"="&amp;A198, deployment!$D$4:$D$502,"&lt;&gt;"&amp;""),"")</f>
        <v/>
      </c>
      <c r="K198" s="112" t="str">
        <f>IF(A198&lt;&gt;"",SUMIFS(deployment!$J$4:$J$502, deployment!$D$4:$D$502,"="&amp;A198, deployment!$D$4:$D$502,"&lt;&gt;"&amp;""),"")</f>
        <v/>
      </c>
      <c r="L198" s="112" t="str">
        <f>IF(A198&lt;&gt;"",SUMIFS(deployment!$K$4:$K$502, deployment!$D$4:$D$502,"="&amp;A198, deployment!$D$4:$D$502,"&lt;&gt;"&amp;""),"")</f>
        <v/>
      </c>
      <c r="M198" s="97" t="str">
        <f>IF(A198&lt;&gt;"",SUMIFS(deployment!$L$4:$L$502, deployment!$D$4:$D$502,"="&amp;A198, deployment!$D$4:$D$502,"&lt;&gt;"&amp;""),"")</f>
        <v/>
      </c>
      <c r="N198" s="97" t="str">
        <f>IF(A198&lt;&gt;"",SUMIFS(deployment!$M$4:$M$502, deployment!$D$4:$D$502,"="&amp;A198, deployment!$D$4:$D$502,"&lt;&gt;"&amp;""),"")</f>
        <v/>
      </c>
      <c r="O198" s="127" t="str">
        <f t="shared" si="47"/>
        <v/>
      </c>
      <c r="P198" s="104"/>
      <c r="Q198" s="99" t="str">
        <f t="shared" si="36"/>
        <v/>
      </c>
      <c r="R198" s="100" t="str">
        <f t="shared" si="37"/>
        <v/>
      </c>
      <c r="S198" s="100" t="str">
        <f t="shared" si="38"/>
        <v/>
      </c>
      <c r="T198" s="101" t="str">
        <f t="shared" si="39"/>
        <v/>
      </c>
      <c r="U198" s="101" t="str">
        <f t="shared" si="40"/>
        <v/>
      </c>
      <c r="V198" s="128" t="str">
        <f t="shared" si="41"/>
        <v/>
      </c>
      <c r="W198" s="128" t="str">
        <f t="shared" si="42"/>
        <v/>
      </c>
      <c r="X198" s="101" t="str">
        <f t="shared" si="43"/>
        <v/>
      </c>
      <c r="Y198" s="101" t="str">
        <f t="shared" si="44"/>
        <v/>
      </c>
      <c r="Z198" s="102" t="str">
        <f t="shared" si="45"/>
        <v/>
      </c>
      <c r="AA198" s="103" t="str">
        <f t="shared" si="46"/>
        <v/>
      </c>
      <c r="AB198" s="142" t="str">
        <f>IF(A198&lt;&gt;"", SUMIFS(node!$J$2:$J$500, node!$C$2:$C$500,"="&amp;A198)/P198, "")</f>
        <v/>
      </c>
      <c r="AC198" s="134" t="str">
        <f>IF(A198&lt;&gt;"", SUMIFS(node!$K$2:$K$500, node!$C$2:$C$500,"="&amp;A198)/P198, "")</f>
        <v/>
      </c>
      <c r="AD198" s="135" t="str">
        <f>IF(A198&lt;&gt;"", SUMIFS(node!$L$2:$L$500, node!$C$2:$C$500,"="&amp;A198), "")</f>
        <v/>
      </c>
      <c r="AE198" s="145" t="str">
        <f>IF(A198&lt;&gt;"", SUMIFS(node!$M$2:$M$500, node!$C$2:$C$500,"="&amp;A198), "")</f>
        <v/>
      </c>
    </row>
    <row r="199" spans="1:31" ht="15.75" customHeight="1" x14ac:dyDescent="0.25">
      <c r="A199" s="119" t="str">
        <f>IF(ISNONTEXT(node_raw[[#This Row],[Column2]]), "", node_raw[[#This Row],[Column2]])</f>
        <v/>
      </c>
      <c r="B199" s="116" t="str">
        <f>IF(A199&lt;&gt;"", VLOOKUP(A199, node!$C$2:$D$500, 2, FALSE), "")</f>
        <v/>
      </c>
      <c r="C199" s="117" t="str">
        <f>IF(A199&lt;&gt;"", VLOOKUP(A199, node!$C$2:$E$500, 3, FALSE), "")</f>
        <v/>
      </c>
      <c r="D199" s="118" t="str">
        <f>IF(A199&lt;&gt;"",COUNTIFS(node!$C$2:$C$500,"="&amp;A199, node!$C$2:$C$500,"&lt;&gt;"&amp;""),"")</f>
        <v/>
      </c>
      <c r="E199" s="122" t="str">
        <f>IF(A199&lt;&gt;"",SUMIFS(node!$F$2:$F$500, node!$C$2:$C$500,"="&amp;A199, node!$C$2:$C$500,"&lt;&gt;"&amp;"")/(B199*D199),"")</f>
        <v/>
      </c>
      <c r="F199" s="124" t="str">
        <f>IF(A199&lt;&gt;"",SUMIFS(node!$H$2:$H$500, node!$C$2:$C$500,"="&amp;A199, node!$C$2:$C$500,"&lt;&gt;"&amp;"")/(C199*D199),"")</f>
        <v/>
      </c>
      <c r="G199" s="93" t="str">
        <f>IF(A199&lt;&gt;"",SUMIFS(deployment!$F$4:$F$502, deployment!$D$4:$D$502,"="&amp;A199, deployment!$D$4:$D$502,"&lt;&gt;"&amp;""),"")</f>
        <v/>
      </c>
      <c r="H199" s="94" t="str">
        <f>IF(A199&lt;&gt;"",SUMIFS(deployment!$G$4:$G$502, deployment!$D$4:$D$502,"="&amp;A199, deployment!$D$4:$D$502,"&lt;&gt;"&amp;""),"")</f>
        <v/>
      </c>
      <c r="I199" s="95" t="str">
        <f>IF(A199&lt;&gt;"",SUMIFS(deployment!$H$4:$H$502, deployment!$D$4:$D$502,"="&amp;A199, deployment!$D$4:$D$502,"&lt;&gt;"&amp;""),"")</f>
        <v/>
      </c>
      <c r="J199" s="96" t="str">
        <f>IF(A199&lt;&gt;"",SUMIFS(deployment!$I$4:$I$502, deployment!$D$4:$D$502,"="&amp;A199, deployment!$D$4:$D$502,"&lt;&gt;"&amp;""),"")</f>
        <v/>
      </c>
      <c r="K199" s="112" t="str">
        <f>IF(A199&lt;&gt;"",SUMIFS(deployment!$J$4:$J$502, deployment!$D$4:$D$502,"="&amp;A199, deployment!$D$4:$D$502,"&lt;&gt;"&amp;""),"")</f>
        <v/>
      </c>
      <c r="L199" s="112" t="str">
        <f>IF(A199&lt;&gt;"",SUMIFS(deployment!$K$4:$K$502, deployment!$D$4:$D$502,"="&amp;A199, deployment!$D$4:$D$502,"&lt;&gt;"&amp;""),"")</f>
        <v/>
      </c>
      <c r="M199" s="97" t="str">
        <f>IF(A199&lt;&gt;"",SUMIFS(deployment!$L$4:$L$502, deployment!$D$4:$D$502,"="&amp;A199, deployment!$D$4:$D$502,"&lt;&gt;"&amp;""),"")</f>
        <v/>
      </c>
      <c r="N199" s="97" t="str">
        <f>IF(A199&lt;&gt;"",SUMIFS(deployment!$M$4:$M$502, deployment!$D$4:$D$502,"="&amp;A199, deployment!$D$4:$D$502,"&lt;&gt;"&amp;""),"")</f>
        <v/>
      </c>
      <c r="O199" s="127" t="str">
        <f t="shared" si="47"/>
        <v/>
      </c>
      <c r="P199" s="104"/>
      <c r="Q199" s="99" t="str">
        <f t="shared" si="36"/>
        <v/>
      </c>
      <c r="R199" s="100" t="str">
        <f t="shared" si="37"/>
        <v/>
      </c>
      <c r="S199" s="100" t="str">
        <f t="shared" si="38"/>
        <v/>
      </c>
      <c r="T199" s="101" t="str">
        <f t="shared" si="39"/>
        <v/>
      </c>
      <c r="U199" s="101" t="str">
        <f t="shared" si="40"/>
        <v/>
      </c>
      <c r="V199" s="128" t="str">
        <f t="shared" si="41"/>
        <v/>
      </c>
      <c r="W199" s="128" t="str">
        <f t="shared" si="42"/>
        <v/>
      </c>
      <c r="X199" s="101" t="str">
        <f t="shared" si="43"/>
        <v/>
      </c>
      <c r="Y199" s="101" t="str">
        <f t="shared" si="44"/>
        <v/>
      </c>
      <c r="Z199" s="102" t="str">
        <f t="shared" si="45"/>
        <v/>
      </c>
      <c r="AA199" s="103" t="str">
        <f t="shared" si="46"/>
        <v/>
      </c>
      <c r="AB199" s="142" t="str">
        <f>IF(A199&lt;&gt;"", SUMIFS(node!$J$2:$J$500, node!$C$2:$C$500,"="&amp;A199)/P199, "")</f>
        <v/>
      </c>
      <c r="AC199" s="134" t="str">
        <f>IF(A199&lt;&gt;"", SUMIFS(node!$K$2:$K$500, node!$C$2:$C$500,"="&amp;A199)/P199, "")</f>
        <v/>
      </c>
      <c r="AD199" s="135" t="str">
        <f>IF(A199&lt;&gt;"", SUMIFS(node!$L$2:$L$500, node!$C$2:$C$500,"="&amp;A199), "")</f>
        <v/>
      </c>
      <c r="AE199" s="145" t="str">
        <f>IF(A199&lt;&gt;"", SUMIFS(node!$M$2:$M$500, node!$C$2:$C$500,"="&amp;A199), "")</f>
        <v/>
      </c>
    </row>
    <row r="200" spans="1:31" ht="15.75" customHeight="1" x14ac:dyDescent="0.25">
      <c r="A200" s="119" t="str">
        <f>IF(ISNONTEXT(node_raw[[#This Row],[Column2]]), "", node_raw[[#This Row],[Column2]])</f>
        <v/>
      </c>
      <c r="B200" s="116" t="str">
        <f>IF(A200&lt;&gt;"", VLOOKUP(A200, node!$C$2:$D$500, 2, FALSE), "")</f>
        <v/>
      </c>
      <c r="C200" s="117" t="str">
        <f>IF(A200&lt;&gt;"", VLOOKUP(A200, node!$C$2:$E$500, 3, FALSE), "")</f>
        <v/>
      </c>
      <c r="D200" s="118" t="str">
        <f>IF(A200&lt;&gt;"",COUNTIFS(node!$C$2:$C$500,"="&amp;A200, node!$C$2:$C$500,"&lt;&gt;"&amp;""),"")</f>
        <v/>
      </c>
      <c r="E200" s="122" t="str">
        <f>IF(A200&lt;&gt;"",SUMIFS(node!$F$2:$F$500, node!$C$2:$C$500,"="&amp;A200, node!$C$2:$C$500,"&lt;&gt;"&amp;"")/(B200*D200),"")</f>
        <v/>
      </c>
      <c r="F200" s="124" t="str">
        <f>IF(A200&lt;&gt;"",SUMIFS(node!$H$2:$H$500, node!$C$2:$C$500,"="&amp;A200, node!$C$2:$C$500,"&lt;&gt;"&amp;"")/(C200*D200),"")</f>
        <v/>
      </c>
      <c r="G200" s="93" t="str">
        <f>IF(A200&lt;&gt;"",SUMIFS(deployment!$F$4:$F$502, deployment!$D$4:$D$502,"="&amp;A200, deployment!$D$4:$D$502,"&lt;&gt;"&amp;""),"")</f>
        <v/>
      </c>
      <c r="H200" s="94" t="str">
        <f>IF(A200&lt;&gt;"",SUMIFS(deployment!$G$4:$G$502, deployment!$D$4:$D$502,"="&amp;A200, deployment!$D$4:$D$502,"&lt;&gt;"&amp;""),"")</f>
        <v/>
      </c>
      <c r="I200" s="95" t="str">
        <f>IF(A200&lt;&gt;"",SUMIFS(deployment!$H$4:$H$502, deployment!$D$4:$D$502,"="&amp;A200, deployment!$D$4:$D$502,"&lt;&gt;"&amp;""),"")</f>
        <v/>
      </c>
      <c r="J200" s="96" t="str">
        <f>IF(A200&lt;&gt;"",SUMIFS(deployment!$I$4:$I$502, deployment!$D$4:$D$502,"="&amp;A200, deployment!$D$4:$D$502,"&lt;&gt;"&amp;""),"")</f>
        <v/>
      </c>
      <c r="K200" s="112" t="str">
        <f>IF(A200&lt;&gt;"",SUMIFS(deployment!$J$4:$J$502, deployment!$D$4:$D$502,"="&amp;A200, deployment!$D$4:$D$502,"&lt;&gt;"&amp;""),"")</f>
        <v/>
      </c>
      <c r="L200" s="112" t="str">
        <f>IF(A200&lt;&gt;"",SUMIFS(deployment!$K$4:$K$502, deployment!$D$4:$D$502,"="&amp;A200, deployment!$D$4:$D$502,"&lt;&gt;"&amp;""),"")</f>
        <v/>
      </c>
      <c r="M200" s="97" t="str">
        <f>IF(A200&lt;&gt;"",SUMIFS(deployment!$L$4:$L$502, deployment!$D$4:$D$502,"="&amp;A200, deployment!$D$4:$D$502,"&lt;&gt;"&amp;""),"")</f>
        <v/>
      </c>
      <c r="N200" s="97" t="str">
        <f>IF(A200&lt;&gt;"",SUMIFS(deployment!$M$4:$M$502, deployment!$D$4:$D$502,"="&amp;A200, deployment!$D$4:$D$502,"&lt;&gt;"&amp;""),"")</f>
        <v/>
      </c>
      <c r="O200" s="127" t="str">
        <f t="shared" si="47"/>
        <v/>
      </c>
      <c r="P200" s="104"/>
      <c r="Q200" s="99" t="str">
        <f t="shared" si="36"/>
        <v/>
      </c>
      <c r="R200" s="100" t="str">
        <f t="shared" si="37"/>
        <v/>
      </c>
      <c r="S200" s="100" t="str">
        <f t="shared" si="38"/>
        <v/>
      </c>
      <c r="T200" s="101" t="str">
        <f t="shared" si="39"/>
        <v/>
      </c>
      <c r="U200" s="101" t="str">
        <f t="shared" si="40"/>
        <v/>
      </c>
      <c r="V200" s="128" t="str">
        <f t="shared" si="41"/>
        <v/>
      </c>
      <c r="W200" s="128" t="str">
        <f t="shared" si="42"/>
        <v/>
      </c>
      <c r="X200" s="101" t="str">
        <f t="shared" si="43"/>
        <v/>
      </c>
      <c r="Y200" s="101" t="str">
        <f t="shared" si="44"/>
        <v/>
      </c>
      <c r="Z200" s="102" t="str">
        <f t="shared" si="45"/>
        <v/>
      </c>
      <c r="AA200" s="103" t="str">
        <f t="shared" si="46"/>
        <v/>
      </c>
      <c r="AB200" s="142" t="str">
        <f>IF(A200&lt;&gt;"", SUMIFS(node!$J$2:$J$500, node!$C$2:$C$500,"="&amp;A200)/P200, "")</f>
        <v/>
      </c>
      <c r="AC200" s="134" t="str">
        <f>IF(A200&lt;&gt;"", SUMIFS(node!$K$2:$K$500, node!$C$2:$C$500,"="&amp;A200)/P200, "")</f>
        <v/>
      </c>
      <c r="AD200" s="135" t="str">
        <f>IF(A200&lt;&gt;"", SUMIFS(node!$L$2:$L$500, node!$C$2:$C$500,"="&amp;A200), "")</f>
        <v/>
      </c>
      <c r="AE200" s="145" t="str">
        <f>IF(A200&lt;&gt;"", SUMIFS(node!$M$2:$M$500, node!$C$2:$C$500,"="&amp;A200), "")</f>
        <v/>
      </c>
    </row>
    <row r="201" spans="1:31" ht="15.75" customHeight="1" x14ac:dyDescent="0.25">
      <c r="A201" s="119" t="str">
        <f>IF(ISNONTEXT(node_raw[[#This Row],[Column2]]), "", node_raw[[#This Row],[Column2]])</f>
        <v/>
      </c>
      <c r="B201" s="116" t="str">
        <f>IF(A201&lt;&gt;"", VLOOKUP(A201, node!$C$2:$D$500, 2, FALSE), "")</f>
        <v/>
      </c>
      <c r="C201" s="117" t="str">
        <f>IF(A201&lt;&gt;"", VLOOKUP(A201, node!$C$2:$E$500, 3, FALSE), "")</f>
        <v/>
      </c>
      <c r="D201" s="118" t="str">
        <f>IF(A201&lt;&gt;"",COUNTIFS(node!$C$2:$C$500,"="&amp;A201, node!$C$2:$C$500,"&lt;&gt;"&amp;""),"")</f>
        <v/>
      </c>
      <c r="E201" s="122" t="str">
        <f>IF(A201&lt;&gt;"",SUMIFS(node!$F$2:$F$500, node!$C$2:$C$500,"="&amp;A201, node!$C$2:$C$500,"&lt;&gt;"&amp;"")/(B201*D201),"")</f>
        <v/>
      </c>
      <c r="F201" s="124" t="str">
        <f>IF(A201&lt;&gt;"",SUMIFS(node!$H$2:$H$500, node!$C$2:$C$500,"="&amp;A201, node!$C$2:$C$500,"&lt;&gt;"&amp;"")/(C201*D201),"")</f>
        <v/>
      </c>
      <c r="G201" s="93" t="str">
        <f>IF(A201&lt;&gt;"",SUMIFS(deployment!$F$4:$F$502, deployment!$D$4:$D$502,"="&amp;A201, deployment!$D$4:$D$502,"&lt;&gt;"&amp;""),"")</f>
        <v/>
      </c>
      <c r="H201" s="94" t="str">
        <f>IF(A201&lt;&gt;"",SUMIFS(deployment!$G$4:$G$502, deployment!$D$4:$D$502,"="&amp;A201, deployment!$D$4:$D$502,"&lt;&gt;"&amp;""),"")</f>
        <v/>
      </c>
      <c r="I201" s="95" t="str">
        <f>IF(A201&lt;&gt;"",SUMIFS(deployment!$H$4:$H$502, deployment!$D$4:$D$502,"="&amp;A201, deployment!$D$4:$D$502,"&lt;&gt;"&amp;""),"")</f>
        <v/>
      </c>
      <c r="J201" s="96" t="str">
        <f>IF(A201&lt;&gt;"",SUMIFS(deployment!$I$4:$I$502, deployment!$D$4:$D$502,"="&amp;A201, deployment!$D$4:$D$502,"&lt;&gt;"&amp;""),"")</f>
        <v/>
      </c>
      <c r="K201" s="112" t="str">
        <f>IF(A201&lt;&gt;"",SUMIFS(deployment!$J$4:$J$502, deployment!$D$4:$D$502,"="&amp;A201, deployment!$D$4:$D$502,"&lt;&gt;"&amp;""),"")</f>
        <v/>
      </c>
      <c r="L201" s="112" t="str">
        <f>IF(A201&lt;&gt;"",SUMIFS(deployment!$K$4:$K$502, deployment!$D$4:$D$502,"="&amp;A201, deployment!$D$4:$D$502,"&lt;&gt;"&amp;""),"")</f>
        <v/>
      </c>
      <c r="M201" s="97" t="str">
        <f>IF(A201&lt;&gt;"",SUMIFS(deployment!$L$4:$L$502, deployment!$D$4:$D$502,"="&amp;A201, deployment!$D$4:$D$502,"&lt;&gt;"&amp;""),"")</f>
        <v/>
      </c>
      <c r="N201" s="97" t="str">
        <f>IF(A201&lt;&gt;"",SUMIFS(deployment!$M$4:$M$502, deployment!$D$4:$D$502,"="&amp;A201, deployment!$D$4:$D$502,"&lt;&gt;"&amp;""),"")</f>
        <v/>
      </c>
      <c r="O201" s="127" t="str">
        <f t="shared" si="47"/>
        <v/>
      </c>
      <c r="P201" s="104"/>
      <c r="Q201" s="99" t="str">
        <f t="shared" si="36"/>
        <v/>
      </c>
      <c r="R201" s="100" t="str">
        <f t="shared" si="37"/>
        <v/>
      </c>
      <c r="S201" s="100" t="str">
        <f t="shared" si="38"/>
        <v/>
      </c>
      <c r="T201" s="101" t="str">
        <f t="shared" si="39"/>
        <v/>
      </c>
      <c r="U201" s="101" t="str">
        <f t="shared" si="40"/>
        <v/>
      </c>
      <c r="V201" s="128" t="str">
        <f t="shared" si="41"/>
        <v/>
      </c>
      <c r="W201" s="128" t="str">
        <f t="shared" si="42"/>
        <v/>
      </c>
      <c r="X201" s="101" t="str">
        <f t="shared" si="43"/>
        <v/>
      </c>
      <c r="Y201" s="101" t="str">
        <f t="shared" si="44"/>
        <v/>
      </c>
      <c r="Z201" s="102" t="str">
        <f t="shared" si="45"/>
        <v/>
      </c>
      <c r="AA201" s="103" t="str">
        <f t="shared" si="46"/>
        <v/>
      </c>
      <c r="AB201" s="142" t="str">
        <f>IF(A201&lt;&gt;"", SUMIFS(node!$J$2:$J$500, node!$C$2:$C$500,"="&amp;A201)/P201, "")</f>
        <v/>
      </c>
      <c r="AC201" s="134" t="str">
        <f>IF(A201&lt;&gt;"", SUMIFS(node!$K$2:$K$500, node!$C$2:$C$500,"="&amp;A201)/P201, "")</f>
        <v/>
      </c>
      <c r="AD201" s="135" t="str">
        <f>IF(A201&lt;&gt;"", SUMIFS(node!$L$2:$L$500, node!$C$2:$C$500,"="&amp;A201), "")</f>
        <v/>
      </c>
      <c r="AE201" s="145" t="str">
        <f>IF(A201&lt;&gt;"", SUMIFS(node!$M$2:$M$500, node!$C$2:$C$500,"="&amp;A201), "")</f>
        <v/>
      </c>
    </row>
    <row r="202" spans="1:31" ht="15.75" customHeight="1" x14ac:dyDescent="0.25">
      <c r="A202" s="119" t="str">
        <f>IF(ISNONTEXT(node_raw[[#This Row],[Column2]]), "", node_raw[[#This Row],[Column2]])</f>
        <v/>
      </c>
      <c r="B202" s="116" t="str">
        <f>IF(A202&lt;&gt;"", VLOOKUP(A202, node!$C$2:$D$500, 2, FALSE), "")</f>
        <v/>
      </c>
      <c r="C202" s="117" t="str">
        <f>IF(A202&lt;&gt;"", VLOOKUP(A202, node!$C$2:$E$500, 3, FALSE), "")</f>
        <v/>
      </c>
      <c r="D202" s="118" t="str">
        <f>IF(A202&lt;&gt;"",COUNTIFS(node!$C$2:$C$500,"="&amp;A202, node!$C$2:$C$500,"&lt;&gt;"&amp;""),"")</f>
        <v/>
      </c>
      <c r="E202" s="122" t="str">
        <f>IF(A202&lt;&gt;"",SUMIFS(node!$F$2:$F$500, node!$C$2:$C$500,"="&amp;A202, node!$C$2:$C$500,"&lt;&gt;"&amp;"")/(B202*D202),"")</f>
        <v/>
      </c>
      <c r="F202" s="124" t="str">
        <f>IF(A202&lt;&gt;"",SUMIFS(node!$H$2:$H$500, node!$C$2:$C$500,"="&amp;A202, node!$C$2:$C$500,"&lt;&gt;"&amp;"")/(C202*D202),"")</f>
        <v/>
      </c>
      <c r="G202" s="93" t="str">
        <f>IF(A202&lt;&gt;"",SUMIFS(deployment!$F$4:$F$502, deployment!$D$4:$D$502,"="&amp;A202, deployment!$D$4:$D$502,"&lt;&gt;"&amp;""),"")</f>
        <v/>
      </c>
      <c r="H202" s="94" t="str">
        <f>IF(A202&lt;&gt;"",SUMIFS(deployment!$G$4:$G$502, deployment!$D$4:$D$502,"="&amp;A202, deployment!$D$4:$D$502,"&lt;&gt;"&amp;""),"")</f>
        <v/>
      </c>
      <c r="I202" s="95" t="str">
        <f>IF(A202&lt;&gt;"",SUMIFS(deployment!$H$4:$H$502, deployment!$D$4:$D$502,"="&amp;A202, deployment!$D$4:$D$502,"&lt;&gt;"&amp;""),"")</f>
        <v/>
      </c>
      <c r="J202" s="96" t="str">
        <f>IF(A202&lt;&gt;"",SUMIFS(deployment!$I$4:$I$502, deployment!$D$4:$D$502,"="&amp;A202, deployment!$D$4:$D$502,"&lt;&gt;"&amp;""),"")</f>
        <v/>
      </c>
      <c r="K202" s="112" t="str">
        <f>IF(A202&lt;&gt;"",SUMIFS(deployment!$J$4:$J$502, deployment!$D$4:$D$502,"="&amp;A202, deployment!$D$4:$D$502,"&lt;&gt;"&amp;""),"")</f>
        <v/>
      </c>
      <c r="L202" s="112" t="str">
        <f>IF(A202&lt;&gt;"",SUMIFS(deployment!$K$4:$K$502, deployment!$D$4:$D$502,"="&amp;A202, deployment!$D$4:$D$502,"&lt;&gt;"&amp;""),"")</f>
        <v/>
      </c>
      <c r="M202" s="97" t="str">
        <f>IF(A202&lt;&gt;"",SUMIFS(deployment!$L$4:$L$502, deployment!$D$4:$D$502,"="&amp;A202, deployment!$D$4:$D$502,"&lt;&gt;"&amp;""),"")</f>
        <v/>
      </c>
      <c r="N202" s="97" t="str">
        <f>IF(A202&lt;&gt;"",SUMIFS(deployment!$M$4:$M$502, deployment!$D$4:$D$502,"="&amp;A202, deployment!$D$4:$D$502,"&lt;&gt;"&amp;""),"")</f>
        <v/>
      </c>
      <c r="O202" s="127" t="str">
        <f t="shared" si="47"/>
        <v/>
      </c>
      <c r="P202" s="104"/>
      <c r="Q202" s="99" t="str">
        <f t="shared" si="36"/>
        <v/>
      </c>
      <c r="R202" s="100" t="str">
        <f t="shared" si="37"/>
        <v/>
      </c>
      <c r="S202" s="100" t="str">
        <f t="shared" si="38"/>
        <v/>
      </c>
      <c r="T202" s="101" t="str">
        <f t="shared" si="39"/>
        <v/>
      </c>
      <c r="U202" s="101" t="str">
        <f t="shared" si="40"/>
        <v/>
      </c>
      <c r="V202" s="128" t="str">
        <f t="shared" si="41"/>
        <v/>
      </c>
      <c r="W202" s="128" t="str">
        <f t="shared" si="42"/>
        <v/>
      </c>
      <c r="X202" s="101" t="str">
        <f t="shared" si="43"/>
        <v/>
      </c>
      <c r="Y202" s="101" t="str">
        <f t="shared" si="44"/>
        <v/>
      </c>
      <c r="Z202" s="102" t="str">
        <f t="shared" si="45"/>
        <v/>
      </c>
      <c r="AA202" s="103" t="str">
        <f t="shared" si="46"/>
        <v/>
      </c>
      <c r="AB202" s="142" t="str">
        <f>IF(A202&lt;&gt;"", SUMIFS(node!$J$2:$J$500, node!$C$2:$C$500,"="&amp;A202)/P202, "")</f>
        <v/>
      </c>
      <c r="AC202" s="134" t="str">
        <f>IF(A202&lt;&gt;"", SUMIFS(node!$K$2:$K$500, node!$C$2:$C$500,"="&amp;A202)/P202, "")</f>
        <v/>
      </c>
      <c r="AD202" s="135" t="str">
        <f>IF(A202&lt;&gt;"", SUMIFS(node!$L$2:$L$500, node!$C$2:$C$500,"="&amp;A202), "")</f>
        <v/>
      </c>
      <c r="AE202" s="145" t="str">
        <f>IF(A202&lt;&gt;"", SUMIFS(node!$M$2:$M$500, node!$C$2:$C$500,"="&amp;A202), "")</f>
        <v/>
      </c>
    </row>
    <row r="203" spans="1:31" ht="15.75" customHeight="1" x14ac:dyDescent="0.25">
      <c r="A203" s="119" t="str">
        <f>IF(ISNONTEXT(node_raw[[#This Row],[Column2]]), "", node_raw[[#This Row],[Column2]])</f>
        <v/>
      </c>
      <c r="B203" s="116" t="str">
        <f>IF(A203&lt;&gt;"", VLOOKUP(A203, node!$C$2:$D$500, 2, FALSE), "")</f>
        <v/>
      </c>
      <c r="C203" s="117" t="str">
        <f>IF(A203&lt;&gt;"", VLOOKUP(A203, node!$C$2:$E$500, 3, FALSE), "")</f>
        <v/>
      </c>
      <c r="D203" s="118" t="str">
        <f>IF(A203&lt;&gt;"",COUNTIFS(node!$C$2:$C$500,"="&amp;A203, node!$C$2:$C$500,"&lt;&gt;"&amp;""),"")</f>
        <v/>
      </c>
      <c r="E203" s="122" t="str">
        <f>IF(A203&lt;&gt;"",SUMIFS(node!$F$2:$F$500, node!$C$2:$C$500,"="&amp;A203, node!$C$2:$C$500,"&lt;&gt;"&amp;"")/(B203*D203),"")</f>
        <v/>
      </c>
      <c r="F203" s="124" t="str">
        <f>IF(A203&lt;&gt;"",SUMIFS(node!$H$2:$H$500, node!$C$2:$C$500,"="&amp;A203, node!$C$2:$C$500,"&lt;&gt;"&amp;"")/(C203*D203),"")</f>
        <v/>
      </c>
      <c r="G203" s="93" t="str">
        <f>IF(A203&lt;&gt;"",SUMIFS(deployment!$F$4:$F$502, deployment!$D$4:$D$502,"="&amp;A203, deployment!$D$4:$D$502,"&lt;&gt;"&amp;""),"")</f>
        <v/>
      </c>
      <c r="H203" s="94" t="str">
        <f>IF(A203&lt;&gt;"",SUMIFS(deployment!$G$4:$G$502, deployment!$D$4:$D$502,"="&amp;A203, deployment!$D$4:$D$502,"&lt;&gt;"&amp;""),"")</f>
        <v/>
      </c>
      <c r="I203" s="95" t="str">
        <f>IF(A203&lt;&gt;"",SUMIFS(deployment!$H$4:$H$502, deployment!$D$4:$D$502,"="&amp;A203, deployment!$D$4:$D$502,"&lt;&gt;"&amp;""),"")</f>
        <v/>
      </c>
      <c r="J203" s="96" t="str">
        <f>IF(A203&lt;&gt;"",SUMIFS(deployment!$I$4:$I$502, deployment!$D$4:$D$502,"="&amp;A203, deployment!$D$4:$D$502,"&lt;&gt;"&amp;""),"")</f>
        <v/>
      </c>
      <c r="K203" s="112" t="str">
        <f>IF(A203&lt;&gt;"",SUMIFS(deployment!$J$4:$J$502, deployment!$D$4:$D$502,"="&amp;A203, deployment!$D$4:$D$502,"&lt;&gt;"&amp;""),"")</f>
        <v/>
      </c>
      <c r="L203" s="112" t="str">
        <f>IF(A203&lt;&gt;"",SUMIFS(deployment!$K$4:$K$502, deployment!$D$4:$D$502,"="&amp;A203, deployment!$D$4:$D$502,"&lt;&gt;"&amp;""),"")</f>
        <v/>
      </c>
      <c r="M203" s="97" t="str">
        <f>IF(A203&lt;&gt;"",SUMIFS(deployment!$L$4:$L$502, deployment!$D$4:$D$502,"="&amp;A203, deployment!$D$4:$D$502,"&lt;&gt;"&amp;""),"")</f>
        <v/>
      </c>
      <c r="N203" s="97" t="str">
        <f>IF(A203&lt;&gt;"",SUMIFS(deployment!$M$4:$M$502, deployment!$D$4:$D$502,"="&amp;A203, deployment!$D$4:$D$502,"&lt;&gt;"&amp;""),"")</f>
        <v/>
      </c>
      <c r="O203" s="127" t="str">
        <f t="shared" si="47"/>
        <v/>
      </c>
      <c r="P203" s="104"/>
      <c r="Q203" s="99" t="str">
        <f t="shared" si="36"/>
        <v/>
      </c>
      <c r="R203" s="100" t="str">
        <f t="shared" si="37"/>
        <v/>
      </c>
      <c r="S203" s="100" t="str">
        <f t="shared" si="38"/>
        <v/>
      </c>
      <c r="T203" s="101" t="str">
        <f t="shared" si="39"/>
        <v/>
      </c>
      <c r="U203" s="101" t="str">
        <f t="shared" si="40"/>
        <v/>
      </c>
      <c r="V203" s="128" t="str">
        <f t="shared" si="41"/>
        <v/>
      </c>
      <c r="W203" s="128" t="str">
        <f t="shared" si="42"/>
        <v/>
      </c>
      <c r="X203" s="101" t="str">
        <f t="shared" si="43"/>
        <v/>
      </c>
      <c r="Y203" s="101" t="str">
        <f t="shared" si="44"/>
        <v/>
      </c>
      <c r="Z203" s="102" t="str">
        <f t="shared" si="45"/>
        <v/>
      </c>
      <c r="AA203" s="103" t="str">
        <f t="shared" si="46"/>
        <v/>
      </c>
      <c r="AB203" s="142" t="str">
        <f>IF(A203&lt;&gt;"", SUMIFS(node!$J$2:$J$500, node!$C$2:$C$500,"="&amp;A203)/P203, "")</f>
        <v/>
      </c>
      <c r="AC203" s="134" t="str">
        <f>IF(A203&lt;&gt;"", SUMIFS(node!$K$2:$K$500, node!$C$2:$C$500,"="&amp;A203)/P203, "")</f>
        <v/>
      </c>
      <c r="AD203" s="135" t="str">
        <f>IF(A203&lt;&gt;"", SUMIFS(node!$L$2:$L$500, node!$C$2:$C$500,"="&amp;A203), "")</f>
        <v/>
      </c>
      <c r="AE203" s="145" t="str">
        <f>IF(A203&lt;&gt;"", SUMIFS(node!$M$2:$M$500, node!$C$2:$C$500,"="&amp;A203), "")</f>
        <v/>
      </c>
    </row>
    <row r="204" spans="1:31" ht="15.75" customHeight="1" x14ac:dyDescent="0.25">
      <c r="A204" s="119" t="str">
        <f>IF(ISNONTEXT(node_raw[[#This Row],[Column2]]), "", node_raw[[#This Row],[Column2]])</f>
        <v/>
      </c>
      <c r="B204" s="116" t="str">
        <f>IF(A204&lt;&gt;"", VLOOKUP(A204, node!$C$2:$D$500, 2, FALSE), "")</f>
        <v/>
      </c>
      <c r="C204" s="117" t="str">
        <f>IF(A204&lt;&gt;"", VLOOKUP(A204, node!$C$2:$E$500, 3, FALSE), "")</f>
        <v/>
      </c>
      <c r="D204" s="118" t="str">
        <f>IF(A204&lt;&gt;"",COUNTIFS(node!$C$2:$C$500,"="&amp;A204, node!$C$2:$C$500,"&lt;&gt;"&amp;""),"")</f>
        <v/>
      </c>
      <c r="E204" s="122" t="str">
        <f>IF(A204&lt;&gt;"",SUMIFS(node!$F$2:$F$500, node!$C$2:$C$500,"="&amp;A204, node!$C$2:$C$500,"&lt;&gt;"&amp;"")/(B204*D204),"")</f>
        <v/>
      </c>
      <c r="F204" s="124" t="str">
        <f>IF(A204&lt;&gt;"",SUMIFS(node!$H$2:$H$500, node!$C$2:$C$500,"="&amp;A204, node!$C$2:$C$500,"&lt;&gt;"&amp;"")/(C204*D204),"")</f>
        <v/>
      </c>
      <c r="G204" s="93" t="str">
        <f>IF(A204&lt;&gt;"",SUMIFS(deployment!$F$4:$F$502, deployment!$D$4:$D$502,"="&amp;A204, deployment!$D$4:$D$502,"&lt;&gt;"&amp;""),"")</f>
        <v/>
      </c>
      <c r="H204" s="94" t="str">
        <f>IF(A204&lt;&gt;"",SUMIFS(deployment!$G$4:$G$502, deployment!$D$4:$D$502,"="&amp;A204, deployment!$D$4:$D$502,"&lt;&gt;"&amp;""),"")</f>
        <v/>
      </c>
      <c r="I204" s="95" t="str">
        <f>IF(A204&lt;&gt;"",SUMIFS(deployment!$H$4:$H$502, deployment!$D$4:$D$502,"="&amp;A204, deployment!$D$4:$D$502,"&lt;&gt;"&amp;""),"")</f>
        <v/>
      </c>
      <c r="J204" s="96" t="str">
        <f>IF(A204&lt;&gt;"",SUMIFS(deployment!$I$4:$I$502, deployment!$D$4:$D$502,"="&amp;A204, deployment!$D$4:$D$502,"&lt;&gt;"&amp;""),"")</f>
        <v/>
      </c>
      <c r="K204" s="112" t="str">
        <f>IF(A204&lt;&gt;"",SUMIFS(deployment!$J$4:$J$502, deployment!$D$4:$D$502,"="&amp;A204, deployment!$D$4:$D$502,"&lt;&gt;"&amp;""),"")</f>
        <v/>
      </c>
      <c r="L204" s="112" t="str">
        <f>IF(A204&lt;&gt;"",SUMIFS(deployment!$K$4:$K$502, deployment!$D$4:$D$502,"="&amp;A204, deployment!$D$4:$D$502,"&lt;&gt;"&amp;""),"")</f>
        <v/>
      </c>
      <c r="M204" s="97" t="str">
        <f>IF(A204&lt;&gt;"",SUMIFS(deployment!$L$4:$L$502, deployment!$D$4:$D$502,"="&amp;A204, deployment!$D$4:$D$502,"&lt;&gt;"&amp;""),"")</f>
        <v/>
      </c>
      <c r="N204" s="97" t="str">
        <f>IF(A204&lt;&gt;"",SUMIFS(deployment!$M$4:$M$502, deployment!$D$4:$D$502,"="&amp;A204, deployment!$D$4:$D$502,"&lt;&gt;"&amp;""),"")</f>
        <v/>
      </c>
      <c r="O204" s="127" t="str">
        <f t="shared" si="47"/>
        <v/>
      </c>
      <c r="P204" s="104"/>
      <c r="Q204" s="99" t="str">
        <f t="shared" si="36"/>
        <v/>
      </c>
      <c r="R204" s="100" t="str">
        <f t="shared" si="37"/>
        <v/>
      </c>
      <c r="S204" s="100" t="str">
        <f t="shared" si="38"/>
        <v/>
      </c>
      <c r="T204" s="101" t="str">
        <f t="shared" si="39"/>
        <v/>
      </c>
      <c r="U204" s="101" t="str">
        <f t="shared" si="40"/>
        <v/>
      </c>
      <c r="V204" s="128" t="str">
        <f t="shared" si="41"/>
        <v/>
      </c>
      <c r="W204" s="128" t="str">
        <f t="shared" si="42"/>
        <v/>
      </c>
      <c r="X204" s="101" t="str">
        <f t="shared" si="43"/>
        <v/>
      </c>
      <c r="Y204" s="101" t="str">
        <f t="shared" si="44"/>
        <v/>
      </c>
      <c r="Z204" s="102" t="str">
        <f t="shared" si="45"/>
        <v/>
      </c>
      <c r="AA204" s="103" t="str">
        <f t="shared" si="46"/>
        <v/>
      </c>
      <c r="AB204" s="142" t="str">
        <f>IF(A204&lt;&gt;"", SUMIFS(node!$J$2:$J$500, node!$C$2:$C$500,"="&amp;A204)/P204, "")</f>
        <v/>
      </c>
      <c r="AC204" s="134" t="str">
        <f>IF(A204&lt;&gt;"", SUMIFS(node!$K$2:$K$500, node!$C$2:$C$500,"="&amp;A204)/P204, "")</f>
        <v/>
      </c>
      <c r="AD204" s="135" t="str">
        <f>IF(A204&lt;&gt;"", SUMIFS(node!$L$2:$L$500, node!$C$2:$C$500,"="&amp;A204), "")</f>
        <v/>
      </c>
      <c r="AE204" s="145" t="str">
        <f>IF(A204&lt;&gt;"", SUMIFS(node!$M$2:$M$500, node!$C$2:$C$500,"="&amp;A204), "")</f>
        <v/>
      </c>
    </row>
    <row r="205" spans="1:31" ht="15.75" customHeight="1" x14ac:dyDescent="0.25">
      <c r="A205" s="119" t="str">
        <f>IF(ISNONTEXT(node_raw[[#This Row],[Column2]]), "", node_raw[[#This Row],[Column2]])</f>
        <v/>
      </c>
      <c r="B205" s="116" t="str">
        <f>IF(A205&lt;&gt;"", VLOOKUP(A205, node!$C$2:$D$500, 2, FALSE), "")</f>
        <v/>
      </c>
      <c r="C205" s="117" t="str">
        <f>IF(A205&lt;&gt;"", VLOOKUP(A205, node!$C$2:$E$500, 3, FALSE), "")</f>
        <v/>
      </c>
      <c r="D205" s="118" t="str">
        <f>IF(A205&lt;&gt;"",COUNTIFS(node!$C$2:$C$500,"="&amp;A205, node!$C$2:$C$500,"&lt;&gt;"&amp;""),"")</f>
        <v/>
      </c>
      <c r="E205" s="122" t="str">
        <f>IF(A205&lt;&gt;"",SUMIFS(node!$F$2:$F$500, node!$C$2:$C$500,"="&amp;A205, node!$C$2:$C$500,"&lt;&gt;"&amp;"")/(B205*D205),"")</f>
        <v/>
      </c>
      <c r="F205" s="124" t="str">
        <f>IF(A205&lt;&gt;"",SUMIFS(node!$H$2:$H$500, node!$C$2:$C$500,"="&amp;A205, node!$C$2:$C$500,"&lt;&gt;"&amp;"")/(C205*D205),"")</f>
        <v/>
      </c>
      <c r="G205" s="93" t="str">
        <f>IF(A205&lt;&gt;"",SUMIFS(deployment!$F$4:$F$502, deployment!$D$4:$D$502,"="&amp;A205, deployment!$D$4:$D$502,"&lt;&gt;"&amp;""),"")</f>
        <v/>
      </c>
      <c r="H205" s="94" t="str">
        <f>IF(A205&lt;&gt;"",SUMIFS(deployment!$G$4:$G$502, deployment!$D$4:$D$502,"="&amp;A205, deployment!$D$4:$D$502,"&lt;&gt;"&amp;""),"")</f>
        <v/>
      </c>
      <c r="I205" s="95" t="str">
        <f>IF(A205&lt;&gt;"",SUMIFS(deployment!$H$4:$H$502, deployment!$D$4:$D$502,"="&amp;A205, deployment!$D$4:$D$502,"&lt;&gt;"&amp;""),"")</f>
        <v/>
      </c>
      <c r="J205" s="96" t="str">
        <f>IF(A205&lt;&gt;"",SUMIFS(deployment!$I$4:$I$502, deployment!$D$4:$D$502,"="&amp;A205, deployment!$D$4:$D$502,"&lt;&gt;"&amp;""),"")</f>
        <v/>
      </c>
      <c r="K205" s="112" t="str">
        <f>IF(A205&lt;&gt;"",SUMIFS(deployment!$J$4:$J$502, deployment!$D$4:$D$502,"="&amp;A205, deployment!$D$4:$D$502,"&lt;&gt;"&amp;""),"")</f>
        <v/>
      </c>
      <c r="L205" s="112" t="str">
        <f>IF(A205&lt;&gt;"",SUMIFS(deployment!$K$4:$K$502, deployment!$D$4:$D$502,"="&amp;A205, deployment!$D$4:$D$502,"&lt;&gt;"&amp;""),"")</f>
        <v/>
      </c>
      <c r="M205" s="97" t="str">
        <f>IF(A205&lt;&gt;"",SUMIFS(deployment!$L$4:$L$502, deployment!$D$4:$D$502,"="&amp;A205, deployment!$D$4:$D$502,"&lt;&gt;"&amp;""),"")</f>
        <v/>
      </c>
      <c r="N205" s="97" t="str">
        <f>IF(A205&lt;&gt;"",SUMIFS(deployment!$M$4:$M$502, deployment!$D$4:$D$502,"="&amp;A205, deployment!$D$4:$D$502,"&lt;&gt;"&amp;""),"")</f>
        <v/>
      </c>
      <c r="O205" s="127" t="str">
        <f t="shared" si="47"/>
        <v/>
      </c>
      <c r="P205" s="104"/>
      <c r="Q205" s="99" t="str">
        <f t="shared" si="36"/>
        <v/>
      </c>
      <c r="R205" s="100" t="str">
        <f t="shared" si="37"/>
        <v/>
      </c>
      <c r="S205" s="100" t="str">
        <f t="shared" si="38"/>
        <v/>
      </c>
      <c r="T205" s="101" t="str">
        <f t="shared" si="39"/>
        <v/>
      </c>
      <c r="U205" s="101" t="str">
        <f t="shared" si="40"/>
        <v/>
      </c>
      <c r="V205" s="128" t="str">
        <f t="shared" si="41"/>
        <v/>
      </c>
      <c r="W205" s="128" t="str">
        <f t="shared" si="42"/>
        <v/>
      </c>
      <c r="X205" s="101" t="str">
        <f t="shared" si="43"/>
        <v/>
      </c>
      <c r="Y205" s="101" t="str">
        <f t="shared" si="44"/>
        <v/>
      </c>
      <c r="Z205" s="102" t="str">
        <f t="shared" si="45"/>
        <v/>
      </c>
      <c r="AA205" s="103" t="str">
        <f t="shared" si="46"/>
        <v/>
      </c>
      <c r="AB205" s="142" t="str">
        <f>IF(A205&lt;&gt;"", SUMIFS(node!$J$2:$J$500, node!$C$2:$C$500,"="&amp;A205)/P205, "")</f>
        <v/>
      </c>
      <c r="AC205" s="134" t="str">
        <f>IF(A205&lt;&gt;"", SUMIFS(node!$K$2:$K$500, node!$C$2:$C$500,"="&amp;A205)/P205, "")</f>
        <v/>
      </c>
      <c r="AD205" s="135" t="str">
        <f>IF(A205&lt;&gt;"", SUMIFS(node!$L$2:$L$500, node!$C$2:$C$500,"="&amp;A205), "")</f>
        <v/>
      </c>
      <c r="AE205" s="145" t="str">
        <f>IF(A205&lt;&gt;"", SUMIFS(node!$M$2:$M$500, node!$C$2:$C$500,"="&amp;A205), "")</f>
        <v/>
      </c>
    </row>
    <row r="206" spans="1:31" ht="15.75" customHeight="1" x14ac:dyDescent="0.25">
      <c r="A206" s="119" t="str">
        <f>IF(ISNONTEXT(node_raw[[#This Row],[Column2]]), "", node_raw[[#This Row],[Column2]])</f>
        <v/>
      </c>
      <c r="B206" s="116" t="str">
        <f>IF(A206&lt;&gt;"", VLOOKUP(A206, node!$C$2:$D$500, 2, FALSE), "")</f>
        <v/>
      </c>
      <c r="C206" s="117" t="str">
        <f>IF(A206&lt;&gt;"", VLOOKUP(A206, node!$C$2:$E$500, 3, FALSE), "")</f>
        <v/>
      </c>
      <c r="D206" s="118" t="str">
        <f>IF(A206&lt;&gt;"",COUNTIFS(node!$C$2:$C$500,"="&amp;A206, node!$C$2:$C$500,"&lt;&gt;"&amp;""),"")</f>
        <v/>
      </c>
      <c r="E206" s="122" t="str">
        <f>IF(A206&lt;&gt;"",SUMIFS(node!$F$2:$F$500, node!$C$2:$C$500,"="&amp;A206, node!$C$2:$C$500,"&lt;&gt;"&amp;"")/(B206*D206),"")</f>
        <v/>
      </c>
      <c r="F206" s="124" t="str">
        <f>IF(A206&lt;&gt;"",SUMIFS(node!$H$2:$H$500, node!$C$2:$C$500,"="&amp;A206, node!$C$2:$C$500,"&lt;&gt;"&amp;"")/(C206*D206),"")</f>
        <v/>
      </c>
      <c r="G206" s="93" t="str">
        <f>IF(A206&lt;&gt;"",SUMIFS(deployment!$F$4:$F$502, deployment!$D$4:$D$502,"="&amp;A206, deployment!$D$4:$D$502,"&lt;&gt;"&amp;""),"")</f>
        <v/>
      </c>
      <c r="H206" s="94" t="str">
        <f>IF(A206&lt;&gt;"",SUMIFS(deployment!$G$4:$G$502, deployment!$D$4:$D$502,"="&amp;A206, deployment!$D$4:$D$502,"&lt;&gt;"&amp;""),"")</f>
        <v/>
      </c>
      <c r="I206" s="95" t="str">
        <f>IF(A206&lt;&gt;"",SUMIFS(deployment!$H$4:$H$502, deployment!$D$4:$D$502,"="&amp;A206, deployment!$D$4:$D$502,"&lt;&gt;"&amp;""),"")</f>
        <v/>
      </c>
      <c r="J206" s="96" t="str">
        <f>IF(A206&lt;&gt;"",SUMIFS(deployment!$I$4:$I$502, deployment!$D$4:$D$502,"="&amp;A206, deployment!$D$4:$D$502,"&lt;&gt;"&amp;""),"")</f>
        <v/>
      </c>
      <c r="K206" s="112" t="str">
        <f>IF(A206&lt;&gt;"",SUMIFS(deployment!$J$4:$J$502, deployment!$D$4:$D$502,"="&amp;A206, deployment!$D$4:$D$502,"&lt;&gt;"&amp;""),"")</f>
        <v/>
      </c>
      <c r="L206" s="112" t="str">
        <f>IF(A206&lt;&gt;"",SUMIFS(deployment!$K$4:$K$502, deployment!$D$4:$D$502,"="&amp;A206, deployment!$D$4:$D$502,"&lt;&gt;"&amp;""),"")</f>
        <v/>
      </c>
      <c r="M206" s="97" t="str">
        <f>IF(A206&lt;&gt;"",SUMIFS(deployment!$L$4:$L$502, deployment!$D$4:$D$502,"="&amp;A206, deployment!$D$4:$D$502,"&lt;&gt;"&amp;""),"")</f>
        <v/>
      </c>
      <c r="N206" s="97" t="str">
        <f>IF(A206&lt;&gt;"",SUMIFS(deployment!$M$4:$M$502, deployment!$D$4:$D$502,"="&amp;A206, deployment!$D$4:$D$502,"&lt;&gt;"&amp;""),"")</f>
        <v/>
      </c>
      <c r="O206" s="127" t="str">
        <f t="shared" si="47"/>
        <v/>
      </c>
      <c r="P206" s="104"/>
      <c r="Q206" s="99" t="str">
        <f t="shared" si="36"/>
        <v/>
      </c>
      <c r="R206" s="100" t="str">
        <f t="shared" si="37"/>
        <v/>
      </c>
      <c r="S206" s="100" t="str">
        <f t="shared" si="38"/>
        <v/>
      </c>
      <c r="T206" s="101" t="str">
        <f t="shared" si="39"/>
        <v/>
      </c>
      <c r="U206" s="101" t="str">
        <f t="shared" si="40"/>
        <v/>
      </c>
      <c r="V206" s="128" t="str">
        <f t="shared" si="41"/>
        <v/>
      </c>
      <c r="W206" s="128" t="str">
        <f t="shared" si="42"/>
        <v/>
      </c>
      <c r="X206" s="101" t="str">
        <f t="shared" si="43"/>
        <v/>
      </c>
      <c r="Y206" s="101" t="str">
        <f t="shared" si="44"/>
        <v/>
      </c>
      <c r="Z206" s="102" t="str">
        <f t="shared" si="45"/>
        <v/>
      </c>
      <c r="AA206" s="103" t="str">
        <f t="shared" si="46"/>
        <v/>
      </c>
      <c r="AB206" s="142" t="str">
        <f>IF(A206&lt;&gt;"", SUMIFS(node!$J$2:$J$500, node!$C$2:$C$500,"="&amp;A206)/P206, "")</f>
        <v/>
      </c>
      <c r="AC206" s="134" t="str">
        <f>IF(A206&lt;&gt;"", SUMIFS(node!$K$2:$K$500, node!$C$2:$C$500,"="&amp;A206)/P206, "")</f>
        <v/>
      </c>
      <c r="AD206" s="135" t="str">
        <f>IF(A206&lt;&gt;"", SUMIFS(node!$L$2:$L$500, node!$C$2:$C$500,"="&amp;A206), "")</f>
        <v/>
      </c>
      <c r="AE206" s="145" t="str">
        <f>IF(A206&lt;&gt;"", SUMIFS(node!$M$2:$M$500, node!$C$2:$C$500,"="&amp;A206), "")</f>
        <v/>
      </c>
    </row>
    <row r="207" spans="1:31" ht="15.75" customHeight="1" x14ac:dyDescent="0.25">
      <c r="A207" s="119" t="str">
        <f>IF(ISNONTEXT(node_raw[[#This Row],[Column2]]), "", node_raw[[#This Row],[Column2]])</f>
        <v/>
      </c>
      <c r="B207" s="116" t="str">
        <f>IF(A207&lt;&gt;"", VLOOKUP(A207, node!$C$2:$D$500, 2, FALSE), "")</f>
        <v/>
      </c>
      <c r="C207" s="117" t="str">
        <f>IF(A207&lt;&gt;"", VLOOKUP(A207, node!$C$2:$E$500, 3, FALSE), "")</f>
        <v/>
      </c>
      <c r="D207" s="118" t="str">
        <f>IF(A207&lt;&gt;"",COUNTIFS(node!$C$2:$C$500,"="&amp;A207, node!$C$2:$C$500,"&lt;&gt;"&amp;""),"")</f>
        <v/>
      </c>
      <c r="E207" s="122" t="str">
        <f>IF(A207&lt;&gt;"",SUMIFS(node!$F$2:$F$500, node!$C$2:$C$500,"="&amp;A207, node!$C$2:$C$500,"&lt;&gt;"&amp;"")/(B207*D207),"")</f>
        <v/>
      </c>
      <c r="F207" s="124" t="str">
        <f>IF(A207&lt;&gt;"",SUMIFS(node!$H$2:$H$500, node!$C$2:$C$500,"="&amp;A207, node!$C$2:$C$500,"&lt;&gt;"&amp;"")/(C207*D207),"")</f>
        <v/>
      </c>
      <c r="G207" s="93" t="str">
        <f>IF(A207&lt;&gt;"",SUMIFS(deployment!$F$4:$F$502, deployment!$D$4:$D$502,"="&amp;A207, deployment!$D$4:$D$502,"&lt;&gt;"&amp;""),"")</f>
        <v/>
      </c>
      <c r="H207" s="94" t="str">
        <f>IF(A207&lt;&gt;"",SUMIFS(deployment!$G$4:$G$502, deployment!$D$4:$D$502,"="&amp;A207, deployment!$D$4:$D$502,"&lt;&gt;"&amp;""),"")</f>
        <v/>
      </c>
      <c r="I207" s="95" t="str">
        <f>IF(A207&lt;&gt;"",SUMIFS(deployment!$H$4:$H$502, deployment!$D$4:$D$502,"="&amp;A207, deployment!$D$4:$D$502,"&lt;&gt;"&amp;""),"")</f>
        <v/>
      </c>
      <c r="J207" s="96" t="str">
        <f>IF(A207&lt;&gt;"",SUMIFS(deployment!$I$4:$I$502, deployment!$D$4:$D$502,"="&amp;A207, deployment!$D$4:$D$502,"&lt;&gt;"&amp;""),"")</f>
        <v/>
      </c>
      <c r="K207" s="112" t="str">
        <f>IF(A207&lt;&gt;"",SUMIFS(deployment!$J$4:$J$502, deployment!$D$4:$D$502,"="&amp;A207, deployment!$D$4:$D$502,"&lt;&gt;"&amp;""),"")</f>
        <v/>
      </c>
      <c r="L207" s="112" t="str">
        <f>IF(A207&lt;&gt;"",SUMIFS(deployment!$K$4:$K$502, deployment!$D$4:$D$502,"="&amp;A207, deployment!$D$4:$D$502,"&lt;&gt;"&amp;""),"")</f>
        <v/>
      </c>
      <c r="M207" s="97" t="str">
        <f>IF(A207&lt;&gt;"",SUMIFS(deployment!$L$4:$L$502, deployment!$D$4:$D$502,"="&amp;A207, deployment!$D$4:$D$502,"&lt;&gt;"&amp;""),"")</f>
        <v/>
      </c>
      <c r="N207" s="97" t="str">
        <f>IF(A207&lt;&gt;"",SUMIFS(deployment!$M$4:$M$502, deployment!$D$4:$D$502,"="&amp;A207, deployment!$D$4:$D$502,"&lt;&gt;"&amp;""),"")</f>
        <v/>
      </c>
      <c r="O207" s="127" t="str">
        <f t="shared" si="47"/>
        <v/>
      </c>
      <c r="P207" s="104"/>
      <c r="Q207" s="99" t="str">
        <f t="shared" si="36"/>
        <v/>
      </c>
      <c r="R207" s="100" t="str">
        <f t="shared" si="37"/>
        <v/>
      </c>
      <c r="S207" s="100" t="str">
        <f t="shared" si="38"/>
        <v/>
      </c>
      <c r="T207" s="101" t="str">
        <f t="shared" si="39"/>
        <v/>
      </c>
      <c r="U207" s="101" t="str">
        <f t="shared" si="40"/>
        <v/>
      </c>
      <c r="V207" s="128" t="str">
        <f t="shared" si="41"/>
        <v/>
      </c>
      <c r="W207" s="128" t="str">
        <f t="shared" si="42"/>
        <v/>
      </c>
      <c r="X207" s="101" t="str">
        <f t="shared" si="43"/>
        <v/>
      </c>
      <c r="Y207" s="101" t="str">
        <f t="shared" si="44"/>
        <v/>
      </c>
      <c r="Z207" s="102" t="str">
        <f t="shared" si="45"/>
        <v/>
      </c>
      <c r="AA207" s="103" t="str">
        <f t="shared" si="46"/>
        <v/>
      </c>
      <c r="AB207" s="142" t="str">
        <f>IF(A207&lt;&gt;"", SUMIFS(node!$J$2:$J$500, node!$C$2:$C$500,"="&amp;A207)/P207, "")</f>
        <v/>
      </c>
      <c r="AC207" s="134" t="str">
        <f>IF(A207&lt;&gt;"", SUMIFS(node!$K$2:$K$500, node!$C$2:$C$500,"="&amp;A207)/P207, "")</f>
        <v/>
      </c>
      <c r="AD207" s="135" t="str">
        <f>IF(A207&lt;&gt;"", SUMIFS(node!$L$2:$L$500, node!$C$2:$C$500,"="&amp;A207), "")</f>
        <v/>
      </c>
      <c r="AE207" s="145" t="str">
        <f>IF(A207&lt;&gt;"", SUMIFS(node!$M$2:$M$500, node!$C$2:$C$500,"="&amp;A207), "")</f>
        <v/>
      </c>
    </row>
    <row r="208" spans="1:31" ht="15.75" customHeight="1" x14ac:dyDescent="0.25">
      <c r="A208" s="119" t="str">
        <f>IF(ISNONTEXT(node_raw[[#This Row],[Column2]]), "", node_raw[[#This Row],[Column2]])</f>
        <v/>
      </c>
      <c r="B208" s="116" t="str">
        <f>IF(A208&lt;&gt;"", VLOOKUP(A208, node!$C$2:$D$500, 2, FALSE), "")</f>
        <v/>
      </c>
      <c r="C208" s="117" t="str">
        <f>IF(A208&lt;&gt;"", VLOOKUP(A208, node!$C$2:$E$500, 3, FALSE), "")</f>
        <v/>
      </c>
      <c r="D208" s="118" t="str">
        <f>IF(A208&lt;&gt;"",COUNTIFS(node!$C$2:$C$500,"="&amp;A208, node!$C$2:$C$500,"&lt;&gt;"&amp;""),"")</f>
        <v/>
      </c>
      <c r="E208" s="122" t="str">
        <f>IF(A208&lt;&gt;"",SUMIFS(node!$F$2:$F$500, node!$C$2:$C$500,"="&amp;A208, node!$C$2:$C$500,"&lt;&gt;"&amp;"")/(B208*D208),"")</f>
        <v/>
      </c>
      <c r="F208" s="124" t="str">
        <f>IF(A208&lt;&gt;"",SUMIFS(node!$H$2:$H$500, node!$C$2:$C$500,"="&amp;A208, node!$C$2:$C$500,"&lt;&gt;"&amp;"")/(C208*D208),"")</f>
        <v/>
      </c>
      <c r="G208" s="93" t="str">
        <f>IF(A208&lt;&gt;"",SUMIFS(deployment!$F$4:$F$502, deployment!$D$4:$D$502,"="&amp;A208, deployment!$D$4:$D$502,"&lt;&gt;"&amp;""),"")</f>
        <v/>
      </c>
      <c r="H208" s="94" t="str">
        <f>IF(A208&lt;&gt;"",SUMIFS(deployment!$G$4:$G$502, deployment!$D$4:$D$502,"="&amp;A208, deployment!$D$4:$D$502,"&lt;&gt;"&amp;""),"")</f>
        <v/>
      </c>
      <c r="I208" s="95" t="str">
        <f>IF(A208&lt;&gt;"",SUMIFS(deployment!$H$4:$H$502, deployment!$D$4:$D$502,"="&amp;A208, deployment!$D$4:$D$502,"&lt;&gt;"&amp;""),"")</f>
        <v/>
      </c>
      <c r="J208" s="96" t="str">
        <f>IF(A208&lt;&gt;"",SUMIFS(deployment!$I$4:$I$502, deployment!$D$4:$D$502,"="&amp;A208, deployment!$D$4:$D$502,"&lt;&gt;"&amp;""),"")</f>
        <v/>
      </c>
      <c r="K208" s="112" t="str">
        <f>IF(A208&lt;&gt;"",SUMIFS(deployment!$J$4:$J$502, deployment!$D$4:$D$502,"="&amp;A208, deployment!$D$4:$D$502,"&lt;&gt;"&amp;""),"")</f>
        <v/>
      </c>
      <c r="L208" s="112" t="str">
        <f>IF(A208&lt;&gt;"",SUMIFS(deployment!$K$4:$K$502, deployment!$D$4:$D$502,"="&amp;A208, deployment!$D$4:$D$502,"&lt;&gt;"&amp;""),"")</f>
        <v/>
      </c>
      <c r="M208" s="97" t="str">
        <f>IF(A208&lt;&gt;"",SUMIFS(deployment!$L$4:$L$502, deployment!$D$4:$D$502,"="&amp;A208, deployment!$D$4:$D$502,"&lt;&gt;"&amp;""),"")</f>
        <v/>
      </c>
      <c r="N208" s="97" t="str">
        <f>IF(A208&lt;&gt;"",SUMIFS(deployment!$M$4:$M$502, deployment!$D$4:$D$502,"="&amp;A208, deployment!$D$4:$D$502,"&lt;&gt;"&amp;""),"")</f>
        <v/>
      </c>
      <c r="O208" s="127" t="str">
        <f t="shared" si="47"/>
        <v/>
      </c>
      <c r="P208" s="104"/>
      <c r="Q208" s="99" t="str">
        <f t="shared" si="36"/>
        <v/>
      </c>
      <c r="R208" s="100" t="str">
        <f t="shared" si="37"/>
        <v/>
      </c>
      <c r="S208" s="100" t="str">
        <f t="shared" si="38"/>
        <v/>
      </c>
      <c r="T208" s="101" t="str">
        <f t="shared" si="39"/>
        <v/>
      </c>
      <c r="U208" s="101" t="str">
        <f t="shared" si="40"/>
        <v/>
      </c>
      <c r="V208" s="128" t="str">
        <f t="shared" si="41"/>
        <v/>
      </c>
      <c r="W208" s="128" t="str">
        <f t="shared" si="42"/>
        <v/>
      </c>
      <c r="X208" s="101" t="str">
        <f t="shared" si="43"/>
        <v/>
      </c>
      <c r="Y208" s="101" t="str">
        <f t="shared" si="44"/>
        <v/>
      </c>
      <c r="Z208" s="102" t="str">
        <f t="shared" si="45"/>
        <v/>
      </c>
      <c r="AA208" s="103" t="str">
        <f t="shared" si="46"/>
        <v/>
      </c>
      <c r="AB208" s="142" t="str">
        <f>IF(A208&lt;&gt;"", SUMIFS(node!$J$2:$J$500, node!$C$2:$C$500,"="&amp;A208)/P208, "")</f>
        <v/>
      </c>
      <c r="AC208" s="134" t="str">
        <f>IF(A208&lt;&gt;"", SUMIFS(node!$K$2:$K$500, node!$C$2:$C$500,"="&amp;A208)/P208, "")</f>
        <v/>
      </c>
      <c r="AD208" s="135" t="str">
        <f>IF(A208&lt;&gt;"", SUMIFS(node!$L$2:$L$500, node!$C$2:$C$500,"="&amp;A208), "")</f>
        <v/>
      </c>
      <c r="AE208" s="145" t="str">
        <f>IF(A208&lt;&gt;"", SUMIFS(node!$M$2:$M$500, node!$C$2:$C$500,"="&amp;A208), "")</f>
        <v/>
      </c>
    </row>
    <row r="209" spans="1:31" ht="15.75" customHeight="1" x14ac:dyDescent="0.25">
      <c r="A209" s="119" t="str">
        <f>IF(ISNONTEXT(node_raw[[#This Row],[Column2]]), "", node_raw[[#This Row],[Column2]])</f>
        <v/>
      </c>
      <c r="B209" s="116" t="str">
        <f>IF(A209&lt;&gt;"", VLOOKUP(A209, node!$C$2:$D$500, 2, FALSE), "")</f>
        <v/>
      </c>
      <c r="C209" s="117" t="str">
        <f>IF(A209&lt;&gt;"", VLOOKUP(A209, node!$C$2:$E$500, 3, FALSE), "")</f>
        <v/>
      </c>
      <c r="D209" s="118" t="str">
        <f>IF(A209&lt;&gt;"",COUNTIFS(node!$C$2:$C$500,"="&amp;A209, node!$C$2:$C$500,"&lt;&gt;"&amp;""),"")</f>
        <v/>
      </c>
      <c r="E209" s="122" t="str">
        <f>IF(A209&lt;&gt;"",SUMIFS(node!$F$2:$F$500, node!$C$2:$C$500,"="&amp;A209, node!$C$2:$C$500,"&lt;&gt;"&amp;"")/(B209*D209),"")</f>
        <v/>
      </c>
      <c r="F209" s="124" t="str">
        <f>IF(A209&lt;&gt;"",SUMIFS(node!$H$2:$H$500, node!$C$2:$C$500,"="&amp;A209, node!$C$2:$C$500,"&lt;&gt;"&amp;"")/(C209*D209),"")</f>
        <v/>
      </c>
      <c r="G209" s="93" t="str">
        <f>IF(A209&lt;&gt;"",SUMIFS(deployment!$F$4:$F$502, deployment!$D$4:$D$502,"="&amp;A209, deployment!$D$4:$D$502,"&lt;&gt;"&amp;""),"")</f>
        <v/>
      </c>
      <c r="H209" s="94" t="str">
        <f>IF(A209&lt;&gt;"",SUMIFS(deployment!$G$4:$G$502, deployment!$D$4:$D$502,"="&amp;A209, deployment!$D$4:$D$502,"&lt;&gt;"&amp;""),"")</f>
        <v/>
      </c>
      <c r="I209" s="95" t="str">
        <f>IF(A209&lt;&gt;"",SUMIFS(deployment!$H$4:$H$502, deployment!$D$4:$D$502,"="&amp;A209, deployment!$D$4:$D$502,"&lt;&gt;"&amp;""),"")</f>
        <v/>
      </c>
      <c r="J209" s="96" t="str">
        <f>IF(A209&lt;&gt;"",SUMIFS(deployment!$I$4:$I$502, deployment!$D$4:$D$502,"="&amp;A209, deployment!$D$4:$D$502,"&lt;&gt;"&amp;""),"")</f>
        <v/>
      </c>
      <c r="K209" s="112" t="str">
        <f>IF(A209&lt;&gt;"",SUMIFS(deployment!$J$4:$J$502, deployment!$D$4:$D$502,"="&amp;A209, deployment!$D$4:$D$502,"&lt;&gt;"&amp;""),"")</f>
        <v/>
      </c>
      <c r="L209" s="112" t="str">
        <f>IF(A209&lt;&gt;"",SUMIFS(deployment!$K$4:$K$502, deployment!$D$4:$D$502,"="&amp;A209, deployment!$D$4:$D$502,"&lt;&gt;"&amp;""),"")</f>
        <v/>
      </c>
      <c r="M209" s="97" t="str">
        <f>IF(A209&lt;&gt;"",SUMIFS(deployment!$L$4:$L$502, deployment!$D$4:$D$502,"="&amp;A209, deployment!$D$4:$D$502,"&lt;&gt;"&amp;""),"")</f>
        <v/>
      </c>
      <c r="N209" s="97" t="str">
        <f>IF(A209&lt;&gt;"",SUMIFS(deployment!$M$4:$M$502, deployment!$D$4:$D$502,"="&amp;A209, deployment!$D$4:$D$502,"&lt;&gt;"&amp;""),"")</f>
        <v/>
      </c>
      <c r="O209" s="127" t="str">
        <f t="shared" si="47"/>
        <v/>
      </c>
      <c r="P209" s="104"/>
      <c r="Q209" s="99" t="str">
        <f t="shared" si="36"/>
        <v/>
      </c>
      <c r="R209" s="100" t="str">
        <f t="shared" si="37"/>
        <v/>
      </c>
      <c r="S209" s="100" t="str">
        <f t="shared" si="38"/>
        <v/>
      </c>
      <c r="T209" s="101" t="str">
        <f t="shared" si="39"/>
        <v/>
      </c>
      <c r="U209" s="101" t="str">
        <f t="shared" si="40"/>
        <v/>
      </c>
      <c r="V209" s="128" t="str">
        <f t="shared" si="41"/>
        <v/>
      </c>
      <c r="W209" s="128" t="str">
        <f t="shared" si="42"/>
        <v/>
      </c>
      <c r="X209" s="101" t="str">
        <f t="shared" si="43"/>
        <v/>
      </c>
      <c r="Y209" s="101" t="str">
        <f t="shared" si="44"/>
        <v/>
      </c>
      <c r="Z209" s="102" t="str">
        <f t="shared" si="45"/>
        <v/>
      </c>
      <c r="AA209" s="103" t="str">
        <f t="shared" si="46"/>
        <v/>
      </c>
      <c r="AB209" s="142" t="str">
        <f>IF(A209&lt;&gt;"", SUMIFS(node!$J$2:$J$500, node!$C$2:$C$500,"="&amp;A209)/P209, "")</f>
        <v/>
      </c>
      <c r="AC209" s="134" t="str">
        <f>IF(A209&lt;&gt;"", SUMIFS(node!$K$2:$K$500, node!$C$2:$C$500,"="&amp;A209)/P209, "")</f>
        <v/>
      </c>
      <c r="AD209" s="135" t="str">
        <f>IF(A209&lt;&gt;"", SUMIFS(node!$L$2:$L$500, node!$C$2:$C$500,"="&amp;A209), "")</f>
        <v/>
      </c>
      <c r="AE209" s="145" t="str">
        <f>IF(A209&lt;&gt;"", SUMIFS(node!$M$2:$M$500, node!$C$2:$C$500,"="&amp;A209), "")</f>
        <v/>
      </c>
    </row>
    <row r="210" spans="1:31" ht="15.75" customHeight="1" x14ac:dyDescent="0.25">
      <c r="A210" s="119" t="str">
        <f>IF(ISNONTEXT(node_raw[[#This Row],[Column2]]), "", node_raw[[#This Row],[Column2]])</f>
        <v/>
      </c>
      <c r="B210" s="116" t="str">
        <f>IF(A210&lt;&gt;"", VLOOKUP(A210, node!$C$2:$D$500, 2, FALSE), "")</f>
        <v/>
      </c>
      <c r="C210" s="117" t="str">
        <f>IF(A210&lt;&gt;"", VLOOKUP(A210, node!$C$2:$E$500, 3, FALSE), "")</f>
        <v/>
      </c>
      <c r="D210" s="118" t="str">
        <f>IF(A210&lt;&gt;"",COUNTIFS(node!$C$2:$C$500,"="&amp;A210, node!$C$2:$C$500,"&lt;&gt;"&amp;""),"")</f>
        <v/>
      </c>
      <c r="E210" s="122" t="str">
        <f>IF(A210&lt;&gt;"",SUMIFS(node!$F$2:$F$500, node!$C$2:$C$500,"="&amp;A210, node!$C$2:$C$500,"&lt;&gt;"&amp;"")/(B210*D210),"")</f>
        <v/>
      </c>
      <c r="F210" s="124" t="str">
        <f>IF(A210&lt;&gt;"",SUMIFS(node!$H$2:$H$500, node!$C$2:$C$500,"="&amp;A210, node!$C$2:$C$500,"&lt;&gt;"&amp;"")/(C210*D210),"")</f>
        <v/>
      </c>
      <c r="G210" s="93" t="str">
        <f>IF(A210&lt;&gt;"",SUMIFS(deployment!$F$4:$F$502, deployment!$D$4:$D$502,"="&amp;A210, deployment!$D$4:$D$502,"&lt;&gt;"&amp;""),"")</f>
        <v/>
      </c>
      <c r="H210" s="94" t="str">
        <f>IF(A210&lt;&gt;"",SUMIFS(deployment!$G$4:$G$502, deployment!$D$4:$D$502,"="&amp;A210, deployment!$D$4:$D$502,"&lt;&gt;"&amp;""),"")</f>
        <v/>
      </c>
      <c r="I210" s="95" t="str">
        <f>IF(A210&lt;&gt;"",SUMIFS(deployment!$H$4:$H$502, deployment!$D$4:$D$502,"="&amp;A210, deployment!$D$4:$D$502,"&lt;&gt;"&amp;""),"")</f>
        <v/>
      </c>
      <c r="J210" s="96" t="str">
        <f>IF(A210&lt;&gt;"",SUMIFS(deployment!$I$4:$I$502, deployment!$D$4:$D$502,"="&amp;A210, deployment!$D$4:$D$502,"&lt;&gt;"&amp;""),"")</f>
        <v/>
      </c>
      <c r="K210" s="112" t="str">
        <f>IF(A210&lt;&gt;"",SUMIFS(deployment!$J$4:$J$502, deployment!$D$4:$D$502,"="&amp;A210, deployment!$D$4:$D$502,"&lt;&gt;"&amp;""),"")</f>
        <v/>
      </c>
      <c r="L210" s="112" t="str">
        <f>IF(A210&lt;&gt;"",SUMIFS(deployment!$K$4:$K$502, deployment!$D$4:$D$502,"="&amp;A210, deployment!$D$4:$D$502,"&lt;&gt;"&amp;""),"")</f>
        <v/>
      </c>
      <c r="M210" s="97" t="str">
        <f>IF(A210&lt;&gt;"",SUMIFS(deployment!$L$4:$L$502, deployment!$D$4:$D$502,"="&amp;A210, deployment!$D$4:$D$502,"&lt;&gt;"&amp;""),"")</f>
        <v/>
      </c>
      <c r="N210" s="97" t="str">
        <f>IF(A210&lt;&gt;"",SUMIFS(deployment!$M$4:$M$502, deployment!$D$4:$D$502,"="&amp;A210, deployment!$D$4:$D$502,"&lt;&gt;"&amp;""),"")</f>
        <v/>
      </c>
      <c r="O210" s="127" t="str">
        <f t="shared" si="47"/>
        <v/>
      </c>
      <c r="P210" s="104"/>
      <c r="Q210" s="99" t="str">
        <f t="shared" si="36"/>
        <v/>
      </c>
      <c r="R210" s="100" t="str">
        <f t="shared" si="37"/>
        <v/>
      </c>
      <c r="S210" s="100" t="str">
        <f t="shared" si="38"/>
        <v/>
      </c>
      <c r="T210" s="101" t="str">
        <f t="shared" si="39"/>
        <v/>
      </c>
      <c r="U210" s="101" t="str">
        <f t="shared" si="40"/>
        <v/>
      </c>
      <c r="V210" s="128" t="str">
        <f t="shared" si="41"/>
        <v/>
      </c>
      <c r="W210" s="128" t="str">
        <f t="shared" si="42"/>
        <v/>
      </c>
      <c r="X210" s="101" t="str">
        <f t="shared" si="43"/>
        <v/>
      </c>
      <c r="Y210" s="101" t="str">
        <f t="shared" si="44"/>
        <v/>
      </c>
      <c r="Z210" s="102" t="str">
        <f t="shared" si="45"/>
        <v/>
      </c>
      <c r="AA210" s="103" t="str">
        <f t="shared" si="46"/>
        <v/>
      </c>
      <c r="AB210" s="142" t="str">
        <f>IF(A210&lt;&gt;"", SUMIFS(node!$J$2:$J$500, node!$C$2:$C$500,"="&amp;A210)/P210, "")</f>
        <v/>
      </c>
      <c r="AC210" s="134" t="str">
        <f>IF(A210&lt;&gt;"", SUMIFS(node!$K$2:$K$500, node!$C$2:$C$500,"="&amp;A210)/P210, "")</f>
        <v/>
      </c>
      <c r="AD210" s="135" t="str">
        <f>IF(A210&lt;&gt;"", SUMIFS(node!$L$2:$L$500, node!$C$2:$C$500,"="&amp;A210), "")</f>
        <v/>
      </c>
      <c r="AE210" s="145" t="str">
        <f>IF(A210&lt;&gt;"", SUMIFS(node!$M$2:$M$500, node!$C$2:$C$500,"="&amp;A210), "")</f>
        <v/>
      </c>
    </row>
    <row r="211" spans="1:31" ht="15.75" customHeight="1" x14ac:dyDescent="0.25">
      <c r="A211" s="119" t="str">
        <f>IF(ISNONTEXT(node_raw[[#This Row],[Column2]]), "", node_raw[[#This Row],[Column2]])</f>
        <v/>
      </c>
      <c r="B211" s="116" t="str">
        <f>IF(A211&lt;&gt;"", VLOOKUP(A211, node!$C$2:$D$500, 2, FALSE), "")</f>
        <v/>
      </c>
      <c r="C211" s="117" t="str">
        <f>IF(A211&lt;&gt;"", VLOOKUP(A211, node!$C$2:$E$500, 3, FALSE), "")</f>
        <v/>
      </c>
      <c r="D211" s="118" t="str">
        <f>IF(A211&lt;&gt;"",COUNTIFS(node!$C$2:$C$500,"="&amp;A211, node!$C$2:$C$500,"&lt;&gt;"&amp;""),"")</f>
        <v/>
      </c>
      <c r="E211" s="122" t="str">
        <f>IF(A211&lt;&gt;"",SUMIFS(node!$F$2:$F$500, node!$C$2:$C$500,"="&amp;A211, node!$C$2:$C$500,"&lt;&gt;"&amp;"")/(B211*D211),"")</f>
        <v/>
      </c>
      <c r="F211" s="124" t="str">
        <f>IF(A211&lt;&gt;"",SUMIFS(node!$H$2:$H$500, node!$C$2:$C$500,"="&amp;A211, node!$C$2:$C$500,"&lt;&gt;"&amp;"")/(C211*D211),"")</f>
        <v/>
      </c>
      <c r="G211" s="93" t="str">
        <f>IF(A211&lt;&gt;"",SUMIFS(deployment!$F$4:$F$502, deployment!$D$4:$D$502,"="&amp;A211, deployment!$D$4:$D$502,"&lt;&gt;"&amp;""),"")</f>
        <v/>
      </c>
      <c r="H211" s="94" t="str">
        <f>IF(A211&lt;&gt;"",SUMIFS(deployment!$G$4:$G$502, deployment!$D$4:$D$502,"="&amp;A211, deployment!$D$4:$D$502,"&lt;&gt;"&amp;""),"")</f>
        <v/>
      </c>
      <c r="I211" s="95" t="str">
        <f>IF(A211&lt;&gt;"",SUMIFS(deployment!$H$4:$H$502, deployment!$D$4:$D$502,"="&amp;A211, deployment!$D$4:$D$502,"&lt;&gt;"&amp;""),"")</f>
        <v/>
      </c>
      <c r="J211" s="96" t="str">
        <f>IF(A211&lt;&gt;"",SUMIFS(deployment!$I$4:$I$502, deployment!$D$4:$D$502,"="&amp;A211, deployment!$D$4:$D$502,"&lt;&gt;"&amp;""),"")</f>
        <v/>
      </c>
      <c r="K211" s="112" t="str">
        <f>IF(A211&lt;&gt;"",SUMIFS(deployment!$J$4:$J$502, deployment!$D$4:$D$502,"="&amp;A211, deployment!$D$4:$D$502,"&lt;&gt;"&amp;""),"")</f>
        <v/>
      </c>
      <c r="L211" s="112" t="str">
        <f>IF(A211&lt;&gt;"",SUMIFS(deployment!$K$4:$K$502, deployment!$D$4:$D$502,"="&amp;A211, deployment!$D$4:$D$502,"&lt;&gt;"&amp;""),"")</f>
        <v/>
      </c>
      <c r="M211" s="97" t="str">
        <f>IF(A211&lt;&gt;"",SUMIFS(deployment!$L$4:$L$502, deployment!$D$4:$D$502,"="&amp;A211, deployment!$D$4:$D$502,"&lt;&gt;"&amp;""),"")</f>
        <v/>
      </c>
      <c r="N211" s="97" t="str">
        <f>IF(A211&lt;&gt;"",SUMIFS(deployment!$M$4:$M$502, deployment!$D$4:$D$502,"="&amp;A211, deployment!$D$4:$D$502,"&lt;&gt;"&amp;""),"")</f>
        <v/>
      </c>
      <c r="O211" s="127" t="str">
        <f t="shared" si="47"/>
        <v/>
      </c>
      <c r="P211" s="104"/>
      <c r="Q211" s="99" t="str">
        <f t="shared" si="36"/>
        <v/>
      </c>
      <c r="R211" s="100" t="str">
        <f t="shared" si="37"/>
        <v/>
      </c>
      <c r="S211" s="100" t="str">
        <f t="shared" si="38"/>
        <v/>
      </c>
      <c r="T211" s="101" t="str">
        <f t="shared" si="39"/>
        <v/>
      </c>
      <c r="U211" s="101" t="str">
        <f t="shared" si="40"/>
        <v/>
      </c>
      <c r="V211" s="128" t="str">
        <f t="shared" si="41"/>
        <v/>
      </c>
      <c r="W211" s="128" t="str">
        <f t="shared" si="42"/>
        <v/>
      </c>
      <c r="X211" s="101" t="str">
        <f t="shared" si="43"/>
        <v/>
      </c>
      <c r="Y211" s="101" t="str">
        <f t="shared" si="44"/>
        <v/>
      </c>
      <c r="Z211" s="102" t="str">
        <f t="shared" si="45"/>
        <v/>
      </c>
      <c r="AA211" s="103" t="str">
        <f t="shared" si="46"/>
        <v/>
      </c>
      <c r="AB211" s="142" t="str">
        <f>IF(A211&lt;&gt;"", SUMIFS(node!$J$2:$J$500, node!$C$2:$C$500,"="&amp;A211)/P211, "")</f>
        <v/>
      </c>
      <c r="AC211" s="134" t="str">
        <f>IF(A211&lt;&gt;"", SUMIFS(node!$K$2:$K$500, node!$C$2:$C$500,"="&amp;A211)/P211, "")</f>
        <v/>
      </c>
      <c r="AD211" s="135" t="str">
        <f>IF(A211&lt;&gt;"", SUMIFS(node!$L$2:$L$500, node!$C$2:$C$500,"="&amp;A211), "")</f>
        <v/>
      </c>
      <c r="AE211" s="145" t="str">
        <f>IF(A211&lt;&gt;"", SUMIFS(node!$M$2:$M$500, node!$C$2:$C$500,"="&amp;A211), "")</f>
        <v/>
      </c>
    </row>
    <row r="212" spans="1:31" ht="15.75" customHeight="1" x14ac:dyDescent="0.25">
      <c r="A212" s="119" t="str">
        <f>IF(ISNONTEXT(node_raw[[#This Row],[Column2]]), "", node_raw[[#This Row],[Column2]])</f>
        <v/>
      </c>
      <c r="B212" s="116" t="str">
        <f>IF(A212&lt;&gt;"", VLOOKUP(A212, node!$C$2:$D$500, 2, FALSE), "")</f>
        <v/>
      </c>
      <c r="C212" s="117" t="str">
        <f>IF(A212&lt;&gt;"", VLOOKUP(A212, node!$C$2:$E$500, 3, FALSE), "")</f>
        <v/>
      </c>
      <c r="D212" s="118" t="str">
        <f>IF(A212&lt;&gt;"",COUNTIFS(node!$C$2:$C$500,"="&amp;A212, node!$C$2:$C$500,"&lt;&gt;"&amp;""),"")</f>
        <v/>
      </c>
      <c r="E212" s="122" t="str">
        <f>IF(A212&lt;&gt;"",SUMIFS(node!$F$2:$F$500, node!$C$2:$C$500,"="&amp;A212, node!$C$2:$C$500,"&lt;&gt;"&amp;"")/(B212*D212),"")</f>
        <v/>
      </c>
      <c r="F212" s="124" t="str">
        <f>IF(A212&lt;&gt;"",SUMIFS(node!$H$2:$H$500, node!$C$2:$C$500,"="&amp;A212, node!$C$2:$C$500,"&lt;&gt;"&amp;"")/(C212*D212),"")</f>
        <v/>
      </c>
      <c r="G212" s="93" t="str">
        <f>IF(A212&lt;&gt;"",SUMIFS(deployment!$F$4:$F$502, deployment!$D$4:$D$502,"="&amp;A212, deployment!$D$4:$D$502,"&lt;&gt;"&amp;""),"")</f>
        <v/>
      </c>
      <c r="H212" s="94" t="str">
        <f>IF(A212&lt;&gt;"",SUMIFS(deployment!$G$4:$G$502, deployment!$D$4:$D$502,"="&amp;A212, deployment!$D$4:$D$502,"&lt;&gt;"&amp;""),"")</f>
        <v/>
      </c>
      <c r="I212" s="95" t="str">
        <f>IF(A212&lt;&gt;"",SUMIFS(deployment!$H$4:$H$502, deployment!$D$4:$D$502,"="&amp;A212, deployment!$D$4:$D$502,"&lt;&gt;"&amp;""),"")</f>
        <v/>
      </c>
      <c r="J212" s="96" t="str">
        <f>IF(A212&lt;&gt;"",SUMIFS(deployment!$I$4:$I$502, deployment!$D$4:$D$502,"="&amp;A212, deployment!$D$4:$D$502,"&lt;&gt;"&amp;""),"")</f>
        <v/>
      </c>
      <c r="K212" s="112" t="str">
        <f>IF(A212&lt;&gt;"",SUMIFS(deployment!$J$4:$J$502, deployment!$D$4:$D$502,"="&amp;A212, deployment!$D$4:$D$502,"&lt;&gt;"&amp;""),"")</f>
        <v/>
      </c>
      <c r="L212" s="112" t="str">
        <f>IF(A212&lt;&gt;"",SUMIFS(deployment!$K$4:$K$502, deployment!$D$4:$D$502,"="&amp;A212, deployment!$D$4:$D$502,"&lt;&gt;"&amp;""),"")</f>
        <v/>
      </c>
      <c r="M212" s="97" t="str">
        <f>IF(A212&lt;&gt;"",SUMIFS(deployment!$L$4:$L$502, deployment!$D$4:$D$502,"="&amp;A212, deployment!$D$4:$D$502,"&lt;&gt;"&amp;""),"")</f>
        <v/>
      </c>
      <c r="N212" s="97" t="str">
        <f>IF(A212&lt;&gt;"",SUMIFS(deployment!$M$4:$M$502, deployment!$D$4:$D$502,"="&amp;A212, deployment!$D$4:$D$502,"&lt;&gt;"&amp;""),"")</f>
        <v/>
      </c>
      <c r="O212" s="127" t="str">
        <f t="shared" si="47"/>
        <v/>
      </c>
      <c r="P212" s="104"/>
      <c r="Q212" s="99" t="str">
        <f t="shared" si="36"/>
        <v/>
      </c>
      <c r="R212" s="100" t="str">
        <f t="shared" si="37"/>
        <v/>
      </c>
      <c r="S212" s="100" t="str">
        <f t="shared" si="38"/>
        <v/>
      </c>
      <c r="T212" s="101" t="str">
        <f t="shared" si="39"/>
        <v/>
      </c>
      <c r="U212" s="101" t="str">
        <f t="shared" si="40"/>
        <v/>
      </c>
      <c r="V212" s="128" t="str">
        <f t="shared" si="41"/>
        <v/>
      </c>
      <c r="W212" s="128" t="str">
        <f t="shared" si="42"/>
        <v/>
      </c>
      <c r="X212" s="101" t="str">
        <f t="shared" si="43"/>
        <v/>
      </c>
      <c r="Y212" s="101" t="str">
        <f t="shared" si="44"/>
        <v/>
      </c>
      <c r="Z212" s="102" t="str">
        <f t="shared" si="45"/>
        <v/>
      </c>
      <c r="AA212" s="103" t="str">
        <f t="shared" si="46"/>
        <v/>
      </c>
      <c r="AB212" s="142" t="str">
        <f>IF(A212&lt;&gt;"", SUMIFS(node!$J$2:$J$500, node!$C$2:$C$500,"="&amp;A212)/P212, "")</f>
        <v/>
      </c>
      <c r="AC212" s="134" t="str">
        <f>IF(A212&lt;&gt;"", SUMIFS(node!$K$2:$K$500, node!$C$2:$C$500,"="&amp;A212)/P212, "")</f>
        <v/>
      </c>
      <c r="AD212" s="135" t="str">
        <f>IF(A212&lt;&gt;"", SUMIFS(node!$L$2:$L$500, node!$C$2:$C$500,"="&amp;A212), "")</f>
        <v/>
      </c>
      <c r="AE212" s="145" t="str">
        <f>IF(A212&lt;&gt;"", SUMIFS(node!$M$2:$M$500, node!$C$2:$C$500,"="&amp;A212), "")</f>
        <v/>
      </c>
    </row>
    <row r="213" spans="1:31" ht="15.75" customHeight="1" x14ac:dyDescent="0.25">
      <c r="A213" s="119" t="str">
        <f>IF(ISNONTEXT(node_raw[[#This Row],[Column2]]), "", node_raw[[#This Row],[Column2]])</f>
        <v/>
      </c>
      <c r="B213" s="116" t="str">
        <f>IF(A213&lt;&gt;"", VLOOKUP(A213, node!$C$2:$D$500, 2, FALSE), "")</f>
        <v/>
      </c>
      <c r="C213" s="117" t="str">
        <f>IF(A213&lt;&gt;"", VLOOKUP(A213, node!$C$2:$E$500, 3, FALSE), "")</f>
        <v/>
      </c>
      <c r="D213" s="118" t="str">
        <f>IF(A213&lt;&gt;"",COUNTIFS(node!$C$2:$C$500,"="&amp;A213, node!$C$2:$C$500,"&lt;&gt;"&amp;""),"")</f>
        <v/>
      </c>
      <c r="E213" s="122" t="str">
        <f>IF(A213&lt;&gt;"",SUMIFS(node!$F$2:$F$500, node!$C$2:$C$500,"="&amp;A213, node!$C$2:$C$500,"&lt;&gt;"&amp;"")/(B213*D213),"")</f>
        <v/>
      </c>
      <c r="F213" s="124" t="str">
        <f>IF(A213&lt;&gt;"",SUMIFS(node!$H$2:$H$500, node!$C$2:$C$500,"="&amp;A213, node!$C$2:$C$500,"&lt;&gt;"&amp;"")/(C213*D213),"")</f>
        <v/>
      </c>
      <c r="G213" s="93" t="str">
        <f>IF(A213&lt;&gt;"",SUMIFS(deployment!$F$4:$F$502, deployment!$D$4:$D$502,"="&amp;A213, deployment!$D$4:$D$502,"&lt;&gt;"&amp;""),"")</f>
        <v/>
      </c>
      <c r="H213" s="94" t="str">
        <f>IF(A213&lt;&gt;"",SUMIFS(deployment!$G$4:$G$502, deployment!$D$4:$D$502,"="&amp;A213, deployment!$D$4:$D$502,"&lt;&gt;"&amp;""),"")</f>
        <v/>
      </c>
      <c r="I213" s="95" t="str">
        <f>IF(A213&lt;&gt;"",SUMIFS(deployment!$H$4:$H$502, deployment!$D$4:$D$502,"="&amp;A213, deployment!$D$4:$D$502,"&lt;&gt;"&amp;""),"")</f>
        <v/>
      </c>
      <c r="J213" s="96" t="str">
        <f>IF(A213&lt;&gt;"",SUMIFS(deployment!$I$4:$I$502, deployment!$D$4:$D$502,"="&amp;A213, deployment!$D$4:$D$502,"&lt;&gt;"&amp;""),"")</f>
        <v/>
      </c>
      <c r="K213" s="112" t="str">
        <f>IF(A213&lt;&gt;"",SUMIFS(deployment!$J$4:$J$502, deployment!$D$4:$D$502,"="&amp;A213, deployment!$D$4:$D$502,"&lt;&gt;"&amp;""),"")</f>
        <v/>
      </c>
      <c r="L213" s="112" t="str">
        <f>IF(A213&lt;&gt;"",SUMIFS(deployment!$K$4:$K$502, deployment!$D$4:$D$502,"="&amp;A213, deployment!$D$4:$D$502,"&lt;&gt;"&amp;""),"")</f>
        <v/>
      </c>
      <c r="M213" s="97" t="str">
        <f>IF(A213&lt;&gt;"",SUMIFS(deployment!$L$4:$L$502, deployment!$D$4:$D$502,"="&amp;A213, deployment!$D$4:$D$502,"&lt;&gt;"&amp;""),"")</f>
        <v/>
      </c>
      <c r="N213" s="97" t="str">
        <f>IF(A213&lt;&gt;"",SUMIFS(deployment!$M$4:$M$502, deployment!$D$4:$D$502,"="&amp;A213, deployment!$D$4:$D$502,"&lt;&gt;"&amp;""),"")</f>
        <v/>
      </c>
      <c r="O213" s="127" t="str">
        <f t="shared" si="47"/>
        <v/>
      </c>
      <c r="P213" s="104"/>
      <c r="Q213" s="99" t="str">
        <f t="shared" si="36"/>
        <v/>
      </c>
      <c r="R213" s="100" t="str">
        <f t="shared" si="37"/>
        <v/>
      </c>
      <c r="S213" s="100" t="str">
        <f t="shared" si="38"/>
        <v/>
      </c>
      <c r="T213" s="101" t="str">
        <f t="shared" si="39"/>
        <v/>
      </c>
      <c r="U213" s="101" t="str">
        <f t="shared" si="40"/>
        <v/>
      </c>
      <c r="V213" s="128" t="str">
        <f t="shared" si="41"/>
        <v/>
      </c>
      <c r="W213" s="128" t="str">
        <f t="shared" si="42"/>
        <v/>
      </c>
      <c r="X213" s="101" t="str">
        <f t="shared" si="43"/>
        <v/>
      </c>
      <c r="Y213" s="101" t="str">
        <f t="shared" si="44"/>
        <v/>
      </c>
      <c r="Z213" s="102" t="str">
        <f t="shared" si="45"/>
        <v/>
      </c>
      <c r="AA213" s="103" t="str">
        <f t="shared" si="46"/>
        <v/>
      </c>
      <c r="AB213" s="142" t="str">
        <f>IF(A213&lt;&gt;"", SUMIFS(node!$J$2:$J$500, node!$C$2:$C$500,"="&amp;A213)/P213, "")</f>
        <v/>
      </c>
      <c r="AC213" s="134" t="str">
        <f>IF(A213&lt;&gt;"", SUMIFS(node!$K$2:$K$500, node!$C$2:$C$500,"="&amp;A213)/P213, "")</f>
        <v/>
      </c>
      <c r="AD213" s="135" t="str">
        <f>IF(A213&lt;&gt;"", SUMIFS(node!$L$2:$L$500, node!$C$2:$C$500,"="&amp;A213), "")</f>
        <v/>
      </c>
      <c r="AE213" s="145" t="str">
        <f>IF(A213&lt;&gt;"", SUMIFS(node!$M$2:$M$500, node!$C$2:$C$500,"="&amp;A213), "")</f>
        <v/>
      </c>
    </row>
    <row r="214" spans="1:31" ht="15.75" customHeight="1" x14ac:dyDescent="0.25">
      <c r="A214" s="119" t="str">
        <f>IF(ISNONTEXT(node_raw[[#This Row],[Column2]]), "", node_raw[[#This Row],[Column2]])</f>
        <v/>
      </c>
      <c r="B214" s="116" t="str">
        <f>IF(A214&lt;&gt;"", VLOOKUP(A214, node!$C$2:$D$500, 2, FALSE), "")</f>
        <v/>
      </c>
      <c r="C214" s="117" t="str">
        <f>IF(A214&lt;&gt;"", VLOOKUP(A214, node!$C$2:$E$500, 3, FALSE), "")</f>
        <v/>
      </c>
      <c r="D214" s="118" t="str">
        <f>IF(A214&lt;&gt;"",COUNTIFS(node!$C$2:$C$500,"="&amp;A214, node!$C$2:$C$500,"&lt;&gt;"&amp;""),"")</f>
        <v/>
      </c>
      <c r="E214" s="122" t="str">
        <f>IF(A214&lt;&gt;"",SUMIFS(node!$F$2:$F$500, node!$C$2:$C$500,"="&amp;A214, node!$C$2:$C$500,"&lt;&gt;"&amp;"")/(B214*D214),"")</f>
        <v/>
      </c>
      <c r="F214" s="124" t="str">
        <f>IF(A214&lt;&gt;"",SUMIFS(node!$H$2:$H$500, node!$C$2:$C$500,"="&amp;A214, node!$C$2:$C$500,"&lt;&gt;"&amp;"")/(C214*D214),"")</f>
        <v/>
      </c>
      <c r="G214" s="93" t="str">
        <f>IF(A214&lt;&gt;"",SUMIFS(deployment!$F$4:$F$502, deployment!$D$4:$D$502,"="&amp;A214, deployment!$D$4:$D$502,"&lt;&gt;"&amp;""),"")</f>
        <v/>
      </c>
      <c r="H214" s="94" t="str">
        <f>IF(A214&lt;&gt;"",SUMIFS(deployment!$G$4:$G$502, deployment!$D$4:$D$502,"="&amp;A214, deployment!$D$4:$D$502,"&lt;&gt;"&amp;""),"")</f>
        <v/>
      </c>
      <c r="I214" s="95" t="str">
        <f>IF(A214&lt;&gt;"",SUMIFS(deployment!$H$4:$H$502, deployment!$D$4:$D$502,"="&amp;A214, deployment!$D$4:$D$502,"&lt;&gt;"&amp;""),"")</f>
        <v/>
      </c>
      <c r="J214" s="96" t="str">
        <f>IF(A214&lt;&gt;"",SUMIFS(deployment!$I$4:$I$502, deployment!$D$4:$D$502,"="&amp;A214, deployment!$D$4:$D$502,"&lt;&gt;"&amp;""),"")</f>
        <v/>
      </c>
      <c r="K214" s="112" t="str">
        <f>IF(A214&lt;&gt;"",SUMIFS(deployment!$J$4:$J$502, deployment!$D$4:$D$502,"="&amp;A214, deployment!$D$4:$D$502,"&lt;&gt;"&amp;""),"")</f>
        <v/>
      </c>
      <c r="L214" s="112" t="str">
        <f>IF(A214&lt;&gt;"",SUMIFS(deployment!$K$4:$K$502, deployment!$D$4:$D$502,"="&amp;A214, deployment!$D$4:$D$502,"&lt;&gt;"&amp;""),"")</f>
        <v/>
      </c>
      <c r="M214" s="97" t="str">
        <f>IF(A214&lt;&gt;"",SUMIFS(deployment!$L$4:$L$502, deployment!$D$4:$D$502,"="&amp;A214, deployment!$D$4:$D$502,"&lt;&gt;"&amp;""),"")</f>
        <v/>
      </c>
      <c r="N214" s="97" t="str">
        <f>IF(A214&lt;&gt;"",SUMIFS(deployment!$M$4:$M$502, deployment!$D$4:$D$502,"="&amp;A214, deployment!$D$4:$D$502,"&lt;&gt;"&amp;""),"")</f>
        <v/>
      </c>
      <c r="O214" s="127" t="str">
        <f t="shared" si="47"/>
        <v/>
      </c>
      <c r="P214" s="104"/>
      <c r="Q214" s="99" t="str">
        <f t="shared" si="36"/>
        <v/>
      </c>
      <c r="R214" s="100" t="str">
        <f t="shared" si="37"/>
        <v/>
      </c>
      <c r="S214" s="100" t="str">
        <f t="shared" si="38"/>
        <v/>
      </c>
      <c r="T214" s="101" t="str">
        <f t="shared" si="39"/>
        <v/>
      </c>
      <c r="U214" s="101" t="str">
        <f t="shared" si="40"/>
        <v/>
      </c>
      <c r="V214" s="128" t="str">
        <f t="shared" si="41"/>
        <v/>
      </c>
      <c r="W214" s="128" t="str">
        <f t="shared" si="42"/>
        <v/>
      </c>
      <c r="X214" s="101" t="str">
        <f t="shared" si="43"/>
        <v/>
      </c>
      <c r="Y214" s="101" t="str">
        <f t="shared" si="44"/>
        <v/>
      </c>
      <c r="Z214" s="102" t="str">
        <f t="shared" si="45"/>
        <v/>
      </c>
      <c r="AA214" s="103" t="str">
        <f t="shared" si="46"/>
        <v/>
      </c>
      <c r="AB214" s="142" t="str">
        <f>IF(A214&lt;&gt;"", SUMIFS(node!$J$2:$J$500, node!$C$2:$C$500,"="&amp;A214)/P214, "")</f>
        <v/>
      </c>
      <c r="AC214" s="134" t="str">
        <f>IF(A214&lt;&gt;"", SUMIFS(node!$K$2:$K$500, node!$C$2:$C$500,"="&amp;A214)/P214, "")</f>
        <v/>
      </c>
      <c r="AD214" s="135" t="str">
        <f>IF(A214&lt;&gt;"", SUMIFS(node!$L$2:$L$500, node!$C$2:$C$500,"="&amp;A214), "")</f>
        <v/>
      </c>
      <c r="AE214" s="145" t="str">
        <f>IF(A214&lt;&gt;"", SUMIFS(node!$M$2:$M$500, node!$C$2:$C$500,"="&amp;A214), "")</f>
        <v/>
      </c>
    </row>
    <row r="215" spans="1:31" ht="15.75" customHeight="1" x14ac:dyDescent="0.25">
      <c r="A215" s="119" t="str">
        <f>IF(ISNONTEXT(node_raw[[#This Row],[Column2]]), "", node_raw[[#This Row],[Column2]])</f>
        <v/>
      </c>
      <c r="B215" s="116" t="str">
        <f>IF(A215&lt;&gt;"", VLOOKUP(A215, node!$C$2:$D$500, 2, FALSE), "")</f>
        <v/>
      </c>
      <c r="C215" s="117" t="str">
        <f>IF(A215&lt;&gt;"", VLOOKUP(A215, node!$C$2:$E$500, 3, FALSE), "")</f>
        <v/>
      </c>
      <c r="D215" s="118" t="str">
        <f>IF(A215&lt;&gt;"",COUNTIFS(node!$C$2:$C$500,"="&amp;A215, node!$C$2:$C$500,"&lt;&gt;"&amp;""),"")</f>
        <v/>
      </c>
      <c r="E215" s="122" t="str">
        <f>IF(A215&lt;&gt;"",SUMIFS(node!$F$2:$F$500, node!$C$2:$C$500,"="&amp;A215, node!$C$2:$C$500,"&lt;&gt;"&amp;"")/(B215*D215),"")</f>
        <v/>
      </c>
      <c r="F215" s="124" t="str">
        <f>IF(A215&lt;&gt;"",SUMIFS(node!$H$2:$H$500, node!$C$2:$C$500,"="&amp;A215, node!$C$2:$C$500,"&lt;&gt;"&amp;"")/(C215*D215),"")</f>
        <v/>
      </c>
      <c r="G215" s="93" t="str">
        <f>IF(A215&lt;&gt;"",SUMIFS(deployment!$F$4:$F$502, deployment!$D$4:$D$502,"="&amp;A215, deployment!$D$4:$D$502,"&lt;&gt;"&amp;""),"")</f>
        <v/>
      </c>
      <c r="H215" s="94" t="str">
        <f>IF(A215&lt;&gt;"",SUMIFS(deployment!$G$4:$G$502, deployment!$D$4:$D$502,"="&amp;A215, deployment!$D$4:$D$502,"&lt;&gt;"&amp;""),"")</f>
        <v/>
      </c>
      <c r="I215" s="95" t="str">
        <f>IF(A215&lt;&gt;"",SUMIFS(deployment!$H$4:$H$502, deployment!$D$4:$D$502,"="&amp;A215, deployment!$D$4:$D$502,"&lt;&gt;"&amp;""),"")</f>
        <v/>
      </c>
      <c r="J215" s="96" t="str">
        <f>IF(A215&lt;&gt;"",SUMIFS(deployment!$I$4:$I$502, deployment!$D$4:$D$502,"="&amp;A215, deployment!$D$4:$D$502,"&lt;&gt;"&amp;""),"")</f>
        <v/>
      </c>
      <c r="K215" s="112" t="str">
        <f>IF(A215&lt;&gt;"",SUMIFS(deployment!$J$4:$J$502, deployment!$D$4:$D$502,"="&amp;A215, deployment!$D$4:$D$502,"&lt;&gt;"&amp;""),"")</f>
        <v/>
      </c>
      <c r="L215" s="112" t="str">
        <f>IF(A215&lt;&gt;"",SUMIFS(deployment!$K$4:$K$502, deployment!$D$4:$D$502,"="&amp;A215, deployment!$D$4:$D$502,"&lt;&gt;"&amp;""),"")</f>
        <v/>
      </c>
      <c r="M215" s="97" t="str">
        <f>IF(A215&lt;&gt;"",SUMIFS(deployment!$L$4:$L$502, deployment!$D$4:$D$502,"="&amp;A215, deployment!$D$4:$D$502,"&lt;&gt;"&amp;""),"")</f>
        <v/>
      </c>
      <c r="N215" s="97" t="str">
        <f>IF(A215&lt;&gt;"",SUMIFS(deployment!$M$4:$M$502, deployment!$D$4:$D$502,"="&amp;A215, deployment!$D$4:$D$502,"&lt;&gt;"&amp;""),"")</f>
        <v/>
      </c>
      <c r="O215" s="127" t="str">
        <f t="shared" si="47"/>
        <v/>
      </c>
      <c r="P215" s="104"/>
      <c r="Q215" s="99" t="str">
        <f t="shared" si="36"/>
        <v/>
      </c>
      <c r="R215" s="100" t="str">
        <f t="shared" si="37"/>
        <v/>
      </c>
      <c r="S215" s="100" t="str">
        <f t="shared" si="38"/>
        <v/>
      </c>
      <c r="T215" s="101" t="str">
        <f t="shared" si="39"/>
        <v/>
      </c>
      <c r="U215" s="101" t="str">
        <f t="shared" si="40"/>
        <v/>
      </c>
      <c r="V215" s="128" t="str">
        <f t="shared" si="41"/>
        <v/>
      </c>
      <c r="W215" s="128" t="str">
        <f t="shared" si="42"/>
        <v/>
      </c>
      <c r="X215" s="101" t="str">
        <f t="shared" si="43"/>
        <v/>
      </c>
      <c r="Y215" s="101" t="str">
        <f t="shared" si="44"/>
        <v/>
      </c>
      <c r="Z215" s="102" t="str">
        <f t="shared" si="45"/>
        <v/>
      </c>
      <c r="AA215" s="103" t="str">
        <f t="shared" si="46"/>
        <v/>
      </c>
      <c r="AB215" s="142" t="str">
        <f>IF(A215&lt;&gt;"", SUMIFS(node!$J$2:$J$500, node!$C$2:$C$500,"="&amp;A215)/P215, "")</f>
        <v/>
      </c>
      <c r="AC215" s="134" t="str">
        <f>IF(A215&lt;&gt;"", SUMIFS(node!$K$2:$K$500, node!$C$2:$C$500,"="&amp;A215)/P215, "")</f>
        <v/>
      </c>
      <c r="AD215" s="135" t="str">
        <f>IF(A215&lt;&gt;"", SUMIFS(node!$L$2:$L$500, node!$C$2:$C$500,"="&amp;A215), "")</f>
        <v/>
      </c>
      <c r="AE215" s="145" t="str">
        <f>IF(A215&lt;&gt;"", SUMIFS(node!$M$2:$M$500, node!$C$2:$C$500,"="&amp;A215), "")</f>
        <v/>
      </c>
    </row>
    <row r="216" spans="1:31" ht="15.75" customHeight="1" x14ac:dyDescent="0.25">
      <c r="A216" s="119" t="str">
        <f>IF(ISNONTEXT(node_raw[[#This Row],[Column2]]), "", node_raw[[#This Row],[Column2]])</f>
        <v/>
      </c>
      <c r="B216" s="116" t="str">
        <f>IF(A216&lt;&gt;"", VLOOKUP(A216, node!$C$2:$D$500, 2, FALSE), "")</f>
        <v/>
      </c>
      <c r="C216" s="117" t="str">
        <f>IF(A216&lt;&gt;"", VLOOKUP(A216, node!$C$2:$E$500, 3, FALSE), "")</f>
        <v/>
      </c>
      <c r="D216" s="118" t="str">
        <f>IF(A216&lt;&gt;"",COUNTIFS(node!$C$2:$C$500,"="&amp;A216, node!$C$2:$C$500,"&lt;&gt;"&amp;""),"")</f>
        <v/>
      </c>
      <c r="E216" s="122" t="str">
        <f>IF(A216&lt;&gt;"",SUMIFS(node!$F$2:$F$500, node!$C$2:$C$500,"="&amp;A216, node!$C$2:$C$500,"&lt;&gt;"&amp;"")/(B216*D216),"")</f>
        <v/>
      </c>
      <c r="F216" s="124" t="str">
        <f>IF(A216&lt;&gt;"",SUMIFS(node!$H$2:$H$500, node!$C$2:$C$500,"="&amp;A216, node!$C$2:$C$500,"&lt;&gt;"&amp;"")/(C216*D216),"")</f>
        <v/>
      </c>
      <c r="G216" s="93" t="str">
        <f>IF(A216&lt;&gt;"",SUMIFS(deployment!$F$4:$F$502, deployment!$D$4:$D$502,"="&amp;A216, deployment!$D$4:$D$502,"&lt;&gt;"&amp;""),"")</f>
        <v/>
      </c>
      <c r="H216" s="94" t="str">
        <f>IF(A216&lt;&gt;"",SUMIFS(deployment!$G$4:$G$502, deployment!$D$4:$D$502,"="&amp;A216, deployment!$D$4:$D$502,"&lt;&gt;"&amp;""),"")</f>
        <v/>
      </c>
      <c r="I216" s="95" t="str">
        <f>IF(A216&lt;&gt;"",SUMIFS(deployment!$H$4:$H$502, deployment!$D$4:$D$502,"="&amp;A216, deployment!$D$4:$D$502,"&lt;&gt;"&amp;""),"")</f>
        <v/>
      </c>
      <c r="J216" s="96" t="str">
        <f>IF(A216&lt;&gt;"",SUMIFS(deployment!$I$4:$I$502, deployment!$D$4:$D$502,"="&amp;A216, deployment!$D$4:$D$502,"&lt;&gt;"&amp;""),"")</f>
        <v/>
      </c>
      <c r="K216" s="112" t="str">
        <f>IF(A216&lt;&gt;"",SUMIFS(deployment!$J$4:$J$502, deployment!$D$4:$D$502,"="&amp;A216, deployment!$D$4:$D$502,"&lt;&gt;"&amp;""),"")</f>
        <v/>
      </c>
      <c r="L216" s="112" t="str">
        <f>IF(A216&lt;&gt;"",SUMIFS(deployment!$K$4:$K$502, deployment!$D$4:$D$502,"="&amp;A216, deployment!$D$4:$D$502,"&lt;&gt;"&amp;""),"")</f>
        <v/>
      </c>
      <c r="M216" s="97" t="str">
        <f>IF(A216&lt;&gt;"",SUMIFS(deployment!$L$4:$L$502, deployment!$D$4:$D$502,"="&amp;A216, deployment!$D$4:$D$502,"&lt;&gt;"&amp;""),"")</f>
        <v/>
      </c>
      <c r="N216" s="97" t="str">
        <f>IF(A216&lt;&gt;"",SUMIFS(deployment!$M$4:$M$502, deployment!$D$4:$D$502,"="&amp;A216, deployment!$D$4:$D$502,"&lt;&gt;"&amp;""),"")</f>
        <v/>
      </c>
      <c r="O216" s="127" t="str">
        <f t="shared" si="47"/>
        <v/>
      </c>
      <c r="P216" s="104"/>
      <c r="Q216" s="99" t="str">
        <f t="shared" si="36"/>
        <v/>
      </c>
      <c r="R216" s="100" t="str">
        <f t="shared" si="37"/>
        <v/>
      </c>
      <c r="S216" s="100" t="str">
        <f t="shared" si="38"/>
        <v/>
      </c>
      <c r="T216" s="101" t="str">
        <f t="shared" si="39"/>
        <v/>
      </c>
      <c r="U216" s="101" t="str">
        <f t="shared" si="40"/>
        <v/>
      </c>
      <c r="V216" s="128" t="str">
        <f t="shared" si="41"/>
        <v/>
      </c>
      <c r="W216" s="128" t="str">
        <f t="shared" si="42"/>
        <v/>
      </c>
      <c r="X216" s="101" t="str">
        <f t="shared" si="43"/>
        <v/>
      </c>
      <c r="Y216" s="101" t="str">
        <f t="shared" si="44"/>
        <v/>
      </c>
      <c r="Z216" s="102" t="str">
        <f t="shared" si="45"/>
        <v/>
      </c>
      <c r="AA216" s="103" t="str">
        <f t="shared" si="46"/>
        <v/>
      </c>
      <c r="AB216" s="142" t="str">
        <f>IF(A216&lt;&gt;"", SUMIFS(node!$J$2:$J$500, node!$C$2:$C$500,"="&amp;A216)/P216, "")</f>
        <v/>
      </c>
      <c r="AC216" s="134" t="str">
        <f>IF(A216&lt;&gt;"", SUMIFS(node!$K$2:$K$500, node!$C$2:$C$500,"="&amp;A216)/P216, "")</f>
        <v/>
      </c>
      <c r="AD216" s="135" t="str">
        <f>IF(A216&lt;&gt;"", SUMIFS(node!$L$2:$L$500, node!$C$2:$C$500,"="&amp;A216), "")</f>
        <v/>
      </c>
      <c r="AE216" s="145" t="str">
        <f>IF(A216&lt;&gt;"", SUMIFS(node!$M$2:$M$500, node!$C$2:$C$500,"="&amp;A216), "")</f>
        <v/>
      </c>
    </row>
    <row r="217" spans="1:31" ht="15.75" customHeight="1" x14ac:dyDescent="0.25">
      <c r="A217" s="119" t="str">
        <f>IF(ISNONTEXT(node_raw[[#This Row],[Column2]]), "", node_raw[[#This Row],[Column2]])</f>
        <v/>
      </c>
      <c r="B217" s="116" t="str">
        <f>IF(A217&lt;&gt;"", VLOOKUP(A217, node!$C$2:$D$500, 2, FALSE), "")</f>
        <v/>
      </c>
      <c r="C217" s="117" t="str">
        <f>IF(A217&lt;&gt;"", VLOOKUP(A217, node!$C$2:$E$500, 3, FALSE), "")</f>
        <v/>
      </c>
      <c r="D217" s="118" t="str">
        <f>IF(A217&lt;&gt;"",COUNTIFS(node!$C$2:$C$500,"="&amp;A217, node!$C$2:$C$500,"&lt;&gt;"&amp;""),"")</f>
        <v/>
      </c>
      <c r="E217" s="122" t="str">
        <f>IF(A217&lt;&gt;"",SUMIFS(node!$F$2:$F$500, node!$C$2:$C$500,"="&amp;A217, node!$C$2:$C$500,"&lt;&gt;"&amp;"")/(B217*D217),"")</f>
        <v/>
      </c>
      <c r="F217" s="124" t="str">
        <f>IF(A217&lt;&gt;"",SUMIFS(node!$H$2:$H$500, node!$C$2:$C$500,"="&amp;A217, node!$C$2:$C$500,"&lt;&gt;"&amp;"")/(C217*D217),"")</f>
        <v/>
      </c>
      <c r="G217" s="93" t="str">
        <f>IF(A217&lt;&gt;"",SUMIFS(deployment!$F$4:$F$502, deployment!$D$4:$D$502,"="&amp;A217, deployment!$D$4:$D$502,"&lt;&gt;"&amp;""),"")</f>
        <v/>
      </c>
      <c r="H217" s="94" t="str">
        <f>IF(A217&lt;&gt;"",SUMIFS(deployment!$G$4:$G$502, deployment!$D$4:$D$502,"="&amp;A217, deployment!$D$4:$D$502,"&lt;&gt;"&amp;""),"")</f>
        <v/>
      </c>
      <c r="I217" s="95" t="str">
        <f>IF(A217&lt;&gt;"",SUMIFS(deployment!$H$4:$H$502, deployment!$D$4:$D$502,"="&amp;A217, deployment!$D$4:$D$502,"&lt;&gt;"&amp;""),"")</f>
        <v/>
      </c>
      <c r="J217" s="96" t="str">
        <f>IF(A217&lt;&gt;"",SUMIFS(deployment!$I$4:$I$502, deployment!$D$4:$D$502,"="&amp;A217, deployment!$D$4:$D$502,"&lt;&gt;"&amp;""),"")</f>
        <v/>
      </c>
      <c r="K217" s="112" t="str">
        <f>IF(A217&lt;&gt;"",SUMIFS(deployment!$J$4:$J$502, deployment!$D$4:$D$502,"="&amp;A217, deployment!$D$4:$D$502,"&lt;&gt;"&amp;""),"")</f>
        <v/>
      </c>
      <c r="L217" s="112" t="str">
        <f>IF(A217&lt;&gt;"",SUMIFS(deployment!$K$4:$K$502, deployment!$D$4:$D$502,"="&amp;A217, deployment!$D$4:$D$502,"&lt;&gt;"&amp;""),"")</f>
        <v/>
      </c>
      <c r="M217" s="97" t="str">
        <f>IF(A217&lt;&gt;"",SUMIFS(deployment!$L$4:$L$502, deployment!$D$4:$D$502,"="&amp;A217, deployment!$D$4:$D$502,"&lt;&gt;"&amp;""),"")</f>
        <v/>
      </c>
      <c r="N217" s="97" t="str">
        <f>IF(A217&lt;&gt;"",SUMIFS(deployment!$M$4:$M$502, deployment!$D$4:$D$502,"="&amp;A217, deployment!$D$4:$D$502,"&lt;&gt;"&amp;""),"")</f>
        <v/>
      </c>
      <c r="O217" s="127" t="str">
        <f t="shared" si="47"/>
        <v/>
      </c>
      <c r="P217" s="104"/>
      <c r="Q217" s="99" t="str">
        <f t="shared" si="36"/>
        <v/>
      </c>
      <c r="R217" s="100" t="str">
        <f t="shared" si="37"/>
        <v/>
      </c>
      <c r="S217" s="100" t="str">
        <f t="shared" si="38"/>
        <v/>
      </c>
      <c r="T217" s="101" t="str">
        <f t="shared" si="39"/>
        <v/>
      </c>
      <c r="U217" s="101" t="str">
        <f t="shared" si="40"/>
        <v/>
      </c>
      <c r="V217" s="128" t="str">
        <f t="shared" si="41"/>
        <v/>
      </c>
      <c r="W217" s="128" t="str">
        <f t="shared" si="42"/>
        <v/>
      </c>
      <c r="X217" s="101" t="str">
        <f t="shared" si="43"/>
        <v/>
      </c>
      <c r="Y217" s="101" t="str">
        <f t="shared" si="44"/>
        <v/>
      </c>
      <c r="Z217" s="102" t="str">
        <f t="shared" si="45"/>
        <v/>
      </c>
      <c r="AA217" s="103" t="str">
        <f t="shared" si="46"/>
        <v/>
      </c>
      <c r="AB217" s="142" t="str">
        <f>IF(A217&lt;&gt;"", SUMIFS(node!$J$2:$J$500, node!$C$2:$C$500,"="&amp;A217)/P217, "")</f>
        <v/>
      </c>
      <c r="AC217" s="134" t="str">
        <f>IF(A217&lt;&gt;"", SUMIFS(node!$K$2:$K$500, node!$C$2:$C$500,"="&amp;A217)/P217, "")</f>
        <v/>
      </c>
      <c r="AD217" s="135" t="str">
        <f>IF(A217&lt;&gt;"", SUMIFS(node!$L$2:$L$500, node!$C$2:$C$500,"="&amp;A217), "")</f>
        <v/>
      </c>
      <c r="AE217" s="145" t="str">
        <f>IF(A217&lt;&gt;"", SUMIFS(node!$M$2:$M$500, node!$C$2:$C$500,"="&amp;A217), "")</f>
        <v/>
      </c>
    </row>
    <row r="218" spans="1:31" ht="15.75" customHeight="1" x14ac:dyDescent="0.25">
      <c r="A218" s="119" t="str">
        <f>IF(ISNONTEXT(node_raw[[#This Row],[Column2]]), "", node_raw[[#This Row],[Column2]])</f>
        <v/>
      </c>
      <c r="B218" s="116" t="str">
        <f>IF(A218&lt;&gt;"", VLOOKUP(A218, node!$C$2:$D$500, 2, FALSE), "")</f>
        <v/>
      </c>
      <c r="C218" s="117" t="str">
        <f>IF(A218&lt;&gt;"", VLOOKUP(A218, node!$C$2:$E$500, 3, FALSE), "")</f>
        <v/>
      </c>
      <c r="D218" s="118" t="str">
        <f>IF(A218&lt;&gt;"",COUNTIFS(node!$C$2:$C$500,"="&amp;A218, node!$C$2:$C$500,"&lt;&gt;"&amp;""),"")</f>
        <v/>
      </c>
      <c r="E218" s="122" t="str">
        <f>IF(A218&lt;&gt;"",SUMIFS(node!$F$2:$F$500, node!$C$2:$C$500,"="&amp;A218, node!$C$2:$C$500,"&lt;&gt;"&amp;"")/(B218*D218),"")</f>
        <v/>
      </c>
      <c r="F218" s="124" t="str">
        <f>IF(A218&lt;&gt;"",SUMIFS(node!$H$2:$H$500, node!$C$2:$C$500,"="&amp;A218, node!$C$2:$C$500,"&lt;&gt;"&amp;"")/(C218*D218),"")</f>
        <v/>
      </c>
      <c r="G218" s="93" t="str">
        <f>IF(A218&lt;&gt;"",SUMIFS(deployment!$F$4:$F$502, deployment!$D$4:$D$502,"="&amp;A218, deployment!$D$4:$D$502,"&lt;&gt;"&amp;""),"")</f>
        <v/>
      </c>
      <c r="H218" s="94" t="str">
        <f>IF(A218&lt;&gt;"",SUMIFS(deployment!$G$4:$G$502, deployment!$D$4:$D$502,"="&amp;A218, deployment!$D$4:$D$502,"&lt;&gt;"&amp;""),"")</f>
        <v/>
      </c>
      <c r="I218" s="95" t="str">
        <f>IF(A218&lt;&gt;"",SUMIFS(deployment!$H$4:$H$502, deployment!$D$4:$D$502,"="&amp;A218, deployment!$D$4:$D$502,"&lt;&gt;"&amp;""),"")</f>
        <v/>
      </c>
      <c r="J218" s="96" t="str">
        <f>IF(A218&lt;&gt;"",SUMIFS(deployment!$I$4:$I$502, deployment!$D$4:$D$502,"="&amp;A218, deployment!$D$4:$D$502,"&lt;&gt;"&amp;""),"")</f>
        <v/>
      </c>
      <c r="K218" s="112" t="str">
        <f>IF(A218&lt;&gt;"",SUMIFS(deployment!$J$4:$J$502, deployment!$D$4:$D$502,"="&amp;A218, deployment!$D$4:$D$502,"&lt;&gt;"&amp;""),"")</f>
        <v/>
      </c>
      <c r="L218" s="112" t="str">
        <f>IF(A218&lt;&gt;"",SUMIFS(deployment!$K$4:$K$502, deployment!$D$4:$D$502,"="&amp;A218, deployment!$D$4:$D$502,"&lt;&gt;"&amp;""),"")</f>
        <v/>
      </c>
      <c r="M218" s="97" t="str">
        <f>IF(A218&lt;&gt;"",SUMIFS(deployment!$L$4:$L$502, deployment!$D$4:$D$502,"="&amp;A218, deployment!$D$4:$D$502,"&lt;&gt;"&amp;""),"")</f>
        <v/>
      </c>
      <c r="N218" s="97" t="str">
        <f>IF(A218&lt;&gt;"",SUMIFS(deployment!$M$4:$M$502, deployment!$D$4:$D$502,"="&amp;A218, deployment!$D$4:$D$502,"&lt;&gt;"&amp;""),"")</f>
        <v/>
      </c>
      <c r="O218" s="127" t="str">
        <f t="shared" si="47"/>
        <v/>
      </c>
      <c r="P218" s="104"/>
      <c r="Q218" s="99" t="str">
        <f t="shared" si="36"/>
        <v/>
      </c>
      <c r="R218" s="100" t="str">
        <f t="shared" si="37"/>
        <v/>
      </c>
      <c r="S218" s="100" t="str">
        <f t="shared" si="38"/>
        <v/>
      </c>
      <c r="T218" s="101" t="str">
        <f t="shared" si="39"/>
        <v/>
      </c>
      <c r="U218" s="101" t="str">
        <f t="shared" si="40"/>
        <v/>
      </c>
      <c r="V218" s="128" t="str">
        <f t="shared" si="41"/>
        <v/>
      </c>
      <c r="W218" s="128" t="str">
        <f t="shared" si="42"/>
        <v/>
      </c>
      <c r="X218" s="101" t="str">
        <f t="shared" si="43"/>
        <v/>
      </c>
      <c r="Y218" s="101" t="str">
        <f t="shared" si="44"/>
        <v/>
      </c>
      <c r="Z218" s="102" t="str">
        <f t="shared" si="45"/>
        <v/>
      </c>
      <c r="AA218" s="103" t="str">
        <f t="shared" si="46"/>
        <v/>
      </c>
      <c r="AB218" s="142" t="str">
        <f>IF(A218&lt;&gt;"", SUMIFS(node!$J$2:$J$500, node!$C$2:$C$500,"="&amp;A218)/P218, "")</f>
        <v/>
      </c>
      <c r="AC218" s="134" t="str">
        <f>IF(A218&lt;&gt;"", SUMIFS(node!$K$2:$K$500, node!$C$2:$C$500,"="&amp;A218)/P218, "")</f>
        <v/>
      </c>
      <c r="AD218" s="135" t="str">
        <f>IF(A218&lt;&gt;"", SUMIFS(node!$L$2:$L$500, node!$C$2:$C$500,"="&amp;A218), "")</f>
        <v/>
      </c>
      <c r="AE218" s="145" t="str">
        <f>IF(A218&lt;&gt;"", SUMIFS(node!$M$2:$M$500, node!$C$2:$C$500,"="&amp;A218), "")</f>
        <v/>
      </c>
    </row>
    <row r="219" spans="1:31" ht="15.75" customHeight="1" x14ac:dyDescent="0.25">
      <c r="A219" s="119" t="str">
        <f>IF(ISNONTEXT(node_raw[[#This Row],[Column2]]), "", node_raw[[#This Row],[Column2]])</f>
        <v/>
      </c>
      <c r="B219" s="116" t="str">
        <f>IF(A219&lt;&gt;"", VLOOKUP(A219, node!$C$2:$D$500, 2, FALSE), "")</f>
        <v/>
      </c>
      <c r="C219" s="117" t="str">
        <f>IF(A219&lt;&gt;"", VLOOKUP(A219, node!$C$2:$E$500, 3, FALSE), "")</f>
        <v/>
      </c>
      <c r="D219" s="118" t="str">
        <f>IF(A219&lt;&gt;"",COUNTIFS(node!$C$2:$C$500,"="&amp;A219, node!$C$2:$C$500,"&lt;&gt;"&amp;""),"")</f>
        <v/>
      </c>
      <c r="E219" s="122" t="str">
        <f>IF(A219&lt;&gt;"",SUMIFS(node!$F$2:$F$500, node!$C$2:$C$500,"="&amp;A219, node!$C$2:$C$500,"&lt;&gt;"&amp;"")/(B219*D219),"")</f>
        <v/>
      </c>
      <c r="F219" s="124" t="str">
        <f>IF(A219&lt;&gt;"",SUMIFS(node!$H$2:$H$500, node!$C$2:$C$500,"="&amp;A219, node!$C$2:$C$500,"&lt;&gt;"&amp;"")/(C219*D219),"")</f>
        <v/>
      </c>
      <c r="G219" s="93" t="str">
        <f>IF(A219&lt;&gt;"",SUMIFS(deployment!$F$4:$F$502, deployment!$D$4:$D$502,"="&amp;A219, deployment!$D$4:$D$502,"&lt;&gt;"&amp;""),"")</f>
        <v/>
      </c>
      <c r="H219" s="94" t="str">
        <f>IF(A219&lt;&gt;"",SUMIFS(deployment!$G$4:$G$502, deployment!$D$4:$D$502,"="&amp;A219, deployment!$D$4:$D$502,"&lt;&gt;"&amp;""),"")</f>
        <v/>
      </c>
      <c r="I219" s="95" t="str">
        <f>IF(A219&lt;&gt;"",SUMIFS(deployment!$H$4:$H$502, deployment!$D$4:$D$502,"="&amp;A219, deployment!$D$4:$D$502,"&lt;&gt;"&amp;""),"")</f>
        <v/>
      </c>
      <c r="J219" s="96" t="str">
        <f>IF(A219&lt;&gt;"",SUMIFS(deployment!$I$4:$I$502, deployment!$D$4:$D$502,"="&amp;A219, deployment!$D$4:$D$502,"&lt;&gt;"&amp;""),"")</f>
        <v/>
      </c>
      <c r="K219" s="112" t="str">
        <f>IF(A219&lt;&gt;"",SUMIFS(deployment!$J$4:$J$502, deployment!$D$4:$D$502,"="&amp;A219, deployment!$D$4:$D$502,"&lt;&gt;"&amp;""),"")</f>
        <v/>
      </c>
      <c r="L219" s="112" t="str">
        <f>IF(A219&lt;&gt;"",SUMIFS(deployment!$K$4:$K$502, deployment!$D$4:$D$502,"="&amp;A219, deployment!$D$4:$D$502,"&lt;&gt;"&amp;""),"")</f>
        <v/>
      </c>
      <c r="M219" s="97" t="str">
        <f>IF(A219&lt;&gt;"",SUMIFS(deployment!$L$4:$L$502, deployment!$D$4:$D$502,"="&amp;A219, deployment!$D$4:$D$502,"&lt;&gt;"&amp;""),"")</f>
        <v/>
      </c>
      <c r="N219" s="97" t="str">
        <f>IF(A219&lt;&gt;"",SUMIFS(deployment!$M$4:$M$502, deployment!$D$4:$D$502,"="&amp;A219, deployment!$D$4:$D$502,"&lt;&gt;"&amp;""),"")</f>
        <v/>
      </c>
      <c r="O219" s="127" t="str">
        <f t="shared" si="47"/>
        <v/>
      </c>
      <c r="P219" s="104"/>
      <c r="Q219" s="99" t="str">
        <f t="shared" si="36"/>
        <v/>
      </c>
      <c r="R219" s="100" t="str">
        <f t="shared" si="37"/>
        <v/>
      </c>
      <c r="S219" s="100" t="str">
        <f t="shared" si="38"/>
        <v/>
      </c>
      <c r="T219" s="101" t="str">
        <f t="shared" si="39"/>
        <v/>
      </c>
      <c r="U219" s="101" t="str">
        <f t="shared" si="40"/>
        <v/>
      </c>
      <c r="V219" s="128" t="str">
        <f t="shared" si="41"/>
        <v/>
      </c>
      <c r="W219" s="128" t="str">
        <f t="shared" si="42"/>
        <v/>
      </c>
      <c r="X219" s="101" t="str">
        <f t="shared" si="43"/>
        <v/>
      </c>
      <c r="Y219" s="101" t="str">
        <f t="shared" si="44"/>
        <v/>
      </c>
      <c r="Z219" s="102" t="str">
        <f t="shared" si="45"/>
        <v/>
      </c>
      <c r="AA219" s="103" t="str">
        <f t="shared" si="46"/>
        <v/>
      </c>
      <c r="AB219" s="142" t="str">
        <f>IF(A219&lt;&gt;"", SUMIFS(node!$J$2:$J$500, node!$C$2:$C$500,"="&amp;A219)/P219, "")</f>
        <v/>
      </c>
      <c r="AC219" s="134" t="str">
        <f>IF(A219&lt;&gt;"", SUMIFS(node!$K$2:$K$500, node!$C$2:$C$500,"="&amp;A219)/P219, "")</f>
        <v/>
      </c>
      <c r="AD219" s="135" t="str">
        <f>IF(A219&lt;&gt;"", SUMIFS(node!$L$2:$L$500, node!$C$2:$C$500,"="&amp;A219), "")</f>
        <v/>
      </c>
      <c r="AE219" s="145" t="str">
        <f>IF(A219&lt;&gt;"", SUMIFS(node!$M$2:$M$500, node!$C$2:$C$500,"="&amp;A219), "")</f>
        <v/>
      </c>
    </row>
    <row r="220" spans="1:31" ht="15.75" customHeight="1" x14ac:dyDescent="0.25">
      <c r="A220" s="119" t="str">
        <f>IF(ISNONTEXT(node_raw[[#This Row],[Column2]]), "", node_raw[[#This Row],[Column2]])</f>
        <v/>
      </c>
      <c r="B220" s="116" t="str">
        <f>IF(A220&lt;&gt;"", VLOOKUP(A220, node!$C$2:$D$500, 2, FALSE), "")</f>
        <v/>
      </c>
      <c r="C220" s="117" t="str">
        <f>IF(A220&lt;&gt;"", VLOOKUP(A220, node!$C$2:$E$500, 3, FALSE), "")</f>
        <v/>
      </c>
      <c r="D220" s="118" t="str">
        <f>IF(A220&lt;&gt;"",COUNTIFS(node!$C$2:$C$500,"="&amp;A220, node!$C$2:$C$500,"&lt;&gt;"&amp;""),"")</f>
        <v/>
      </c>
      <c r="E220" s="122" t="str">
        <f>IF(A220&lt;&gt;"",SUMIFS(node!$F$2:$F$500, node!$C$2:$C$500,"="&amp;A220, node!$C$2:$C$500,"&lt;&gt;"&amp;"")/(B220*D220),"")</f>
        <v/>
      </c>
      <c r="F220" s="124" t="str">
        <f>IF(A220&lt;&gt;"",SUMIFS(node!$H$2:$H$500, node!$C$2:$C$500,"="&amp;A220, node!$C$2:$C$500,"&lt;&gt;"&amp;"")/(C220*D220),"")</f>
        <v/>
      </c>
      <c r="G220" s="93" t="str">
        <f>IF(A220&lt;&gt;"",SUMIFS(deployment!$F$4:$F$502, deployment!$D$4:$D$502,"="&amp;A220, deployment!$D$4:$D$502,"&lt;&gt;"&amp;""),"")</f>
        <v/>
      </c>
      <c r="H220" s="94" t="str">
        <f>IF(A220&lt;&gt;"",SUMIFS(deployment!$G$4:$G$502, deployment!$D$4:$D$502,"="&amp;A220, deployment!$D$4:$D$502,"&lt;&gt;"&amp;""),"")</f>
        <v/>
      </c>
      <c r="I220" s="95" t="str">
        <f>IF(A220&lt;&gt;"",SUMIFS(deployment!$H$4:$H$502, deployment!$D$4:$D$502,"="&amp;A220, deployment!$D$4:$D$502,"&lt;&gt;"&amp;""),"")</f>
        <v/>
      </c>
      <c r="J220" s="96" t="str">
        <f>IF(A220&lt;&gt;"",SUMIFS(deployment!$I$4:$I$502, deployment!$D$4:$D$502,"="&amp;A220, deployment!$D$4:$D$502,"&lt;&gt;"&amp;""),"")</f>
        <v/>
      </c>
      <c r="K220" s="112" t="str">
        <f>IF(A220&lt;&gt;"",SUMIFS(deployment!$J$4:$J$502, deployment!$D$4:$D$502,"="&amp;A220, deployment!$D$4:$D$502,"&lt;&gt;"&amp;""),"")</f>
        <v/>
      </c>
      <c r="L220" s="112" t="str">
        <f>IF(A220&lt;&gt;"",SUMIFS(deployment!$K$4:$K$502, deployment!$D$4:$D$502,"="&amp;A220, deployment!$D$4:$D$502,"&lt;&gt;"&amp;""),"")</f>
        <v/>
      </c>
      <c r="M220" s="97" t="str">
        <f>IF(A220&lt;&gt;"",SUMIFS(deployment!$L$4:$L$502, deployment!$D$4:$D$502,"="&amp;A220, deployment!$D$4:$D$502,"&lt;&gt;"&amp;""),"")</f>
        <v/>
      </c>
      <c r="N220" s="97" t="str">
        <f>IF(A220&lt;&gt;"",SUMIFS(deployment!$M$4:$M$502, deployment!$D$4:$D$502,"="&amp;A220, deployment!$D$4:$D$502,"&lt;&gt;"&amp;""),"")</f>
        <v/>
      </c>
      <c r="O220" s="127" t="str">
        <f t="shared" si="47"/>
        <v/>
      </c>
      <c r="P220" s="104"/>
      <c r="Q220" s="99" t="str">
        <f t="shared" si="36"/>
        <v/>
      </c>
      <c r="R220" s="100" t="str">
        <f t="shared" si="37"/>
        <v/>
      </c>
      <c r="S220" s="100" t="str">
        <f t="shared" si="38"/>
        <v/>
      </c>
      <c r="T220" s="101" t="str">
        <f t="shared" si="39"/>
        <v/>
      </c>
      <c r="U220" s="101" t="str">
        <f t="shared" si="40"/>
        <v/>
      </c>
      <c r="V220" s="128" t="str">
        <f t="shared" si="41"/>
        <v/>
      </c>
      <c r="W220" s="128" t="str">
        <f t="shared" si="42"/>
        <v/>
      </c>
      <c r="X220" s="101" t="str">
        <f t="shared" si="43"/>
        <v/>
      </c>
      <c r="Y220" s="101" t="str">
        <f t="shared" si="44"/>
        <v/>
      </c>
      <c r="Z220" s="102" t="str">
        <f t="shared" si="45"/>
        <v/>
      </c>
      <c r="AA220" s="103" t="str">
        <f t="shared" si="46"/>
        <v/>
      </c>
      <c r="AB220" s="142" t="str">
        <f>IF(A220&lt;&gt;"", SUMIFS(node!$J$2:$J$500, node!$C$2:$C$500,"="&amp;A220)/P220, "")</f>
        <v/>
      </c>
      <c r="AC220" s="134" t="str">
        <f>IF(A220&lt;&gt;"", SUMIFS(node!$K$2:$K$500, node!$C$2:$C$500,"="&amp;A220)/P220, "")</f>
        <v/>
      </c>
      <c r="AD220" s="135" t="str">
        <f>IF(A220&lt;&gt;"", SUMIFS(node!$L$2:$L$500, node!$C$2:$C$500,"="&amp;A220), "")</f>
        <v/>
      </c>
      <c r="AE220" s="145" t="str">
        <f>IF(A220&lt;&gt;"", SUMIFS(node!$M$2:$M$500, node!$C$2:$C$500,"="&amp;A220), "")</f>
        <v/>
      </c>
    </row>
    <row r="221" spans="1:31" ht="15.75" customHeight="1" x14ac:dyDescent="0.25">
      <c r="A221" s="119" t="str">
        <f>IF(ISNONTEXT(node_raw[[#This Row],[Column2]]), "", node_raw[[#This Row],[Column2]])</f>
        <v/>
      </c>
      <c r="B221" s="116" t="str">
        <f>IF(A221&lt;&gt;"", VLOOKUP(A221, node!$C$2:$D$500, 2, FALSE), "")</f>
        <v/>
      </c>
      <c r="C221" s="117" t="str">
        <f>IF(A221&lt;&gt;"", VLOOKUP(A221, node!$C$2:$E$500, 3, FALSE), "")</f>
        <v/>
      </c>
      <c r="D221" s="118" t="str">
        <f>IF(A221&lt;&gt;"",COUNTIFS(node!$C$2:$C$500,"="&amp;A221, node!$C$2:$C$500,"&lt;&gt;"&amp;""),"")</f>
        <v/>
      </c>
      <c r="E221" s="122" t="str">
        <f>IF(A221&lt;&gt;"",SUMIFS(node!$F$2:$F$500, node!$C$2:$C$500,"="&amp;A221, node!$C$2:$C$500,"&lt;&gt;"&amp;"")/(B221*D221),"")</f>
        <v/>
      </c>
      <c r="F221" s="124" t="str">
        <f>IF(A221&lt;&gt;"",SUMIFS(node!$H$2:$H$500, node!$C$2:$C$500,"="&amp;A221, node!$C$2:$C$500,"&lt;&gt;"&amp;"")/(C221*D221),"")</f>
        <v/>
      </c>
      <c r="G221" s="93" t="str">
        <f>IF(A221&lt;&gt;"",SUMIFS(deployment!$F$4:$F$502, deployment!$D$4:$D$502,"="&amp;A221, deployment!$D$4:$D$502,"&lt;&gt;"&amp;""),"")</f>
        <v/>
      </c>
      <c r="H221" s="94" t="str">
        <f>IF(A221&lt;&gt;"",SUMIFS(deployment!$G$4:$G$502, deployment!$D$4:$D$502,"="&amp;A221, deployment!$D$4:$D$502,"&lt;&gt;"&amp;""),"")</f>
        <v/>
      </c>
      <c r="I221" s="95" t="str">
        <f>IF(A221&lt;&gt;"",SUMIFS(deployment!$H$4:$H$502, deployment!$D$4:$D$502,"="&amp;A221, deployment!$D$4:$D$502,"&lt;&gt;"&amp;""),"")</f>
        <v/>
      </c>
      <c r="J221" s="96" t="str">
        <f>IF(A221&lt;&gt;"",SUMIFS(deployment!$I$4:$I$502, deployment!$D$4:$D$502,"="&amp;A221, deployment!$D$4:$D$502,"&lt;&gt;"&amp;""),"")</f>
        <v/>
      </c>
      <c r="K221" s="112" t="str">
        <f>IF(A221&lt;&gt;"",SUMIFS(deployment!$J$4:$J$502, deployment!$D$4:$D$502,"="&amp;A221, deployment!$D$4:$D$502,"&lt;&gt;"&amp;""),"")</f>
        <v/>
      </c>
      <c r="L221" s="112" t="str">
        <f>IF(A221&lt;&gt;"",SUMIFS(deployment!$K$4:$K$502, deployment!$D$4:$D$502,"="&amp;A221, deployment!$D$4:$D$502,"&lt;&gt;"&amp;""),"")</f>
        <v/>
      </c>
      <c r="M221" s="97" t="str">
        <f>IF(A221&lt;&gt;"",SUMIFS(deployment!$L$4:$L$502, deployment!$D$4:$D$502,"="&amp;A221, deployment!$D$4:$D$502,"&lt;&gt;"&amp;""),"")</f>
        <v/>
      </c>
      <c r="N221" s="97" t="str">
        <f>IF(A221&lt;&gt;"",SUMIFS(deployment!$M$4:$M$502, deployment!$D$4:$D$502,"="&amp;A221, deployment!$D$4:$D$502,"&lt;&gt;"&amp;""),"")</f>
        <v/>
      </c>
      <c r="O221" s="127" t="str">
        <f t="shared" si="47"/>
        <v/>
      </c>
      <c r="P221" s="104"/>
      <c r="Q221" s="99" t="str">
        <f t="shared" si="36"/>
        <v/>
      </c>
      <c r="R221" s="100" t="str">
        <f t="shared" si="37"/>
        <v/>
      </c>
      <c r="S221" s="100" t="str">
        <f t="shared" si="38"/>
        <v/>
      </c>
      <c r="T221" s="101" t="str">
        <f t="shared" si="39"/>
        <v/>
      </c>
      <c r="U221" s="101" t="str">
        <f t="shared" si="40"/>
        <v/>
      </c>
      <c r="V221" s="128" t="str">
        <f t="shared" si="41"/>
        <v/>
      </c>
      <c r="W221" s="128" t="str">
        <f t="shared" si="42"/>
        <v/>
      </c>
      <c r="X221" s="101" t="str">
        <f t="shared" si="43"/>
        <v/>
      </c>
      <c r="Y221" s="101" t="str">
        <f t="shared" si="44"/>
        <v/>
      </c>
      <c r="Z221" s="102" t="str">
        <f t="shared" si="45"/>
        <v/>
      </c>
      <c r="AA221" s="103" t="str">
        <f t="shared" si="46"/>
        <v/>
      </c>
      <c r="AB221" s="142" t="str">
        <f>IF(A221&lt;&gt;"", SUMIFS(node!$J$2:$J$500, node!$C$2:$C$500,"="&amp;A221)/P221, "")</f>
        <v/>
      </c>
      <c r="AC221" s="134" t="str">
        <f>IF(A221&lt;&gt;"", SUMIFS(node!$K$2:$K$500, node!$C$2:$C$500,"="&amp;A221)/P221, "")</f>
        <v/>
      </c>
      <c r="AD221" s="135" t="str">
        <f>IF(A221&lt;&gt;"", SUMIFS(node!$L$2:$L$500, node!$C$2:$C$500,"="&amp;A221), "")</f>
        <v/>
      </c>
      <c r="AE221" s="145" t="str">
        <f>IF(A221&lt;&gt;"", SUMIFS(node!$M$2:$M$500, node!$C$2:$C$500,"="&amp;A221), "")</f>
        <v/>
      </c>
    </row>
    <row r="222" spans="1:31" ht="15.75" customHeight="1" x14ac:dyDescent="0.25">
      <c r="A222" s="119" t="str">
        <f>IF(ISNONTEXT(node_raw[[#This Row],[Column2]]), "", node_raw[[#This Row],[Column2]])</f>
        <v/>
      </c>
      <c r="B222" s="116" t="str">
        <f>IF(A222&lt;&gt;"", VLOOKUP(A222, node!$C$2:$D$500, 2, FALSE), "")</f>
        <v/>
      </c>
      <c r="C222" s="117" t="str">
        <f>IF(A222&lt;&gt;"", VLOOKUP(A222, node!$C$2:$E$500, 3, FALSE), "")</f>
        <v/>
      </c>
      <c r="D222" s="118" t="str">
        <f>IF(A222&lt;&gt;"",COUNTIFS(node!$C$2:$C$500,"="&amp;A222, node!$C$2:$C$500,"&lt;&gt;"&amp;""),"")</f>
        <v/>
      </c>
      <c r="E222" s="122" t="str">
        <f>IF(A222&lt;&gt;"",SUMIFS(node!$F$2:$F$500, node!$C$2:$C$500,"="&amp;A222, node!$C$2:$C$500,"&lt;&gt;"&amp;"")/(B222*D222),"")</f>
        <v/>
      </c>
      <c r="F222" s="124" t="str">
        <f>IF(A222&lt;&gt;"",SUMIFS(node!$H$2:$H$500, node!$C$2:$C$500,"="&amp;A222, node!$C$2:$C$500,"&lt;&gt;"&amp;"")/(C222*D222),"")</f>
        <v/>
      </c>
      <c r="G222" s="93" t="str">
        <f>IF(A222&lt;&gt;"",SUMIFS(deployment!$F$4:$F$502, deployment!$D$4:$D$502,"="&amp;A222, deployment!$D$4:$D$502,"&lt;&gt;"&amp;""),"")</f>
        <v/>
      </c>
      <c r="H222" s="94" t="str">
        <f>IF(A222&lt;&gt;"",SUMIFS(deployment!$G$4:$G$502, deployment!$D$4:$D$502,"="&amp;A222, deployment!$D$4:$D$502,"&lt;&gt;"&amp;""),"")</f>
        <v/>
      </c>
      <c r="I222" s="95" t="str">
        <f>IF(A222&lt;&gt;"",SUMIFS(deployment!$H$4:$H$502, deployment!$D$4:$D$502,"="&amp;A222, deployment!$D$4:$D$502,"&lt;&gt;"&amp;""),"")</f>
        <v/>
      </c>
      <c r="J222" s="96" t="str">
        <f>IF(A222&lt;&gt;"",SUMIFS(deployment!$I$4:$I$502, deployment!$D$4:$D$502,"="&amp;A222, deployment!$D$4:$D$502,"&lt;&gt;"&amp;""),"")</f>
        <v/>
      </c>
      <c r="K222" s="112" t="str">
        <f>IF(A222&lt;&gt;"",SUMIFS(deployment!$J$4:$J$502, deployment!$D$4:$D$502,"="&amp;A222, deployment!$D$4:$D$502,"&lt;&gt;"&amp;""),"")</f>
        <v/>
      </c>
      <c r="L222" s="112" t="str">
        <f>IF(A222&lt;&gt;"",SUMIFS(deployment!$K$4:$K$502, deployment!$D$4:$D$502,"="&amp;A222, deployment!$D$4:$D$502,"&lt;&gt;"&amp;""),"")</f>
        <v/>
      </c>
      <c r="M222" s="97" t="str">
        <f>IF(A222&lt;&gt;"",SUMIFS(deployment!$L$4:$L$502, deployment!$D$4:$D$502,"="&amp;A222, deployment!$D$4:$D$502,"&lt;&gt;"&amp;""),"")</f>
        <v/>
      </c>
      <c r="N222" s="97" t="str">
        <f>IF(A222&lt;&gt;"",SUMIFS(deployment!$M$4:$M$502, deployment!$D$4:$D$502,"="&amp;A222, deployment!$D$4:$D$502,"&lt;&gt;"&amp;""),"")</f>
        <v/>
      </c>
      <c r="O222" s="127" t="str">
        <f t="shared" si="47"/>
        <v/>
      </c>
      <c r="P222" s="104"/>
      <c r="Q222" s="99" t="str">
        <f t="shared" si="36"/>
        <v/>
      </c>
      <c r="R222" s="100" t="str">
        <f t="shared" si="37"/>
        <v/>
      </c>
      <c r="S222" s="100" t="str">
        <f t="shared" si="38"/>
        <v/>
      </c>
      <c r="T222" s="101" t="str">
        <f t="shared" si="39"/>
        <v/>
      </c>
      <c r="U222" s="101" t="str">
        <f t="shared" si="40"/>
        <v/>
      </c>
      <c r="V222" s="128" t="str">
        <f t="shared" si="41"/>
        <v/>
      </c>
      <c r="W222" s="128" t="str">
        <f t="shared" si="42"/>
        <v/>
      </c>
      <c r="X222" s="101" t="str">
        <f t="shared" si="43"/>
        <v/>
      </c>
      <c r="Y222" s="101" t="str">
        <f t="shared" si="44"/>
        <v/>
      </c>
      <c r="Z222" s="102" t="str">
        <f t="shared" si="45"/>
        <v/>
      </c>
      <c r="AA222" s="103" t="str">
        <f t="shared" si="46"/>
        <v/>
      </c>
      <c r="AB222" s="142" t="str">
        <f>IF(A222&lt;&gt;"", SUMIFS(node!$J$2:$J$500, node!$C$2:$C$500,"="&amp;A222)/P222, "")</f>
        <v/>
      </c>
      <c r="AC222" s="134" t="str">
        <f>IF(A222&lt;&gt;"", SUMIFS(node!$K$2:$K$500, node!$C$2:$C$500,"="&amp;A222)/P222, "")</f>
        <v/>
      </c>
      <c r="AD222" s="135" t="str">
        <f>IF(A222&lt;&gt;"", SUMIFS(node!$L$2:$L$500, node!$C$2:$C$500,"="&amp;A222), "")</f>
        <v/>
      </c>
      <c r="AE222" s="145" t="str">
        <f>IF(A222&lt;&gt;"", SUMIFS(node!$M$2:$M$500, node!$C$2:$C$500,"="&amp;A222), "")</f>
        <v/>
      </c>
    </row>
    <row r="223" spans="1:31" ht="15.75" customHeight="1" x14ac:dyDescent="0.25">
      <c r="A223" s="119" t="str">
        <f>IF(ISNONTEXT(node_raw[[#This Row],[Column2]]), "", node_raw[[#This Row],[Column2]])</f>
        <v/>
      </c>
      <c r="B223" s="116" t="str">
        <f>IF(A223&lt;&gt;"", VLOOKUP(A223, node!$C$2:$D$500, 2, FALSE), "")</f>
        <v/>
      </c>
      <c r="C223" s="117" t="str">
        <f>IF(A223&lt;&gt;"", VLOOKUP(A223, node!$C$2:$E$500, 3, FALSE), "")</f>
        <v/>
      </c>
      <c r="D223" s="118" t="str">
        <f>IF(A223&lt;&gt;"",COUNTIFS(node!$C$2:$C$500,"="&amp;A223, node!$C$2:$C$500,"&lt;&gt;"&amp;""),"")</f>
        <v/>
      </c>
      <c r="E223" s="122" t="str">
        <f>IF(A223&lt;&gt;"",SUMIFS(node!$F$2:$F$500, node!$C$2:$C$500,"="&amp;A223, node!$C$2:$C$500,"&lt;&gt;"&amp;"")/(B223*D223),"")</f>
        <v/>
      </c>
      <c r="F223" s="124" t="str">
        <f>IF(A223&lt;&gt;"",SUMIFS(node!$H$2:$H$500, node!$C$2:$C$500,"="&amp;A223, node!$C$2:$C$500,"&lt;&gt;"&amp;"")/(C223*D223),"")</f>
        <v/>
      </c>
      <c r="G223" s="93" t="str">
        <f>IF(A223&lt;&gt;"",SUMIFS(deployment!$F$4:$F$502, deployment!$D$4:$D$502,"="&amp;A223, deployment!$D$4:$D$502,"&lt;&gt;"&amp;""),"")</f>
        <v/>
      </c>
      <c r="H223" s="94" t="str">
        <f>IF(A223&lt;&gt;"",SUMIFS(deployment!$G$4:$G$502, deployment!$D$4:$D$502,"="&amp;A223, deployment!$D$4:$D$502,"&lt;&gt;"&amp;""),"")</f>
        <v/>
      </c>
      <c r="I223" s="95" t="str">
        <f>IF(A223&lt;&gt;"",SUMIFS(deployment!$H$4:$H$502, deployment!$D$4:$D$502,"="&amp;A223, deployment!$D$4:$D$502,"&lt;&gt;"&amp;""),"")</f>
        <v/>
      </c>
      <c r="J223" s="96" t="str">
        <f>IF(A223&lt;&gt;"",SUMIFS(deployment!$I$4:$I$502, deployment!$D$4:$D$502,"="&amp;A223, deployment!$D$4:$D$502,"&lt;&gt;"&amp;""),"")</f>
        <v/>
      </c>
      <c r="K223" s="112" t="str">
        <f>IF(A223&lt;&gt;"",SUMIFS(deployment!$J$4:$J$502, deployment!$D$4:$D$502,"="&amp;A223, deployment!$D$4:$D$502,"&lt;&gt;"&amp;""),"")</f>
        <v/>
      </c>
      <c r="L223" s="112" t="str">
        <f>IF(A223&lt;&gt;"",SUMIFS(deployment!$K$4:$K$502, deployment!$D$4:$D$502,"="&amp;A223, deployment!$D$4:$D$502,"&lt;&gt;"&amp;""),"")</f>
        <v/>
      </c>
      <c r="M223" s="97" t="str">
        <f>IF(A223&lt;&gt;"",SUMIFS(deployment!$L$4:$L$502, deployment!$D$4:$D$502,"="&amp;A223, deployment!$D$4:$D$502,"&lt;&gt;"&amp;""),"")</f>
        <v/>
      </c>
      <c r="N223" s="97" t="str">
        <f>IF(A223&lt;&gt;"",SUMIFS(deployment!$M$4:$M$502, deployment!$D$4:$D$502,"="&amp;A223, deployment!$D$4:$D$502,"&lt;&gt;"&amp;""),"")</f>
        <v/>
      </c>
      <c r="O223" s="127" t="str">
        <f t="shared" si="47"/>
        <v/>
      </c>
      <c r="P223" s="104"/>
      <c r="Q223" s="99" t="str">
        <f t="shared" si="36"/>
        <v/>
      </c>
      <c r="R223" s="100" t="str">
        <f t="shared" si="37"/>
        <v/>
      </c>
      <c r="S223" s="100" t="str">
        <f t="shared" si="38"/>
        <v/>
      </c>
      <c r="T223" s="101" t="str">
        <f t="shared" si="39"/>
        <v/>
      </c>
      <c r="U223" s="101" t="str">
        <f t="shared" si="40"/>
        <v/>
      </c>
      <c r="V223" s="128" t="str">
        <f t="shared" si="41"/>
        <v/>
      </c>
      <c r="W223" s="128" t="str">
        <f t="shared" si="42"/>
        <v/>
      </c>
      <c r="X223" s="101" t="str">
        <f t="shared" si="43"/>
        <v/>
      </c>
      <c r="Y223" s="101" t="str">
        <f t="shared" si="44"/>
        <v/>
      </c>
      <c r="Z223" s="102" t="str">
        <f t="shared" si="45"/>
        <v/>
      </c>
      <c r="AA223" s="103" t="str">
        <f t="shared" si="46"/>
        <v/>
      </c>
      <c r="AB223" s="142" t="str">
        <f>IF(A223&lt;&gt;"", SUMIFS(node!$J$2:$J$500, node!$C$2:$C$500,"="&amp;A223)/P223, "")</f>
        <v/>
      </c>
      <c r="AC223" s="134" t="str">
        <f>IF(A223&lt;&gt;"", SUMIFS(node!$K$2:$K$500, node!$C$2:$C$500,"="&amp;A223)/P223, "")</f>
        <v/>
      </c>
      <c r="AD223" s="135" t="str">
        <f>IF(A223&lt;&gt;"", SUMIFS(node!$L$2:$L$500, node!$C$2:$C$500,"="&amp;A223), "")</f>
        <v/>
      </c>
      <c r="AE223" s="145" t="str">
        <f>IF(A223&lt;&gt;"", SUMIFS(node!$M$2:$M$500, node!$C$2:$C$500,"="&amp;A223), "")</f>
        <v/>
      </c>
    </row>
    <row r="224" spans="1:31" ht="15.75" customHeight="1" x14ac:dyDescent="0.25">
      <c r="A224" s="119" t="str">
        <f>IF(ISNONTEXT(node_raw[[#This Row],[Column2]]), "", node_raw[[#This Row],[Column2]])</f>
        <v/>
      </c>
      <c r="B224" s="116" t="str">
        <f>IF(A224&lt;&gt;"", VLOOKUP(A224, node!$C$2:$D$500, 2, FALSE), "")</f>
        <v/>
      </c>
      <c r="C224" s="117" t="str">
        <f>IF(A224&lt;&gt;"", VLOOKUP(A224, node!$C$2:$E$500, 3, FALSE), "")</f>
        <v/>
      </c>
      <c r="D224" s="118" t="str">
        <f>IF(A224&lt;&gt;"",COUNTIFS(node!$C$2:$C$500,"="&amp;A224, node!$C$2:$C$500,"&lt;&gt;"&amp;""),"")</f>
        <v/>
      </c>
      <c r="E224" s="122" t="str">
        <f>IF(A224&lt;&gt;"",SUMIFS(node!$F$2:$F$500, node!$C$2:$C$500,"="&amp;A224, node!$C$2:$C$500,"&lt;&gt;"&amp;"")/(B224*D224),"")</f>
        <v/>
      </c>
      <c r="F224" s="124" t="str">
        <f>IF(A224&lt;&gt;"",SUMIFS(node!$H$2:$H$500, node!$C$2:$C$500,"="&amp;A224, node!$C$2:$C$500,"&lt;&gt;"&amp;"")/(C224*D224),"")</f>
        <v/>
      </c>
      <c r="G224" s="93" t="str">
        <f>IF(A224&lt;&gt;"",SUMIFS(deployment!$F$4:$F$502, deployment!$D$4:$D$502,"="&amp;A224, deployment!$D$4:$D$502,"&lt;&gt;"&amp;""),"")</f>
        <v/>
      </c>
      <c r="H224" s="94" t="str">
        <f>IF(A224&lt;&gt;"",SUMIFS(deployment!$G$4:$G$502, deployment!$D$4:$D$502,"="&amp;A224, deployment!$D$4:$D$502,"&lt;&gt;"&amp;""),"")</f>
        <v/>
      </c>
      <c r="I224" s="95" t="str">
        <f>IF(A224&lt;&gt;"",SUMIFS(deployment!$H$4:$H$502, deployment!$D$4:$D$502,"="&amp;A224, deployment!$D$4:$D$502,"&lt;&gt;"&amp;""),"")</f>
        <v/>
      </c>
      <c r="J224" s="96" t="str">
        <f>IF(A224&lt;&gt;"",SUMIFS(deployment!$I$4:$I$502, deployment!$D$4:$D$502,"="&amp;A224, deployment!$D$4:$D$502,"&lt;&gt;"&amp;""),"")</f>
        <v/>
      </c>
      <c r="K224" s="112" t="str">
        <f>IF(A224&lt;&gt;"",SUMIFS(deployment!$J$4:$J$502, deployment!$D$4:$D$502,"="&amp;A224, deployment!$D$4:$D$502,"&lt;&gt;"&amp;""),"")</f>
        <v/>
      </c>
      <c r="L224" s="112" t="str">
        <f>IF(A224&lt;&gt;"",SUMIFS(deployment!$K$4:$K$502, deployment!$D$4:$D$502,"="&amp;A224, deployment!$D$4:$D$502,"&lt;&gt;"&amp;""),"")</f>
        <v/>
      </c>
      <c r="M224" s="97" t="str">
        <f>IF(A224&lt;&gt;"",SUMIFS(deployment!$L$4:$L$502, deployment!$D$4:$D$502,"="&amp;A224, deployment!$D$4:$D$502,"&lt;&gt;"&amp;""),"")</f>
        <v/>
      </c>
      <c r="N224" s="97" t="str">
        <f>IF(A224&lt;&gt;"",SUMIFS(deployment!$M$4:$M$502, deployment!$D$4:$D$502,"="&amp;A224, deployment!$D$4:$D$502,"&lt;&gt;"&amp;""),"")</f>
        <v/>
      </c>
      <c r="O224" s="127" t="str">
        <f t="shared" si="47"/>
        <v/>
      </c>
      <c r="P224" s="104"/>
      <c r="Q224" s="99" t="str">
        <f t="shared" si="36"/>
        <v/>
      </c>
      <c r="R224" s="100" t="str">
        <f t="shared" si="37"/>
        <v/>
      </c>
      <c r="S224" s="100" t="str">
        <f t="shared" si="38"/>
        <v/>
      </c>
      <c r="T224" s="101" t="str">
        <f t="shared" si="39"/>
        <v/>
      </c>
      <c r="U224" s="101" t="str">
        <f t="shared" si="40"/>
        <v/>
      </c>
      <c r="V224" s="128" t="str">
        <f t="shared" si="41"/>
        <v/>
      </c>
      <c r="W224" s="128" t="str">
        <f t="shared" si="42"/>
        <v/>
      </c>
      <c r="X224" s="101" t="str">
        <f t="shared" si="43"/>
        <v/>
      </c>
      <c r="Y224" s="101" t="str">
        <f t="shared" si="44"/>
        <v/>
      </c>
      <c r="Z224" s="102" t="str">
        <f t="shared" si="45"/>
        <v/>
      </c>
      <c r="AA224" s="103" t="str">
        <f t="shared" si="46"/>
        <v/>
      </c>
      <c r="AB224" s="142" t="str">
        <f>IF(A224&lt;&gt;"", SUMIFS(node!$J$2:$J$500, node!$C$2:$C$500,"="&amp;A224)/P224, "")</f>
        <v/>
      </c>
      <c r="AC224" s="134" t="str">
        <f>IF(A224&lt;&gt;"", SUMIFS(node!$K$2:$K$500, node!$C$2:$C$500,"="&amp;A224)/P224, "")</f>
        <v/>
      </c>
      <c r="AD224" s="135" t="str">
        <f>IF(A224&lt;&gt;"", SUMIFS(node!$L$2:$L$500, node!$C$2:$C$500,"="&amp;A224), "")</f>
        <v/>
      </c>
      <c r="AE224" s="145" t="str">
        <f>IF(A224&lt;&gt;"", SUMIFS(node!$M$2:$M$500, node!$C$2:$C$500,"="&amp;A224), "")</f>
        <v/>
      </c>
    </row>
    <row r="225" spans="1:31" ht="15.75" customHeight="1" x14ac:dyDescent="0.25">
      <c r="A225" s="119" t="str">
        <f>IF(ISNONTEXT(node_raw[[#This Row],[Column2]]), "", node_raw[[#This Row],[Column2]])</f>
        <v/>
      </c>
      <c r="B225" s="116" t="str">
        <f>IF(A225&lt;&gt;"", VLOOKUP(A225, node!$C$2:$D$500, 2, FALSE), "")</f>
        <v/>
      </c>
      <c r="C225" s="117" t="str">
        <f>IF(A225&lt;&gt;"", VLOOKUP(A225, node!$C$2:$E$500, 3, FALSE), "")</f>
        <v/>
      </c>
      <c r="D225" s="118" t="str">
        <f>IF(A225&lt;&gt;"",COUNTIFS(node!$C$2:$C$500,"="&amp;A225, node!$C$2:$C$500,"&lt;&gt;"&amp;""),"")</f>
        <v/>
      </c>
      <c r="E225" s="122" t="str">
        <f>IF(A225&lt;&gt;"",SUMIFS(node!$F$2:$F$500, node!$C$2:$C$500,"="&amp;A225, node!$C$2:$C$500,"&lt;&gt;"&amp;"")/(B225*D225),"")</f>
        <v/>
      </c>
      <c r="F225" s="124" t="str">
        <f>IF(A225&lt;&gt;"",SUMIFS(node!$H$2:$H$500, node!$C$2:$C$500,"="&amp;A225, node!$C$2:$C$500,"&lt;&gt;"&amp;"")/(C225*D225),"")</f>
        <v/>
      </c>
      <c r="G225" s="93" t="str">
        <f>IF(A225&lt;&gt;"",SUMIFS(deployment!$F$4:$F$502, deployment!$D$4:$D$502,"="&amp;A225, deployment!$D$4:$D$502,"&lt;&gt;"&amp;""),"")</f>
        <v/>
      </c>
      <c r="H225" s="94" t="str">
        <f>IF(A225&lt;&gt;"",SUMIFS(deployment!$G$4:$G$502, deployment!$D$4:$D$502,"="&amp;A225, deployment!$D$4:$D$502,"&lt;&gt;"&amp;""),"")</f>
        <v/>
      </c>
      <c r="I225" s="95" t="str">
        <f>IF(A225&lt;&gt;"",SUMIFS(deployment!$H$4:$H$502, deployment!$D$4:$D$502,"="&amp;A225, deployment!$D$4:$D$502,"&lt;&gt;"&amp;""),"")</f>
        <v/>
      </c>
      <c r="J225" s="96" t="str">
        <f>IF(A225&lt;&gt;"",SUMIFS(deployment!$I$4:$I$502, deployment!$D$4:$D$502,"="&amp;A225, deployment!$D$4:$D$502,"&lt;&gt;"&amp;""),"")</f>
        <v/>
      </c>
      <c r="K225" s="112" t="str">
        <f>IF(A225&lt;&gt;"",SUMIFS(deployment!$J$4:$J$502, deployment!$D$4:$D$502,"="&amp;A225, deployment!$D$4:$D$502,"&lt;&gt;"&amp;""),"")</f>
        <v/>
      </c>
      <c r="L225" s="112" t="str">
        <f>IF(A225&lt;&gt;"",SUMIFS(deployment!$K$4:$K$502, deployment!$D$4:$D$502,"="&amp;A225, deployment!$D$4:$D$502,"&lt;&gt;"&amp;""),"")</f>
        <v/>
      </c>
      <c r="M225" s="97" t="str">
        <f>IF(A225&lt;&gt;"",SUMIFS(deployment!$L$4:$L$502, deployment!$D$4:$D$502,"="&amp;A225, deployment!$D$4:$D$502,"&lt;&gt;"&amp;""),"")</f>
        <v/>
      </c>
      <c r="N225" s="97" t="str">
        <f>IF(A225&lt;&gt;"",SUMIFS(deployment!$M$4:$M$502, deployment!$D$4:$D$502,"="&amp;A225, deployment!$D$4:$D$502,"&lt;&gt;"&amp;""),"")</f>
        <v/>
      </c>
      <c r="O225" s="127" t="str">
        <f t="shared" si="47"/>
        <v/>
      </c>
      <c r="P225" s="104"/>
      <c r="Q225" s="99" t="str">
        <f t="shared" si="36"/>
        <v/>
      </c>
      <c r="R225" s="100" t="str">
        <f t="shared" si="37"/>
        <v/>
      </c>
      <c r="S225" s="100" t="str">
        <f t="shared" si="38"/>
        <v/>
      </c>
      <c r="T225" s="101" t="str">
        <f t="shared" si="39"/>
        <v/>
      </c>
      <c r="U225" s="101" t="str">
        <f t="shared" si="40"/>
        <v/>
      </c>
      <c r="V225" s="128" t="str">
        <f t="shared" si="41"/>
        <v/>
      </c>
      <c r="W225" s="128" t="str">
        <f t="shared" si="42"/>
        <v/>
      </c>
      <c r="X225" s="101" t="str">
        <f t="shared" si="43"/>
        <v/>
      </c>
      <c r="Y225" s="101" t="str">
        <f t="shared" si="44"/>
        <v/>
      </c>
      <c r="Z225" s="102" t="str">
        <f t="shared" si="45"/>
        <v/>
      </c>
      <c r="AA225" s="103" t="str">
        <f t="shared" si="46"/>
        <v/>
      </c>
      <c r="AB225" s="142" t="str">
        <f>IF(A225&lt;&gt;"", SUMIFS(node!$J$2:$J$500, node!$C$2:$C$500,"="&amp;A225)/P225, "")</f>
        <v/>
      </c>
      <c r="AC225" s="134" t="str">
        <f>IF(A225&lt;&gt;"", SUMIFS(node!$K$2:$K$500, node!$C$2:$C$500,"="&amp;A225)/P225, "")</f>
        <v/>
      </c>
      <c r="AD225" s="135" t="str">
        <f>IF(A225&lt;&gt;"", SUMIFS(node!$L$2:$L$500, node!$C$2:$C$500,"="&amp;A225), "")</f>
        <v/>
      </c>
      <c r="AE225" s="145" t="str">
        <f>IF(A225&lt;&gt;"", SUMIFS(node!$M$2:$M$500, node!$C$2:$C$500,"="&amp;A225), "")</f>
        <v/>
      </c>
    </row>
    <row r="226" spans="1:31" ht="15.75" customHeight="1" x14ac:dyDescent="0.25">
      <c r="A226" s="119" t="str">
        <f>IF(ISNONTEXT(node_raw[[#This Row],[Column2]]), "", node_raw[[#This Row],[Column2]])</f>
        <v/>
      </c>
      <c r="B226" s="116" t="str">
        <f>IF(A226&lt;&gt;"", VLOOKUP(A226, node!$C$2:$D$500, 2, FALSE), "")</f>
        <v/>
      </c>
      <c r="C226" s="117" t="str">
        <f>IF(A226&lt;&gt;"", VLOOKUP(A226, node!$C$2:$E$500, 3, FALSE), "")</f>
        <v/>
      </c>
      <c r="D226" s="118" t="str">
        <f>IF(A226&lt;&gt;"",COUNTIFS(node!$C$2:$C$500,"="&amp;A226, node!$C$2:$C$500,"&lt;&gt;"&amp;""),"")</f>
        <v/>
      </c>
      <c r="E226" s="122" t="str">
        <f>IF(A226&lt;&gt;"",SUMIFS(node!$F$2:$F$500, node!$C$2:$C$500,"="&amp;A226, node!$C$2:$C$500,"&lt;&gt;"&amp;"")/(B226*D226),"")</f>
        <v/>
      </c>
      <c r="F226" s="124" t="str">
        <f>IF(A226&lt;&gt;"",SUMIFS(node!$H$2:$H$500, node!$C$2:$C$500,"="&amp;A226, node!$C$2:$C$500,"&lt;&gt;"&amp;"")/(C226*D226),"")</f>
        <v/>
      </c>
      <c r="G226" s="93" t="str">
        <f>IF(A226&lt;&gt;"",SUMIFS(deployment!$F$4:$F$502, deployment!$D$4:$D$502,"="&amp;A226, deployment!$D$4:$D$502,"&lt;&gt;"&amp;""),"")</f>
        <v/>
      </c>
      <c r="H226" s="94" t="str">
        <f>IF(A226&lt;&gt;"",SUMIFS(deployment!$G$4:$G$502, deployment!$D$4:$D$502,"="&amp;A226, deployment!$D$4:$D$502,"&lt;&gt;"&amp;""),"")</f>
        <v/>
      </c>
      <c r="I226" s="95" t="str">
        <f>IF(A226&lt;&gt;"",SUMIFS(deployment!$H$4:$H$502, deployment!$D$4:$D$502,"="&amp;A226, deployment!$D$4:$D$502,"&lt;&gt;"&amp;""),"")</f>
        <v/>
      </c>
      <c r="J226" s="96" t="str">
        <f>IF(A226&lt;&gt;"",SUMIFS(deployment!$I$4:$I$502, deployment!$D$4:$D$502,"="&amp;A226, deployment!$D$4:$D$502,"&lt;&gt;"&amp;""),"")</f>
        <v/>
      </c>
      <c r="K226" s="112" t="str">
        <f>IF(A226&lt;&gt;"",SUMIFS(deployment!$J$4:$J$502, deployment!$D$4:$D$502,"="&amp;A226, deployment!$D$4:$D$502,"&lt;&gt;"&amp;""),"")</f>
        <v/>
      </c>
      <c r="L226" s="112" t="str">
        <f>IF(A226&lt;&gt;"",SUMIFS(deployment!$K$4:$K$502, deployment!$D$4:$D$502,"="&amp;A226, deployment!$D$4:$D$502,"&lt;&gt;"&amp;""),"")</f>
        <v/>
      </c>
      <c r="M226" s="97" t="str">
        <f>IF(A226&lt;&gt;"",SUMIFS(deployment!$L$4:$L$502, deployment!$D$4:$D$502,"="&amp;A226, deployment!$D$4:$D$502,"&lt;&gt;"&amp;""),"")</f>
        <v/>
      </c>
      <c r="N226" s="97" t="str">
        <f>IF(A226&lt;&gt;"",SUMIFS(deployment!$M$4:$M$502, deployment!$D$4:$D$502,"="&amp;A226, deployment!$D$4:$D$502,"&lt;&gt;"&amp;""),"")</f>
        <v/>
      </c>
      <c r="O226" s="127" t="str">
        <f t="shared" si="47"/>
        <v/>
      </c>
      <c r="P226" s="104"/>
      <c r="Q226" s="99" t="str">
        <f t="shared" si="36"/>
        <v/>
      </c>
      <c r="R226" s="100" t="str">
        <f t="shared" si="37"/>
        <v/>
      </c>
      <c r="S226" s="100" t="str">
        <f t="shared" si="38"/>
        <v/>
      </c>
      <c r="T226" s="101" t="str">
        <f t="shared" si="39"/>
        <v/>
      </c>
      <c r="U226" s="101" t="str">
        <f t="shared" si="40"/>
        <v/>
      </c>
      <c r="V226" s="128" t="str">
        <f t="shared" si="41"/>
        <v/>
      </c>
      <c r="W226" s="128" t="str">
        <f t="shared" si="42"/>
        <v/>
      </c>
      <c r="X226" s="101" t="str">
        <f t="shared" si="43"/>
        <v/>
      </c>
      <c r="Y226" s="101" t="str">
        <f t="shared" si="44"/>
        <v/>
      </c>
      <c r="Z226" s="102" t="str">
        <f t="shared" si="45"/>
        <v/>
      </c>
      <c r="AA226" s="103" t="str">
        <f t="shared" si="46"/>
        <v/>
      </c>
      <c r="AB226" s="142" t="str">
        <f>IF(A226&lt;&gt;"", SUMIFS(node!$J$2:$J$500, node!$C$2:$C$500,"="&amp;A226)/P226, "")</f>
        <v/>
      </c>
      <c r="AC226" s="134" t="str">
        <f>IF(A226&lt;&gt;"", SUMIFS(node!$K$2:$K$500, node!$C$2:$C$500,"="&amp;A226)/P226, "")</f>
        <v/>
      </c>
      <c r="AD226" s="135" t="str">
        <f>IF(A226&lt;&gt;"", SUMIFS(node!$L$2:$L$500, node!$C$2:$C$500,"="&amp;A226), "")</f>
        <v/>
      </c>
      <c r="AE226" s="145" t="str">
        <f>IF(A226&lt;&gt;"", SUMIFS(node!$M$2:$M$500, node!$C$2:$C$500,"="&amp;A226), "")</f>
        <v/>
      </c>
    </row>
    <row r="227" spans="1:31" ht="15.75" customHeight="1" x14ac:dyDescent="0.25">
      <c r="A227" s="119" t="str">
        <f>IF(ISNONTEXT(node_raw[[#This Row],[Column2]]), "", node_raw[[#This Row],[Column2]])</f>
        <v/>
      </c>
      <c r="B227" s="116" t="str">
        <f>IF(A227&lt;&gt;"", VLOOKUP(A227, node!$C$2:$D$500, 2, FALSE), "")</f>
        <v/>
      </c>
      <c r="C227" s="117" t="str">
        <f>IF(A227&lt;&gt;"", VLOOKUP(A227, node!$C$2:$E$500, 3, FALSE), "")</f>
        <v/>
      </c>
      <c r="D227" s="118" t="str">
        <f>IF(A227&lt;&gt;"",COUNTIFS(node!$C$2:$C$500,"="&amp;A227, node!$C$2:$C$500,"&lt;&gt;"&amp;""),"")</f>
        <v/>
      </c>
      <c r="E227" s="122" t="str">
        <f>IF(A227&lt;&gt;"",SUMIFS(node!$F$2:$F$500, node!$C$2:$C$500,"="&amp;A227, node!$C$2:$C$500,"&lt;&gt;"&amp;"")/(B227*D227),"")</f>
        <v/>
      </c>
      <c r="F227" s="124" t="str">
        <f>IF(A227&lt;&gt;"",SUMIFS(node!$H$2:$H$500, node!$C$2:$C$500,"="&amp;A227, node!$C$2:$C$500,"&lt;&gt;"&amp;"")/(C227*D227),"")</f>
        <v/>
      </c>
      <c r="G227" s="93" t="str">
        <f>IF(A227&lt;&gt;"",SUMIFS(deployment!$F$4:$F$502, deployment!$D$4:$D$502,"="&amp;A227, deployment!$D$4:$D$502,"&lt;&gt;"&amp;""),"")</f>
        <v/>
      </c>
      <c r="H227" s="94" t="str">
        <f>IF(A227&lt;&gt;"",SUMIFS(deployment!$G$4:$G$502, deployment!$D$4:$D$502,"="&amp;A227, deployment!$D$4:$D$502,"&lt;&gt;"&amp;""),"")</f>
        <v/>
      </c>
      <c r="I227" s="95" t="str">
        <f>IF(A227&lt;&gt;"",SUMIFS(deployment!$H$4:$H$502, deployment!$D$4:$D$502,"="&amp;A227, deployment!$D$4:$D$502,"&lt;&gt;"&amp;""),"")</f>
        <v/>
      </c>
      <c r="J227" s="96" t="str">
        <f>IF(A227&lt;&gt;"",SUMIFS(deployment!$I$4:$I$502, deployment!$D$4:$D$502,"="&amp;A227, deployment!$D$4:$D$502,"&lt;&gt;"&amp;""),"")</f>
        <v/>
      </c>
      <c r="K227" s="112" t="str">
        <f>IF(A227&lt;&gt;"",SUMIFS(deployment!$J$4:$J$502, deployment!$D$4:$D$502,"="&amp;A227, deployment!$D$4:$D$502,"&lt;&gt;"&amp;""),"")</f>
        <v/>
      </c>
      <c r="L227" s="112" t="str">
        <f>IF(A227&lt;&gt;"",SUMIFS(deployment!$K$4:$K$502, deployment!$D$4:$D$502,"="&amp;A227, deployment!$D$4:$D$502,"&lt;&gt;"&amp;""),"")</f>
        <v/>
      </c>
      <c r="M227" s="97" t="str">
        <f>IF(A227&lt;&gt;"",SUMIFS(deployment!$L$4:$L$502, deployment!$D$4:$D$502,"="&amp;A227, deployment!$D$4:$D$502,"&lt;&gt;"&amp;""),"")</f>
        <v/>
      </c>
      <c r="N227" s="97" t="str">
        <f>IF(A227&lt;&gt;"",SUMIFS(deployment!$M$4:$M$502, deployment!$D$4:$D$502,"="&amp;A227, deployment!$D$4:$D$502,"&lt;&gt;"&amp;""),"")</f>
        <v/>
      </c>
      <c r="O227" s="127" t="str">
        <f t="shared" si="47"/>
        <v/>
      </c>
      <c r="P227" s="104"/>
      <c r="Q227" s="99" t="str">
        <f t="shared" si="36"/>
        <v/>
      </c>
      <c r="R227" s="100" t="str">
        <f t="shared" si="37"/>
        <v/>
      </c>
      <c r="S227" s="100" t="str">
        <f t="shared" si="38"/>
        <v/>
      </c>
      <c r="T227" s="101" t="str">
        <f t="shared" si="39"/>
        <v/>
      </c>
      <c r="U227" s="101" t="str">
        <f t="shared" si="40"/>
        <v/>
      </c>
      <c r="V227" s="128" t="str">
        <f t="shared" si="41"/>
        <v/>
      </c>
      <c r="W227" s="128" t="str">
        <f t="shared" si="42"/>
        <v/>
      </c>
      <c r="X227" s="101" t="str">
        <f t="shared" si="43"/>
        <v/>
      </c>
      <c r="Y227" s="101" t="str">
        <f t="shared" si="44"/>
        <v/>
      </c>
      <c r="Z227" s="102" t="str">
        <f t="shared" si="45"/>
        <v/>
      </c>
      <c r="AA227" s="103" t="str">
        <f t="shared" si="46"/>
        <v/>
      </c>
      <c r="AB227" s="142" t="str">
        <f>IF(A227&lt;&gt;"", SUMIFS(node!$J$2:$J$500, node!$C$2:$C$500,"="&amp;A227)/P227, "")</f>
        <v/>
      </c>
      <c r="AC227" s="134" t="str">
        <f>IF(A227&lt;&gt;"", SUMIFS(node!$K$2:$K$500, node!$C$2:$C$500,"="&amp;A227)/P227, "")</f>
        <v/>
      </c>
      <c r="AD227" s="135" t="str">
        <f>IF(A227&lt;&gt;"", SUMIFS(node!$L$2:$L$500, node!$C$2:$C$500,"="&amp;A227), "")</f>
        <v/>
      </c>
      <c r="AE227" s="145" t="str">
        <f>IF(A227&lt;&gt;"", SUMIFS(node!$M$2:$M$500, node!$C$2:$C$500,"="&amp;A227), "")</f>
        <v/>
      </c>
    </row>
    <row r="228" spans="1:31" ht="15.75" customHeight="1" x14ac:dyDescent="0.25">
      <c r="A228" s="119" t="str">
        <f>IF(ISNONTEXT(node_raw[[#This Row],[Column2]]), "", node_raw[[#This Row],[Column2]])</f>
        <v/>
      </c>
      <c r="B228" s="116" t="str">
        <f>IF(A228&lt;&gt;"", VLOOKUP(A228, node!$C$2:$D$500, 2, FALSE), "")</f>
        <v/>
      </c>
      <c r="C228" s="117" t="str">
        <f>IF(A228&lt;&gt;"", VLOOKUP(A228, node!$C$2:$E$500, 3, FALSE), "")</f>
        <v/>
      </c>
      <c r="D228" s="118" t="str">
        <f>IF(A228&lt;&gt;"",COUNTIFS(node!$C$2:$C$500,"="&amp;A228, node!$C$2:$C$500,"&lt;&gt;"&amp;""),"")</f>
        <v/>
      </c>
      <c r="E228" s="122" t="str">
        <f>IF(A228&lt;&gt;"",SUMIFS(node!$F$2:$F$500, node!$C$2:$C$500,"="&amp;A228, node!$C$2:$C$500,"&lt;&gt;"&amp;"")/(B228*D228),"")</f>
        <v/>
      </c>
      <c r="F228" s="124" t="str">
        <f>IF(A228&lt;&gt;"",SUMIFS(node!$H$2:$H$500, node!$C$2:$C$500,"="&amp;A228, node!$C$2:$C$500,"&lt;&gt;"&amp;"")/(C228*D228),"")</f>
        <v/>
      </c>
      <c r="G228" s="93" t="str">
        <f>IF(A228&lt;&gt;"",SUMIFS(deployment!$F$4:$F$502, deployment!$D$4:$D$502,"="&amp;A228, deployment!$D$4:$D$502,"&lt;&gt;"&amp;""),"")</f>
        <v/>
      </c>
      <c r="H228" s="94" t="str">
        <f>IF(A228&lt;&gt;"",SUMIFS(deployment!$G$4:$G$502, deployment!$D$4:$D$502,"="&amp;A228, deployment!$D$4:$D$502,"&lt;&gt;"&amp;""),"")</f>
        <v/>
      </c>
      <c r="I228" s="95" t="str">
        <f>IF(A228&lt;&gt;"",SUMIFS(deployment!$H$4:$H$502, deployment!$D$4:$D$502,"="&amp;A228, deployment!$D$4:$D$502,"&lt;&gt;"&amp;""),"")</f>
        <v/>
      </c>
      <c r="J228" s="96" t="str">
        <f>IF(A228&lt;&gt;"",SUMIFS(deployment!$I$4:$I$502, deployment!$D$4:$D$502,"="&amp;A228, deployment!$D$4:$D$502,"&lt;&gt;"&amp;""),"")</f>
        <v/>
      </c>
      <c r="K228" s="112" t="str">
        <f>IF(A228&lt;&gt;"",SUMIFS(deployment!$J$4:$J$502, deployment!$D$4:$D$502,"="&amp;A228, deployment!$D$4:$D$502,"&lt;&gt;"&amp;""),"")</f>
        <v/>
      </c>
      <c r="L228" s="112" t="str">
        <f>IF(A228&lt;&gt;"",SUMIFS(deployment!$K$4:$K$502, deployment!$D$4:$D$502,"="&amp;A228, deployment!$D$4:$D$502,"&lt;&gt;"&amp;""),"")</f>
        <v/>
      </c>
      <c r="M228" s="97" t="str">
        <f>IF(A228&lt;&gt;"",SUMIFS(deployment!$L$4:$L$502, deployment!$D$4:$D$502,"="&amp;A228, deployment!$D$4:$D$502,"&lt;&gt;"&amp;""),"")</f>
        <v/>
      </c>
      <c r="N228" s="97" t="str">
        <f>IF(A228&lt;&gt;"",SUMIFS(deployment!$M$4:$M$502, deployment!$D$4:$D$502,"="&amp;A228, deployment!$D$4:$D$502,"&lt;&gt;"&amp;""),"")</f>
        <v/>
      </c>
      <c r="O228" s="127" t="str">
        <f t="shared" si="47"/>
        <v/>
      </c>
      <c r="P228" s="104"/>
      <c r="Q228" s="99" t="str">
        <f t="shared" si="36"/>
        <v/>
      </c>
      <c r="R228" s="100" t="str">
        <f t="shared" si="37"/>
        <v/>
      </c>
      <c r="S228" s="100" t="str">
        <f t="shared" si="38"/>
        <v/>
      </c>
      <c r="T228" s="101" t="str">
        <f t="shared" si="39"/>
        <v/>
      </c>
      <c r="U228" s="101" t="str">
        <f t="shared" si="40"/>
        <v/>
      </c>
      <c r="V228" s="128" t="str">
        <f t="shared" si="41"/>
        <v/>
      </c>
      <c r="W228" s="128" t="str">
        <f t="shared" si="42"/>
        <v/>
      </c>
      <c r="X228" s="101" t="str">
        <f t="shared" si="43"/>
        <v/>
      </c>
      <c r="Y228" s="101" t="str">
        <f t="shared" si="44"/>
        <v/>
      </c>
      <c r="Z228" s="102" t="str">
        <f t="shared" si="45"/>
        <v/>
      </c>
      <c r="AA228" s="103" t="str">
        <f t="shared" si="46"/>
        <v/>
      </c>
      <c r="AB228" s="142" t="str">
        <f>IF(A228&lt;&gt;"", SUMIFS(node!$J$2:$J$500, node!$C$2:$C$500,"="&amp;A228)/P228, "")</f>
        <v/>
      </c>
      <c r="AC228" s="134" t="str">
        <f>IF(A228&lt;&gt;"", SUMIFS(node!$K$2:$K$500, node!$C$2:$C$500,"="&amp;A228)/P228, "")</f>
        <v/>
      </c>
      <c r="AD228" s="135" t="str">
        <f>IF(A228&lt;&gt;"", SUMIFS(node!$L$2:$L$500, node!$C$2:$C$500,"="&amp;A228), "")</f>
        <v/>
      </c>
      <c r="AE228" s="145" t="str">
        <f>IF(A228&lt;&gt;"", SUMIFS(node!$M$2:$M$500, node!$C$2:$C$500,"="&amp;A228), "")</f>
        <v/>
      </c>
    </row>
    <row r="229" spans="1:31" ht="15.75" customHeight="1" x14ac:dyDescent="0.25">
      <c r="A229" s="119" t="str">
        <f>IF(ISNONTEXT(node_raw[[#This Row],[Column2]]), "", node_raw[[#This Row],[Column2]])</f>
        <v/>
      </c>
      <c r="B229" s="116" t="str">
        <f>IF(A229&lt;&gt;"", VLOOKUP(A229, node!$C$2:$D$500, 2, FALSE), "")</f>
        <v/>
      </c>
      <c r="C229" s="117" t="str">
        <f>IF(A229&lt;&gt;"", VLOOKUP(A229, node!$C$2:$E$500, 3, FALSE), "")</f>
        <v/>
      </c>
      <c r="D229" s="118" t="str">
        <f>IF(A229&lt;&gt;"",COUNTIFS(node!$C$2:$C$500,"="&amp;A229, node!$C$2:$C$500,"&lt;&gt;"&amp;""),"")</f>
        <v/>
      </c>
      <c r="E229" s="122" t="str">
        <f>IF(A229&lt;&gt;"",SUMIFS(node!$F$2:$F$500, node!$C$2:$C$500,"="&amp;A229, node!$C$2:$C$500,"&lt;&gt;"&amp;"")/(B229*D229),"")</f>
        <v/>
      </c>
      <c r="F229" s="124" t="str">
        <f>IF(A229&lt;&gt;"",SUMIFS(node!$H$2:$H$500, node!$C$2:$C$500,"="&amp;A229, node!$C$2:$C$500,"&lt;&gt;"&amp;"")/(C229*D229),"")</f>
        <v/>
      </c>
      <c r="G229" s="93" t="str">
        <f>IF(A229&lt;&gt;"",SUMIFS(deployment!$F$4:$F$502, deployment!$D$4:$D$502,"="&amp;A229, deployment!$D$4:$D$502,"&lt;&gt;"&amp;""),"")</f>
        <v/>
      </c>
      <c r="H229" s="94" t="str">
        <f>IF(A229&lt;&gt;"",SUMIFS(deployment!$G$4:$G$502, deployment!$D$4:$D$502,"="&amp;A229, deployment!$D$4:$D$502,"&lt;&gt;"&amp;""),"")</f>
        <v/>
      </c>
      <c r="I229" s="95" t="str">
        <f>IF(A229&lt;&gt;"",SUMIFS(deployment!$H$4:$H$502, deployment!$D$4:$D$502,"="&amp;A229, deployment!$D$4:$D$502,"&lt;&gt;"&amp;""),"")</f>
        <v/>
      </c>
      <c r="J229" s="96" t="str">
        <f>IF(A229&lt;&gt;"",SUMIFS(deployment!$I$4:$I$502, deployment!$D$4:$D$502,"="&amp;A229, deployment!$D$4:$D$502,"&lt;&gt;"&amp;""),"")</f>
        <v/>
      </c>
      <c r="K229" s="112" t="str">
        <f>IF(A229&lt;&gt;"",SUMIFS(deployment!$J$4:$J$502, deployment!$D$4:$D$502,"="&amp;A229, deployment!$D$4:$D$502,"&lt;&gt;"&amp;""),"")</f>
        <v/>
      </c>
      <c r="L229" s="112" t="str">
        <f>IF(A229&lt;&gt;"",SUMIFS(deployment!$K$4:$K$502, deployment!$D$4:$D$502,"="&amp;A229, deployment!$D$4:$D$502,"&lt;&gt;"&amp;""),"")</f>
        <v/>
      </c>
      <c r="M229" s="97" t="str">
        <f>IF(A229&lt;&gt;"",SUMIFS(deployment!$L$4:$L$502, deployment!$D$4:$D$502,"="&amp;A229, deployment!$D$4:$D$502,"&lt;&gt;"&amp;""),"")</f>
        <v/>
      </c>
      <c r="N229" s="97" t="str">
        <f>IF(A229&lt;&gt;"",SUMIFS(deployment!$M$4:$M$502, deployment!$D$4:$D$502,"="&amp;A229, deployment!$D$4:$D$502,"&lt;&gt;"&amp;""),"")</f>
        <v/>
      </c>
      <c r="O229" s="127" t="str">
        <f t="shared" si="47"/>
        <v/>
      </c>
      <c r="P229" s="104"/>
      <c r="Q229" s="99" t="str">
        <f t="shared" si="36"/>
        <v/>
      </c>
      <c r="R229" s="100" t="str">
        <f t="shared" si="37"/>
        <v/>
      </c>
      <c r="S229" s="100" t="str">
        <f t="shared" si="38"/>
        <v/>
      </c>
      <c r="T229" s="101" t="str">
        <f t="shared" si="39"/>
        <v/>
      </c>
      <c r="U229" s="101" t="str">
        <f t="shared" si="40"/>
        <v/>
      </c>
      <c r="V229" s="128" t="str">
        <f t="shared" si="41"/>
        <v/>
      </c>
      <c r="W229" s="128" t="str">
        <f t="shared" si="42"/>
        <v/>
      </c>
      <c r="X229" s="101" t="str">
        <f t="shared" si="43"/>
        <v/>
      </c>
      <c r="Y229" s="101" t="str">
        <f t="shared" si="44"/>
        <v/>
      </c>
      <c r="Z229" s="102" t="str">
        <f t="shared" si="45"/>
        <v/>
      </c>
      <c r="AA229" s="103" t="str">
        <f t="shared" si="46"/>
        <v/>
      </c>
      <c r="AB229" s="142" t="str">
        <f>IF(A229&lt;&gt;"", SUMIFS(node!$J$2:$J$500, node!$C$2:$C$500,"="&amp;A229)/P229, "")</f>
        <v/>
      </c>
      <c r="AC229" s="134" t="str">
        <f>IF(A229&lt;&gt;"", SUMIFS(node!$K$2:$K$500, node!$C$2:$C$500,"="&amp;A229)/P229, "")</f>
        <v/>
      </c>
      <c r="AD229" s="135" t="str">
        <f>IF(A229&lt;&gt;"", SUMIFS(node!$L$2:$L$500, node!$C$2:$C$500,"="&amp;A229), "")</f>
        <v/>
      </c>
      <c r="AE229" s="145" t="str">
        <f>IF(A229&lt;&gt;"", SUMIFS(node!$M$2:$M$500, node!$C$2:$C$500,"="&amp;A229), "")</f>
        <v/>
      </c>
    </row>
    <row r="230" spans="1:31" ht="15.75" customHeight="1" x14ac:dyDescent="0.25">
      <c r="A230" s="119" t="str">
        <f>IF(ISNONTEXT(node_raw[[#This Row],[Column2]]), "", node_raw[[#This Row],[Column2]])</f>
        <v/>
      </c>
      <c r="B230" s="116" t="str">
        <f>IF(A230&lt;&gt;"", VLOOKUP(A230, node!$C$2:$D$500, 2, FALSE), "")</f>
        <v/>
      </c>
      <c r="C230" s="117" t="str">
        <f>IF(A230&lt;&gt;"", VLOOKUP(A230, node!$C$2:$E$500, 3, FALSE), "")</f>
        <v/>
      </c>
      <c r="D230" s="118" t="str">
        <f>IF(A230&lt;&gt;"",COUNTIFS(node!$C$2:$C$500,"="&amp;A230, node!$C$2:$C$500,"&lt;&gt;"&amp;""),"")</f>
        <v/>
      </c>
      <c r="E230" s="122" t="str">
        <f>IF(A230&lt;&gt;"",SUMIFS(node!$F$2:$F$500, node!$C$2:$C$500,"="&amp;A230, node!$C$2:$C$500,"&lt;&gt;"&amp;"")/(B230*D230),"")</f>
        <v/>
      </c>
      <c r="F230" s="124" t="str">
        <f>IF(A230&lt;&gt;"",SUMIFS(node!$H$2:$H$500, node!$C$2:$C$500,"="&amp;A230, node!$C$2:$C$500,"&lt;&gt;"&amp;"")/(C230*D230),"")</f>
        <v/>
      </c>
      <c r="G230" s="93" t="str">
        <f>IF(A230&lt;&gt;"",SUMIFS(deployment!$F$4:$F$502, deployment!$D$4:$D$502,"="&amp;A230, deployment!$D$4:$D$502,"&lt;&gt;"&amp;""),"")</f>
        <v/>
      </c>
      <c r="H230" s="94" t="str">
        <f>IF(A230&lt;&gt;"",SUMIFS(deployment!$G$4:$G$502, deployment!$D$4:$D$502,"="&amp;A230, deployment!$D$4:$D$502,"&lt;&gt;"&amp;""),"")</f>
        <v/>
      </c>
      <c r="I230" s="95" t="str">
        <f>IF(A230&lt;&gt;"",SUMIFS(deployment!$H$4:$H$502, deployment!$D$4:$D$502,"="&amp;A230, deployment!$D$4:$D$502,"&lt;&gt;"&amp;""),"")</f>
        <v/>
      </c>
      <c r="J230" s="96" t="str">
        <f>IF(A230&lt;&gt;"",SUMIFS(deployment!$I$4:$I$502, deployment!$D$4:$D$502,"="&amp;A230, deployment!$D$4:$D$502,"&lt;&gt;"&amp;""),"")</f>
        <v/>
      </c>
      <c r="K230" s="112" t="str">
        <f>IF(A230&lt;&gt;"",SUMIFS(deployment!$J$4:$J$502, deployment!$D$4:$D$502,"="&amp;A230, deployment!$D$4:$D$502,"&lt;&gt;"&amp;""),"")</f>
        <v/>
      </c>
      <c r="L230" s="112" t="str">
        <f>IF(A230&lt;&gt;"",SUMIFS(deployment!$K$4:$K$502, deployment!$D$4:$D$502,"="&amp;A230, deployment!$D$4:$D$502,"&lt;&gt;"&amp;""),"")</f>
        <v/>
      </c>
      <c r="M230" s="97" t="str">
        <f>IF(A230&lt;&gt;"",SUMIFS(deployment!$L$4:$L$502, deployment!$D$4:$D$502,"="&amp;A230, deployment!$D$4:$D$502,"&lt;&gt;"&amp;""),"")</f>
        <v/>
      </c>
      <c r="N230" s="97" t="str">
        <f>IF(A230&lt;&gt;"",SUMIFS(deployment!$M$4:$M$502, deployment!$D$4:$D$502,"="&amp;A230, deployment!$D$4:$D$502,"&lt;&gt;"&amp;""),"")</f>
        <v/>
      </c>
      <c r="O230" s="127" t="str">
        <f t="shared" si="47"/>
        <v/>
      </c>
      <c r="P230" s="104"/>
      <c r="Q230" s="99" t="str">
        <f t="shared" si="36"/>
        <v/>
      </c>
      <c r="R230" s="100" t="str">
        <f t="shared" si="37"/>
        <v/>
      </c>
      <c r="S230" s="100" t="str">
        <f t="shared" si="38"/>
        <v/>
      </c>
      <c r="T230" s="101" t="str">
        <f t="shared" si="39"/>
        <v/>
      </c>
      <c r="U230" s="101" t="str">
        <f t="shared" si="40"/>
        <v/>
      </c>
      <c r="V230" s="128" t="str">
        <f t="shared" si="41"/>
        <v/>
      </c>
      <c r="W230" s="128" t="str">
        <f t="shared" si="42"/>
        <v/>
      </c>
      <c r="X230" s="101" t="str">
        <f t="shared" si="43"/>
        <v/>
      </c>
      <c r="Y230" s="101" t="str">
        <f t="shared" si="44"/>
        <v/>
      </c>
      <c r="Z230" s="102" t="str">
        <f t="shared" si="45"/>
        <v/>
      </c>
      <c r="AA230" s="103" t="str">
        <f t="shared" si="46"/>
        <v/>
      </c>
      <c r="AB230" s="142" t="str">
        <f>IF(A230&lt;&gt;"", SUMIFS(node!$J$2:$J$500, node!$C$2:$C$500,"="&amp;A230)/P230, "")</f>
        <v/>
      </c>
      <c r="AC230" s="134" t="str">
        <f>IF(A230&lt;&gt;"", SUMIFS(node!$K$2:$K$500, node!$C$2:$C$500,"="&amp;A230)/P230, "")</f>
        <v/>
      </c>
      <c r="AD230" s="135" t="str">
        <f>IF(A230&lt;&gt;"", SUMIFS(node!$L$2:$L$500, node!$C$2:$C$500,"="&amp;A230), "")</f>
        <v/>
      </c>
      <c r="AE230" s="145" t="str">
        <f>IF(A230&lt;&gt;"", SUMIFS(node!$M$2:$M$500, node!$C$2:$C$500,"="&amp;A230), "")</f>
        <v/>
      </c>
    </row>
    <row r="231" spans="1:31" ht="15.75" customHeight="1" x14ac:dyDescent="0.25">
      <c r="A231" s="119" t="str">
        <f>IF(ISNONTEXT(node_raw[[#This Row],[Column2]]), "", node_raw[[#This Row],[Column2]])</f>
        <v/>
      </c>
      <c r="B231" s="116" t="str">
        <f>IF(A231&lt;&gt;"", VLOOKUP(A231, node!$C$2:$D$500, 2, FALSE), "")</f>
        <v/>
      </c>
      <c r="C231" s="117" t="str">
        <f>IF(A231&lt;&gt;"", VLOOKUP(A231, node!$C$2:$E$500, 3, FALSE), "")</f>
        <v/>
      </c>
      <c r="D231" s="118" t="str">
        <f>IF(A231&lt;&gt;"",COUNTIFS(node!$C$2:$C$500,"="&amp;A231, node!$C$2:$C$500,"&lt;&gt;"&amp;""),"")</f>
        <v/>
      </c>
      <c r="E231" s="122" t="str">
        <f>IF(A231&lt;&gt;"",SUMIFS(node!$F$2:$F$500, node!$C$2:$C$500,"="&amp;A231, node!$C$2:$C$500,"&lt;&gt;"&amp;"")/(B231*D231),"")</f>
        <v/>
      </c>
      <c r="F231" s="124" t="str">
        <f>IF(A231&lt;&gt;"",SUMIFS(node!$H$2:$H$500, node!$C$2:$C$500,"="&amp;A231, node!$C$2:$C$500,"&lt;&gt;"&amp;"")/(C231*D231),"")</f>
        <v/>
      </c>
      <c r="G231" s="93" t="str">
        <f>IF(A231&lt;&gt;"",SUMIFS(deployment!$F$4:$F$502, deployment!$D$4:$D$502,"="&amp;A231, deployment!$D$4:$D$502,"&lt;&gt;"&amp;""),"")</f>
        <v/>
      </c>
      <c r="H231" s="94" t="str">
        <f>IF(A231&lt;&gt;"",SUMIFS(deployment!$G$4:$G$502, deployment!$D$4:$D$502,"="&amp;A231, deployment!$D$4:$D$502,"&lt;&gt;"&amp;""),"")</f>
        <v/>
      </c>
      <c r="I231" s="95" t="str">
        <f>IF(A231&lt;&gt;"",SUMIFS(deployment!$H$4:$H$502, deployment!$D$4:$D$502,"="&amp;A231, deployment!$D$4:$D$502,"&lt;&gt;"&amp;""),"")</f>
        <v/>
      </c>
      <c r="J231" s="96" t="str">
        <f>IF(A231&lt;&gt;"",SUMIFS(deployment!$I$4:$I$502, deployment!$D$4:$D$502,"="&amp;A231, deployment!$D$4:$D$502,"&lt;&gt;"&amp;""),"")</f>
        <v/>
      </c>
      <c r="K231" s="112" t="str">
        <f>IF(A231&lt;&gt;"",SUMIFS(deployment!$J$4:$J$502, deployment!$D$4:$D$502,"="&amp;A231, deployment!$D$4:$D$502,"&lt;&gt;"&amp;""),"")</f>
        <v/>
      </c>
      <c r="L231" s="112" t="str">
        <f>IF(A231&lt;&gt;"",SUMIFS(deployment!$K$4:$K$502, deployment!$D$4:$D$502,"="&amp;A231, deployment!$D$4:$D$502,"&lt;&gt;"&amp;""),"")</f>
        <v/>
      </c>
      <c r="M231" s="97" t="str">
        <f>IF(A231&lt;&gt;"",SUMIFS(deployment!$L$4:$L$502, deployment!$D$4:$D$502,"="&amp;A231, deployment!$D$4:$D$502,"&lt;&gt;"&amp;""),"")</f>
        <v/>
      </c>
      <c r="N231" s="97" t="str">
        <f>IF(A231&lt;&gt;"",SUMIFS(deployment!$M$4:$M$502, deployment!$D$4:$D$502,"="&amp;A231, deployment!$D$4:$D$502,"&lt;&gt;"&amp;""),"")</f>
        <v/>
      </c>
      <c r="O231" s="127" t="str">
        <f t="shared" si="47"/>
        <v/>
      </c>
      <c r="P231" s="104"/>
      <c r="Q231" s="99" t="str">
        <f t="shared" si="36"/>
        <v/>
      </c>
      <c r="R231" s="100" t="str">
        <f t="shared" si="37"/>
        <v/>
      </c>
      <c r="S231" s="100" t="str">
        <f t="shared" si="38"/>
        <v/>
      </c>
      <c r="T231" s="101" t="str">
        <f t="shared" si="39"/>
        <v/>
      </c>
      <c r="U231" s="101" t="str">
        <f t="shared" si="40"/>
        <v/>
      </c>
      <c r="V231" s="128" t="str">
        <f t="shared" si="41"/>
        <v/>
      </c>
      <c r="W231" s="128" t="str">
        <f t="shared" si="42"/>
        <v/>
      </c>
      <c r="X231" s="101" t="str">
        <f t="shared" si="43"/>
        <v/>
      </c>
      <c r="Y231" s="101" t="str">
        <f t="shared" si="44"/>
        <v/>
      </c>
      <c r="Z231" s="102" t="str">
        <f t="shared" si="45"/>
        <v/>
      </c>
      <c r="AA231" s="103" t="str">
        <f t="shared" si="46"/>
        <v/>
      </c>
      <c r="AB231" s="142" t="str">
        <f>IF(A231&lt;&gt;"", SUMIFS(node!$J$2:$J$500, node!$C$2:$C$500,"="&amp;A231)/P231, "")</f>
        <v/>
      </c>
      <c r="AC231" s="134" t="str">
        <f>IF(A231&lt;&gt;"", SUMIFS(node!$K$2:$K$500, node!$C$2:$C$500,"="&amp;A231)/P231, "")</f>
        <v/>
      </c>
      <c r="AD231" s="135" t="str">
        <f>IF(A231&lt;&gt;"", SUMIFS(node!$L$2:$L$500, node!$C$2:$C$500,"="&amp;A231), "")</f>
        <v/>
      </c>
      <c r="AE231" s="145" t="str">
        <f>IF(A231&lt;&gt;"", SUMIFS(node!$M$2:$M$500, node!$C$2:$C$500,"="&amp;A231), "")</f>
        <v/>
      </c>
    </row>
    <row r="232" spans="1:31" ht="15.75" customHeight="1" x14ac:dyDescent="0.25">
      <c r="A232" s="119" t="str">
        <f>IF(ISNONTEXT(node_raw[[#This Row],[Column2]]), "", node_raw[[#This Row],[Column2]])</f>
        <v/>
      </c>
      <c r="B232" s="116" t="str">
        <f>IF(A232&lt;&gt;"", VLOOKUP(A232, node!$C$2:$D$500, 2, FALSE), "")</f>
        <v/>
      </c>
      <c r="C232" s="117" t="str">
        <f>IF(A232&lt;&gt;"", VLOOKUP(A232, node!$C$2:$E$500, 3, FALSE), "")</f>
        <v/>
      </c>
      <c r="D232" s="118" t="str">
        <f>IF(A232&lt;&gt;"",COUNTIFS(node!$C$2:$C$500,"="&amp;A232, node!$C$2:$C$500,"&lt;&gt;"&amp;""),"")</f>
        <v/>
      </c>
      <c r="E232" s="122" t="str">
        <f>IF(A232&lt;&gt;"",SUMIFS(node!$F$2:$F$500, node!$C$2:$C$500,"="&amp;A232, node!$C$2:$C$500,"&lt;&gt;"&amp;"")/(B232*D232),"")</f>
        <v/>
      </c>
      <c r="F232" s="124" t="str">
        <f>IF(A232&lt;&gt;"",SUMIFS(node!$H$2:$H$500, node!$C$2:$C$500,"="&amp;A232, node!$C$2:$C$500,"&lt;&gt;"&amp;"")/(C232*D232),"")</f>
        <v/>
      </c>
      <c r="G232" s="93" t="str">
        <f>IF(A232&lt;&gt;"",SUMIFS(deployment!$F$4:$F$502, deployment!$D$4:$D$502,"="&amp;A232, deployment!$D$4:$D$502,"&lt;&gt;"&amp;""),"")</f>
        <v/>
      </c>
      <c r="H232" s="94" t="str">
        <f>IF(A232&lt;&gt;"",SUMIFS(deployment!$G$4:$G$502, deployment!$D$4:$D$502,"="&amp;A232, deployment!$D$4:$D$502,"&lt;&gt;"&amp;""),"")</f>
        <v/>
      </c>
      <c r="I232" s="95" t="str">
        <f>IF(A232&lt;&gt;"",SUMIFS(deployment!$H$4:$H$502, deployment!$D$4:$D$502,"="&amp;A232, deployment!$D$4:$D$502,"&lt;&gt;"&amp;""),"")</f>
        <v/>
      </c>
      <c r="J232" s="96" t="str">
        <f>IF(A232&lt;&gt;"",SUMIFS(deployment!$I$4:$I$502, deployment!$D$4:$D$502,"="&amp;A232, deployment!$D$4:$D$502,"&lt;&gt;"&amp;""),"")</f>
        <v/>
      </c>
      <c r="K232" s="112" t="str">
        <f>IF(A232&lt;&gt;"",SUMIFS(deployment!$J$4:$J$502, deployment!$D$4:$D$502,"="&amp;A232, deployment!$D$4:$D$502,"&lt;&gt;"&amp;""),"")</f>
        <v/>
      </c>
      <c r="L232" s="112" t="str">
        <f>IF(A232&lt;&gt;"",SUMIFS(deployment!$K$4:$K$502, deployment!$D$4:$D$502,"="&amp;A232, deployment!$D$4:$D$502,"&lt;&gt;"&amp;""),"")</f>
        <v/>
      </c>
      <c r="M232" s="97" t="str">
        <f>IF(A232&lt;&gt;"",SUMIFS(deployment!$L$4:$L$502, deployment!$D$4:$D$502,"="&amp;A232, deployment!$D$4:$D$502,"&lt;&gt;"&amp;""),"")</f>
        <v/>
      </c>
      <c r="N232" s="97" t="str">
        <f>IF(A232&lt;&gt;"",SUMIFS(deployment!$M$4:$M$502, deployment!$D$4:$D$502,"="&amp;A232, deployment!$D$4:$D$502,"&lt;&gt;"&amp;""),"")</f>
        <v/>
      </c>
      <c r="O232" s="127" t="str">
        <f t="shared" si="47"/>
        <v/>
      </c>
      <c r="P232" s="104"/>
      <c r="Q232" s="99" t="str">
        <f t="shared" si="36"/>
        <v/>
      </c>
      <c r="R232" s="100" t="str">
        <f t="shared" si="37"/>
        <v/>
      </c>
      <c r="S232" s="100" t="str">
        <f t="shared" si="38"/>
        <v/>
      </c>
      <c r="T232" s="101" t="str">
        <f t="shared" si="39"/>
        <v/>
      </c>
      <c r="U232" s="101" t="str">
        <f t="shared" si="40"/>
        <v/>
      </c>
      <c r="V232" s="128" t="str">
        <f t="shared" si="41"/>
        <v/>
      </c>
      <c r="W232" s="128" t="str">
        <f t="shared" si="42"/>
        <v/>
      </c>
      <c r="X232" s="101" t="str">
        <f t="shared" si="43"/>
        <v/>
      </c>
      <c r="Y232" s="101" t="str">
        <f t="shared" si="44"/>
        <v/>
      </c>
      <c r="Z232" s="102" t="str">
        <f t="shared" si="45"/>
        <v/>
      </c>
      <c r="AA232" s="103" t="str">
        <f t="shared" si="46"/>
        <v/>
      </c>
      <c r="AB232" s="142" t="str">
        <f>IF(A232&lt;&gt;"", SUMIFS(node!$J$2:$J$500, node!$C$2:$C$500,"="&amp;A232)/P232, "")</f>
        <v/>
      </c>
      <c r="AC232" s="134" t="str">
        <f>IF(A232&lt;&gt;"", SUMIFS(node!$K$2:$K$500, node!$C$2:$C$500,"="&amp;A232)/P232, "")</f>
        <v/>
      </c>
      <c r="AD232" s="135" t="str">
        <f>IF(A232&lt;&gt;"", SUMIFS(node!$L$2:$L$500, node!$C$2:$C$500,"="&amp;A232), "")</f>
        <v/>
      </c>
      <c r="AE232" s="145" t="str">
        <f>IF(A232&lt;&gt;"", SUMIFS(node!$M$2:$M$500, node!$C$2:$C$500,"="&amp;A232), "")</f>
        <v/>
      </c>
    </row>
    <row r="233" spans="1:31" ht="15.75" customHeight="1" x14ac:dyDescent="0.25">
      <c r="A233" s="119" t="str">
        <f>IF(ISNONTEXT(node_raw[[#This Row],[Column2]]), "", node_raw[[#This Row],[Column2]])</f>
        <v/>
      </c>
      <c r="B233" s="116" t="str">
        <f>IF(A233&lt;&gt;"", VLOOKUP(A233, node!$C$2:$D$500, 2, FALSE), "")</f>
        <v/>
      </c>
      <c r="C233" s="117" t="str">
        <f>IF(A233&lt;&gt;"", VLOOKUP(A233, node!$C$2:$E$500, 3, FALSE), "")</f>
        <v/>
      </c>
      <c r="D233" s="118" t="str">
        <f>IF(A233&lt;&gt;"",COUNTIFS(node!$C$2:$C$500,"="&amp;A233, node!$C$2:$C$500,"&lt;&gt;"&amp;""),"")</f>
        <v/>
      </c>
      <c r="E233" s="122" t="str">
        <f>IF(A233&lt;&gt;"",SUMIFS(node!$F$2:$F$500, node!$C$2:$C$500,"="&amp;A233, node!$C$2:$C$500,"&lt;&gt;"&amp;"")/(B233*D233),"")</f>
        <v/>
      </c>
      <c r="F233" s="124" t="str">
        <f>IF(A233&lt;&gt;"",SUMIFS(node!$H$2:$H$500, node!$C$2:$C$500,"="&amp;A233, node!$C$2:$C$500,"&lt;&gt;"&amp;"")/(C233*D233),"")</f>
        <v/>
      </c>
      <c r="G233" s="93" t="str">
        <f>IF(A233&lt;&gt;"",SUMIFS(deployment!$F$4:$F$502, deployment!$D$4:$D$502,"="&amp;A233, deployment!$D$4:$D$502,"&lt;&gt;"&amp;""),"")</f>
        <v/>
      </c>
      <c r="H233" s="94" t="str">
        <f>IF(A233&lt;&gt;"",SUMIFS(deployment!$G$4:$G$502, deployment!$D$4:$D$502,"="&amp;A233, deployment!$D$4:$D$502,"&lt;&gt;"&amp;""),"")</f>
        <v/>
      </c>
      <c r="I233" s="95" t="str">
        <f>IF(A233&lt;&gt;"",SUMIFS(deployment!$H$4:$H$502, deployment!$D$4:$D$502,"="&amp;A233, deployment!$D$4:$D$502,"&lt;&gt;"&amp;""),"")</f>
        <v/>
      </c>
      <c r="J233" s="96" t="str">
        <f>IF(A233&lt;&gt;"",SUMIFS(deployment!$I$4:$I$502, deployment!$D$4:$D$502,"="&amp;A233, deployment!$D$4:$D$502,"&lt;&gt;"&amp;""),"")</f>
        <v/>
      </c>
      <c r="K233" s="112" t="str">
        <f>IF(A233&lt;&gt;"",SUMIFS(deployment!$J$4:$J$502, deployment!$D$4:$D$502,"="&amp;A233, deployment!$D$4:$D$502,"&lt;&gt;"&amp;""),"")</f>
        <v/>
      </c>
      <c r="L233" s="112" t="str">
        <f>IF(A233&lt;&gt;"",SUMIFS(deployment!$K$4:$K$502, deployment!$D$4:$D$502,"="&amp;A233, deployment!$D$4:$D$502,"&lt;&gt;"&amp;""),"")</f>
        <v/>
      </c>
      <c r="M233" s="97" t="str">
        <f>IF(A233&lt;&gt;"",SUMIFS(deployment!$L$4:$L$502, deployment!$D$4:$D$502,"="&amp;A233, deployment!$D$4:$D$502,"&lt;&gt;"&amp;""),"")</f>
        <v/>
      </c>
      <c r="N233" s="97" t="str">
        <f>IF(A233&lt;&gt;"",SUMIFS(deployment!$M$4:$M$502, deployment!$D$4:$D$502,"="&amp;A233, deployment!$D$4:$D$502,"&lt;&gt;"&amp;""),"")</f>
        <v/>
      </c>
      <c r="O233" s="127" t="str">
        <f t="shared" si="47"/>
        <v/>
      </c>
      <c r="P233" s="104"/>
      <c r="Q233" s="99" t="str">
        <f t="shared" si="36"/>
        <v/>
      </c>
      <c r="R233" s="100" t="str">
        <f t="shared" si="37"/>
        <v/>
      </c>
      <c r="S233" s="100" t="str">
        <f t="shared" si="38"/>
        <v/>
      </c>
      <c r="T233" s="101" t="str">
        <f t="shared" si="39"/>
        <v/>
      </c>
      <c r="U233" s="101" t="str">
        <f t="shared" si="40"/>
        <v/>
      </c>
      <c r="V233" s="128" t="str">
        <f t="shared" si="41"/>
        <v/>
      </c>
      <c r="W233" s="128" t="str">
        <f t="shared" si="42"/>
        <v/>
      </c>
      <c r="X233" s="101" t="str">
        <f t="shared" si="43"/>
        <v/>
      </c>
      <c r="Y233" s="101" t="str">
        <f t="shared" si="44"/>
        <v/>
      </c>
      <c r="Z233" s="102" t="str">
        <f t="shared" si="45"/>
        <v/>
      </c>
      <c r="AA233" s="103" t="str">
        <f t="shared" si="46"/>
        <v/>
      </c>
      <c r="AB233" s="142" t="str">
        <f>IF(A233&lt;&gt;"", SUMIFS(node!$J$2:$J$500, node!$C$2:$C$500,"="&amp;A233)/P233, "")</f>
        <v/>
      </c>
      <c r="AC233" s="134" t="str">
        <f>IF(A233&lt;&gt;"", SUMIFS(node!$K$2:$K$500, node!$C$2:$C$500,"="&amp;A233)/P233, "")</f>
        <v/>
      </c>
      <c r="AD233" s="135" t="str">
        <f>IF(A233&lt;&gt;"", SUMIFS(node!$L$2:$L$500, node!$C$2:$C$500,"="&amp;A233), "")</f>
        <v/>
      </c>
      <c r="AE233" s="145" t="str">
        <f>IF(A233&lt;&gt;"", SUMIFS(node!$M$2:$M$500, node!$C$2:$C$500,"="&amp;A233), "")</f>
        <v/>
      </c>
    </row>
    <row r="234" spans="1:31" ht="15.75" customHeight="1" x14ac:dyDescent="0.25">
      <c r="A234" s="119" t="str">
        <f>IF(ISNONTEXT(node_raw[[#This Row],[Column2]]), "", node_raw[[#This Row],[Column2]])</f>
        <v/>
      </c>
      <c r="B234" s="116" t="str">
        <f>IF(A234&lt;&gt;"", VLOOKUP(A234, node!$C$2:$D$500, 2, FALSE), "")</f>
        <v/>
      </c>
      <c r="C234" s="117" t="str">
        <f>IF(A234&lt;&gt;"", VLOOKUP(A234, node!$C$2:$E$500, 3, FALSE), "")</f>
        <v/>
      </c>
      <c r="D234" s="118" t="str">
        <f>IF(A234&lt;&gt;"",COUNTIFS(node!$C$2:$C$500,"="&amp;A234, node!$C$2:$C$500,"&lt;&gt;"&amp;""),"")</f>
        <v/>
      </c>
      <c r="E234" s="122" t="str">
        <f>IF(A234&lt;&gt;"",SUMIFS(node!$F$2:$F$500, node!$C$2:$C$500,"="&amp;A234, node!$C$2:$C$500,"&lt;&gt;"&amp;"")/(B234*D234),"")</f>
        <v/>
      </c>
      <c r="F234" s="124" t="str">
        <f>IF(A234&lt;&gt;"",SUMIFS(node!$H$2:$H$500, node!$C$2:$C$500,"="&amp;A234, node!$C$2:$C$500,"&lt;&gt;"&amp;"")/(C234*D234),"")</f>
        <v/>
      </c>
      <c r="G234" s="93" t="str">
        <f>IF(A234&lt;&gt;"",SUMIFS(deployment!$F$4:$F$502, deployment!$D$4:$D$502,"="&amp;A234, deployment!$D$4:$D$502,"&lt;&gt;"&amp;""),"")</f>
        <v/>
      </c>
      <c r="H234" s="94" t="str">
        <f>IF(A234&lt;&gt;"",SUMIFS(deployment!$G$4:$G$502, deployment!$D$4:$D$502,"="&amp;A234, deployment!$D$4:$D$502,"&lt;&gt;"&amp;""),"")</f>
        <v/>
      </c>
      <c r="I234" s="95" t="str">
        <f>IF(A234&lt;&gt;"",SUMIFS(deployment!$H$4:$H$502, deployment!$D$4:$D$502,"="&amp;A234, deployment!$D$4:$D$502,"&lt;&gt;"&amp;""),"")</f>
        <v/>
      </c>
      <c r="J234" s="96" t="str">
        <f>IF(A234&lt;&gt;"",SUMIFS(deployment!$I$4:$I$502, deployment!$D$4:$D$502,"="&amp;A234, deployment!$D$4:$D$502,"&lt;&gt;"&amp;""),"")</f>
        <v/>
      </c>
      <c r="K234" s="112" t="str">
        <f>IF(A234&lt;&gt;"",SUMIFS(deployment!$J$4:$J$502, deployment!$D$4:$D$502,"="&amp;A234, deployment!$D$4:$D$502,"&lt;&gt;"&amp;""),"")</f>
        <v/>
      </c>
      <c r="L234" s="112" t="str">
        <f>IF(A234&lt;&gt;"",SUMIFS(deployment!$K$4:$K$502, deployment!$D$4:$D$502,"="&amp;A234, deployment!$D$4:$D$502,"&lt;&gt;"&amp;""),"")</f>
        <v/>
      </c>
      <c r="M234" s="97" t="str">
        <f>IF(A234&lt;&gt;"",SUMIFS(deployment!$L$4:$L$502, deployment!$D$4:$D$502,"="&amp;A234, deployment!$D$4:$D$502,"&lt;&gt;"&amp;""),"")</f>
        <v/>
      </c>
      <c r="N234" s="97" t="str">
        <f>IF(A234&lt;&gt;"",SUMIFS(deployment!$M$4:$M$502, deployment!$D$4:$D$502,"="&amp;A234, deployment!$D$4:$D$502,"&lt;&gt;"&amp;""),"")</f>
        <v/>
      </c>
      <c r="O234" s="127" t="str">
        <f t="shared" si="47"/>
        <v/>
      </c>
      <c r="P234" s="104"/>
      <c r="Q234" s="99" t="str">
        <f t="shared" si="36"/>
        <v/>
      </c>
      <c r="R234" s="100" t="str">
        <f t="shared" si="37"/>
        <v/>
      </c>
      <c r="S234" s="100" t="str">
        <f t="shared" si="38"/>
        <v/>
      </c>
      <c r="T234" s="101" t="str">
        <f t="shared" si="39"/>
        <v/>
      </c>
      <c r="U234" s="101" t="str">
        <f t="shared" si="40"/>
        <v/>
      </c>
      <c r="V234" s="128" t="str">
        <f t="shared" si="41"/>
        <v/>
      </c>
      <c r="W234" s="128" t="str">
        <f t="shared" si="42"/>
        <v/>
      </c>
      <c r="X234" s="101" t="str">
        <f t="shared" si="43"/>
        <v/>
      </c>
      <c r="Y234" s="101" t="str">
        <f t="shared" si="44"/>
        <v/>
      </c>
      <c r="Z234" s="102" t="str">
        <f t="shared" si="45"/>
        <v/>
      </c>
      <c r="AA234" s="103" t="str">
        <f t="shared" si="46"/>
        <v/>
      </c>
      <c r="AB234" s="142" t="str">
        <f>IF(A234&lt;&gt;"", SUMIFS(node!$J$2:$J$500, node!$C$2:$C$500,"="&amp;A234)/P234, "")</f>
        <v/>
      </c>
      <c r="AC234" s="134" t="str">
        <f>IF(A234&lt;&gt;"", SUMIFS(node!$K$2:$K$500, node!$C$2:$C$500,"="&amp;A234)/P234, "")</f>
        <v/>
      </c>
      <c r="AD234" s="135" t="str">
        <f>IF(A234&lt;&gt;"", SUMIFS(node!$L$2:$L$500, node!$C$2:$C$500,"="&amp;A234), "")</f>
        <v/>
      </c>
      <c r="AE234" s="145" t="str">
        <f>IF(A234&lt;&gt;"", SUMIFS(node!$M$2:$M$500, node!$C$2:$C$500,"="&amp;A234), "")</f>
        <v/>
      </c>
    </row>
    <row r="235" spans="1:31" ht="15.75" customHeight="1" x14ac:dyDescent="0.25">
      <c r="A235" s="119" t="str">
        <f>IF(ISNONTEXT(node_raw[[#This Row],[Column2]]), "", node_raw[[#This Row],[Column2]])</f>
        <v/>
      </c>
      <c r="B235" s="116" t="str">
        <f>IF(A235&lt;&gt;"", VLOOKUP(A235, node!$C$2:$D$500, 2, FALSE), "")</f>
        <v/>
      </c>
      <c r="C235" s="117" t="str">
        <f>IF(A235&lt;&gt;"", VLOOKUP(A235, node!$C$2:$E$500, 3, FALSE), "")</f>
        <v/>
      </c>
      <c r="D235" s="118" t="str">
        <f>IF(A235&lt;&gt;"",COUNTIFS(node!$C$2:$C$500,"="&amp;A235, node!$C$2:$C$500,"&lt;&gt;"&amp;""),"")</f>
        <v/>
      </c>
      <c r="E235" s="122" t="str">
        <f>IF(A235&lt;&gt;"",SUMIFS(node!$F$2:$F$500, node!$C$2:$C$500,"="&amp;A235, node!$C$2:$C$500,"&lt;&gt;"&amp;"")/(B235*D235),"")</f>
        <v/>
      </c>
      <c r="F235" s="124" t="str">
        <f>IF(A235&lt;&gt;"",SUMIFS(node!$H$2:$H$500, node!$C$2:$C$500,"="&amp;A235, node!$C$2:$C$500,"&lt;&gt;"&amp;"")/(C235*D235),"")</f>
        <v/>
      </c>
      <c r="G235" s="93" t="str">
        <f>IF(A235&lt;&gt;"",SUMIFS(deployment!$F$4:$F$502, deployment!$D$4:$D$502,"="&amp;A235, deployment!$D$4:$D$502,"&lt;&gt;"&amp;""),"")</f>
        <v/>
      </c>
      <c r="H235" s="94" t="str">
        <f>IF(A235&lt;&gt;"",SUMIFS(deployment!$G$4:$G$502, deployment!$D$4:$D$502,"="&amp;A235, deployment!$D$4:$D$502,"&lt;&gt;"&amp;""),"")</f>
        <v/>
      </c>
      <c r="I235" s="95" t="str">
        <f>IF(A235&lt;&gt;"",SUMIFS(deployment!$H$4:$H$502, deployment!$D$4:$D$502,"="&amp;A235, deployment!$D$4:$D$502,"&lt;&gt;"&amp;""),"")</f>
        <v/>
      </c>
      <c r="J235" s="96" t="str">
        <f>IF(A235&lt;&gt;"",SUMIFS(deployment!$I$4:$I$502, deployment!$D$4:$D$502,"="&amp;A235, deployment!$D$4:$D$502,"&lt;&gt;"&amp;""),"")</f>
        <v/>
      </c>
      <c r="K235" s="112" t="str">
        <f>IF(A235&lt;&gt;"",SUMIFS(deployment!$J$4:$J$502, deployment!$D$4:$D$502,"="&amp;A235, deployment!$D$4:$D$502,"&lt;&gt;"&amp;""),"")</f>
        <v/>
      </c>
      <c r="L235" s="112" t="str">
        <f>IF(A235&lt;&gt;"",SUMIFS(deployment!$K$4:$K$502, deployment!$D$4:$D$502,"="&amp;A235, deployment!$D$4:$D$502,"&lt;&gt;"&amp;""),"")</f>
        <v/>
      </c>
      <c r="M235" s="97" t="str">
        <f>IF(A235&lt;&gt;"",SUMIFS(deployment!$L$4:$L$502, deployment!$D$4:$D$502,"="&amp;A235, deployment!$D$4:$D$502,"&lt;&gt;"&amp;""),"")</f>
        <v/>
      </c>
      <c r="N235" s="97" t="str">
        <f>IF(A235&lt;&gt;"",SUMIFS(deployment!$M$4:$M$502, deployment!$D$4:$D$502,"="&amp;A235, deployment!$D$4:$D$502,"&lt;&gt;"&amp;""),"")</f>
        <v/>
      </c>
      <c r="O235" s="127" t="str">
        <f t="shared" si="47"/>
        <v/>
      </c>
      <c r="P235" s="104"/>
      <c r="Q235" s="99" t="str">
        <f t="shared" si="36"/>
        <v/>
      </c>
      <c r="R235" s="100" t="str">
        <f t="shared" si="37"/>
        <v/>
      </c>
      <c r="S235" s="100" t="str">
        <f t="shared" si="38"/>
        <v/>
      </c>
      <c r="T235" s="101" t="str">
        <f t="shared" si="39"/>
        <v/>
      </c>
      <c r="U235" s="101" t="str">
        <f t="shared" si="40"/>
        <v/>
      </c>
      <c r="V235" s="128" t="str">
        <f t="shared" si="41"/>
        <v/>
      </c>
      <c r="W235" s="128" t="str">
        <f t="shared" si="42"/>
        <v/>
      </c>
      <c r="X235" s="101" t="str">
        <f t="shared" si="43"/>
        <v/>
      </c>
      <c r="Y235" s="101" t="str">
        <f t="shared" si="44"/>
        <v/>
      </c>
      <c r="Z235" s="102" t="str">
        <f t="shared" si="45"/>
        <v/>
      </c>
      <c r="AA235" s="103" t="str">
        <f t="shared" si="46"/>
        <v/>
      </c>
      <c r="AB235" s="142" t="str">
        <f>IF(A235&lt;&gt;"", SUMIFS(node!$J$2:$J$500, node!$C$2:$C$500,"="&amp;A235)/P235, "")</f>
        <v/>
      </c>
      <c r="AC235" s="134" t="str">
        <f>IF(A235&lt;&gt;"", SUMIFS(node!$K$2:$K$500, node!$C$2:$C$500,"="&amp;A235)/P235, "")</f>
        <v/>
      </c>
      <c r="AD235" s="135" t="str">
        <f>IF(A235&lt;&gt;"", SUMIFS(node!$L$2:$L$500, node!$C$2:$C$500,"="&amp;A235), "")</f>
        <v/>
      </c>
      <c r="AE235" s="145" t="str">
        <f>IF(A235&lt;&gt;"", SUMIFS(node!$M$2:$M$500, node!$C$2:$C$500,"="&amp;A235), "")</f>
        <v/>
      </c>
    </row>
    <row r="236" spans="1:31" ht="15.75" customHeight="1" x14ac:dyDescent="0.25">
      <c r="A236" s="119" t="str">
        <f>IF(ISNONTEXT(node_raw[[#This Row],[Column2]]), "", node_raw[[#This Row],[Column2]])</f>
        <v/>
      </c>
      <c r="B236" s="116" t="str">
        <f>IF(A236&lt;&gt;"", VLOOKUP(A236, node!$C$2:$D$500, 2, FALSE), "")</f>
        <v/>
      </c>
      <c r="C236" s="117" t="str">
        <f>IF(A236&lt;&gt;"", VLOOKUP(A236, node!$C$2:$E$500, 3, FALSE), "")</f>
        <v/>
      </c>
      <c r="D236" s="118" t="str">
        <f>IF(A236&lt;&gt;"",COUNTIFS(node!$C$2:$C$500,"="&amp;A236, node!$C$2:$C$500,"&lt;&gt;"&amp;""),"")</f>
        <v/>
      </c>
      <c r="E236" s="122" t="str">
        <f>IF(A236&lt;&gt;"",SUMIFS(node!$F$2:$F$500, node!$C$2:$C$500,"="&amp;A236, node!$C$2:$C$500,"&lt;&gt;"&amp;"")/(B236*D236),"")</f>
        <v/>
      </c>
      <c r="F236" s="124" t="str">
        <f>IF(A236&lt;&gt;"",SUMIFS(node!$H$2:$H$500, node!$C$2:$C$500,"="&amp;A236, node!$C$2:$C$500,"&lt;&gt;"&amp;"")/(C236*D236),"")</f>
        <v/>
      </c>
      <c r="G236" s="93" t="str">
        <f>IF(A236&lt;&gt;"",SUMIFS(deployment!$F$4:$F$502, deployment!$D$4:$D$502,"="&amp;A236, deployment!$D$4:$D$502,"&lt;&gt;"&amp;""),"")</f>
        <v/>
      </c>
      <c r="H236" s="94" t="str">
        <f>IF(A236&lt;&gt;"",SUMIFS(deployment!$G$4:$G$502, deployment!$D$4:$D$502,"="&amp;A236, deployment!$D$4:$D$502,"&lt;&gt;"&amp;""),"")</f>
        <v/>
      </c>
      <c r="I236" s="95" t="str">
        <f>IF(A236&lt;&gt;"",SUMIFS(deployment!$H$4:$H$502, deployment!$D$4:$D$502,"="&amp;A236, deployment!$D$4:$D$502,"&lt;&gt;"&amp;""),"")</f>
        <v/>
      </c>
      <c r="J236" s="96" t="str">
        <f>IF(A236&lt;&gt;"",SUMIFS(deployment!$I$4:$I$502, deployment!$D$4:$D$502,"="&amp;A236, deployment!$D$4:$D$502,"&lt;&gt;"&amp;""),"")</f>
        <v/>
      </c>
      <c r="K236" s="112" t="str">
        <f>IF(A236&lt;&gt;"",SUMIFS(deployment!$J$4:$J$502, deployment!$D$4:$D$502,"="&amp;A236, deployment!$D$4:$D$502,"&lt;&gt;"&amp;""),"")</f>
        <v/>
      </c>
      <c r="L236" s="112" t="str">
        <f>IF(A236&lt;&gt;"",SUMIFS(deployment!$K$4:$K$502, deployment!$D$4:$D$502,"="&amp;A236, deployment!$D$4:$D$502,"&lt;&gt;"&amp;""),"")</f>
        <v/>
      </c>
      <c r="M236" s="97" t="str">
        <f>IF(A236&lt;&gt;"",SUMIFS(deployment!$L$4:$L$502, deployment!$D$4:$D$502,"="&amp;A236, deployment!$D$4:$D$502,"&lt;&gt;"&amp;""),"")</f>
        <v/>
      </c>
      <c r="N236" s="97" t="str">
        <f>IF(A236&lt;&gt;"",SUMIFS(deployment!$M$4:$M$502, deployment!$D$4:$D$502,"="&amp;A236, deployment!$D$4:$D$502,"&lt;&gt;"&amp;""),"")</f>
        <v/>
      </c>
      <c r="O236" s="127" t="str">
        <f t="shared" si="47"/>
        <v/>
      </c>
      <c r="P236" s="104"/>
      <c r="Q236" s="99" t="str">
        <f t="shared" si="36"/>
        <v/>
      </c>
      <c r="R236" s="100" t="str">
        <f t="shared" si="37"/>
        <v/>
      </c>
      <c r="S236" s="100" t="str">
        <f t="shared" si="38"/>
        <v/>
      </c>
      <c r="T236" s="101" t="str">
        <f t="shared" si="39"/>
        <v/>
      </c>
      <c r="U236" s="101" t="str">
        <f t="shared" si="40"/>
        <v/>
      </c>
      <c r="V236" s="128" t="str">
        <f t="shared" si="41"/>
        <v/>
      </c>
      <c r="W236" s="128" t="str">
        <f t="shared" si="42"/>
        <v/>
      </c>
      <c r="X236" s="101" t="str">
        <f t="shared" si="43"/>
        <v/>
      </c>
      <c r="Y236" s="101" t="str">
        <f t="shared" si="44"/>
        <v/>
      </c>
      <c r="Z236" s="102" t="str">
        <f t="shared" si="45"/>
        <v/>
      </c>
      <c r="AA236" s="103" t="str">
        <f t="shared" si="46"/>
        <v/>
      </c>
      <c r="AB236" s="142" t="str">
        <f>IF(A236&lt;&gt;"", SUMIFS(node!$J$2:$J$500, node!$C$2:$C$500,"="&amp;A236)/P236, "")</f>
        <v/>
      </c>
      <c r="AC236" s="134" t="str">
        <f>IF(A236&lt;&gt;"", SUMIFS(node!$K$2:$K$500, node!$C$2:$C$500,"="&amp;A236)/P236, "")</f>
        <v/>
      </c>
      <c r="AD236" s="135" t="str">
        <f>IF(A236&lt;&gt;"", SUMIFS(node!$L$2:$L$500, node!$C$2:$C$500,"="&amp;A236), "")</f>
        <v/>
      </c>
      <c r="AE236" s="145" t="str">
        <f>IF(A236&lt;&gt;"", SUMIFS(node!$M$2:$M$500, node!$C$2:$C$500,"="&amp;A236), "")</f>
        <v/>
      </c>
    </row>
    <row r="237" spans="1:31" ht="15.75" customHeight="1" x14ac:dyDescent="0.25">
      <c r="A237" s="119" t="str">
        <f>IF(ISNONTEXT(node_raw[[#This Row],[Column2]]), "", node_raw[[#This Row],[Column2]])</f>
        <v/>
      </c>
      <c r="B237" s="116" t="str">
        <f>IF(A237&lt;&gt;"", VLOOKUP(A237, node!$C$2:$D$500, 2, FALSE), "")</f>
        <v/>
      </c>
      <c r="C237" s="117" t="str">
        <f>IF(A237&lt;&gt;"", VLOOKUP(A237, node!$C$2:$E$500, 3, FALSE), "")</f>
        <v/>
      </c>
      <c r="D237" s="118" t="str">
        <f>IF(A237&lt;&gt;"",COUNTIFS(node!$C$2:$C$500,"="&amp;A237, node!$C$2:$C$500,"&lt;&gt;"&amp;""),"")</f>
        <v/>
      </c>
      <c r="E237" s="122" t="str">
        <f>IF(A237&lt;&gt;"",SUMIFS(node!$F$2:$F$500, node!$C$2:$C$500,"="&amp;A237, node!$C$2:$C$500,"&lt;&gt;"&amp;"")/(B237*D237),"")</f>
        <v/>
      </c>
      <c r="F237" s="124" t="str">
        <f>IF(A237&lt;&gt;"",SUMIFS(node!$H$2:$H$500, node!$C$2:$C$500,"="&amp;A237, node!$C$2:$C$500,"&lt;&gt;"&amp;"")/(C237*D237),"")</f>
        <v/>
      </c>
      <c r="G237" s="93" t="str">
        <f>IF(A237&lt;&gt;"",SUMIFS(deployment!$F$4:$F$502, deployment!$D$4:$D$502,"="&amp;A237, deployment!$D$4:$D$502,"&lt;&gt;"&amp;""),"")</f>
        <v/>
      </c>
      <c r="H237" s="94" t="str">
        <f>IF(A237&lt;&gt;"",SUMIFS(deployment!$G$4:$G$502, deployment!$D$4:$D$502,"="&amp;A237, deployment!$D$4:$D$502,"&lt;&gt;"&amp;""),"")</f>
        <v/>
      </c>
      <c r="I237" s="95" t="str">
        <f>IF(A237&lt;&gt;"",SUMIFS(deployment!$H$4:$H$502, deployment!$D$4:$D$502,"="&amp;A237, deployment!$D$4:$D$502,"&lt;&gt;"&amp;""),"")</f>
        <v/>
      </c>
      <c r="J237" s="96" t="str">
        <f>IF(A237&lt;&gt;"",SUMIFS(deployment!$I$4:$I$502, deployment!$D$4:$D$502,"="&amp;A237, deployment!$D$4:$D$502,"&lt;&gt;"&amp;""),"")</f>
        <v/>
      </c>
      <c r="K237" s="112" t="str">
        <f>IF(A237&lt;&gt;"",SUMIFS(deployment!$J$4:$J$502, deployment!$D$4:$D$502,"="&amp;A237, deployment!$D$4:$D$502,"&lt;&gt;"&amp;""),"")</f>
        <v/>
      </c>
      <c r="L237" s="112" t="str">
        <f>IF(A237&lt;&gt;"",SUMIFS(deployment!$K$4:$K$502, deployment!$D$4:$D$502,"="&amp;A237, deployment!$D$4:$D$502,"&lt;&gt;"&amp;""),"")</f>
        <v/>
      </c>
      <c r="M237" s="97" t="str">
        <f>IF(A237&lt;&gt;"",SUMIFS(deployment!$L$4:$L$502, deployment!$D$4:$D$502,"="&amp;A237, deployment!$D$4:$D$502,"&lt;&gt;"&amp;""),"")</f>
        <v/>
      </c>
      <c r="N237" s="97" t="str">
        <f>IF(A237&lt;&gt;"",SUMIFS(deployment!$M$4:$M$502, deployment!$D$4:$D$502,"="&amp;A237, deployment!$D$4:$D$502,"&lt;&gt;"&amp;""),"")</f>
        <v/>
      </c>
      <c r="O237" s="127" t="str">
        <f t="shared" si="47"/>
        <v/>
      </c>
      <c r="P237" s="104"/>
      <c r="Q237" s="99" t="str">
        <f t="shared" si="36"/>
        <v/>
      </c>
      <c r="R237" s="100" t="str">
        <f t="shared" si="37"/>
        <v/>
      </c>
      <c r="S237" s="100" t="str">
        <f t="shared" si="38"/>
        <v/>
      </c>
      <c r="T237" s="101" t="str">
        <f t="shared" si="39"/>
        <v/>
      </c>
      <c r="U237" s="101" t="str">
        <f t="shared" si="40"/>
        <v/>
      </c>
      <c r="V237" s="128" t="str">
        <f t="shared" si="41"/>
        <v/>
      </c>
      <c r="W237" s="128" t="str">
        <f t="shared" si="42"/>
        <v/>
      </c>
      <c r="X237" s="101" t="str">
        <f t="shared" si="43"/>
        <v/>
      </c>
      <c r="Y237" s="101" t="str">
        <f t="shared" si="44"/>
        <v/>
      </c>
      <c r="Z237" s="102" t="str">
        <f t="shared" si="45"/>
        <v/>
      </c>
      <c r="AA237" s="103" t="str">
        <f t="shared" si="46"/>
        <v/>
      </c>
      <c r="AB237" s="142" t="str">
        <f>IF(A237&lt;&gt;"", SUMIFS(node!$J$2:$J$500, node!$C$2:$C$500,"="&amp;A237)/P237, "")</f>
        <v/>
      </c>
      <c r="AC237" s="134" t="str">
        <f>IF(A237&lt;&gt;"", SUMIFS(node!$K$2:$K$500, node!$C$2:$C$500,"="&amp;A237)/P237, "")</f>
        <v/>
      </c>
      <c r="AD237" s="135" t="str">
        <f>IF(A237&lt;&gt;"", SUMIFS(node!$L$2:$L$500, node!$C$2:$C$500,"="&amp;A237), "")</f>
        <v/>
      </c>
      <c r="AE237" s="145" t="str">
        <f>IF(A237&lt;&gt;"", SUMIFS(node!$M$2:$M$500, node!$C$2:$C$500,"="&amp;A237), "")</f>
        <v/>
      </c>
    </row>
    <row r="238" spans="1:31" ht="15.75" customHeight="1" x14ac:dyDescent="0.25">
      <c r="A238" s="119" t="str">
        <f>IF(ISNONTEXT(node_raw[[#This Row],[Column2]]), "", node_raw[[#This Row],[Column2]])</f>
        <v/>
      </c>
      <c r="B238" s="116" t="str">
        <f>IF(A238&lt;&gt;"", VLOOKUP(A238, node!$C$2:$D$500, 2, FALSE), "")</f>
        <v/>
      </c>
      <c r="C238" s="117" t="str">
        <f>IF(A238&lt;&gt;"", VLOOKUP(A238, node!$C$2:$E$500, 3, FALSE), "")</f>
        <v/>
      </c>
      <c r="D238" s="118" t="str">
        <f>IF(A238&lt;&gt;"",COUNTIFS(node!$C$2:$C$500,"="&amp;A238, node!$C$2:$C$500,"&lt;&gt;"&amp;""),"")</f>
        <v/>
      </c>
      <c r="E238" s="122" t="str">
        <f>IF(A238&lt;&gt;"",SUMIFS(node!$F$2:$F$500, node!$C$2:$C$500,"="&amp;A238, node!$C$2:$C$500,"&lt;&gt;"&amp;"")/(B238*D238),"")</f>
        <v/>
      </c>
      <c r="F238" s="124" t="str">
        <f>IF(A238&lt;&gt;"",SUMIFS(node!$H$2:$H$500, node!$C$2:$C$500,"="&amp;A238, node!$C$2:$C$500,"&lt;&gt;"&amp;"")/(C238*D238),"")</f>
        <v/>
      </c>
      <c r="G238" s="93" t="str">
        <f>IF(A238&lt;&gt;"",SUMIFS(deployment!$F$4:$F$502, deployment!$D$4:$D$502,"="&amp;A238, deployment!$D$4:$D$502,"&lt;&gt;"&amp;""),"")</f>
        <v/>
      </c>
      <c r="H238" s="94" t="str">
        <f>IF(A238&lt;&gt;"",SUMIFS(deployment!$G$4:$G$502, deployment!$D$4:$D$502,"="&amp;A238, deployment!$D$4:$D$502,"&lt;&gt;"&amp;""),"")</f>
        <v/>
      </c>
      <c r="I238" s="95" t="str">
        <f>IF(A238&lt;&gt;"",SUMIFS(deployment!$H$4:$H$502, deployment!$D$4:$D$502,"="&amp;A238, deployment!$D$4:$D$502,"&lt;&gt;"&amp;""),"")</f>
        <v/>
      </c>
      <c r="J238" s="96" t="str">
        <f>IF(A238&lt;&gt;"",SUMIFS(deployment!$I$4:$I$502, deployment!$D$4:$D$502,"="&amp;A238, deployment!$D$4:$D$502,"&lt;&gt;"&amp;""),"")</f>
        <v/>
      </c>
      <c r="K238" s="112" t="str">
        <f>IF(A238&lt;&gt;"",SUMIFS(deployment!$J$4:$J$502, deployment!$D$4:$D$502,"="&amp;A238, deployment!$D$4:$D$502,"&lt;&gt;"&amp;""),"")</f>
        <v/>
      </c>
      <c r="L238" s="112" t="str">
        <f>IF(A238&lt;&gt;"",SUMIFS(deployment!$K$4:$K$502, deployment!$D$4:$D$502,"="&amp;A238, deployment!$D$4:$D$502,"&lt;&gt;"&amp;""),"")</f>
        <v/>
      </c>
      <c r="M238" s="97" t="str">
        <f>IF(A238&lt;&gt;"",SUMIFS(deployment!$L$4:$L$502, deployment!$D$4:$D$502,"="&amp;A238, deployment!$D$4:$D$502,"&lt;&gt;"&amp;""),"")</f>
        <v/>
      </c>
      <c r="N238" s="97" t="str">
        <f>IF(A238&lt;&gt;"",SUMIFS(deployment!$M$4:$M$502, deployment!$D$4:$D$502,"="&amp;A238, deployment!$D$4:$D$502,"&lt;&gt;"&amp;""),"")</f>
        <v/>
      </c>
      <c r="O238" s="127" t="str">
        <f t="shared" si="47"/>
        <v/>
      </c>
      <c r="P238" s="104"/>
      <c r="Q238" s="99" t="str">
        <f t="shared" si="36"/>
        <v/>
      </c>
      <c r="R238" s="100" t="str">
        <f t="shared" si="37"/>
        <v/>
      </c>
      <c r="S238" s="100" t="str">
        <f t="shared" si="38"/>
        <v/>
      </c>
      <c r="T238" s="101" t="str">
        <f t="shared" si="39"/>
        <v/>
      </c>
      <c r="U238" s="101" t="str">
        <f t="shared" si="40"/>
        <v/>
      </c>
      <c r="V238" s="128" t="str">
        <f t="shared" si="41"/>
        <v/>
      </c>
      <c r="W238" s="128" t="str">
        <f t="shared" si="42"/>
        <v/>
      </c>
      <c r="X238" s="101" t="str">
        <f t="shared" si="43"/>
        <v/>
      </c>
      <c r="Y238" s="101" t="str">
        <f t="shared" si="44"/>
        <v/>
      </c>
      <c r="Z238" s="102" t="str">
        <f t="shared" si="45"/>
        <v/>
      </c>
      <c r="AA238" s="103" t="str">
        <f t="shared" si="46"/>
        <v/>
      </c>
      <c r="AB238" s="142" t="str">
        <f>IF(A238&lt;&gt;"", SUMIFS(node!$J$2:$J$500, node!$C$2:$C$500,"="&amp;A238)/P238, "")</f>
        <v/>
      </c>
      <c r="AC238" s="134" t="str">
        <f>IF(A238&lt;&gt;"", SUMIFS(node!$K$2:$K$500, node!$C$2:$C$500,"="&amp;A238)/P238, "")</f>
        <v/>
      </c>
      <c r="AD238" s="135" t="str">
        <f>IF(A238&lt;&gt;"", SUMIFS(node!$L$2:$L$500, node!$C$2:$C$500,"="&amp;A238), "")</f>
        <v/>
      </c>
      <c r="AE238" s="145" t="str">
        <f>IF(A238&lt;&gt;"", SUMIFS(node!$M$2:$M$500, node!$C$2:$C$500,"="&amp;A238), "")</f>
        <v/>
      </c>
    </row>
    <row r="239" spans="1:31" ht="15.75" customHeight="1" x14ac:dyDescent="0.25">
      <c r="A239" s="119" t="str">
        <f>IF(ISNONTEXT(node_raw[[#This Row],[Column2]]), "", node_raw[[#This Row],[Column2]])</f>
        <v/>
      </c>
      <c r="B239" s="116" t="str">
        <f>IF(A239&lt;&gt;"", VLOOKUP(A239, node!$C$2:$D$500, 2, FALSE), "")</f>
        <v/>
      </c>
      <c r="C239" s="117" t="str">
        <f>IF(A239&lt;&gt;"", VLOOKUP(A239, node!$C$2:$E$500, 3, FALSE), "")</f>
        <v/>
      </c>
      <c r="D239" s="118" t="str">
        <f>IF(A239&lt;&gt;"",COUNTIFS(node!$C$2:$C$500,"="&amp;A239, node!$C$2:$C$500,"&lt;&gt;"&amp;""),"")</f>
        <v/>
      </c>
      <c r="E239" s="122" t="str">
        <f>IF(A239&lt;&gt;"",SUMIFS(node!$F$2:$F$500, node!$C$2:$C$500,"="&amp;A239, node!$C$2:$C$500,"&lt;&gt;"&amp;"")/(B239*D239),"")</f>
        <v/>
      </c>
      <c r="F239" s="124" t="str">
        <f>IF(A239&lt;&gt;"",SUMIFS(node!$H$2:$H$500, node!$C$2:$C$500,"="&amp;A239, node!$C$2:$C$500,"&lt;&gt;"&amp;"")/(C239*D239),"")</f>
        <v/>
      </c>
      <c r="G239" s="93" t="str">
        <f>IF(A239&lt;&gt;"",SUMIFS(deployment!$F$4:$F$502, deployment!$D$4:$D$502,"="&amp;A239, deployment!$D$4:$D$502,"&lt;&gt;"&amp;""),"")</f>
        <v/>
      </c>
      <c r="H239" s="94" t="str">
        <f>IF(A239&lt;&gt;"",SUMIFS(deployment!$G$4:$G$502, deployment!$D$4:$D$502,"="&amp;A239, deployment!$D$4:$D$502,"&lt;&gt;"&amp;""),"")</f>
        <v/>
      </c>
      <c r="I239" s="95" t="str">
        <f>IF(A239&lt;&gt;"",SUMIFS(deployment!$H$4:$H$502, deployment!$D$4:$D$502,"="&amp;A239, deployment!$D$4:$D$502,"&lt;&gt;"&amp;""),"")</f>
        <v/>
      </c>
      <c r="J239" s="96" t="str">
        <f>IF(A239&lt;&gt;"",SUMIFS(deployment!$I$4:$I$502, deployment!$D$4:$D$502,"="&amp;A239, deployment!$D$4:$D$502,"&lt;&gt;"&amp;""),"")</f>
        <v/>
      </c>
      <c r="K239" s="112" t="str">
        <f>IF(A239&lt;&gt;"",SUMIFS(deployment!$J$4:$J$502, deployment!$D$4:$D$502,"="&amp;A239, deployment!$D$4:$D$502,"&lt;&gt;"&amp;""),"")</f>
        <v/>
      </c>
      <c r="L239" s="112" t="str">
        <f>IF(A239&lt;&gt;"",SUMIFS(deployment!$K$4:$K$502, deployment!$D$4:$D$502,"="&amp;A239, deployment!$D$4:$D$502,"&lt;&gt;"&amp;""),"")</f>
        <v/>
      </c>
      <c r="M239" s="97" t="str">
        <f>IF(A239&lt;&gt;"",SUMIFS(deployment!$L$4:$L$502, deployment!$D$4:$D$502,"="&amp;A239, deployment!$D$4:$D$502,"&lt;&gt;"&amp;""),"")</f>
        <v/>
      </c>
      <c r="N239" s="97" t="str">
        <f>IF(A239&lt;&gt;"",SUMIFS(deployment!$M$4:$M$502, deployment!$D$4:$D$502,"="&amp;A239, deployment!$D$4:$D$502,"&lt;&gt;"&amp;""),"")</f>
        <v/>
      </c>
      <c r="O239" s="127" t="str">
        <f t="shared" si="47"/>
        <v/>
      </c>
      <c r="P239" s="104"/>
      <c r="Q239" s="99" t="str">
        <f t="shared" si="36"/>
        <v/>
      </c>
      <c r="R239" s="100" t="str">
        <f t="shared" si="37"/>
        <v/>
      </c>
      <c r="S239" s="100" t="str">
        <f t="shared" si="38"/>
        <v/>
      </c>
      <c r="T239" s="101" t="str">
        <f t="shared" si="39"/>
        <v/>
      </c>
      <c r="U239" s="101" t="str">
        <f t="shared" si="40"/>
        <v/>
      </c>
      <c r="V239" s="128" t="str">
        <f t="shared" si="41"/>
        <v/>
      </c>
      <c r="W239" s="128" t="str">
        <f t="shared" si="42"/>
        <v/>
      </c>
      <c r="X239" s="101" t="str">
        <f t="shared" si="43"/>
        <v/>
      </c>
      <c r="Y239" s="101" t="str">
        <f t="shared" si="44"/>
        <v/>
      </c>
      <c r="Z239" s="102" t="str">
        <f t="shared" si="45"/>
        <v/>
      </c>
      <c r="AA239" s="103" t="str">
        <f t="shared" si="46"/>
        <v/>
      </c>
      <c r="AB239" s="142" t="str">
        <f>IF(A239&lt;&gt;"", SUMIFS(node!$J$2:$J$500, node!$C$2:$C$500,"="&amp;A239)/P239, "")</f>
        <v/>
      </c>
      <c r="AC239" s="134" t="str">
        <f>IF(A239&lt;&gt;"", SUMIFS(node!$K$2:$K$500, node!$C$2:$C$500,"="&amp;A239)/P239, "")</f>
        <v/>
      </c>
      <c r="AD239" s="135" t="str">
        <f>IF(A239&lt;&gt;"", SUMIFS(node!$L$2:$L$500, node!$C$2:$C$500,"="&amp;A239), "")</f>
        <v/>
      </c>
      <c r="AE239" s="145" t="str">
        <f>IF(A239&lt;&gt;"", SUMIFS(node!$M$2:$M$500, node!$C$2:$C$500,"="&amp;A239), "")</f>
        <v/>
      </c>
    </row>
    <row r="240" spans="1:31" ht="15.75" customHeight="1" x14ac:dyDescent="0.25">
      <c r="A240" s="119" t="str">
        <f>IF(ISNONTEXT(node_raw[[#This Row],[Column2]]), "", node_raw[[#This Row],[Column2]])</f>
        <v/>
      </c>
      <c r="B240" s="116" t="str">
        <f>IF(A240&lt;&gt;"", VLOOKUP(A240, node!$C$2:$D$500, 2, FALSE), "")</f>
        <v/>
      </c>
      <c r="C240" s="117" t="str">
        <f>IF(A240&lt;&gt;"", VLOOKUP(A240, node!$C$2:$E$500, 3, FALSE), "")</f>
        <v/>
      </c>
      <c r="D240" s="118" t="str">
        <f>IF(A240&lt;&gt;"",COUNTIFS(node!$C$2:$C$500,"="&amp;A240, node!$C$2:$C$500,"&lt;&gt;"&amp;""),"")</f>
        <v/>
      </c>
      <c r="E240" s="122" t="str">
        <f>IF(A240&lt;&gt;"",SUMIFS(node!$F$2:$F$500, node!$C$2:$C$500,"="&amp;A240, node!$C$2:$C$500,"&lt;&gt;"&amp;"")/(B240*D240),"")</f>
        <v/>
      </c>
      <c r="F240" s="124" t="str">
        <f>IF(A240&lt;&gt;"",SUMIFS(node!$H$2:$H$500, node!$C$2:$C$500,"="&amp;A240, node!$C$2:$C$500,"&lt;&gt;"&amp;"")/(C240*D240),"")</f>
        <v/>
      </c>
      <c r="G240" s="93" t="str">
        <f>IF(A240&lt;&gt;"",SUMIFS(deployment!$F$4:$F$502, deployment!$D$4:$D$502,"="&amp;A240, deployment!$D$4:$D$502,"&lt;&gt;"&amp;""),"")</f>
        <v/>
      </c>
      <c r="H240" s="94" t="str">
        <f>IF(A240&lt;&gt;"",SUMIFS(deployment!$G$4:$G$502, deployment!$D$4:$D$502,"="&amp;A240, deployment!$D$4:$D$502,"&lt;&gt;"&amp;""),"")</f>
        <v/>
      </c>
      <c r="I240" s="95" t="str">
        <f>IF(A240&lt;&gt;"",SUMIFS(deployment!$H$4:$H$502, deployment!$D$4:$D$502,"="&amp;A240, deployment!$D$4:$D$502,"&lt;&gt;"&amp;""),"")</f>
        <v/>
      </c>
      <c r="J240" s="96" t="str">
        <f>IF(A240&lt;&gt;"",SUMIFS(deployment!$I$4:$I$502, deployment!$D$4:$D$502,"="&amp;A240, deployment!$D$4:$D$502,"&lt;&gt;"&amp;""),"")</f>
        <v/>
      </c>
      <c r="K240" s="112" t="str">
        <f>IF(A240&lt;&gt;"",SUMIFS(deployment!$J$4:$J$502, deployment!$D$4:$D$502,"="&amp;A240, deployment!$D$4:$D$502,"&lt;&gt;"&amp;""),"")</f>
        <v/>
      </c>
      <c r="L240" s="112" t="str">
        <f>IF(A240&lt;&gt;"",SUMIFS(deployment!$K$4:$K$502, deployment!$D$4:$D$502,"="&amp;A240, deployment!$D$4:$D$502,"&lt;&gt;"&amp;""),"")</f>
        <v/>
      </c>
      <c r="M240" s="97" t="str">
        <f>IF(A240&lt;&gt;"",SUMIFS(deployment!$L$4:$L$502, deployment!$D$4:$D$502,"="&amp;A240, deployment!$D$4:$D$502,"&lt;&gt;"&amp;""),"")</f>
        <v/>
      </c>
      <c r="N240" s="97" t="str">
        <f>IF(A240&lt;&gt;"",SUMIFS(deployment!$M$4:$M$502, deployment!$D$4:$D$502,"="&amp;A240, deployment!$D$4:$D$502,"&lt;&gt;"&amp;""),"")</f>
        <v/>
      </c>
      <c r="O240" s="127" t="str">
        <f t="shared" si="47"/>
        <v/>
      </c>
      <c r="P240" s="104"/>
      <c r="Q240" s="99" t="str">
        <f t="shared" si="36"/>
        <v/>
      </c>
      <c r="R240" s="100" t="str">
        <f t="shared" si="37"/>
        <v/>
      </c>
      <c r="S240" s="100" t="str">
        <f t="shared" si="38"/>
        <v/>
      </c>
      <c r="T240" s="101" t="str">
        <f t="shared" si="39"/>
        <v/>
      </c>
      <c r="U240" s="101" t="str">
        <f t="shared" si="40"/>
        <v/>
      </c>
      <c r="V240" s="128" t="str">
        <f t="shared" si="41"/>
        <v/>
      </c>
      <c r="W240" s="128" t="str">
        <f t="shared" si="42"/>
        <v/>
      </c>
      <c r="X240" s="101" t="str">
        <f t="shared" si="43"/>
        <v/>
      </c>
      <c r="Y240" s="101" t="str">
        <f t="shared" si="44"/>
        <v/>
      </c>
      <c r="Z240" s="102" t="str">
        <f t="shared" si="45"/>
        <v/>
      </c>
      <c r="AA240" s="103" t="str">
        <f t="shared" si="46"/>
        <v/>
      </c>
      <c r="AB240" s="142" t="str">
        <f>IF(A240&lt;&gt;"", SUMIFS(node!$J$2:$J$500, node!$C$2:$C$500,"="&amp;A240)/P240, "")</f>
        <v/>
      </c>
      <c r="AC240" s="134" t="str">
        <f>IF(A240&lt;&gt;"", SUMIFS(node!$K$2:$K$500, node!$C$2:$C$500,"="&amp;A240)/P240, "")</f>
        <v/>
      </c>
      <c r="AD240" s="135" t="str">
        <f>IF(A240&lt;&gt;"", SUMIFS(node!$L$2:$L$500, node!$C$2:$C$500,"="&amp;A240), "")</f>
        <v/>
      </c>
      <c r="AE240" s="145" t="str">
        <f>IF(A240&lt;&gt;"", SUMIFS(node!$M$2:$M$500, node!$C$2:$C$500,"="&amp;A240), "")</f>
        <v/>
      </c>
    </row>
    <row r="241" spans="1:31" ht="15.75" customHeight="1" x14ac:dyDescent="0.25">
      <c r="A241" s="119" t="str">
        <f>IF(ISNONTEXT(node_raw[[#This Row],[Column2]]), "", node_raw[[#This Row],[Column2]])</f>
        <v/>
      </c>
      <c r="B241" s="116" t="str">
        <f>IF(A241&lt;&gt;"", VLOOKUP(A241, node!$C$2:$D$500, 2, FALSE), "")</f>
        <v/>
      </c>
      <c r="C241" s="117" t="str">
        <f>IF(A241&lt;&gt;"", VLOOKUP(A241, node!$C$2:$E$500, 3, FALSE), "")</f>
        <v/>
      </c>
      <c r="D241" s="118" t="str">
        <f>IF(A241&lt;&gt;"",COUNTIFS(node!$C$2:$C$500,"="&amp;A241, node!$C$2:$C$500,"&lt;&gt;"&amp;""),"")</f>
        <v/>
      </c>
      <c r="E241" s="122" t="str">
        <f>IF(A241&lt;&gt;"",SUMIFS(node!$F$2:$F$500, node!$C$2:$C$500,"="&amp;A241, node!$C$2:$C$500,"&lt;&gt;"&amp;"")/(B241*D241),"")</f>
        <v/>
      </c>
      <c r="F241" s="124" t="str">
        <f>IF(A241&lt;&gt;"",SUMIFS(node!$H$2:$H$500, node!$C$2:$C$500,"="&amp;A241, node!$C$2:$C$500,"&lt;&gt;"&amp;"")/(C241*D241),"")</f>
        <v/>
      </c>
      <c r="G241" s="93" t="str">
        <f>IF(A241&lt;&gt;"",SUMIFS(deployment!$F$4:$F$502, deployment!$D$4:$D$502,"="&amp;A241, deployment!$D$4:$D$502,"&lt;&gt;"&amp;""),"")</f>
        <v/>
      </c>
      <c r="H241" s="94" t="str">
        <f>IF(A241&lt;&gt;"",SUMIFS(deployment!$G$4:$G$502, deployment!$D$4:$D$502,"="&amp;A241, deployment!$D$4:$D$502,"&lt;&gt;"&amp;""),"")</f>
        <v/>
      </c>
      <c r="I241" s="95" t="str">
        <f>IF(A241&lt;&gt;"",SUMIFS(deployment!$H$4:$H$502, deployment!$D$4:$D$502,"="&amp;A241, deployment!$D$4:$D$502,"&lt;&gt;"&amp;""),"")</f>
        <v/>
      </c>
      <c r="J241" s="96" t="str">
        <f>IF(A241&lt;&gt;"",SUMIFS(deployment!$I$4:$I$502, deployment!$D$4:$D$502,"="&amp;A241, deployment!$D$4:$D$502,"&lt;&gt;"&amp;""),"")</f>
        <v/>
      </c>
      <c r="K241" s="112" t="str">
        <f>IF(A241&lt;&gt;"",SUMIFS(deployment!$J$4:$J$502, deployment!$D$4:$D$502,"="&amp;A241, deployment!$D$4:$D$502,"&lt;&gt;"&amp;""),"")</f>
        <v/>
      </c>
      <c r="L241" s="112" t="str">
        <f>IF(A241&lt;&gt;"",SUMIFS(deployment!$K$4:$K$502, deployment!$D$4:$D$502,"="&amp;A241, deployment!$D$4:$D$502,"&lt;&gt;"&amp;""),"")</f>
        <v/>
      </c>
      <c r="M241" s="97" t="str">
        <f>IF(A241&lt;&gt;"",SUMIFS(deployment!$L$4:$L$502, deployment!$D$4:$D$502,"="&amp;A241, deployment!$D$4:$D$502,"&lt;&gt;"&amp;""),"")</f>
        <v/>
      </c>
      <c r="N241" s="97" t="str">
        <f>IF(A241&lt;&gt;"",SUMIFS(deployment!$M$4:$M$502, deployment!$D$4:$D$502,"="&amp;A241, deployment!$D$4:$D$502,"&lt;&gt;"&amp;""),"")</f>
        <v/>
      </c>
      <c r="O241" s="127" t="str">
        <f t="shared" si="47"/>
        <v/>
      </c>
      <c r="P241" s="104"/>
      <c r="Q241" s="99" t="str">
        <f t="shared" si="36"/>
        <v/>
      </c>
      <c r="R241" s="100" t="str">
        <f t="shared" si="37"/>
        <v/>
      </c>
      <c r="S241" s="100" t="str">
        <f t="shared" si="38"/>
        <v/>
      </c>
      <c r="T241" s="101" t="str">
        <f t="shared" si="39"/>
        <v/>
      </c>
      <c r="U241" s="101" t="str">
        <f t="shared" si="40"/>
        <v/>
      </c>
      <c r="V241" s="128" t="str">
        <f t="shared" si="41"/>
        <v/>
      </c>
      <c r="W241" s="128" t="str">
        <f t="shared" si="42"/>
        <v/>
      </c>
      <c r="X241" s="101" t="str">
        <f t="shared" si="43"/>
        <v/>
      </c>
      <c r="Y241" s="101" t="str">
        <f t="shared" si="44"/>
        <v/>
      </c>
      <c r="Z241" s="102" t="str">
        <f t="shared" si="45"/>
        <v/>
      </c>
      <c r="AA241" s="103" t="str">
        <f t="shared" si="46"/>
        <v/>
      </c>
      <c r="AB241" s="142" t="str">
        <f>IF(A241&lt;&gt;"", SUMIFS(node!$J$2:$J$500, node!$C$2:$C$500,"="&amp;A241)/P241, "")</f>
        <v/>
      </c>
      <c r="AC241" s="134" t="str">
        <f>IF(A241&lt;&gt;"", SUMIFS(node!$K$2:$K$500, node!$C$2:$C$500,"="&amp;A241)/P241, "")</f>
        <v/>
      </c>
      <c r="AD241" s="135" t="str">
        <f>IF(A241&lt;&gt;"", SUMIFS(node!$L$2:$L$500, node!$C$2:$C$500,"="&amp;A241), "")</f>
        <v/>
      </c>
      <c r="AE241" s="145" t="str">
        <f>IF(A241&lt;&gt;"", SUMIFS(node!$M$2:$M$500, node!$C$2:$C$500,"="&amp;A241), "")</f>
        <v/>
      </c>
    </row>
    <row r="242" spans="1:31" ht="15.75" customHeight="1" x14ac:dyDescent="0.25">
      <c r="A242" s="119" t="str">
        <f>IF(ISNONTEXT(node_raw[[#This Row],[Column2]]), "", node_raw[[#This Row],[Column2]])</f>
        <v/>
      </c>
      <c r="B242" s="116" t="str">
        <f>IF(A242&lt;&gt;"", VLOOKUP(A242, node!$C$2:$D$500, 2, FALSE), "")</f>
        <v/>
      </c>
      <c r="C242" s="117" t="str">
        <f>IF(A242&lt;&gt;"", VLOOKUP(A242, node!$C$2:$E$500, 3, FALSE), "")</f>
        <v/>
      </c>
      <c r="D242" s="118" t="str">
        <f>IF(A242&lt;&gt;"",COUNTIFS(node!$C$2:$C$500,"="&amp;A242, node!$C$2:$C$500,"&lt;&gt;"&amp;""),"")</f>
        <v/>
      </c>
      <c r="E242" s="122" t="str">
        <f>IF(A242&lt;&gt;"",SUMIFS(node!$F$2:$F$500, node!$C$2:$C$500,"="&amp;A242, node!$C$2:$C$500,"&lt;&gt;"&amp;"")/(B242*D242),"")</f>
        <v/>
      </c>
      <c r="F242" s="124" t="str">
        <f>IF(A242&lt;&gt;"",SUMIFS(node!$H$2:$H$500, node!$C$2:$C$500,"="&amp;A242, node!$C$2:$C$500,"&lt;&gt;"&amp;"")/(C242*D242),"")</f>
        <v/>
      </c>
      <c r="G242" s="93" t="str">
        <f>IF(A242&lt;&gt;"",SUMIFS(deployment!$F$4:$F$502, deployment!$D$4:$D$502,"="&amp;A242, deployment!$D$4:$D$502,"&lt;&gt;"&amp;""),"")</f>
        <v/>
      </c>
      <c r="H242" s="94" t="str">
        <f>IF(A242&lt;&gt;"",SUMIFS(deployment!$G$4:$G$502, deployment!$D$4:$D$502,"="&amp;A242, deployment!$D$4:$D$502,"&lt;&gt;"&amp;""),"")</f>
        <v/>
      </c>
      <c r="I242" s="95" t="str">
        <f>IF(A242&lt;&gt;"",SUMIFS(deployment!$H$4:$H$502, deployment!$D$4:$D$502,"="&amp;A242, deployment!$D$4:$D$502,"&lt;&gt;"&amp;""),"")</f>
        <v/>
      </c>
      <c r="J242" s="96" t="str">
        <f>IF(A242&lt;&gt;"",SUMIFS(deployment!$I$4:$I$502, deployment!$D$4:$D$502,"="&amp;A242, deployment!$D$4:$D$502,"&lt;&gt;"&amp;""),"")</f>
        <v/>
      </c>
      <c r="K242" s="112" t="str">
        <f>IF(A242&lt;&gt;"",SUMIFS(deployment!$J$4:$J$502, deployment!$D$4:$D$502,"="&amp;A242, deployment!$D$4:$D$502,"&lt;&gt;"&amp;""),"")</f>
        <v/>
      </c>
      <c r="L242" s="112" t="str">
        <f>IF(A242&lt;&gt;"",SUMIFS(deployment!$K$4:$K$502, deployment!$D$4:$D$502,"="&amp;A242, deployment!$D$4:$D$502,"&lt;&gt;"&amp;""),"")</f>
        <v/>
      </c>
      <c r="M242" s="97" t="str">
        <f>IF(A242&lt;&gt;"",SUMIFS(deployment!$L$4:$L$502, deployment!$D$4:$D$502,"="&amp;A242, deployment!$D$4:$D$502,"&lt;&gt;"&amp;""),"")</f>
        <v/>
      </c>
      <c r="N242" s="97" t="str">
        <f>IF(A242&lt;&gt;"",SUMIFS(deployment!$M$4:$M$502, deployment!$D$4:$D$502,"="&amp;A242, deployment!$D$4:$D$502,"&lt;&gt;"&amp;""),"")</f>
        <v/>
      </c>
      <c r="O242" s="127" t="str">
        <f t="shared" si="47"/>
        <v/>
      </c>
      <c r="P242" s="104"/>
      <c r="Q242" s="99" t="str">
        <f t="shared" si="36"/>
        <v/>
      </c>
      <c r="R242" s="100" t="str">
        <f t="shared" si="37"/>
        <v/>
      </c>
      <c r="S242" s="100" t="str">
        <f t="shared" si="38"/>
        <v/>
      </c>
      <c r="T242" s="101" t="str">
        <f t="shared" si="39"/>
        <v/>
      </c>
      <c r="U242" s="101" t="str">
        <f t="shared" si="40"/>
        <v/>
      </c>
      <c r="V242" s="128" t="str">
        <f t="shared" si="41"/>
        <v/>
      </c>
      <c r="W242" s="128" t="str">
        <f t="shared" si="42"/>
        <v/>
      </c>
      <c r="X242" s="101" t="str">
        <f t="shared" si="43"/>
        <v/>
      </c>
      <c r="Y242" s="101" t="str">
        <f t="shared" si="44"/>
        <v/>
      </c>
      <c r="Z242" s="102" t="str">
        <f t="shared" si="45"/>
        <v/>
      </c>
      <c r="AA242" s="103" t="str">
        <f t="shared" si="46"/>
        <v/>
      </c>
      <c r="AB242" s="142" t="str">
        <f>IF(A242&lt;&gt;"", SUMIFS(node!$J$2:$J$500, node!$C$2:$C$500,"="&amp;A242)/P242, "")</f>
        <v/>
      </c>
      <c r="AC242" s="134" t="str">
        <f>IF(A242&lt;&gt;"", SUMIFS(node!$K$2:$K$500, node!$C$2:$C$500,"="&amp;A242)/P242, "")</f>
        <v/>
      </c>
      <c r="AD242" s="135" t="str">
        <f>IF(A242&lt;&gt;"", SUMIFS(node!$L$2:$L$500, node!$C$2:$C$500,"="&amp;A242), "")</f>
        <v/>
      </c>
      <c r="AE242" s="145" t="str">
        <f>IF(A242&lt;&gt;"", SUMIFS(node!$M$2:$M$500, node!$C$2:$C$500,"="&amp;A242), "")</f>
        <v/>
      </c>
    </row>
    <row r="243" spans="1:31" ht="15.75" customHeight="1" x14ac:dyDescent="0.25">
      <c r="A243" s="119" t="str">
        <f>IF(ISNONTEXT(node_raw[[#This Row],[Column2]]), "", node_raw[[#This Row],[Column2]])</f>
        <v/>
      </c>
      <c r="B243" s="116" t="str">
        <f>IF(A243&lt;&gt;"", VLOOKUP(A243, node!$C$2:$D$500, 2, FALSE), "")</f>
        <v/>
      </c>
      <c r="C243" s="117" t="str">
        <f>IF(A243&lt;&gt;"", VLOOKUP(A243, node!$C$2:$E$500, 3, FALSE), "")</f>
        <v/>
      </c>
      <c r="D243" s="118" t="str">
        <f>IF(A243&lt;&gt;"",COUNTIFS(node!$C$2:$C$500,"="&amp;A243, node!$C$2:$C$500,"&lt;&gt;"&amp;""),"")</f>
        <v/>
      </c>
      <c r="E243" s="122" t="str">
        <f>IF(A243&lt;&gt;"",SUMIFS(node!$F$2:$F$500, node!$C$2:$C$500,"="&amp;A243, node!$C$2:$C$500,"&lt;&gt;"&amp;"")/(B243*D243),"")</f>
        <v/>
      </c>
      <c r="F243" s="124" t="str">
        <f>IF(A243&lt;&gt;"",SUMIFS(node!$H$2:$H$500, node!$C$2:$C$500,"="&amp;A243, node!$C$2:$C$500,"&lt;&gt;"&amp;"")/(C243*D243),"")</f>
        <v/>
      </c>
      <c r="G243" s="93" t="str">
        <f>IF(A243&lt;&gt;"",SUMIFS(deployment!$F$4:$F$502, deployment!$D$4:$D$502,"="&amp;A243, deployment!$D$4:$D$502,"&lt;&gt;"&amp;""),"")</f>
        <v/>
      </c>
      <c r="H243" s="94" t="str">
        <f>IF(A243&lt;&gt;"",SUMIFS(deployment!$G$4:$G$502, deployment!$D$4:$D$502,"="&amp;A243, deployment!$D$4:$D$502,"&lt;&gt;"&amp;""),"")</f>
        <v/>
      </c>
      <c r="I243" s="95" t="str">
        <f>IF(A243&lt;&gt;"",SUMIFS(deployment!$H$4:$H$502, deployment!$D$4:$D$502,"="&amp;A243, deployment!$D$4:$D$502,"&lt;&gt;"&amp;""),"")</f>
        <v/>
      </c>
      <c r="J243" s="96" t="str">
        <f>IF(A243&lt;&gt;"",SUMIFS(deployment!$I$4:$I$502, deployment!$D$4:$D$502,"="&amp;A243, deployment!$D$4:$D$502,"&lt;&gt;"&amp;""),"")</f>
        <v/>
      </c>
      <c r="K243" s="112" t="str">
        <f>IF(A243&lt;&gt;"",SUMIFS(deployment!$J$4:$J$502, deployment!$D$4:$D$502,"="&amp;A243, deployment!$D$4:$D$502,"&lt;&gt;"&amp;""),"")</f>
        <v/>
      </c>
      <c r="L243" s="112" t="str">
        <f>IF(A243&lt;&gt;"",SUMIFS(deployment!$K$4:$K$502, deployment!$D$4:$D$502,"="&amp;A243, deployment!$D$4:$D$502,"&lt;&gt;"&amp;""),"")</f>
        <v/>
      </c>
      <c r="M243" s="97" t="str">
        <f>IF(A243&lt;&gt;"",SUMIFS(deployment!$L$4:$L$502, deployment!$D$4:$D$502,"="&amp;A243, deployment!$D$4:$D$502,"&lt;&gt;"&amp;""),"")</f>
        <v/>
      </c>
      <c r="N243" s="97" t="str">
        <f>IF(A243&lt;&gt;"",SUMIFS(deployment!$M$4:$M$502, deployment!$D$4:$D$502,"="&amp;A243, deployment!$D$4:$D$502,"&lt;&gt;"&amp;""),"")</f>
        <v/>
      </c>
      <c r="O243" s="127" t="str">
        <f t="shared" si="47"/>
        <v/>
      </c>
      <c r="P243" s="104"/>
      <c r="Q243" s="99" t="str">
        <f t="shared" si="36"/>
        <v/>
      </c>
      <c r="R243" s="100" t="str">
        <f t="shared" si="37"/>
        <v/>
      </c>
      <c r="S243" s="100" t="str">
        <f t="shared" si="38"/>
        <v/>
      </c>
      <c r="T243" s="101" t="str">
        <f t="shared" si="39"/>
        <v/>
      </c>
      <c r="U243" s="101" t="str">
        <f t="shared" si="40"/>
        <v/>
      </c>
      <c r="V243" s="128" t="str">
        <f t="shared" si="41"/>
        <v/>
      </c>
      <c r="W243" s="128" t="str">
        <f t="shared" si="42"/>
        <v/>
      </c>
      <c r="X243" s="101" t="str">
        <f t="shared" si="43"/>
        <v/>
      </c>
      <c r="Y243" s="101" t="str">
        <f t="shared" si="44"/>
        <v/>
      </c>
      <c r="Z243" s="102" t="str">
        <f t="shared" si="45"/>
        <v/>
      </c>
      <c r="AA243" s="103" t="str">
        <f t="shared" si="46"/>
        <v/>
      </c>
      <c r="AB243" s="142" t="str">
        <f>IF(A243&lt;&gt;"", SUMIFS(node!$J$2:$J$500, node!$C$2:$C$500,"="&amp;A243)/P243, "")</f>
        <v/>
      </c>
      <c r="AC243" s="134" t="str">
        <f>IF(A243&lt;&gt;"", SUMIFS(node!$K$2:$K$500, node!$C$2:$C$500,"="&amp;A243)/P243, "")</f>
        <v/>
      </c>
      <c r="AD243" s="135" t="str">
        <f>IF(A243&lt;&gt;"", SUMIFS(node!$L$2:$L$500, node!$C$2:$C$500,"="&amp;A243), "")</f>
        <v/>
      </c>
      <c r="AE243" s="145" t="str">
        <f>IF(A243&lt;&gt;"", SUMIFS(node!$M$2:$M$500, node!$C$2:$C$500,"="&amp;A243), "")</f>
        <v/>
      </c>
    </row>
    <row r="244" spans="1:31" ht="15.75" customHeight="1" x14ac:dyDescent="0.25">
      <c r="A244" s="119" t="str">
        <f>IF(ISNONTEXT(node_raw[[#This Row],[Column2]]), "", node_raw[[#This Row],[Column2]])</f>
        <v/>
      </c>
      <c r="B244" s="116" t="str">
        <f>IF(A244&lt;&gt;"", VLOOKUP(A244, node!$C$2:$D$500, 2, FALSE), "")</f>
        <v/>
      </c>
      <c r="C244" s="117" t="str">
        <f>IF(A244&lt;&gt;"", VLOOKUP(A244, node!$C$2:$E$500, 3, FALSE), "")</f>
        <v/>
      </c>
      <c r="D244" s="118" t="str">
        <f>IF(A244&lt;&gt;"",COUNTIFS(node!$C$2:$C$500,"="&amp;A244, node!$C$2:$C$500,"&lt;&gt;"&amp;""),"")</f>
        <v/>
      </c>
      <c r="E244" s="122" t="str">
        <f>IF(A244&lt;&gt;"",SUMIFS(node!$F$2:$F$500, node!$C$2:$C$500,"="&amp;A244, node!$C$2:$C$500,"&lt;&gt;"&amp;"")/(B244*D244),"")</f>
        <v/>
      </c>
      <c r="F244" s="124" t="str">
        <f>IF(A244&lt;&gt;"",SUMIFS(node!$H$2:$H$500, node!$C$2:$C$500,"="&amp;A244, node!$C$2:$C$500,"&lt;&gt;"&amp;"")/(C244*D244),"")</f>
        <v/>
      </c>
      <c r="G244" s="93" t="str">
        <f>IF(A244&lt;&gt;"",SUMIFS(deployment!$F$4:$F$502, deployment!$D$4:$D$502,"="&amp;A244, deployment!$D$4:$D$502,"&lt;&gt;"&amp;""),"")</f>
        <v/>
      </c>
      <c r="H244" s="94" t="str">
        <f>IF(A244&lt;&gt;"",SUMIFS(deployment!$G$4:$G$502, deployment!$D$4:$D$502,"="&amp;A244, deployment!$D$4:$D$502,"&lt;&gt;"&amp;""),"")</f>
        <v/>
      </c>
      <c r="I244" s="95" t="str">
        <f>IF(A244&lt;&gt;"",SUMIFS(deployment!$H$4:$H$502, deployment!$D$4:$D$502,"="&amp;A244, deployment!$D$4:$D$502,"&lt;&gt;"&amp;""),"")</f>
        <v/>
      </c>
      <c r="J244" s="96" t="str">
        <f>IF(A244&lt;&gt;"",SUMIFS(deployment!$I$4:$I$502, deployment!$D$4:$D$502,"="&amp;A244, deployment!$D$4:$D$502,"&lt;&gt;"&amp;""),"")</f>
        <v/>
      </c>
      <c r="K244" s="112" t="str">
        <f>IF(A244&lt;&gt;"",SUMIFS(deployment!$J$4:$J$502, deployment!$D$4:$D$502,"="&amp;A244, deployment!$D$4:$D$502,"&lt;&gt;"&amp;""),"")</f>
        <v/>
      </c>
      <c r="L244" s="112" t="str">
        <f>IF(A244&lt;&gt;"",SUMIFS(deployment!$K$4:$K$502, deployment!$D$4:$D$502,"="&amp;A244, deployment!$D$4:$D$502,"&lt;&gt;"&amp;""),"")</f>
        <v/>
      </c>
      <c r="M244" s="97" t="str">
        <f>IF(A244&lt;&gt;"",SUMIFS(deployment!$L$4:$L$502, deployment!$D$4:$D$502,"="&amp;A244, deployment!$D$4:$D$502,"&lt;&gt;"&amp;""),"")</f>
        <v/>
      </c>
      <c r="N244" s="97" t="str">
        <f>IF(A244&lt;&gt;"",SUMIFS(deployment!$M$4:$M$502, deployment!$D$4:$D$502,"="&amp;A244, deployment!$D$4:$D$502,"&lt;&gt;"&amp;""),"")</f>
        <v/>
      </c>
      <c r="O244" s="127" t="str">
        <f t="shared" si="47"/>
        <v/>
      </c>
      <c r="P244" s="104"/>
      <c r="Q244" s="99" t="str">
        <f t="shared" si="36"/>
        <v/>
      </c>
      <c r="R244" s="100" t="str">
        <f t="shared" si="37"/>
        <v/>
      </c>
      <c r="S244" s="100" t="str">
        <f t="shared" si="38"/>
        <v/>
      </c>
      <c r="T244" s="101" t="str">
        <f t="shared" si="39"/>
        <v/>
      </c>
      <c r="U244" s="101" t="str">
        <f t="shared" si="40"/>
        <v/>
      </c>
      <c r="V244" s="128" t="str">
        <f t="shared" si="41"/>
        <v/>
      </c>
      <c r="W244" s="128" t="str">
        <f t="shared" si="42"/>
        <v/>
      </c>
      <c r="X244" s="101" t="str">
        <f t="shared" si="43"/>
        <v/>
      </c>
      <c r="Y244" s="101" t="str">
        <f t="shared" si="44"/>
        <v/>
      </c>
      <c r="Z244" s="102" t="str">
        <f t="shared" si="45"/>
        <v/>
      </c>
      <c r="AA244" s="103" t="str">
        <f t="shared" si="46"/>
        <v/>
      </c>
      <c r="AB244" s="142" t="str">
        <f>IF(A244&lt;&gt;"", SUMIFS(node!$J$2:$J$500, node!$C$2:$C$500,"="&amp;A244)/P244, "")</f>
        <v/>
      </c>
      <c r="AC244" s="134" t="str">
        <f>IF(A244&lt;&gt;"", SUMIFS(node!$K$2:$K$500, node!$C$2:$C$500,"="&amp;A244)/P244, "")</f>
        <v/>
      </c>
      <c r="AD244" s="135" t="str">
        <f>IF(A244&lt;&gt;"", SUMIFS(node!$L$2:$L$500, node!$C$2:$C$500,"="&amp;A244), "")</f>
        <v/>
      </c>
      <c r="AE244" s="145" t="str">
        <f>IF(A244&lt;&gt;"", SUMIFS(node!$M$2:$M$500, node!$C$2:$C$500,"="&amp;A244), "")</f>
        <v/>
      </c>
    </row>
    <row r="245" spans="1:31" ht="15.75" customHeight="1" x14ac:dyDescent="0.25">
      <c r="A245" s="119" t="str">
        <f>IF(ISNONTEXT(node_raw[[#This Row],[Column2]]), "", node_raw[[#This Row],[Column2]])</f>
        <v/>
      </c>
      <c r="B245" s="116" t="str">
        <f>IF(A245&lt;&gt;"", VLOOKUP(A245, node!$C$2:$D$500, 2, FALSE), "")</f>
        <v/>
      </c>
      <c r="C245" s="117" t="str">
        <f>IF(A245&lt;&gt;"", VLOOKUP(A245, node!$C$2:$E$500, 3, FALSE), "")</f>
        <v/>
      </c>
      <c r="D245" s="118" t="str">
        <f>IF(A245&lt;&gt;"",COUNTIFS(node!$C$2:$C$500,"="&amp;A245, node!$C$2:$C$500,"&lt;&gt;"&amp;""),"")</f>
        <v/>
      </c>
      <c r="E245" s="122" t="str">
        <f>IF(A245&lt;&gt;"",SUMIFS(node!$F$2:$F$500, node!$C$2:$C$500,"="&amp;A245, node!$C$2:$C$500,"&lt;&gt;"&amp;"")/(B245*D245),"")</f>
        <v/>
      </c>
      <c r="F245" s="124" t="str">
        <f>IF(A245&lt;&gt;"",SUMIFS(node!$H$2:$H$500, node!$C$2:$C$500,"="&amp;A245, node!$C$2:$C$500,"&lt;&gt;"&amp;"")/(C245*D245),"")</f>
        <v/>
      </c>
      <c r="G245" s="93" t="str">
        <f>IF(A245&lt;&gt;"",SUMIFS(deployment!$F$4:$F$502, deployment!$D$4:$D$502,"="&amp;A245, deployment!$D$4:$D$502,"&lt;&gt;"&amp;""),"")</f>
        <v/>
      </c>
      <c r="H245" s="94" t="str">
        <f>IF(A245&lt;&gt;"",SUMIFS(deployment!$G$4:$G$502, deployment!$D$4:$D$502,"="&amp;A245, deployment!$D$4:$D$502,"&lt;&gt;"&amp;""),"")</f>
        <v/>
      </c>
      <c r="I245" s="95" t="str">
        <f>IF(A245&lt;&gt;"",SUMIFS(deployment!$H$4:$H$502, deployment!$D$4:$D$502,"="&amp;A245, deployment!$D$4:$D$502,"&lt;&gt;"&amp;""),"")</f>
        <v/>
      </c>
      <c r="J245" s="96" t="str">
        <f>IF(A245&lt;&gt;"",SUMIFS(deployment!$I$4:$I$502, deployment!$D$4:$D$502,"="&amp;A245, deployment!$D$4:$D$502,"&lt;&gt;"&amp;""),"")</f>
        <v/>
      </c>
      <c r="K245" s="112" t="str">
        <f>IF(A245&lt;&gt;"",SUMIFS(deployment!$J$4:$J$502, deployment!$D$4:$D$502,"="&amp;A245, deployment!$D$4:$D$502,"&lt;&gt;"&amp;""),"")</f>
        <v/>
      </c>
      <c r="L245" s="112" t="str">
        <f>IF(A245&lt;&gt;"",SUMIFS(deployment!$K$4:$K$502, deployment!$D$4:$D$502,"="&amp;A245, deployment!$D$4:$D$502,"&lt;&gt;"&amp;""),"")</f>
        <v/>
      </c>
      <c r="M245" s="97" t="str">
        <f>IF(A245&lt;&gt;"",SUMIFS(deployment!$L$4:$L$502, deployment!$D$4:$D$502,"="&amp;A245, deployment!$D$4:$D$502,"&lt;&gt;"&amp;""),"")</f>
        <v/>
      </c>
      <c r="N245" s="97" t="str">
        <f>IF(A245&lt;&gt;"",SUMIFS(deployment!$M$4:$M$502, deployment!$D$4:$D$502,"="&amp;A245, deployment!$D$4:$D$502,"&lt;&gt;"&amp;""),"")</f>
        <v/>
      </c>
      <c r="O245" s="127" t="str">
        <f t="shared" si="47"/>
        <v/>
      </c>
      <c r="P245" s="104"/>
      <c r="Q245" s="99" t="str">
        <f t="shared" si="36"/>
        <v/>
      </c>
      <c r="R245" s="100" t="str">
        <f t="shared" si="37"/>
        <v/>
      </c>
      <c r="S245" s="100" t="str">
        <f t="shared" si="38"/>
        <v/>
      </c>
      <c r="T245" s="101" t="str">
        <f t="shared" si="39"/>
        <v/>
      </c>
      <c r="U245" s="101" t="str">
        <f t="shared" si="40"/>
        <v/>
      </c>
      <c r="V245" s="128" t="str">
        <f t="shared" si="41"/>
        <v/>
      </c>
      <c r="W245" s="128" t="str">
        <f t="shared" si="42"/>
        <v/>
      </c>
      <c r="X245" s="101" t="str">
        <f t="shared" si="43"/>
        <v/>
      </c>
      <c r="Y245" s="101" t="str">
        <f t="shared" si="44"/>
        <v/>
      </c>
      <c r="Z245" s="102" t="str">
        <f t="shared" si="45"/>
        <v/>
      </c>
      <c r="AA245" s="103" t="str">
        <f t="shared" si="46"/>
        <v/>
      </c>
      <c r="AB245" s="142" t="str">
        <f>IF(A245&lt;&gt;"", SUMIFS(node!$J$2:$J$500, node!$C$2:$C$500,"="&amp;A245)/P245, "")</f>
        <v/>
      </c>
      <c r="AC245" s="134" t="str">
        <f>IF(A245&lt;&gt;"", SUMIFS(node!$K$2:$K$500, node!$C$2:$C$500,"="&amp;A245)/P245, "")</f>
        <v/>
      </c>
      <c r="AD245" s="135" t="str">
        <f>IF(A245&lt;&gt;"", SUMIFS(node!$L$2:$L$500, node!$C$2:$C$500,"="&amp;A245), "")</f>
        <v/>
      </c>
      <c r="AE245" s="145" t="str">
        <f>IF(A245&lt;&gt;"", SUMIFS(node!$M$2:$M$500, node!$C$2:$C$500,"="&amp;A245), "")</f>
        <v/>
      </c>
    </row>
    <row r="246" spans="1:31" ht="15.75" customHeight="1" x14ac:dyDescent="0.25">
      <c r="A246" s="119" t="str">
        <f>IF(ISNONTEXT(node_raw[[#This Row],[Column2]]), "", node_raw[[#This Row],[Column2]])</f>
        <v/>
      </c>
      <c r="B246" s="116" t="str">
        <f>IF(A246&lt;&gt;"", VLOOKUP(A246, node!$C$2:$D$500, 2, FALSE), "")</f>
        <v/>
      </c>
      <c r="C246" s="117" t="str">
        <f>IF(A246&lt;&gt;"", VLOOKUP(A246, node!$C$2:$E$500, 3, FALSE), "")</f>
        <v/>
      </c>
      <c r="D246" s="118" t="str">
        <f>IF(A246&lt;&gt;"",COUNTIFS(node!$C$2:$C$500,"="&amp;A246, node!$C$2:$C$500,"&lt;&gt;"&amp;""),"")</f>
        <v/>
      </c>
      <c r="E246" s="122" t="str">
        <f>IF(A246&lt;&gt;"",SUMIFS(node!$F$2:$F$500, node!$C$2:$C$500,"="&amp;A246, node!$C$2:$C$500,"&lt;&gt;"&amp;"")/(B246*D246),"")</f>
        <v/>
      </c>
      <c r="F246" s="124" t="str">
        <f>IF(A246&lt;&gt;"",SUMIFS(node!$H$2:$H$500, node!$C$2:$C$500,"="&amp;A246, node!$C$2:$C$500,"&lt;&gt;"&amp;"")/(C246*D246),"")</f>
        <v/>
      </c>
      <c r="G246" s="93" t="str">
        <f>IF(A246&lt;&gt;"",SUMIFS(deployment!$F$4:$F$502, deployment!$D$4:$D$502,"="&amp;A246, deployment!$D$4:$D$502,"&lt;&gt;"&amp;""),"")</f>
        <v/>
      </c>
      <c r="H246" s="94" t="str">
        <f>IF(A246&lt;&gt;"",SUMIFS(deployment!$G$4:$G$502, deployment!$D$4:$D$502,"="&amp;A246, deployment!$D$4:$D$502,"&lt;&gt;"&amp;""),"")</f>
        <v/>
      </c>
      <c r="I246" s="95" t="str">
        <f>IF(A246&lt;&gt;"",SUMIFS(deployment!$H$4:$H$502, deployment!$D$4:$D$502,"="&amp;A246, deployment!$D$4:$D$502,"&lt;&gt;"&amp;""),"")</f>
        <v/>
      </c>
      <c r="J246" s="96" t="str">
        <f>IF(A246&lt;&gt;"",SUMIFS(deployment!$I$4:$I$502, deployment!$D$4:$D$502,"="&amp;A246, deployment!$D$4:$D$502,"&lt;&gt;"&amp;""),"")</f>
        <v/>
      </c>
      <c r="K246" s="112" t="str">
        <f>IF(A246&lt;&gt;"",SUMIFS(deployment!$J$4:$J$502, deployment!$D$4:$D$502,"="&amp;A246, deployment!$D$4:$D$502,"&lt;&gt;"&amp;""),"")</f>
        <v/>
      </c>
      <c r="L246" s="112" t="str">
        <f>IF(A246&lt;&gt;"",SUMIFS(deployment!$K$4:$K$502, deployment!$D$4:$D$502,"="&amp;A246, deployment!$D$4:$D$502,"&lt;&gt;"&amp;""),"")</f>
        <v/>
      </c>
      <c r="M246" s="97" t="str">
        <f>IF(A246&lt;&gt;"",SUMIFS(deployment!$L$4:$L$502, deployment!$D$4:$D$502,"="&amp;A246, deployment!$D$4:$D$502,"&lt;&gt;"&amp;""),"")</f>
        <v/>
      </c>
      <c r="N246" s="97" t="str">
        <f>IF(A246&lt;&gt;"",SUMIFS(deployment!$M$4:$M$502, deployment!$D$4:$D$502,"="&amp;A246, deployment!$D$4:$D$502,"&lt;&gt;"&amp;""),"")</f>
        <v/>
      </c>
      <c r="O246" s="127" t="str">
        <f t="shared" si="47"/>
        <v/>
      </c>
      <c r="P246" s="104"/>
      <c r="Q246" s="99" t="str">
        <f t="shared" si="36"/>
        <v/>
      </c>
      <c r="R246" s="100" t="str">
        <f t="shared" si="37"/>
        <v/>
      </c>
      <c r="S246" s="100" t="str">
        <f t="shared" si="38"/>
        <v/>
      </c>
      <c r="T246" s="101" t="str">
        <f t="shared" si="39"/>
        <v/>
      </c>
      <c r="U246" s="101" t="str">
        <f t="shared" si="40"/>
        <v/>
      </c>
      <c r="V246" s="128" t="str">
        <f t="shared" si="41"/>
        <v/>
      </c>
      <c r="W246" s="128" t="str">
        <f t="shared" si="42"/>
        <v/>
      </c>
      <c r="X246" s="101" t="str">
        <f t="shared" si="43"/>
        <v/>
      </c>
      <c r="Y246" s="101" t="str">
        <f t="shared" si="44"/>
        <v/>
      </c>
      <c r="Z246" s="102" t="str">
        <f t="shared" si="45"/>
        <v/>
      </c>
      <c r="AA246" s="103" t="str">
        <f t="shared" si="46"/>
        <v/>
      </c>
      <c r="AB246" s="142" t="str">
        <f>IF(A246&lt;&gt;"", SUMIFS(node!$J$2:$J$500, node!$C$2:$C$500,"="&amp;A246)/P246, "")</f>
        <v/>
      </c>
      <c r="AC246" s="134" t="str">
        <f>IF(A246&lt;&gt;"", SUMIFS(node!$K$2:$K$500, node!$C$2:$C$500,"="&amp;A246)/P246, "")</f>
        <v/>
      </c>
      <c r="AD246" s="135" t="str">
        <f>IF(A246&lt;&gt;"", SUMIFS(node!$L$2:$L$500, node!$C$2:$C$500,"="&amp;A246), "")</f>
        <v/>
      </c>
      <c r="AE246" s="145" t="str">
        <f>IF(A246&lt;&gt;"", SUMIFS(node!$M$2:$M$500, node!$C$2:$C$500,"="&amp;A246), "")</f>
        <v/>
      </c>
    </row>
    <row r="247" spans="1:31" ht="15.75" customHeight="1" x14ac:dyDescent="0.25">
      <c r="A247" s="119" t="str">
        <f>IF(ISNONTEXT(node_raw[[#This Row],[Column2]]), "", node_raw[[#This Row],[Column2]])</f>
        <v/>
      </c>
      <c r="B247" s="116" t="str">
        <f>IF(A247&lt;&gt;"", VLOOKUP(A247, node!$C$2:$D$500, 2, FALSE), "")</f>
        <v/>
      </c>
      <c r="C247" s="117" t="str">
        <f>IF(A247&lt;&gt;"", VLOOKUP(A247, node!$C$2:$E$500, 3, FALSE), "")</f>
        <v/>
      </c>
      <c r="D247" s="118" t="str">
        <f>IF(A247&lt;&gt;"",COUNTIFS(node!$C$2:$C$500,"="&amp;A247, node!$C$2:$C$500,"&lt;&gt;"&amp;""),"")</f>
        <v/>
      </c>
      <c r="E247" s="122" t="str">
        <f>IF(A247&lt;&gt;"",SUMIFS(node!$F$2:$F$500, node!$C$2:$C$500,"="&amp;A247, node!$C$2:$C$500,"&lt;&gt;"&amp;"")/(B247*D247),"")</f>
        <v/>
      </c>
      <c r="F247" s="124" t="str">
        <f>IF(A247&lt;&gt;"",SUMIFS(node!$H$2:$H$500, node!$C$2:$C$500,"="&amp;A247, node!$C$2:$C$500,"&lt;&gt;"&amp;"")/(C247*D247),"")</f>
        <v/>
      </c>
      <c r="G247" s="93" t="str">
        <f>IF(A247&lt;&gt;"",SUMIFS(deployment!$F$4:$F$502, deployment!$D$4:$D$502,"="&amp;A247, deployment!$D$4:$D$502,"&lt;&gt;"&amp;""),"")</f>
        <v/>
      </c>
      <c r="H247" s="94" t="str">
        <f>IF(A247&lt;&gt;"",SUMIFS(deployment!$G$4:$G$502, deployment!$D$4:$D$502,"="&amp;A247, deployment!$D$4:$D$502,"&lt;&gt;"&amp;""),"")</f>
        <v/>
      </c>
      <c r="I247" s="95" t="str">
        <f>IF(A247&lt;&gt;"",SUMIFS(deployment!$H$4:$H$502, deployment!$D$4:$D$502,"="&amp;A247, deployment!$D$4:$D$502,"&lt;&gt;"&amp;""),"")</f>
        <v/>
      </c>
      <c r="J247" s="96" t="str">
        <f>IF(A247&lt;&gt;"",SUMIFS(deployment!$I$4:$I$502, deployment!$D$4:$D$502,"="&amp;A247, deployment!$D$4:$D$502,"&lt;&gt;"&amp;""),"")</f>
        <v/>
      </c>
      <c r="K247" s="112" t="str">
        <f>IF(A247&lt;&gt;"",SUMIFS(deployment!$J$4:$J$502, deployment!$D$4:$D$502,"="&amp;A247, deployment!$D$4:$D$502,"&lt;&gt;"&amp;""),"")</f>
        <v/>
      </c>
      <c r="L247" s="112" t="str">
        <f>IF(A247&lt;&gt;"",SUMIFS(deployment!$K$4:$K$502, deployment!$D$4:$D$502,"="&amp;A247, deployment!$D$4:$D$502,"&lt;&gt;"&amp;""),"")</f>
        <v/>
      </c>
      <c r="M247" s="97" t="str">
        <f>IF(A247&lt;&gt;"",SUMIFS(deployment!$L$4:$L$502, deployment!$D$4:$D$502,"="&amp;A247, deployment!$D$4:$D$502,"&lt;&gt;"&amp;""),"")</f>
        <v/>
      </c>
      <c r="N247" s="97" t="str">
        <f>IF(A247&lt;&gt;"",SUMIFS(deployment!$M$4:$M$502, deployment!$D$4:$D$502,"="&amp;A247, deployment!$D$4:$D$502,"&lt;&gt;"&amp;""),"")</f>
        <v/>
      </c>
      <c r="O247" s="127" t="str">
        <f t="shared" si="47"/>
        <v/>
      </c>
      <c r="P247" s="104"/>
      <c r="Q247" s="99" t="str">
        <f t="shared" si="36"/>
        <v/>
      </c>
      <c r="R247" s="100" t="str">
        <f t="shared" si="37"/>
        <v/>
      </c>
      <c r="S247" s="100" t="str">
        <f t="shared" si="38"/>
        <v/>
      </c>
      <c r="T247" s="101" t="str">
        <f t="shared" si="39"/>
        <v/>
      </c>
      <c r="U247" s="101" t="str">
        <f t="shared" si="40"/>
        <v/>
      </c>
      <c r="V247" s="128" t="str">
        <f t="shared" si="41"/>
        <v/>
      </c>
      <c r="W247" s="128" t="str">
        <f t="shared" si="42"/>
        <v/>
      </c>
      <c r="X247" s="101" t="str">
        <f t="shared" si="43"/>
        <v/>
      </c>
      <c r="Y247" s="101" t="str">
        <f t="shared" si="44"/>
        <v/>
      </c>
      <c r="Z247" s="102" t="str">
        <f t="shared" si="45"/>
        <v/>
      </c>
      <c r="AA247" s="103" t="str">
        <f t="shared" si="46"/>
        <v/>
      </c>
      <c r="AB247" s="142" t="str">
        <f>IF(A247&lt;&gt;"", SUMIFS(node!$J$2:$J$500, node!$C$2:$C$500,"="&amp;A247)/P247, "")</f>
        <v/>
      </c>
      <c r="AC247" s="134" t="str">
        <f>IF(A247&lt;&gt;"", SUMIFS(node!$K$2:$K$500, node!$C$2:$C$500,"="&amp;A247)/P247, "")</f>
        <v/>
      </c>
      <c r="AD247" s="135" t="str">
        <f>IF(A247&lt;&gt;"", SUMIFS(node!$L$2:$L$500, node!$C$2:$C$500,"="&amp;A247), "")</f>
        <v/>
      </c>
      <c r="AE247" s="145" t="str">
        <f>IF(A247&lt;&gt;"", SUMIFS(node!$M$2:$M$500, node!$C$2:$C$500,"="&amp;A247), "")</f>
        <v/>
      </c>
    </row>
    <row r="248" spans="1:31" ht="15.75" customHeight="1" x14ac:dyDescent="0.25">
      <c r="A248" s="119" t="str">
        <f>IF(ISNONTEXT(node_raw[[#This Row],[Column2]]), "", node_raw[[#This Row],[Column2]])</f>
        <v/>
      </c>
      <c r="B248" s="116" t="str">
        <f>IF(A248&lt;&gt;"", VLOOKUP(A248, node!$C$2:$D$500, 2, FALSE), "")</f>
        <v/>
      </c>
      <c r="C248" s="117" t="str">
        <f>IF(A248&lt;&gt;"", VLOOKUP(A248, node!$C$2:$E$500, 3, FALSE), "")</f>
        <v/>
      </c>
      <c r="D248" s="118" t="str">
        <f>IF(A248&lt;&gt;"",COUNTIFS(node!$C$2:$C$500,"="&amp;A248, node!$C$2:$C$500,"&lt;&gt;"&amp;""),"")</f>
        <v/>
      </c>
      <c r="E248" s="122" t="str">
        <f>IF(A248&lt;&gt;"",SUMIFS(node!$F$2:$F$500, node!$C$2:$C$500,"="&amp;A248, node!$C$2:$C$500,"&lt;&gt;"&amp;"")/(B248*D248),"")</f>
        <v/>
      </c>
      <c r="F248" s="124" t="str">
        <f>IF(A248&lt;&gt;"",SUMIFS(node!$H$2:$H$500, node!$C$2:$C$500,"="&amp;A248, node!$C$2:$C$500,"&lt;&gt;"&amp;"")/(C248*D248),"")</f>
        <v/>
      </c>
      <c r="G248" s="93" t="str">
        <f>IF(A248&lt;&gt;"",SUMIFS(deployment!$F$4:$F$502, deployment!$D$4:$D$502,"="&amp;A248, deployment!$D$4:$D$502,"&lt;&gt;"&amp;""),"")</f>
        <v/>
      </c>
      <c r="H248" s="94" t="str">
        <f>IF(A248&lt;&gt;"",SUMIFS(deployment!$G$4:$G$502, deployment!$D$4:$D$502,"="&amp;A248, deployment!$D$4:$D$502,"&lt;&gt;"&amp;""),"")</f>
        <v/>
      </c>
      <c r="I248" s="95" t="str">
        <f>IF(A248&lt;&gt;"",SUMIFS(deployment!$H$4:$H$502, deployment!$D$4:$D$502,"="&amp;A248, deployment!$D$4:$D$502,"&lt;&gt;"&amp;""),"")</f>
        <v/>
      </c>
      <c r="J248" s="96" t="str">
        <f>IF(A248&lt;&gt;"",SUMIFS(deployment!$I$4:$I$502, deployment!$D$4:$D$502,"="&amp;A248, deployment!$D$4:$D$502,"&lt;&gt;"&amp;""),"")</f>
        <v/>
      </c>
      <c r="K248" s="112" t="str">
        <f>IF(A248&lt;&gt;"",SUMIFS(deployment!$J$4:$J$502, deployment!$D$4:$D$502,"="&amp;A248, deployment!$D$4:$D$502,"&lt;&gt;"&amp;""),"")</f>
        <v/>
      </c>
      <c r="L248" s="112" t="str">
        <f>IF(A248&lt;&gt;"",SUMIFS(deployment!$K$4:$K$502, deployment!$D$4:$D$502,"="&amp;A248, deployment!$D$4:$D$502,"&lt;&gt;"&amp;""),"")</f>
        <v/>
      </c>
      <c r="M248" s="97" t="str">
        <f>IF(A248&lt;&gt;"",SUMIFS(deployment!$L$4:$L$502, deployment!$D$4:$D$502,"="&amp;A248, deployment!$D$4:$D$502,"&lt;&gt;"&amp;""),"")</f>
        <v/>
      </c>
      <c r="N248" s="97" t="str">
        <f>IF(A248&lt;&gt;"",SUMIFS(deployment!$M$4:$M$502, deployment!$D$4:$D$502,"="&amp;A248, deployment!$D$4:$D$502,"&lt;&gt;"&amp;""),"")</f>
        <v/>
      </c>
      <c r="O248" s="127" t="str">
        <f t="shared" si="47"/>
        <v/>
      </c>
      <c r="P248" s="104"/>
      <c r="Q248" s="99" t="str">
        <f t="shared" si="36"/>
        <v/>
      </c>
      <c r="R248" s="100" t="str">
        <f t="shared" si="37"/>
        <v/>
      </c>
      <c r="S248" s="100" t="str">
        <f t="shared" si="38"/>
        <v/>
      </c>
      <c r="T248" s="101" t="str">
        <f t="shared" si="39"/>
        <v/>
      </c>
      <c r="U248" s="101" t="str">
        <f t="shared" si="40"/>
        <v/>
      </c>
      <c r="V248" s="128" t="str">
        <f t="shared" si="41"/>
        <v/>
      </c>
      <c r="W248" s="128" t="str">
        <f t="shared" si="42"/>
        <v/>
      </c>
      <c r="X248" s="101" t="str">
        <f t="shared" si="43"/>
        <v/>
      </c>
      <c r="Y248" s="101" t="str">
        <f t="shared" si="44"/>
        <v/>
      </c>
      <c r="Z248" s="102" t="str">
        <f t="shared" si="45"/>
        <v/>
      </c>
      <c r="AA248" s="103" t="str">
        <f t="shared" si="46"/>
        <v/>
      </c>
      <c r="AB248" s="142" t="str">
        <f>IF(A248&lt;&gt;"", SUMIFS(node!$J$2:$J$500, node!$C$2:$C$500,"="&amp;A248)/P248, "")</f>
        <v/>
      </c>
      <c r="AC248" s="134" t="str">
        <f>IF(A248&lt;&gt;"", SUMIFS(node!$K$2:$K$500, node!$C$2:$C$500,"="&amp;A248)/P248, "")</f>
        <v/>
      </c>
      <c r="AD248" s="135" t="str">
        <f>IF(A248&lt;&gt;"", SUMIFS(node!$L$2:$L$500, node!$C$2:$C$500,"="&amp;A248), "")</f>
        <v/>
      </c>
      <c r="AE248" s="145" t="str">
        <f>IF(A248&lt;&gt;"", SUMIFS(node!$M$2:$M$500, node!$C$2:$C$500,"="&amp;A248), "")</f>
        <v/>
      </c>
    </row>
    <row r="249" spans="1:31" ht="15.75" customHeight="1" x14ac:dyDescent="0.25">
      <c r="A249" s="119" t="str">
        <f>IF(ISNONTEXT(node_raw[[#This Row],[Column2]]), "", node_raw[[#This Row],[Column2]])</f>
        <v/>
      </c>
      <c r="B249" s="116" t="str">
        <f>IF(A249&lt;&gt;"", VLOOKUP(A249, node!$C$2:$D$500, 2, FALSE), "")</f>
        <v/>
      </c>
      <c r="C249" s="117" t="str">
        <f>IF(A249&lt;&gt;"", VLOOKUP(A249, node!$C$2:$E$500, 3, FALSE), "")</f>
        <v/>
      </c>
      <c r="D249" s="118" t="str">
        <f>IF(A249&lt;&gt;"",COUNTIFS(node!$C$2:$C$500,"="&amp;A249, node!$C$2:$C$500,"&lt;&gt;"&amp;""),"")</f>
        <v/>
      </c>
      <c r="E249" s="122" t="str">
        <f>IF(A249&lt;&gt;"",SUMIFS(node!$F$2:$F$500, node!$C$2:$C$500,"="&amp;A249, node!$C$2:$C$500,"&lt;&gt;"&amp;"")/(B249*D249),"")</f>
        <v/>
      </c>
      <c r="F249" s="124" t="str">
        <f>IF(A249&lt;&gt;"",SUMIFS(node!$H$2:$H$500, node!$C$2:$C$500,"="&amp;A249, node!$C$2:$C$500,"&lt;&gt;"&amp;"")/(C249*D249),"")</f>
        <v/>
      </c>
      <c r="G249" s="93" t="str">
        <f>IF(A249&lt;&gt;"",SUMIFS(deployment!$F$4:$F$502, deployment!$D$4:$D$502,"="&amp;A249, deployment!$D$4:$D$502,"&lt;&gt;"&amp;""),"")</f>
        <v/>
      </c>
      <c r="H249" s="94" t="str">
        <f>IF(A249&lt;&gt;"",SUMIFS(deployment!$G$4:$G$502, deployment!$D$4:$D$502,"="&amp;A249, deployment!$D$4:$D$502,"&lt;&gt;"&amp;""),"")</f>
        <v/>
      </c>
      <c r="I249" s="95" t="str">
        <f>IF(A249&lt;&gt;"",SUMIFS(deployment!$H$4:$H$502, deployment!$D$4:$D$502,"="&amp;A249, deployment!$D$4:$D$502,"&lt;&gt;"&amp;""),"")</f>
        <v/>
      </c>
      <c r="J249" s="96" t="str">
        <f>IF(A249&lt;&gt;"",SUMIFS(deployment!$I$4:$I$502, deployment!$D$4:$D$502,"="&amp;A249, deployment!$D$4:$D$502,"&lt;&gt;"&amp;""),"")</f>
        <v/>
      </c>
      <c r="K249" s="112" t="str">
        <f>IF(A249&lt;&gt;"",SUMIFS(deployment!$J$4:$J$502, deployment!$D$4:$D$502,"="&amp;A249, deployment!$D$4:$D$502,"&lt;&gt;"&amp;""),"")</f>
        <v/>
      </c>
      <c r="L249" s="112" t="str">
        <f>IF(A249&lt;&gt;"",SUMIFS(deployment!$K$4:$K$502, deployment!$D$4:$D$502,"="&amp;A249, deployment!$D$4:$D$502,"&lt;&gt;"&amp;""),"")</f>
        <v/>
      </c>
      <c r="M249" s="97" t="str">
        <f>IF(A249&lt;&gt;"",SUMIFS(deployment!$L$4:$L$502, deployment!$D$4:$D$502,"="&amp;A249, deployment!$D$4:$D$502,"&lt;&gt;"&amp;""),"")</f>
        <v/>
      </c>
      <c r="N249" s="97" t="str">
        <f>IF(A249&lt;&gt;"",SUMIFS(deployment!$M$4:$M$502, deployment!$D$4:$D$502,"="&amp;A249, deployment!$D$4:$D$502,"&lt;&gt;"&amp;""),"")</f>
        <v/>
      </c>
      <c r="O249" s="127" t="str">
        <f t="shared" si="47"/>
        <v/>
      </c>
      <c r="P249" s="104"/>
      <c r="Q249" s="99" t="str">
        <f t="shared" si="36"/>
        <v/>
      </c>
      <c r="R249" s="100" t="str">
        <f t="shared" si="37"/>
        <v/>
      </c>
      <c r="S249" s="100" t="str">
        <f t="shared" si="38"/>
        <v/>
      </c>
      <c r="T249" s="101" t="str">
        <f t="shared" si="39"/>
        <v/>
      </c>
      <c r="U249" s="101" t="str">
        <f t="shared" si="40"/>
        <v/>
      </c>
      <c r="V249" s="128" t="str">
        <f t="shared" si="41"/>
        <v/>
      </c>
      <c r="W249" s="128" t="str">
        <f t="shared" si="42"/>
        <v/>
      </c>
      <c r="X249" s="101" t="str">
        <f t="shared" si="43"/>
        <v/>
      </c>
      <c r="Y249" s="101" t="str">
        <f t="shared" si="44"/>
        <v/>
      </c>
      <c r="Z249" s="102" t="str">
        <f t="shared" si="45"/>
        <v/>
      </c>
      <c r="AA249" s="103" t="str">
        <f t="shared" si="46"/>
        <v/>
      </c>
      <c r="AB249" s="142" t="str">
        <f>IF(A249&lt;&gt;"", SUMIFS(node!$J$2:$J$500, node!$C$2:$C$500,"="&amp;A249)/P249, "")</f>
        <v/>
      </c>
      <c r="AC249" s="134" t="str">
        <f>IF(A249&lt;&gt;"", SUMIFS(node!$K$2:$K$500, node!$C$2:$C$500,"="&amp;A249)/P249, "")</f>
        <v/>
      </c>
      <c r="AD249" s="135" t="str">
        <f>IF(A249&lt;&gt;"", SUMIFS(node!$L$2:$L$500, node!$C$2:$C$500,"="&amp;A249), "")</f>
        <v/>
      </c>
      <c r="AE249" s="145" t="str">
        <f>IF(A249&lt;&gt;"", SUMIFS(node!$M$2:$M$500, node!$C$2:$C$500,"="&amp;A249), "")</f>
        <v/>
      </c>
    </row>
    <row r="250" spans="1:31" ht="15.75" customHeight="1" x14ac:dyDescent="0.25">
      <c r="A250" s="119" t="str">
        <f>IF(ISNONTEXT(node_raw[[#This Row],[Column2]]), "", node_raw[[#This Row],[Column2]])</f>
        <v/>
      </c>
      <c r="B250" s="116" t="str">
        <f>IF(A250&lt;&gt;"", VLOOKUP(A250, node!$C$2:$D$500, 2, FALSE), "")</f>
        <v/>
      </c>
      <c r="C250" s="117" t="str">
        <f>IF(A250&lt;&gt;"", VLOOKUP(A250, node!$C$2:$E$500, 3, FALSE), "")</f>
        <v/>
      </c>
      <c r="D250" s="118" t="str">
        <f>IF(A250&lt;&gt;"",COUNTIFS(node!$C$2:$C$500,"="&amp;A250, node!$C$2:$C$500,"&lt;&gt;"&amp;""),"")</f>
        <v/>
      </c>
      <c r="E250" s="122" t="str">
        <f>IF(A250&lt;&gt;"",SUMIFS(node!$F$2:$F$500, node!$C$2:$C$500,"="&amp;A250, node!$C$2:$C$500,"&lt;&gt;"&amp;"")/(B250*D250),"")</f>
        <v/>
      </c>
      <c r="F250" s="124" t="str">
        <f>IF(A250&lt;&gt;"",SUMIFS(node!$H$2:$H$500, node!$C$2:$C$500,"="&amp;A250, node!$C$2:$C$500,"&lt;&gt;"&amp;"")/(C250*D250),"")</f>
        <v/>
      </c>
      <c r="G250" s="93" t="str">
        <f>IF(A250&lt;&gt;"",SUMIFS(deployment!$F$4:$F$502, deployment!$D$4:$D$502,"="&amp;A250, deployment!$D$4:$D$502,"&lt;&gt;"&amp;""),"")</f>
        <v/>
      </c>
      <c r="H250" s="94" t="str">
        <f>IF(A250&lt;&gt;"",SUMIFS(deployment!$G$4:$G$502, deployment!$D$4:$D$502,"="&amp;A250, deployment!$D$4:$D$502,"&lt;&gt;"&amp;""),"")</f>
        <v/>
      </c>
      <c r="I250" s="95" t="str">
        <f>IF(A250&lt;&gt;"",SUMIFS(deployment!$H$4:$H$502, deployment!$D$4:$D$502,"="&amp;A250, deployment!$D$4:$D$502,"&lt;&gt;"&amp;""),"")</f>
        <v/>
      </c>
      <c r="J250" s="96" t="str">
        <f>IF(A250&lt;&gt;"",SUMIFS(deployment!$I$4:$I$502, deployment!$D$4:$D$502,"="&amp;A250, deployment!$D$4:$D$502,"&lt;&gt;"&amp;""),"")</f>
        <v/>
      </c>
      <c r="K250" s="112" t="str">
        <f>IF(A250&lt;&gt;"",SUMIFS(deployment!$J$4:$J$502, deployment!$D$4:$D$502,"="&amp;A250, deployment!$D$4:$D$502,"&lt;&gt;"&amp;""),"")</f>
        <v/>
      </c>
      <c r="L250" s="112" t="str">
        <f>IF(A250&lt;&gt;"",SUMIFS(deployment!$K$4:$K$502, deployment!$D$4:$D$502,"="&amp;A250, deployment!$D$4:$D$502,"&lt;&gt;"&amp;""),"")</f>
        <v/>
      </c>
      <c r="M250" s="97" t="str">
        <f>IF(A250&lt;&gt;"",SUMIFS(deployment!$L$4:$L$502, deployment!$D$4:$D$502,"="&amp;A250, deployment!$D$4:$D$502,"&lt;&gt;"&amp;""),"")</f>
        <v/>
      </c>
      <c r="N250" s="97" t="str">
        <f>IF(A250&lt;&gt;"",SUMIFS(deployment!$M$4:$M$502, deployment!$D$4:$D$502,"="&amp;A250, deployment!$D$4:$D$502,"&lt;&gt;"&amp;""),"")</f>
        <v/>
      </c>
      <c r="O250" s="127" t="str">
        <f t="shared" si="47"/>
        <v/>
      </c>
      <c r="P250" s="104"/>
      <c r="Q250" s="99" t="str">
        <f t="shared" si="36"/>
        <v/>
      </c>
      <c r="R250" s="100" t="str">
        <f t="shared" si="37"/>
        <v/>
      </c>
      <c r="S250" s="100" t="str">
        <f t="shared" si="38"/>
        <v/>
      </c>
      <c r="T250" s="101" t="str">
        <f t="shared" si="39"/>
        <v/>
      </c>
      <c r="U250" s="101" t="str">
        <f t="shared" si="40"/>
        <v/>
      </c>
      <c r="V250" s="128" t="str">
        <f t="shared" si="41"/>
        <v/>
      </c>
      <c r="W250" s="128" t="str">
        <f t="shared" si="42"/>
        <v/>
      </c>
      <c r="X250" s="101" t="str">
        <f t="shared" si="43"/>
        <v/>
      </c>
      <c r="Y250" s="101" t="str">
        <f t="shared" si="44"/>
        <v/>
      </c>
      <c r="Z250" s="102" t="str">
        <f t="shared" si="45"/>
        <v/>
      </c>
      <c r="AA250" s="103" t="str">
        <f t="shared" si="46"/>
        <v/>
      </c>
      <c r="AB250" s="142" t="str">
        <f>IF(A250&lt;&gt;"", SUMIFS(node!$J$2:$J$500, node!$C$2:$C$500,"="&amp;A250)/P250, "")</f>
        <v/>
      </c>
      <c r="AC250" s="134" t="str">
        <f>IF(A250&lt;&gt;"", SUMIFS(node!$K$2:$K$500, node!$C$2:$C$500,"="&amp;A250)/P250, "")</f>
        <v/>
      </c>
      <c r="AD250" s="135" t="str">
        <f>IF(A250&lt;&gt;"", SUMIFS(node!$L$2:$L$500, node!$C$2:$C$500,"="&amp;A250), "")</f>
        <v/>
      </c>
      <c r="AE250" s="145" t="str">
        <f>IF(A250&lt;&gt;"", SUMIFS(node!$M$2:$M$500, node!$C$2:$C$500,"="&amp;A250), "")</f>
        <v/>
      </c>
    </row>
    <row r="251" spans="1:31" ht="15.75" customHeight="1" x14ac:dyDescent="0.25">
      <c r="A251" s="119" t="str">
        <f>IF(ISNONTEXT(node_raw[[#This Row],[Column2]]), "", node_raw[[#This Row],[Column2]])</f>
        <v/>
      </c>
      <c r="B251" s="116" t="str">
        <f>IF(A251&lt;&gt;"", VLOOKUP(A251, node!$C$2:$D$500, 2, FALSE), "")</f>
        <v/>
      </c>
      <c r="C251" s="117" t="str">
        <f>IF(A251&lt;&gt;"", VLOOKUP(A251, node!$C$2:$E$500, 3, FALSE), "")</f>
        <v/>
      </c>
      <c r="D251" s="118" t="str">
        <f>IF(A251&lt;&gt;"",COUNTIFS(node!$C$2:$C$500,"="&amp;A251, node!$C$2:$C$500,"&lt;&gt;"&amp;""),"")</f>
        <v/>
      </c>
      <c r="E251" s="122" t="str">
        <f>IF(A251&lt;&gt;"",SUMIFS(node!$F$2:$F$500, node!$C$2:$C$500,"="&amp;A251, node!$C$2:$C$500,"&lt;&gt;"&amp;"")/(B251*D251),"")</f>
        <v/>
      </c>
      <c r="F251" s="124" t="str">
        <f>IF(A251&lt;&gt;"",SUMIFS(node!$H$2:$H$500, node!$C$2:$C$500,"="&amp;A251, node!$C$2:$C$500,"&lt;&gt;"&amp;"")/(C251*D251),"")</f>
        <v/>
      </c>
      <c r="G251" s="93" t="str">
        <f>IF(A251&lt;&gt;"",SUMIFS(deployment!$F$4:$F$502, deployment!$D$4:$D$502,"="&amp;A251, deployment!$D$4:$D$502,"&lt;&gt;"&amp;""),"")</f>
        <v/>
      </c>
      <c r="H251" s="94" t="str">
        <f>IF(A251&lt;&gt;"",SUMIFS(deployment!$G$4:$G$502, deployment!$D$4:$D$502,"="&amp;A251, deployment!$D$4:$D$502,"&lt;&gt;"&amp;""),"")</f>
        <v/>
      </c>
      <c r="I251" s="95" t="str">
        <f>IF(A251&lt;&gt;"",SUMIFS(deployment!$H$4:$H$502, deployment!$D$4:$D$502,"="&amp;A251, deployment!$D$4:$D$502,"&lt;&gt;"&amp;""),"")</f>
        <v/>
      </c>
      <c r="J251" s="96" t="str">
        <f>IF(A251&lt;&gt;"",SUMIFS(deployment!$I$4:$I$502, deployment!$D$4:$D$502,"="&amp;A251, deployment!$D$4:$D$502,"&lt;&gt;"&amp;""),"")</f>
        <v/>
      </c>
      <c r="K251" s="112" t="str">
        <f>IF(A251&lt;&gt;"",SUMIFS(deployment!$J$4:$J$502, deployment!$D$4:$D$502,"="&amp;A251, deployment!$D$4:$D$502,"&lt;&gt;"&amp;""),"")</f>
        <v/>
      </c>
      <c r="L251" s="112" t="str">
        <f>IF(A251&lt;&gt;"",SUMIFS(deployment!$K$4:$K$502, deployment!$D$4:$D$502,"="&amp;A251, deployment!$D$4:$D$502,"&lt;&gt;"&amp;""),"")</f>
        <v/>
      </c>
      <c r="M251" s="97" t="str">
        <f>IF(A251&lt;&gt;"",SUMIFS(deployment!$L$4:$L$502, deployment!$D$4:$D$502,"="&amp;A251, deployment!$D$4:$D$502,"&lt;&gt;"&amp;""),"")</f>
        <v/>
      </c>
      <c r="N251" s="97" t="str">
        <f>IF(A251&lt;&gt;"",SUMIFS(deployment!$M$4:$M$502, deployment!$D$4:$D$502,"="&amp;A251, deployment!$D$4:$D$502,"&lt;&gt;"&amp;""),"")</f>
        <v/>
      </c>
      <c r="O251" s="127" t="str">
        <f t="shared" si="47"/>
        <v/>
      </c>
      <c r="P251" s="104"/>
      <c r="Q251" s="99" t="str">
        <f t="shared" si="36"/>
        <v/>
      </c>
      <c r="R251" s="100" t="str">
        <f t="shared" si="37"/>
        <v/>
      </c>
      <c r="S251" s="100" t="str">
        <f t="shared" si="38"/>
        <v/>
      </c>
      <c r="T251" s="101" t="str">
        <f t="shared" si="39"/>
        <v/>
      </c>
      <c r="U251" s="101" t="str">
        <f t="shared" si="40"/>
        <v/>
      </c>
      <c r="V251" s="128" t="str">
        <f t="shared" si="41"/>
        <v/>
      </c>
      <c r="W251" s="128" t="str">
        <f t="shared" si="42"/>
        <v/>
      </c>
      <c r="X251" s="101" t="str">
        <f t="shared" si="43"/>
        <v/>
      </c>
      <c r="Y251" s="101" t="str">
        <f t="shared" si="44"/>
        <v/>
      </c>
      <c r="Z251" s="102" t="str">
        <f t="shared" si="45"/>
        <v/>
      </c>
      <c r="AA251" s="103" t="str">
        <f t="shared" si="46"/>
        <v/>
      </c>
      <c r="AB251" s="142" t="str">
        <f>IF(A251&lt;&gt;"", SUMIFS(node!$J$2:$J$500, node!$C$2:$C$500,"="&amp;A251)/P251, "")</f>
        <v/>
      </c>
      <c r="AC251" s="134" t="str">
        <f>IF(A251&lt;&gt;"", SUMIFS(node!$K$2:$K$500, node!$C$2:$C$500,"="&amp;A251)/P251, "")</f>
        <v/>
      </c>
      <c r="AD251" s="135" t="str">
        <f>IF(A251&lt;&gt;"", SUMIFS(node!$L$2:$L$500, node!$C$2:$C$500,"="&amp;A251), "")</f>
        <v/>
      </c>
      <c r="AE251" s="145" t="str">
        <f>IF(A251&lt;&gt;"", SUMIFS(node!$M$2:$M$500, node!$C$2:$C$500,"="&amp;A251), "")</f>
        <v/>
      </c>
    </row>
    <row r="252" spans="1:31" ht="15.75" customHeight="1" x14ac:dyDescent="0.25">
      <c r="A252" s="119" t="str">
        <f>IF(ISNONTEXT(node_raw[[#This Row],[Column2]]), "", node_raw[[#This Row],[Column2]])</f>
        <v/>
      </c>
      <c r="B252" s="116" t="str">
        <f>IF(A252&lt;&gt;"", VLOOKUP(A252, node!$C$2:$D$500, 2, FALSE), "")</f>
        <v/>
      </c>
      <c r="C252" s="117" t="str">
        <f>IF(A252&lt;&gt;"", VLOOKUP(A252, node!$C$2:$E$500, 3, FALSE), "")</f>
        <v/>
      </c>
      <c r="D252" s="118" t="str">
        <f>IF(A252&lt;&gt;"",COUNTIFS(node!$C$2:$C$500,"="&amp;A252, node!$C$2:$C$500,"&lt;&gt;"&amp;""),"")</f>
        <v/>
      </c>
      <c r="E252" s="122" t="str">
        <f>IF(A252&lt;&gt;"",SUMIFS(node!$F$2:$F$500, node!$C$2:$C$500,"="&amp;A252, node!$C$2:$C$500,"&lt;&gt;"&amp;"")/(B252*D252),"")</f>
        <v/>
      </c>
      <c r="F252" s="124" t="str">
        <f>IF(A252&lt;&gt;"",SUMIFS(node!$H$2:$H$500, node!$C$2:$C$500,"="&amp;A252, node!$C$2:$C$500,"&lt;&gt;"&amp;"")/(C252*D252),"")</f>
        <v/>
      </c>
      <c r="G252" s="93" t="str">
        <f>IF(A252&lt;&gt;"",SUMIFS(deployment!$F$4:$F$502, deployment!$D$4:$D$502,"="&amp;A252, deployment!$D$4:$D$502,"&lt;&gt;"&amp;""),"")</f>
        <v/>
      </c>
      <c r="H252" s="94" t="str">
        <f>IF(A252&lt;&gt;"",SUMIFS(deployment!$G$4:$G$502, deployment!$D$4:$D$502,"="&amp;A252, deployment!$D$4:$D$502,"&lt;&gt;"&amp;""),"")</f>
        <v/>
      </c>
      <c r="I252" s="95" t="str">
        <f>IF(A252&lt;&gt;"",SUMIFS(deployment!$H$4:$H$502, deployment!$D$4:$D$502,"="&amp;A252, deployment!$D$4:$D$502,"&lt;&gt;"&amp;""),"")</f>
        <v/>
      </c>
      <c r="J252" s="96" t="str">
        <f>IF(A252&lt;&gt;"",SUMIFS(deployment!$I$4:$I$502, deployment!$D$4:$D$502,"="&amp;A252, deployment!$D$4:$D$502,"&lt;&gt;"&amp;""),"")</f>
        <v/>
      </c>
      <c r="K252" s="112" t="str">
        <f>IF(A252&lt;&gt;"",SUMIFS(deployment!$J$4:$J$502, deployment!$D$4:$D$502,"="&amp;A252, deployment!$D$4:$D$502,"&lt;&gt;"&amp;""),"")</f>
        <v/>
      </c>
      <c r="L252" s="112" t="str">
        <f>IF(A252&lt;&gt;"",SUMIFS(deployment!$K$4:$K$502, deployment!$D$4:$D$502,"="&amp;A252, deployment!$D$4:$D$502,"&lt;&gt;"&amp;""),"")</f>
        <v/>
      </c>
      <c r="M252" s="97" t="str">
        <f>IF(A252&lt;&gt;"",SUMIFS(deployment!$L$4:$L$502, deployment!$D$4:$D$502,"="&amp;A252, deployment!$D$4:$D$502,"&lt;&gt;"&amp;""),"")</f>
        <v/>
      </c>
      <c r="N252" s="97" t="str">
        <f>IF(A252&lt;&gt;"",SUMIFS(deployment!$M$4:$M$502, deployment!$D$4:$D$502,"="&amp;A252, deployment!$D$4:$D$502,"&lt;&gt;"&amp;""),"")</f>
        <v/>
      </c>
      <c r="O252" s="127" t="str">
        <f t="shared" si="47"/>
        <v/>
      </c>
      <c r="P252" s="104"/>
      <c r="Q252" s="99" t="str">
        <f t="shared" si="36"/>
        <v/>
      </c>
      <c r="R252" s="100" t="str">
        <f t="shared" si="37"/>
        <v/>
      </c>
      <c r="S252" s="100" t="str">
        <f t="shared" si="38"/>
        <v/>
      </c>
      <c r="T252" s="101" t="str">
        <f t="shared" si="39"/>
        <v/>
      </c>
      <c r="U252" s="101" t="str">
        <f t="shared" si="40"/>
        <v/>
      </c>
      <c r="V252" s="128" t="str">
        <f t="shared" si="41"/>
        <v/>
      </c>
      <c r="W252" s="128" t="str">
        <f t="shared" si="42"/>
        <v/>
      </c>
      <c r="X252" s="101" t="str">
        <f t="shared" si="43"/>
        <v/>
      </c>
      <c r="Y252" s="101" t="str">
        <f t="shared" si="44"/>
        <v/>
      </c>
      <c r="Z252" s="102" t="str">
        <f t="shared" si="45"/>
        <v/>
      </c>
      <c r="AA252" s="103" t="str">
        <f t="shared" si="46"/>
        <v/>
      </c>
      <c r="AB252" s="142" t="str">
        <f>IF(A252&lt;&gt;"", SUMIFS(node!$J$2:$J$500, node!$C$2:$C$500,"="&amp;A252)/P252, "")</f>
        <v/>
      </c>
      <c r="AC252" s="134" t="str">
        <f>IF(A252&lt;&gt;"", SUMIFS(node!$K$2:$K$500, node!$C$2:$C$500,"="&amp;A252)/P252, "")</f>
        <v/>
      </c>
      <c r="AD252" s="135" t="str">
        <f>IF(A252&lt;&gt;"", SUMIFS(node!$L$2:$L$500, node!$C$2:$C$500,"="&amp;A252), "")</f>
        <v/>
      </c>
      <c r="AE252" s="145" t="str">
        <f>IF(A252&lt;&gt;"", SUMIFS(node!$M$2:$M$500, node!$C$2:$C$500,"="&amp;A252), "")</f>
        <v/>
      </c>
    </row>
    <row r="253" spans="1:31" ht="15.75" customHeight="1" x14ac:dyDescent="0.25">
      <c r="A253" s="119" t="str">
        <f>IF(ISNONTEXT(node_raw[[#This Row],[Column2]]), "", node_raw[[#This Row],[Column2]])</f>
        <v/>
      </c>
      <c r="B253" s="116" t="str">
        <f>IF(A253&lt;&gt;"", VLOOKUP(A253, node!$C$2:$D$500, 2, FALSE), "")</f>
        <v/>
      </c>
      <c r="C253" s="117" t="str">
        <f>IF(A253&lt;&gt;"", VLOOKUP(A253, node!$C$2:$E$500, 3, FALSE), "")</f>
        <v/>
      </c>
      <c r="D253" s="118" t="str">
        <f>IF(A253&lt;&gt;"",COUNTIFS(node!$C$2:$C$500,"="&amp;A253, node!$C$2:$C$500,"&lt;&gt;"&amp;""),"")</f>
        <v/>
      </c>
      <c r="E253" s="122" t="str">
        <f>IF(A253&lt;&gt;"",SUMIFS(node!$F$2:$F$500, node!$C$2:$C$500,"="&amp;A253, node!$C$2:$C$500,"&lt;&gt;"&amp;"")/(B253*D253),"")</f>
        <v/>
      </c>
      <c r="F253" s="124" t="str">
        <f>IF(A253&lt;&gt;"",SUMIFS(node!$H$2:$H$500, node!$C$2:$C$500,"="&amp;A253, node!$C$2:$C$500,"&lt;&gt;"&amp;"")/(C253*D253),"")</f>
        <v/>
      </c>
      <c r="G253" s="93" t="str">
        <f>IF(A253&lt;&gt;"",SUMIFS(deployment!$F$4:$F$502, deployment!$D$4:$D$502,"="&amp;A253, deployment!$D$4:$D$502,"&lt;&gt;"&amp;""),"")</f>
        <v/>
      </c>
      <c r="H253" s="94" t="str">
        <f>IF(A253&lt;&gt;"",SUMIFS(deployment!$G$4:$G$502, deployment!$D$4:$D$502,"="&amp;A253, deployment!$D$4:$D$502,"&lt;&gt;"&amp;""),"")</f>
        <v/>
      </c>
      <c r="I253" s="95" t="str">
        <f>IF(A253&lt;&gt;"",SUMIFS(deployment!$H$4:$H$502, deployment!$D$4:$D$502,"="&amp;A253, deployment!$D$4:$D$502,"&lt;&gt;"&amp;""),"")</f>
        <v/>
      </c>
      <c r="J253" s="96" t="str">
        <f>IF(A253&lt;&gt;"",SUMIFS(deployment!$I$4:$I$502, deployment!$D$4:$D$502,"="&amp;A253, deployment!$D$4:$D$502,"&lt;&gt;"&amp;""),"")</f>
        <v/>
      </c>
      <c r="K253" s="112" t="str">
        <f>IF(A253&lt;&gt;"",SUMIFS(deployment!$J$4:$J$502, deployment!$D$4:$D$502,"="&amp;A253, deployment!$D$4:$D$502,"&lt;&gt;"&amp;""),"")</f>
        <v/>
      </c>
      <c r="L253" s="112" t="str">
        <f>IF(A253&lt;&gt;"",SUMIFS(deployment!$K$4:$K$502, deployment!$D$4:$D$502,"="&amp;A253, deployment!$D$4:$D$502,"&lt;&gt;"&amp;""),"")</f>
        <v/>
      </c>
      <c r="M253" s="97" t="str">
        <f>IF(A253&lt;&gt;"",SUMIFS(deployment!$L$4:$L$502, deployment!$D$4:$D$502,"="&amp;A253, deployment!$D$4:$D$502,"&lt;&gt;"&amp;""),"")</f>
        <v/>
      </c>
      <c r="N253" s="97" t="str">
        <f>IF(A253&lt;&gt;"",SUMIFS(deployment!$M$4:$M$502, deployment!$D$4:$D$502,"="&amp;A253, deployment!$D$4:$D$502,"&lt;&gt;"&amp;""),"")</f>
        <v/>
      </c>
      <c r="O253" s="127" t="str">
        <f t="shared" si="47"/>
        <v/>
      </c>
      <c r="P253" s="104"/>
      <c r="Q253" s="99" t="str">
        <f t="shared" si="36"/>
        <v/>
      </c>
      <c r="R253" s="100" t="str">
        <f t="shared" si="37"/>
        <v/>
      </c>
      <c r="S253" s="100" t="str">
        <f t="shared" si="38"/>
        <v/>
      </c>
      <c r="T253" s="101" t="str">
        <f t="shared" si="39"/>
        <v/>
      </c>
      <c r="U253" s="101" t="str">
        <f t="shared" si="40"/>
        <v/>
      </c>
      <c r="V253" s="128" t="str">
        <f t="shared" si="41"/>
        <v/>
      </c>
      <c r="W253" s="128" t="str">
        <f t="shared" si="42"/>
        <v/>
      </c>
      <c r="X253" s="101" t="str">
        <f t="shared" si="43"/>
        <v/>
      </c>
      <c r="Y253" s="101" t="str">
        <f t="shared" si="44"/>
        <v/>
      </c>
      <c r="Z253" s="102" t="str">
        <f t="shared" si="45"/>
        <v/>
      </c>
      <c r="AA253" s="103" t="str">
        <f t="shared" si="46"/>
        <v/>
      </c>
      <c r="AB253" s="142" t="str">
        <f>IF(A253&lt;&gt;"", SUMIFS(node!$J$2:$J$500, node!$C$2:$C$500,"="&amp;A253)/P253, "")</f>
        <v/>
      </c>
      <c r="AC253" s="134" t="str">
        <f>IF(A253&lt;&gt;"", SUMIFS(node!$K$2:$K$500, node!$C$2:$C$500,"="&amp;A253)/P253, "")</f>
        <v/>
      </c>
      <c r="AD253" s="135" t="str">
        <f>IF(A253&lt;&gt;"", SUMIFS(node!$L$2:$L$500, node!$C$2:$C$500,"="&amp;A253), "")</f>
        <v/>
      </c>
      <c r="AE253" s="145" t="str">
        <f>IF(A253&lt;&gt;"", SUMIFS(node!$M$2:$M$500, node!$C$2:$C$500,"="&amp;A253), "")</f>
        <v/>
      </c>
    </row>
    <row r="254" spans="1:31" ht="15.75" customHeight="1" x14ac:dyDescent="0.25">
      <c r="A254" s="119" t="str">
        <f>IF(ISNONTEXT(node_raw[[#This Row],[Column2]]), "", node_raw[[#This Row],[Column2]])</f>
        <v/>
      </c>
      <c r="B254" s="116" t="str">
        <f>IF(A254&lt;&gt;"", VLOOKUP(A254, node!$C$2:$D$500, 2, FALSE), "")</f>
        <v/>
      </c>
      <c r="C254" s="117" t="str">
        <f>IF(A254&lt;&gt;"", VLOOKUP(A254, node!$C$2:$E$500, 3, FALSE), "")</f>
        <v/>
      </c>
      <c r="D254" s="118" t="str">
        <f>IF(A254&lt;&gt;"",COUNTIFS(node!$C$2:$C$500,"="&amp;A254, node!$C$2:$C$500,"&lt;&gt;"&amp;""),"")</f>
        <v/>
      </c>
      <c r="E254" s="122" t="str">
        <f>IF(A254&lt;&gt;"",SUMIFS(node!$F$2:$F$500, node!$C$2:$C$500,"="&amp;A254, node!$C$2:$C$500,"&lt;&gt;"&amp;"")/(B254*D254),"")</f>
        <v/>
      </c>
      <c r="F254" s="124" t="str">
        <f>IF(A254&lt;&gt;"",SUMIFS(node!$H$2:$H$500, node!$C$2:$C$500,"="&amp;A254, node!$C$2:$C$500,"&lt;&gt;"&amp;"")/(C254*D254),"")</f>
        <v/>
      </c>
      <c r="G254" s="93" t="str">
        <f>IF(A254&lt;&gt;"",SUMIFS(deployment!$F$4:$F$502, deployment!$D$4:$D$502,"="&amp;A254, deployment!$D$4:$D$502,"&lt;&gt;"&amp;""),"")</f>
        <v/>
      </c>
      <c r="H254" s="94" t="str">
        <f>IF(A254&lt;&gt;"",SUMIFS(deployment!$G$4:$G$502, deployment!$D$4:$D$502,"="&amp;A254, deployment!$D$4:$D$502,"&lt;&gt;"&amp;""),"")</f>
        <v/>
      </c>
      <c r="I254" s="95" t="str">
        <f>IF(A254&lt;&gt;"",SUMIFS(deployment!$H$4:$H$502, deployment!$D$4:$D$502,"="&amp;A254, deployment!$D$4:$D$502,"&lt;&gt;"&amp;""),"")</f>
        <v/>
      </c>
      <c r="J254" s="96" t="str">
        <f>IF(A254&lt;&gt;"",SUMIFS(deployment!$I$4:$I$502, deployment!$D$4:$D$502,"="&amp;A254, deployment!$D$4:$D$502,"&lt;&gt;"&amp;""),"")</f>
        <v/>
      </c>
      <c r="K254" s="112" t="str">
        <f>IF(A254&lt;&gt;"",SUMIFS(deployment!$J$4:$J$502, deployment!$D$4:$D$502,"="&amp;A254, deployment!$D$4:$D$502,"&lt;&gt;"&amp;""),"")</f>
        <v/>
      </c>
      <c r="L254" s="112" t="str">
        <f>IF(A254&lt;&gt;"",SUMIFS(deployment!$K$4:$K$502, deployment!$D$4:$D$502,"="&amp;A254, deployment!$D$4:$D$502,"&lt;&gt;"&amp;""),"")</f>
        <v/>
      </c>
      <c r="M254" s="97" t="str">
        <f>IF(A254&lt;&gt;"",SUMIFS(deployment!$L$4:$L$502, deployment!$D$4:$D$502,"="&amp;A254, deployment!$D$4:$D$502,"&lt;&gt;"&amp;""),"")</f>
        <v/>
      </c>
      <c r="N254" s="97" t="str">
        <f>IF(A254&lt;&gt;"",SUMIFS(deployment!$M$4:$M$502, deployment!$D$4:$D$502,"="&amp;A254, deployment!$D$4:$D$502,"&lt;&gt;"&amp;""),"")</f>
        <v/>
      </c>
      <c r="O254" s="127" t="str">
        <f t="shared" si="47"/>
        <v/>
      </c>
      <c r="P254" s="104"/>
      <c r="Q254" s="99" t="str">
        <f t="shared" si="36"/>
        <v/>
      </c>
      <c r="R254" s="100" t="str">
        <f t="shared" si="37"/>
        <v/>
      </c>
      <c r="S254" s="100" t="str">
        <f t="shared" si="38"/>
        <v/>
      </c>
      <c r="T254" s="101" t="str">
        <f t="shared" si="39"/>
        <v/>
      </c>
      <c r="U254" s="101" t="str">
        <f t="shared" si="40"/>
        <v/>
      </c>
      <c r="V254" s="128" t="str">
        <f t="shared" si="41"/>
        <v/>
      </c>
      <c r="W254" s="128" t="str">
        <f t="shared" si="42"/>
        <v/>
      </c>
      <c r="X254" s="101" t="str">
        <f t="shared" si="43"/>
        <v/>
      </c>
      <c r="Y254" s="101" t="str">
        <f t="shared" si="44"/>
        <v/>
      </c>
      <c r="Z254" s="102" t="str">
        <f t="shared" si="45"/>
        <v/>
      </c>
      <c r="AA254" s="103" t="str">
        <f t="shared" si="46"/>
        <v/>
      </c>
      <c r="AB254" s="142" t="str">
        <f>IF(A254&lt;&gt;"", SUMIFS(node!$J$2:$J$500, node!$C$2:$C$500,"="&amp;A254)/P254, "")</f>
        <v/>
      </c>
      <c r="AC254" s="134" t="str">
        <f>IF(A254&lt;&gt;"", SUMIFS(node!$K$2:$K$500, node!$C$2:$C$500,"="&amp;A254)/P254, "")</f>
        <v/>
      </c>
      <c r="AD254" s="135" t="str">
        <f>IF(A254&lt;&gt;"", SUMIFS(node!$L$2:$L$500, node!$C$2:$C$500,"="&amp;A254), "")</f>
        <v/>
      </c>
      <c r="AE254" s="145" t="str">
        <f>IF(A254&lt;&gt;"", SUMIFS(node!$M$2:$M$500, node!$C$2:$C$500,"="&amp;A254), "")</f>
        <v/>
      </c>
    </row>
    <row r="255" spans="1:31" ht="15.75" customHeight="1" x14ac:dyDescent="0.25">
      <c r="A255" s="119" t="str">
        <f>IF(ISNONTEXT(node_raw[[#This Row],[Column2]]), "", node_raw[[#This Row],[Column2]])</f>
        <v/>
      </c>
      <c r="B255" s="116" t="str">
        <f>IF(A255&lt;&gt;"", VLOOKUP(A255, node!$C$2:$D$500, 2, FALSE), "")</f>
        <v/>
      </c>
      <c r="C255" s="117" t="str">
        <f>IF(A255&lt;&gt;"", VLOOKUP(A255, node!$C$2:$E$500, 3, FALSE), "")</f>
        <v/>
      </c>
      <c r="D255" s="118" t="str">
        <f>IF(A255&lt;&gt;"",COUNTIFS(node!$C$2:$C$500,"="&amp;A255, node!$C$2:$C$500,"&lt;&gt;"&amp;""),"")</f>
        <v/>
      </c>
      <c r="E255" s="122" t="str">
        <f>IF(A255&lt;&gt;"",SUMIFS(node!$F$2:$F$500, node!$C$2:$C$500,"="&amp;A255, node!$C$2:$C$500,"&lt;&gt;"&amp;"")/(B255*D255),"")</f>
        <v/>
      </c>
      <c r="F255" s="124" t="str">
        <f>IF(A255&lt;&gt;"",SUMIFS(node!$H$2:$H$500, node!$C$2:$C$500,"="&amp;A255, node!$C$2:$C$500,"&lt;&gt;"&amp;"")/(C255*D255),"")</f>
        <v/>
      </c>
      <c r="G255" s="93" t="str">
        <f>IF(A255&lt;&gt;"",SUMIFS(deployment!$F$4:$F$502, deployment!$D$4:$D$502,"="&amp;A255, deployment!$D$4:$D$502,"&lt;&gt;"&amp;""),"")</f>
        <v/>
      </c>
      <c r="H255" s="94" t="str">
        <f>IF(A255&lt;&gt;"",SUMIFS(deployment!$G$4:$G$502, deployment!$D$4:$D$502,"="&amp;A255, deployment!$D$4:$D$502,"&lt;&gt;"&amp;""),"")</f>
        <v/>
      </c>
      <c r="I255" s="95" t="str">
        <f>IF(A255&lt;&gt;"",SUMIFS(deployment!$H$4:$H$502, deployment!$D$4:$D$502,"="&amp;A255, deployment!$D$4:$D$502,"&lt;&gt;"&amp;""),"")</f>
        <v/>
      </c>
      <c r="J255" s="96" t="str">
        <f>IF(A255&lt;&gt;"",SUMIFS(deployment!$I$4:$I$502, deployment!$D$4:$D$502,"="&amp;A255, deployment!$D$4:$D$502,"&lt;&gt;"&amp;""),"")</f>
        <v/>
      </c>
      <c r="K255" s="112" t="str">
        <f>IF(A255&lt;&gt;"",SUMIFS(deployment!$J$4:$J$502, deployment!$D$4:$D$502,"="&amp;A255, deployment!$D$4:$D$502,"&lt;&gt;"&amp;""),"")</f>
        <v/>
      </c>
      <c r="L255" s="112" t="str">
        <f>IF(A255&lt;&gt;"",SUMIFS(deployment!$K$4:$K$502, deployment!$D$4:$D$502,"="&amp;A255, deployment!$D$4:$D$502,"&lt;&gt;"&amp;""),"")</f>
        <v/>
      </c>
      <c r="M255" s="97" t="str">
        <f>IF(A255&lt;&gt;"",SUMIFS(deployment!$L$4:$L$502, deployment!$D$4:$D$502,"="&amp;A255, deployment!$D$4:$D$502,"&lt;&gt;"&amp;""),"")</f>
        <v/>
      </c>
      <c r="N255" s="97" t="str">
        <f>IF(A255&lt;&gt;"",SUMIFS(deployment!$M$4:$M$502, deployment!$D$4:$D$502,"="&amp;A255, deployment!$D$4:$D$502,"&lt;&gt;"&amp;""),"")</f>
        <v/>
      </c>
      <c r="O255" s="127" t="str">
        <f t="shared" si="47"/>
        <v/>
      </c>
      <c r="P255" s="104"/>
      <c r="Q255" s="99" t="str">
        <f t="shared" si="36"/>
        <v/>
      </c>
      <c r="R255" s="100" t="str">
        <f t="shared" si="37"/>
        <v/>
      </c>
      <c r="S255" s="100" t="str">
        <f t="shared" si="38"/>
        <v/>
      </c>
      <c r="T255" s="101" t="str">
        <f t="shared" si="39"/>
        <v/>
      </c>
      <c r="U255" s="101" t="str">
        <f t="shared" si="40"/>
        <v/>
      </c>
      <c r="V255" s="128" t="str">
        <f t="shared" si="41"/>
        <v/>
      </c>
      <c r="W255" s="128" t="str">
        <f t="shared" si="42"/>
        <v/>
      </c>
      <c r="X255" s="101" t="str">
        <f t="shared" si="43"/>
        <v/>
      </c>
      <c r="Y255" s="101" t="str">
        <f t="shared" si="44"/>
        <v/>
      </c>
      <c r="Z255" s="102" t="str">
        <f t="shared" si="45"/>
        <v/>
      </c>
      <c r="AA255" s="103" t="str">
        <f t="shared" si="46"/>
        <v/>
      </c>
      <c r="AB255" s="142" t="str">
        <f>IF(A255&lt;&gt;"", SUMIFS(node!$J$2:$J$500, node!$C$2:$C$500,"="&amp;A255)/P255, "")</f>
        <v/>
      </c>
      <c r="AC255" s="134" t="str">
        <f>IF(A255&lt;&gt;"", SUMIFS(node!$K$2:$K$500, node!$C$2:$C$500,"="&amp;A255)/P255, "")</f>
        <v/>
      </c>
      <c r="AD255" s="135" t="str">
        <f>IF(A255&lt;&gt;"", SUMIFS(node!$L$2:$L$500, node!$C$2:$C$500,"="&amp;A255), "")</f>
        <v/>
      </c>
      <c r="AE255" s="145" t="str">
        <f>IF(A255&lt;&gt;"", SUMIFS(node!$M$2:$M$500, node!$C$2:$C$500,"="&amp;A255), "")</f>
        <v/>
      </c>
    </row>
    <row r="256" spans="1:31" ht="15.75" customHeight="1" x14ac:dyDescent="0.25">
      <c r="A256" s="119" t="str">
        <f>IF(ISNONTEXT(node_raw[[#This Row],[Column2]]), "", node_raw[[#This Row],[Column2]])</f>
        <v/>
      </c>
      <c r="B256" s="116" t="str">
        <f>IF(A256&lt;&gt;"", VLOOKUP(A256, node!$C$2:$D$500, 2, FALSE), "")</f>
        <v/>
      </c>
      <c r="C256" s="117" t="str">
        <f>IF(A256&lt;&gt;"", VLOOKUP(A256, node!$C$2:$E$500, 3, FALSE), "")</f>
        <v/>
      </c>
      <c r="D256" s="118" t="str">
        <f>IF(A256&lt;&gt;"",COUNTIFS(node!$C$2:$C$500,"="&amp;A256, node!$C$2:$C$500,"&lt;&gt;"&amp;""),"")</f>
        <v/>
      </c>
      <c r="E256" s="122" t="str">
        <f>IF(A256&lt;&gt;"",SUMIFS(node!$F$2:$F$500, node!$C$2:$C$500,"="&amp;A256, node!$C$2:$C$500,"&lt;&gt;"&amp;"")/(B256*D256),"")</f>
        <v/>
      </c>
      <c r="F256" s="124" t="str">
        <f>IF(A256&lt;&gt;"",SUMIFS(node!$H$2:$H$500, node!$C$2:$C$500,"="&amp;A256, node!$C$2:$C$500,"&lt;&gt;"&amp;"")/(C256*D256),"")</f>
        <v/>
      </c>
      <c r="G256" s="93" t="str">
        <f>IF(A256&lt;&gt;"",SUMIFS(deployment!$F$4:$F$502, deployment!$D$4:$D$502,"="&amp;A256, deployment!$D$4:$D$502,"&lt;&gt;"&amp;""),"")</f>
        <v/>
      </c>
      <c r="H256" s="94" t="str">
        <f>IF(A256&lt;&gt;"",SUMIFS(deployment!$G$4:$G$502, deployment!$D$4:$D$502,"="&amp;A256, deployment!$D$4:$D$502,"&lt;&gt;"&amp;""),"")</f>
        <v/>
      </c>
      <c r="I256" s="95" t="str">
        <f>IF(A256&lt;&gt;"",SUMIFS(deployment!$H$4:$H$502, deployment!$D$4:$D$502,"="&amp;A256, deployment!$D$4:$D$502,"&lt;&gt;"&amp;""),"")</f>
        <v/>
      </c>
      <c r="J256" s="96" t="str">
        <f>IF(A256&lt;&gt;"",SUMIFS(deployment!$I$4:$I$502, deployment!$D$4:$D$502,"="&amp;A256, deployment!$D$4:$D$502,"&lt;&gt;"&amp;""),"")</f>
        <v/>
      </c>
      <c r="K256" s="112" t="str">
        <f>IF(A256&lt;&gt;"",SUMIFS(deployment!$J$4:$J$502, deployment!$D$4:$D$502,"="&amp;A256, deployment!$D$4:$D$502,"&lt;&gt;"&amp;""),"")</f>
        <v/>
      </c>
      <c r="L256" s="112" t="str">
        <f>IF(A256&lt;&gt;"",SUMIFS(deployment!$K$4:$K$502, deployment!$D$4:$D$502,"="&amp;A256, deployment!$D$4:$D$502,"&lt;&gt;"&amp;""),"")</f>
        <v/>
      </c>
      <c r="M256" s="97" t="str">
        <f>IF(A256&lt;&gt;"",SUMIFS(deployment!$L$4:$L$502, deployment!$D$4:$D$502,"="&amp;A256, deployment!$D$4:$D$502,"&lt;&gt;"&amp;""),"")</f>
        <v/>
      </c>
      <c r="N256" s="97" t="str">
        <f>IF(A256&lt;&gt;"",SUMIFS(deployment!$M$4:$M$502, deployment!$D$4:$D$502,"="&amp;A256, deployment!$D$4:$D$502,"&lt;&gt;"&amp;""),"")</f>
        <v/>
      </c>
      <c r="O256" s="127" t="str">
        <f t="shared" si="47"/>
        <v/>
      </c>
      <c r="P256" s="104"/>
      <c r="Q256" s="99" t="str">
        <f t="shared" si="36"/>
        <v/>
      </c>
      <c r="R256" s="100" t="str">
        <f t="shared" si="37"/>
        <v/>
      </c>
      <c r="S256" s="100" t="str">
        <f t="shared" si="38"/>
        <v/>
      </c>
      <c r="T256" s="101" t="str">
        <f t="shared" si="39"/>
        <v/>
      </c>
      <c r="U256" s="101" t="str">
        <f t="shared" si="40"/>
        <v/>
      </c>
      <c r="V256" s="128" t="str">
        <f t="shared" si="41"/>
        <v/>
      </c>
      <c r="W256" s="128" t="str">
        <f t="shared" si="42"/>
        <v/>
      </c>
      <c r="X256" s="101" t="str">
        <f t="shared" si="43"/>
        <v/>
      </c>
      <c r="Y256" s="101" t="str">
        <f t="shared" si="44"/>
        <v/>
      </c>
      <c r="Z256" s="102" t="str">
        <f t="shared" si="45"/>
        <v/>
      </c>
      <c r="AA256" s="103" t="str">
        <f t="shared" si="46"/>
        <v/>
      </c>
      <c r="AB256" s="142" t="str">
        <f>IF(A256&lt;&gt;"", SUMIFS(node!$J$2:$J$500, node!$C$2:$C$500,"="&amp;A256)/P256, "")</f>
        <v/>
      </c>
      <c r="AC256" s="134" t="str">
        <f>IF(A256&lt;&gt;"", SUMIFS(node!$K$2:$K$500, node!$C$2:$C$500,"="&amp;A256)/P256, "")</f>
        <v/>
      </c>
      <c r="AD256" s="135" t="str">
        <f>IF(A256&lt;&gt;"", SUMIFS(node!$L$2:$L$500, node!$C$2:$C$500,"="&amp;A256), "")</f>
        <v/>
      </c>
      <c r="AE256" s="145" t="str">
        <f>IF(A256&lt;&gt;"", SUMIFS(node!$M$2:$M$500, node!$C$2:$C$500,"="&amp;A256), "")</f>
        <v/>
      </c>
    </row>
    <row r="257" spans="1:31" ht="15.75" customHeight="1" x14ac:dyDescent="0.25">
      <c r="A257" s="119" t="str">
        <f>IF(ISNONTEXT(node_raw[[#This Row],[Column2]]), "", node_raw[[#This Row],[Column2]])</f>
        <v/>
      </c>
      <c r="B257" s="116" t="str">
        <f>IF(A257&lt;&gt;"", VLOOKUP(A257, node!$C$2:$D$500, 2, FALSE), "")</f>
        <v/>
      </c>
      <c r="C257" s="117" t="str">
        <f>IF(A257&lt;&gt;"", VLOOKUP(A257, node!$C$2:$E$500, 3, FALSE), "")</f>
        <v/>
      </c>
      <c r="D257" s="118" t="str">
        <f>IF(A257&lt;&gt;"",COUNTIFS(node!$C$2:$C$500,"="&amp;A257, node!$C$2:$C$500,"&lt;&gt;"&amp;""),"")</f>
        <v/>
      </c>
      <c r="E257" s="122" t="str">
        <f>IF(A257&lt;&gt;"",SUMIFS(node!$F$2:$F$500, node!$C$2:$C$500,"="&amp;A257, node!$C$2:$C$500,"&lt;&gt;"&amp;"")/(B257*D257),"")</f>
        <v/>
      </c>
      <c r="F257" s="124" t="str">
        <f>IF(A257&lt;&gt;"",SUMIFS(node!$H$2:$H$500, node!$C$2:$C$500,"="&amp;A257, node!$C$2:$C$500,"&lt;&gt;"&amp;"")/(C257*D257),"")</f>
        <v/>
      </c>
      <c r="G257" s="93" t="str">
        <f>IF(A257&lt;&gt;"",SUMIFS(deployment!$F$4:$F$502, deployment!$D$4:$D$502,"="&amp;A257, deployment!$D$4:$D$502,"&lt;&gt;"&amp;""),"")</f>
        <v/>
      </c>
      <c r="H257" s="94" t="str">
        <f>IF(A257&lt;&gt;"",SUMIFS(deployment!$G$4:$G$502, deployment!$D$4:$D$502,"="&amp;A257, deployment!$D$4:$D$502,"&lt;&gt;"&amp;""),"")</f>
        <v/>
      </c>
      <c r="I257" s="95" t="str">
        <f>IF(A257&lt;&gt;"",SUMIFS(deployment!$H$4:$H$502, deployment!$D$4:$D$502,"="&amp;A257, deployment!$D$4:$D$502,"&lt;&gt;"&amp;""),"")</f>
        <v/>
      </c>
      <c r="J257" s="96" t="str">
        <f>IF(A257&lt;&gt;"",SUMIFS(deployment!$I$4:$I$502, deployment!$D$4:$D$502,"="&amp;A257, deployment!$D$4:$D$502,"&lt;&gt;"&amp;""),"")</f>
        <v/>
      </c>
      <c r="K257" s="112" t="str">
        <f>IF(A257&lt;&gt;"",SUMIFS(deployment!$J$4:$J$502, deployment!$D$4:$D$502,"="&amp;A257, deployment!$D$4:$D$502,"&lt;&gt;"&amp;""),"")</f>
        <v/>
      </c>
      <c r="L257" s="112" t="str">
        <f>IF(A257&lt;&gt;"",SUMIFS(deployment!$K$4:$K$502, deployment!$D$4:$D$502,"="&amp;A257, deployment!$D$4:$D$502,"&lt;&gt;"&amp;""),"")</f>
        <v/>
      </c>
      <c r="M257" s="97" t="str">
        <f>IF(A257&lt;&gt;"",SUMIFS(deployment!$L$4:$L$502, deployment!$D$4:$D$502,"="&amp;A257, deployment!$D$4:$D$502,"&lt;&gt;"&amp;""),"")</f>
        <v/>
      </c>
      <c r="N257" s="97" t="str">
        <f>IF(A257&lt;&gt;"",SUMIFS(deployment!$M$4:$M$502, deployment!$D$4:$D$502,"="&amp;A257, deployment!$D$4:$D$502,"&lt;&gt;"&amp;""),"")</f>
        <v/>
      </c>
      <c r="O257" s="127" t="str">
        <f t="shared" si="47"/>
        <v/>
      </c>
      <c r="P257" s="104"/>
      <c r="Q257" s="99" t="str">
        <f t="shared" si="36"/>
        <v/>
      </c>
      <c r="R257" s="100" t="str">
        <f t="shared" si="37"/>
        <v/>
      </c>
      <c r="S257" s="100" t="str">
        <f t="shared" si="38"/>
        <v/>
      </c>
      <c r="T257" s="101" t="str">
        <f t="shared" si="39"/>
        <v/>
      </c>
      <c r="U257" s="101" t="str">
        <f t="shared" si="40"/>
        <v/>
      </c>
      <c r="V257" s="128" t="str">
        <f t="shared" si="41"/>
        <v/>
      </c>
      <c r="W257" s="128" t="str">
        <f t="shared" si="42"/>
        <v/>
      </c>
      <c r="X257" s="101" t="str">
        <f t="shared" si="43"/>
        <v/>
      </c>
      <c r="Y257" s="101" t="str">
        <f t="shared" si="44"/>
        <v/>
      </c>
      <c r="Z257" s="102" t="str">
        <f t="shared" si="45"/>
        <v/>
      </c>
      <c r="AA257" s="103" t="str">
        <f t="shared" si="46"/>
        <v/>
      </c>
      <c r="AB257" s="142" t="str">
        <f>IF(A257&lt;&gt;"", SUMIFS(node!$J$2:$J$500, node!$C$2:$C$500,"="&amp;A257)/P257, "")</f>
        <v/>
      </c>
      <c r="AC257" s="134" t="str">
        <f>IF(A257&lt;&gt;"", SUMIFS(node!$K$2:$K$500, node!$C$2:$C$500,"="&amp;A257)/P257, "")</f>
        <v/>
      </c>
      <c r="AD257" s="135" t="str">
        <f>IF(A257&lt;&gt;"", SUMIFS(node!$L$2:$L$500, node!$C$2:$C$500,"="&amp;A257), "")</f>
        <v/>
      </c>
      <c r="AE257" s="145" t="str">
        <f>IF(A257&lt;&gt;"", SUMIFS(node!$M$2:$M$500, node!$C$2:$C$500,"="&amp;A257), "")</f>
        <v/>
      </c>
    </row>
    <row r="258" spans="1:31" ht="15.75" customHeight="1" x14ac:dyDescent="0.25">
      <c r="A258" s="119" t="str">
        <f>IF(ISNONTEXT(node_raw[[#This Row],[Column2]]), "", node_raw[[#This Row],[Column2]])</f>
        <v/>
      </c>
      <c r="B258" s="116" t="str">
        <f>IF(A258&lt;&gt;"", VLOOKUP(A258, node!$C$2:$D$500, 2, FALSE), "")</f>
        <v/>
      </c>
      <c r="C258" s="117" t="str">
        <f>IF(A258&lt;&gt;"", VLOOKUP(A258, node!$C$2:$E$500, 3, FALSE), "")</f>
        <v/>
      </c>
      <c r="D258" s="118" t="str">
        <f>IF(A258&lt;&gt;"",COUNTIFS(node!$C$2:$C$500,"="&amp;A258, node!$C$2:$C$500,"&lt;&gt;"&amp;""),"")</f>
        <v/>
      </c>
      <c r="E258" s="122" t="str">
        <f>IF(A258&lt;&gt;"",SUMIFS(node!$F$2:$F$500, node!$C$2:$C$500,"="&amp;A258, node!$C$2:$C$500,"&lt;&gt;"&amp;"")/(B258*D258),"")</f>
        <v/>
      </c>
      <c r="F258" s="124" t="str">
        <f>IF(A258&lt;&gt;"",SUMIFS(node!$H$2:$H$500, node!$C$2:$C$500,"="&amp;A258, node!$C$2:$C$500,"&lt;&gt;"&amp;"")/(C258*D258),"")</f>
        <v/>
      </c>
      <c r="G258" s="93" t="str">
        <f>IF(A258&lt;&gt;"",SUMIFS(deployment!$F$4:$F$502, deployment!$D$4:$D$502,"="&amp;A258, deployment!$D$4:$D$502,"&lt;&gt;"&amp;""),"")</f>
        <v/>
      </c>
      <c r="H258" s="94" t="str">
        <f>IF(A258&lt;&gt;"",SUMIFS(deployment!$G$4:$G$502, deployment!$D$4:$D$502,"="&amp;A258, deployment!$D$4:$D$502,"&lt;&gt;"&amp;""),"")</f>
        <v/>
      </c>
      <c r="I258" s="95" t="str">
        <f>IF(A258&lt;&gt;"",SUMIFS(deployment!$H$4:$H$502, deployment!$D$4:$D$502,"="&amp;A258, deployment!$D$4:$D$502,"&lt;&gt;"&amp;""),"")</f>
        <v/>
      </c>
      <c r="J258" s="96" t="str">
        <f>IF(A258&lt;&gt;"",SUMIFS(deployment!$I$4:$I$502, deployment!$D$4:$D$502,"="&amp;A258, deployment!$D$4:$D$502,"&lt;&gt;"&amp;""),"")</f>
        <v/>
      </c>
      <c r="K258" s="112" t="str">
        <f>IF(A258&lt;&gt;"",SUMIFS(deployment!$J$4:$J$502, deployment!$D$4:$D$502,"="&amp;A258, deployment!$D$4:$D$502,"&lt;&gt;"&amp;""),"")</f>
        <v/>
      </c>
      <c r="L258" s="112" t="str">
        <f>IF(A258&lt;&gt;"",SUMIFS(deployment!$K$4:$K$502, deployment!$D$4:$D$502,"="&amp;A258, deployment!$D$4:$D$502,"&lt;&gt;"&amp;""),"")</f>
        <v/>
      </c>
      <c r="M258" s="97" t="str">
        <f>IF(A258&lt;&gt;"",SUMIFS(deployment!$L$4:$L$502, deployment!$D$4:$D$502,"="&amp;A258, deployment!$D$4:$D$502,"&lt;&gt;"&amp;""),"")</f>
        <v/>
      </c>
      <c r="N258" s="97" t="str">
        <f>IF(A258&lt;&gt;"",SUMIFS(deployment!$M$4:$M$502, deployment!$D$4:$D$502,"="&amp;A258, deployment!$D$4:$D$502,"&lt;&gt;"&amp;""),"")</f>
        <v/>
      </c>
      <c r="O258" s="127" t="str">
        <f t="shared" si="47"/>
        <v/>
      </c>
      <c r="P258" s="104"/>
      <c r="Q258" s="99" t="str">
        <f t="shared" si="36"/>
        <v/>
      </c>
      <c r="R258" s="100" t="str">
        <f t="shared" si="37"/>
        <v/>
      </c>
      <c r="S258" s="100" t="str">
        <f t="shared" si="38"/>
        <v/>
      </c>
      <c r="T258" s="101" t="str">
        <f t="shared" si="39"/>
        <v/>
      </c>
      <c r="U258" s="101" t="str">
        <f t="shared" si="40"/>
        <v/>
      </c>
      <c r="V258" s="128" t="str">
        <f t="shared" si="41"/>
        <v/>
      </c>
      <c r="W258" s="128" t="str">
        <f t="shared" si="42"/>
        <v/>
      </c>
      <c r="X258" s="101" t="str">
        <f t="shared" si="43"/>
        <v/>
      </c>
      <c r="Y258" s="101" t="str">
        <f t="shared" si="44"/>
        <v/>
      </c>
      <c r="Z258" s="102" t="str">
        <f t="shared" si="45"/>
        <v/>
      </c>
      <c r="AA258" s="103" t="str">
        <f t="shared" si="46"/>
        <v/>
      </c>
      <c r="AB258" s="142" t="str">
        <f>IF(A258&lt;&gt;"", SUMIFS(node!$J$2:$J$500, node!$C$2:$C$500,"="&amp;A258)/P258, "")</f>
        <v/>
      </c>
      <c r="AC258" s="134" t="str">
        <f>IF(A258&lt;&gt;"", SUMIFS(node!$K$2:$K$500, node!$C$2:$C$500,"="&amp;A258)/P258, "")</f>
        <v/>
      </c>
      <c r="AD258" s="135" t="str">
        <f>IF(A258&lt;&gt;"", SUMIFS(node!$L$2:$L$500, node!$C$2:$C$500,"="&amp;A258), "")</f>
        <v/>
      </c>
      <c r="AE258" s="145" t="str">
        <f>IF(A258&lt;&gt;"", SUMIFS(node!$M$2:$M$500, node!$C$2:$C$500,"="&amp;A258), "")</f>
        <v/>
      </c>
    </row>
    <row r="259" spans="1:31" ht="15.75" customHeight="1" x14ac:dyDescent="0.25">
      <c r="A259" s="119" t="str">
        <f>IF(ISNONTEXT(node_raw[[#This Row],[Column2]]), "", node_raw[[#This Row],[Column2]])</f>
        <v/>
      </c>
      <c r="B259" s="116" t="str">
        <f>IF(A259&lt;&gt;"", VLOOKUP(A259, node!$C$2:$D$500, 2, FALSE), "")</f>
        <v/>
      </c>
      <c r="C259" s="117" t="str">
        <f>IF(A259&lt;&gt;"", VLOOKUP(A259, node!$C$2:$E$500, 3, FALSE), "")</f>
        <v/>
      </c>
      <c r="D259" s="118" t="str">
        <f>IF(A259&lt;&gt;"",COUNTIFS(node!$C$2:$C$500,"="&amp;A259, node!$C$2:$C$500,"&lt;&gt;"&amp;""),"")</f>
        <v/>
      </c>
      <c r="E259" s="122" t="str">
        <f>IF(A259&lt;&gt;"",SUMIFS(node!$F$2:$F$500, node!$C$2:$C$500,"="&amp;A259, node!$C$2:$C$500,"&lt;&gt;"&amp;"")/(B259*D259),"")</f>
        <v/>
      </c>
      <c r="F259" s="124" t="str">
        <f>IF(A259&lt;&gt;"",SUMIFS(node!$H$2:$H$500, node!$C$2:$C$500,"="&amp;A259, node!$C$2:$C$500,"&lt;&gt;"&amp;"")/(C259*D259),"")</f>
        <v/>
      </c>
      <c r="G259" s="93" t="str">
        <f>IF(A259&lt;&gt;"",SUMIFS(deployment!$F$4:$F$502, deployment!$D$4:$D$502,"="&amp;A259, deployment!$D$4:$D$502,"&lt;&gt;"&amp;""),"")</f>
        <v/>
      </c>
      <c r="H259" s="94" t="str">
        <f>IF(A259&lt;&gt;"",SUMIFS(deployment!$G$4:$G$502, deployment!$D$4:$D$502,"="&amp;A259, deployment!$D$4:$D$502,"&lt;&gt;"&amp;""),"")</f>
        <v/>
      </c>
      <c r="I259" s="95" t="str">
        <f>IF(A259&lt;&gt;"",SUMIFS(deployment!$H$4:$H$502, deployment!$D$4:$D$502,"="&amp;A259, deployment!$D$4:$D$502,"&lt;&gt;"&amp;""),"")</f>
        <v/>
      </c>
      <c r="J259" s="96" t="str">
        <f>IF(A259&lt;&gt;"",SUMIFS(deployment!$I$4:$I$502, deployment!$D$4:$D$502,"="&amp;A259, deployment!$D$4:$D$502,"&lt;&gt;"&amp;""),"")</f>
        <v/>
      </c>
      <c r="K259" s="112" t="str">
        <f>IF(A259&lt;&gt;"",SUMIFS(deployment!$J$4:$J$502, deployment!$D$4:$D$502,"="&amp;A259, deployment!$D$4:$D$502,"&lt;&gt;"&amp;""),"")</f>
        <v/>
      </c>
      <c r="L259" s="112" t="str">
        <f>IF(A259&lt;&gt;"",SUMIFS(deployment!$K$4:$K$502, deployment!$D$4:$D$502,"="&amp;A259, deployment!$D$4:$D$502,"&lt;&gt;"&amp;""),"")</f>
        <v/>
      </c>
      <c r="M259" s="97" t="str">
        <f>IF(A259&lt;&gt;"",SUMIFS(deployment!$L$4:$L$502, deployment!$D$4:$D$502,"="&amp;A259, deployment!$D$4:$D$502,"&lt;&gt;"&amp;""),"")</f>
        <v/>
      </c>
      <c r="N259" s="97" t="str">
        <f>IF(A259&lt;&gt;"",SUMIFS(deployment!$M$4:$M$502, deployment!$D$4:$D$502,"="&amp;A259, deployment!$D$4:$D$502,"&lt;&gt;"&amp;""),"")</f>
        <v/>
      </c>
      <c r="O259" s="127" t="str">
        <f t="shared" si="47"/>
        <v/>
      </c>
      <c r="P259" s="104"/>
      <c r="Q259" s="99" t="str">
        <f t="shared" si="36"/>
        <v/>
      </c>
      <c r="R259" s="100" t="str">
        <f t="shared" si="37"/>
        <v/>
      </c>
      <c r="S259" s="100" t="str">
        <f t="shared" si="38"/>
        <v/>
      </c>
      <c r="T259" s="101" t="str">
        <f t="shared" si="39"/>
        <v/>
      </c>
      <c r="U259" s="101" t="str">
        <f t="shared" si="40"/>
        <v/>
      </c>
      <c r="V259" s="128" t="str">
        <f t="shared" si="41"/>
        <v/>
      </c>
      <c r="W259" s="128" t="str">
        <f t="shared" si="42"/>
        <v/>
      </c>
      <c r="X259" s="101" t="str">
        <f t="shared" si="43"/>
        <v/>
      </c>
      <c r="Y259" s="101" t="str">
        <f t="shared" si="44"/>
        <v/>
      </c>
      <c r="Z259" s="102" t="str">
        <f t="shared" si="45"/>
        <v/>
      </c>
      <c r="AA259" s="103" t="str">
        <f t="shared" si="46"/>
        <v/>
      </c>
      <c r="AB259" s="142" t="str">
        <f>IF(A259&lt;&gt;"", SUMIFS(node!$J$2:$J$500, node!$C$2:$C$500,"="&amp;A259)/P259, "")</f>
        <v/>
      </c>
      <c r="AC259" s="134" t="str">
        <f>IF(A259&lt;&gt;"", SUMIFS(node!$K$2:$K$500, node!$C$2:$C$500,"="&amp;A259)/P259, "")</f>
        <v/>
      </c>
      <c r="AD259" s="135" t="str">
        <f>IF(A259&lt;&gt;"", SUMIFS(node!$L$2:$L$500, node!$C$2:$C$500,"="&amp;A259), "")</f>
        <v/>
      </c>
      <c r="AE259" s="145" t="str">
        <f>IF(A259&lt;&gt;"", SUMIFS(node!$M$2:$M$500, node!$C$2:$C$500,"="&amp;A259), "")</f>
        <v/>
      </c>
    </row>
    <row r="260" spans="1:31" ht="15.75" customHeight="1" x14ac:dyDescent="0.25">
      <c r="A260" s="119" t="str">
        <f>IF(ISNONTEXT(node_raw[[#This Row],[Column2]]), "", node_raw[[#This Row],[Column2]])</f>
        <v/>
      </c>
      <c r="B260" s="116" t="str">
        <f>IF(A260&lt;&gt;"", VLOOKUP(A260, node!$C$2:$D$500, 2, FALSE), "")</f>
        <v/>
      </c>
      <c r="C260" s="117" t="str">
        <f>IF(A260&lt;&gt;"", VLOOKUP(A260, node!$C$2:$E$500, 3, FALSE), "")</f>
        <v/>
      </c>
      <c r="D260" s="118" t="str">
        <f>IF(A260&lt;&gt;"",COUNTIFS(node!$C$2:$C$500,"="&amp;A260, node!$C$2:$C$500,"&lt;&gt;"&amp;""),"")</f>
        <v/>
      </c>
      <c r="E260" s="122" t="str">
        <f>IF(A260&lt;&gt;"",SUMIFS(node!$F$2:$F$500, node!$C$2:$C$500,"="&amp;A260, node!$C$2:$C$500,"&lt;&gt;"&amp;"")/(B260*D260),"")</f>
        <v/>
      </c>
      <c r="F260" s="124" t="str">
        <f>IF(A260&lt;&gt;"",SUMIFS(node!$H$2:$H$500, node!$C$2:$C$500,"="&amp;A260, node!$C$2:$C$500,"&lt;&gt;"&amp;"")/(C260*D260),"")</f>
        <v/>
      </c>
      <c r="G260" s="93" t="str">
        <f>IF(A260&lt;&gt;"",SUMIFS(deployment!$F$4:$F$502, deployment!$D$4:$D$502,"="&amp;A260, deployment!$D$4:$D$502,"&lt;&gt;"&amp;""),"")</f>
        <v/>
      </c>
      <c r="H260" s="94" t="str">
        <f>IF(A260&lt;&gt;"",SUMIFS(deployment!$G$4:$G$502, deployment!$D$4:$D$502,"="&amp;A260, deployment!$D$4:$D$502,"&lt;&gt;"&amp;""),"")</f>
        <v/>
      </c>
      <c r="I260" s="95" t="str">
        <f>IF(A260&lt;&gt;"",SUMIFS(deployment!$H$4:$H$502, deployment!$D$4:$D$502,"="&amp;A260, deployment!$D$4:$D$502,"&lt;&gt;"&amp;""),"")</f>
        <v/>
      </c>
      <c r="J260" s="96" t="str">
        <f>IF(A260&lt;&gt;"",SUMIFS(deployment!$I$4:$I$502, deployment!$D$4:$D$502,"="&amp;A260, deployment!$D$4:$D$502,"&lt;&gt;"&amp;""),"")</f>
        <v/>
      </c>
      <c r="K260" s="112" t="str">
        <f>IF(A260&lt;&gt;"",SUMIFS(deployment!$J$4:$J$502, deployment!$D$4:$D$502,"="&amp;A260, deployment!$D$4:$D$502,"&lt;&gt;"&amp;""),"")</f>
        <v/>
      </c>
      <c r="L260" s="112" t="str">
        <f>IF(A260&lt;&gt;"",SUMIFS(deployment!$K$4:$K$502, deployment!$D$4:$D$502,"="&amp;A260, deployment!$D$4:$D$502,"&lt;&gt;"&amp;""),"")</f>
        <v/>
      </c>
      <c r="M260" s="97" t="str">
        <f>IF(A260&lt;&gt;"",SUMIFS(deployment!$L$4:$L$502, deployment!$D$4:$D$502,"="&amp;A260, deployment!$D$4:$D$502,"&lt;&gt;"&amp;""),"")</f>
        <v/>
      </c>
      <c r="N260" s="97" t="str">
        <f>IF(A260&lt;&gt;"",SUMIFS(deployment!$M$4:$M$502, deployment!$D$4:$D$502,"="&amp;A260, deployment!$D$4:$D$502,"&lt;&gt;"&amp;""),"")</f>
        <v/>
      </c>
      <c r="O260" s="127" t="str">
        <f t="shared" si="47"/>
        <v/>
      </c>
      <c r="P260" s="104"/>
      <c r="Q260" s="99" t="str">
        <f t="shared" ref="Q260:Q323" si="48">IF(A260&lt;&gt;"",(D260-P260)/D260,"")</f>
        <v/>
      </c>
      <c r="R260" s="100" t="str">
        <f t="shared" ref="R260:R323" si="49">IF(A260&lt;&gt;"",G260/(P260*B260),"")</f>
        <v/>
      </c>
      <c r="S260" s="100" t="str">
        <f t="shared" ref="S260:S323" si="50">IF(A260&lt;&gt;"",H260/(P260*C260),"")</f>
        <v/>
      </c>
      <c r="T260" s="101" t="str">
        <f t="shared" ref="T260:T323" si="51">IF(A260&lt;&gt;"",I260/(P260*B260),"")</f>
        <v/>
      </c>
      <c r="U260" s="101" t="str">
        <f t="shared" ref="U260:U323" si="52">IF(A260&lt;&gt;"",J260/(P260*C260),"")</f>
        <v/>
      </c>
      <c r="V260" s="128" t="str">
        <f t="shared" ref="V260:V323" si="53">IF(A260&lt;&gt;"",K260/(P260*B260),"")</f>
        <v/>
      </c>
      <c r="W260" s="128" t="str">
        <f t="shared" ref="W260:W323" si="54">IF(A260&lt;&gt;"",L260/(P260*C260),"")</f>
        <v/>
      </c>
      <c r="X260" s="101" t="str">
        <f t="shared" ref="X260:X323" si="55">IF(A260&lt;&gt;"",M260/(P260*B260),"")</f>
        <v/>
      </c>
      <c r="Y260" s="101" t="str">
        <f t="shared" ref="Y260:Y323" si="56">IF(A260&lt;&gt;"",N260/(P260*C260),"")</f>
        <v/>
      </c>
      <c r="Z260" s="102" t="str">
        <f t="shared" ref="Z260:Z323" si="57">IF(A260&lt;&gt;"",(D260*E260)/P260,"")</f>
        <v/>
      </c>
      <c r="AA260" s="103" t="str">
        <f t="shared" ref="AA260:AA323" si="58">IF(A260&lt;&gt;"",(D260*F260)/P260,"")</f>
        <v/>
      </c>
      <c r="AB260" s="142" t="str">
        <f>IF(A260&lt;&gt;"", SUMIFS(node!$J$2:$J$500, node!$C$2:$C$500,"="&amp;A260)/P260, "")</f>
        <v/>
      </c>
      <c r="AC260" s="134" t="str">
        <f>IF(A260&lt;&gt;"", SUMIFS(node!$K$2:$K$500, node!$C$2:$C$500,"="&amp;A260)/P260, "")</f>
        <v/>
      </c>
      <c r="AD260" s="135" t="str">
        <f>IF(A260&lt;&gt;"", SUMIFS(node!$L$2:$L$500, node!$C$2:$C$500,"="&amp;A260), "")</f>
        <v/>
      </c>
      <c r="AE260" s="145" t="str">
        <f>IF(A260&lt;&gt;"", SUMIFS(node!$M$2:$M$500, node!$C$2:$C$500,"="&amp;A260), "")</f>
        <v/>
      </c>
    </row>
    <row r="261" spans="1:31" ht="15.75" customHeight="1" x14ac:dyDescent="0.25">
      <c r="A261" s="119" t="str">
        <f>IF(ISNONTEXT(node_raw[[#This Row],[Column2]]), "", node_raw[[#This Row],[Column2]])</f>
        <v/>
      </c>
      <c r="B261" s="116" t="str">
        <f>IF(A261&lt;&gt;"", VLOOKUP(A261, node!$C$2:$D$500, 2, FALSE), "")</f>
        <v/>
      </c>
      <c r="C261" s="117" t="str">
        <f>IF(A261&lt;&gt;"", VLOOKUP(A261, node!$C$2:$E$500, 3, FALSE), "")</f>
        <v/>
      </c>
      <c r="D261" s="118" t="str">
        <f>IF(A261&lt;&gt;"",COUNTIFS(node!$C$2:$C$500,"="&amp;A261, node!$C$2:$C$500,"&lt;&gt;"&amp;""),"")</f>
        <v/>
      </c>
      <c r="E261" s="122" t="str">
        <f>IF(A261&lt;&gt;"",SUMIFS(node!$F$2:$F$500, node!$C$2:$C$500,"="&amp;A261, node!$C$2:$C$500,"&lt;&gt;"&amp;"")/(B261*D261),"")</f>
        <v/>
      </c>
      <c r="F261" s="124" t="str">
        <f>IF(A261&lt;&gt;"",SUMIFS(node!$H$2:$H$500, node!$C$2:$C$500,"="&amp;A261, node!$C$2:$C$500,"&lt;&gt;"&amp;"")/(C261*D261),"")</f>
        <v/>
      </c>
      <c r="G261" s="93" t="str">
        <f>IF(A261&lt;&gt;"",SUMIFS(deployment!$F$4:$F$502, deployment!$D$4:$D$502,"="&amp;A261, deployment!$D$4:$D$502,"&lt;&gt;"&amp;""),"")</f>
        <v/>
      </c>
      <c r="H261" s="94" t="str">
        <f>IF(A261&lt;&gt;"",SUMIFS(deployment!$G$4:$G$502, deployment!$D$4:$D$502,"="&amp;A261, deployment!$D$4:$D$502,"&lt;&gt;"&amp;""),"")</f>
        <v/>
      </c>
      <c r="I261" s="95" t="str">
        <f>IF(A261&lt;&gt;"",SUMIFS(deployment!$H$4:$H$502, deployment!$D$4:$D$502,"="&amp;A261, deployment!$D$4:$D$502,"&lt;&gt;"&amp;""),"")</f>
        <v/>
      </c>
      <c r="J261" s="96" t="str">
        <f>IF(A261&lt;&gt;"",SUMIFS(deployment!$I$4:$I$502, deployment!$D$4:$D$502,"="&amp;A261, deployment!$D$4:$D$502,"&lt;&gt;"&amp;""),"")</f>
        <v/>
      </c>
      <c r="K261" s="112" t="str">
        <f>IF(A261&lt;&gt;"",SUMIFS(deployment!$J$4:$J$502, deployment!$D$4:$D$502,"="&amp;A261, deployment!$D$4:$D$502,"&lt;&gt;"&amp;""),"")</f>
        <v/>
      </c>
      <c r="L261" s="112" t="str">
        <f>IF(A261&lt;&gt;"",SUMIFS(deployment!$K$4:$K$502, deployment!$D$4:$D$502,"="&amp;A261, deployment!$D$4:$D$502,"&lt;&gt;"&amp;""),"")</f>
        <v/>
      </c>
      <c r="M261" s="97" t="str">
        <f>IF(A261&lt;&gt;"",SUMIFS(deployment!$L$4:$L$502, deployment!$D$4:$D$502,"="&amp;A261, deployment!$D$4:$D$502,"&lt;&gt;"&amp;""),"")</f>
        <v/>
      </c>
      <c r="N261" s="97" t="str">
        <f>IF(A261&lt;&gt;"",SUMIFS(deployment!$M$4:$M$502, deployment!$D$4:$D$502,"="&amp;A261, deployment!$D$4:$D$502,"&lt;&gt;"&amp;""),"")</f>
        <v/>
      </c>
      <c r="O261" s="127" t="str">
        <f t="shared" ref="O261:O324" si="59">IF(A261&lt;&gt;"",MAX(ROUNDUP(K261/(B261*$B$2), 0), ROUNDUP(L261/(C261*$C$2), 0), ROUNDUP(M261/(B261*$B$2), 0), ROUNDUP(N261/(C261*$C$2), 0), 1),"")</f>
        <v/>
      </c>
      <c r="P261" s="104"/>
      <c r="Q261" s="99" t="str">
        <f t="shared" si="48"/>
        <v/>
      </c>
      <c r="R261" s="100" t="str">
        <f t="shared" si="49"/>
        <v/>
      </c>
      <c r="S261" s="100" t="str">
        <f t="shared" si="50"/>
        <v/>
      </c>
      <c r="T261" s="101" t="str">
        <f t="shared" si="51"/>
        <v/>
      </c>
      <c r="U261" s="101" t="str">
        <f t="shared" si="52"/>
        <v/>
      </c>
      <c r="V261" s="128" t="str">
        <f t="shared" si="53"/>
        <v/>
      </c>
      <c r="W261" s="128" t="str">
        <f t="shared" si="54"/>
        <v/>
      </c>
      <c r="X261" s="101" t="str">
        <f t="shared" si="55"/>
        <v/>
      </c>
      <c r="Y261" s="101" t="str">
        <f t="shared" si="56"/>
        <v/>
      </c>
      <c r="Z261" s="102" t="str">
        <f t="shared" si="57"/>
        <v/>
      </c>
      <c r="AA261" s="103" t="str">
        <f t="shared" si="58"/>
        <v/>
      </c>
      <c r="AB261" s="142" t="str">
        <f>IF(A261&lt;&gt;"", SUMIFS(node!$J$2:$J$500, node!$C$2:$C$500,"="&amp;A261)/P261, "")</f>
        <v/>
      </c>
      <c r="AC261" s="134" t="str">
        <f>IF(A261&lt;&gt;"", SUMIFS(node!$K$2:$K$500, node!$C$2:$C$500,"="&amp;A261)/P261, "")</f>
        <v/>
      </c>
      <c r="AD261" s="135" t="str">
        <f>IF(A261&lt;&gt;"", SUMIFS(node!$L$2:$L$500, node!$C$2:$C$500,"="&amp;A261), "")</f>
        <v/>
      </c>
      <c r="AE261" s="145" t="str">
        <f>IF(A261&lt;&gt;"", SUMIFS(node!$M$2:$M$500, node!$C$2:$C$500,"="&amp;A261), "")</f>
        <v/>
      </c>
    </row>
    <row r="262" spans="1:31" ht="15.75" customHeight="1" x14ac:dyDescent="0.25">
      <c r="A262" s="119" t="str">
        <f>IF(ISNONTEXT(node_raw[[#This Row],[Column2]]), "", node_raw[[#This Row],[Column2]])</f>
        <v/>
      </c>
      <c r="B262" s="116" t="str">
        <f>IF(A262&lt;&gt;"", VLOOKUP(A262, node!$C$2:$D$500, 2, FALSE), "")</f>
        <v/>
      </c>
      <c r="C262" s="117" t="str">
        <f>IF(A262&lt;&gt;"", VLOOKUP(A262, node!$C$2:$E$500, 3, FALSE), "")</f>
        <v/>
      </c>
      <c r="D262" s="118" t="str">
        <f>IF(A262&lt;&gt;"",COUNTIFS(node!$C$2:$C$500,"="&amp;A262, node!$C$2:$C$500,"&lt;&gt;"&amp;""),"")</f>
        <v/>
      </c>
      <c r="E262" s="122" t="str">
        <f>IF(A262&lt;&gt;"",SUMIFS(node!$F$2:$F$500, node!$C$2:$C$500,"="&amp;A262, node!$C$2:$C$500,"&lt;&gt;"&amp;"")/(B262*D262),"")</f>
        <v/>
      </c>
      <c r="F262" s="124" t="str">
        <f>IF(A262&lt;&gt;"",SUMIFS(node!$H$2:$H$500, node!$C$2:$C$500,"="&amp;A262, node!$C$2:$C$500,"&lt;&gt;"&amp;"")/(C262*D262),"")</f>
        <v/>
      </c>
      <c r="G262" s="93" t="str">
        <f>IF(A262&lt;&gt;"",SUMIFS(deployment!$F$4:$F$502, deployment!$D$4:$D$502,"="&amp;A262, deployment!$D$4:$D$502,"&lt;&gt;"&amp;""),"")</f>
        <v/>
      </c>
      <c r="H262" s="94" t="str">
        <f>IF(A262&lt;&gt;"",SUMIFS(deployment!$G$4:$G$502, deployment!$D$4:$D$502,"="&amp;A262, deployment!$D$4:$D$502,"&lt;&gt;"&amp;""),"")</f>
        <v/>
      </c>
      <c r="I262" s="95" t="str">
        <f>IF(A262&lt;&gt;"",SUMIFS(deployment!$H$4:$H$502, deployment!$D$4:$D$502,"="&amp;A262, deployment!$D$4:$D$502,"&lt;&gt;"&amp;""),"")</f>
        <v/>
      </c>
      <c r="J262" s="96" t="str">
        <f>IF(A262&lt;&gt;"",SUMIFS(deployment!$I$4:$I$502, deployment!$D$4:$D$502,"="&amp;A262, deployment!$D$4:$D$502,"&lt;&gt;"&amp;""),"")</f>
        <v/>
      </c>
      <c r="K262" s="112" t="str">
        <f>IF(A262&lt;&gt;"",SUMIFS(deployment!$J$4:$J$502, deployment!$D$4:$D$502,"="&amp;A262, deployment!$D$4:$D$502,"&lt;&gt;"&amp;""),"")</f>
        <v/>
      </c>
      <c r="L262" s="112" t="str">
        <f>IF(A262&lt;&gt;"",SUMIFS(deployment!$K$4:$K$502, deployment!$D$4:$D$502,"="&amp;A262, deployment!$D$4:$D$502,"&lt;&gt;"&amp;""),"")</f>
        <v/>
      </c>
      <c r="M262" s="97" t="str">
        <f>IF(A262&lt;&gt;"",SUMIFS(deployment!$L$4:$L$502, deployment!$D$4:$D$502,"="&amp;A262, deployment!$D$4:$D$502,"&lt;&gt;"&amp;""),"")</f>
        <v/>
      </c>
      <c r="N262" s="97" t="str">
        <f>IF(A262&lt;&gt;"",SUMIFS(deployment!$M$4:$M$502, deployment!$D$4:$D$502,"="&amp;A262, deployment!$D$4:$D$502,"&lt;&gt;"&amp;""),"")</f>
        <v/>
      </c>
      <c r="O262" s="127" t="str">
        <f t="shared" si="59"/>
        <v/>
      </c>
      <c r="P262" s="104"/>
      <c r="Q262" s="99" t="str">
        <f t="shared" si="48"/>
        <v/>
      </c>
      <c r="R262" s="100" t="str">
        <f t="shared" si="49"/>
        <v/>
      </c>
      <c r="S262" s="100" t="str">
        <f t="shared" si="50"/>
        <v/>
      </c>
      <c r="T262" s="101" t="str">
        <f t="shared" si="51"/>
        <v/>
      </c>
      <c r="U262" s="101" t="str">
        <f t="shared" si="52"/>
        <v/>
      </c>
      <c r="V262" s="128" t="str">
        <f t="shared" si="53"/>
        <v/>
      </c>
      <c r="W262" s="128" t="str">
        <f t="shared" si="54"/>
        <v/>
      </c>
      <c r="X262" s="101" t="str">
        <f t="shared" si="55"/>
        <v/>
      </c>
      <c r="Y262" s="101" t="str">
        <f t="shared" si="56"/>
        <v/>
      </c>
      <c r="Z262" s="102" t="str">
        <f t="shared" si="57"/>
        <v/>
      </c>
      <c r="AA262" s="103" t="str">
        <f t="shared" si="58"/>
        <v/>
      </c>
      <c r="AB262" s="142" t="str">
        <f>IF(A262&lt;&gt;"", SUMIFS(node!$J$2:$J$500, node!$C$2:$C$500,"="&amp;A262)/P262, "")</f>
        <v/>
      </c>
      <c r="AC262" s="134" t="str">
        <f>IF(A262&lt;&gt;"", SUMIFS(node!$K$2:$K$500, node!$C$2:$C$500,"="&amp;A262)/P262, "")</f>
        <v/>
      </c>
      <c r="AD262" s="135" t="str">
        <f>IF(A262&lt;&gt;"", SUMIFS(node!$L$2:$L$500, node!$C$2:$C$500,"="&amp;A262), "")</f>
        <v/>
      </c>
      <c r="AE262" s="145" t="str">
        <f>IF(A262&lt;&gt;"", SUMIFS(node!$M$2:$M$500, node!$C$2:$C$500,"="&amp;A262), "")</f>
        <v/>
      </c>
    </row>
    <row r="263" spans="1:31" ht="15.75" customHeight="1" x14ac:dyDescent="0.25">
      <c r="A263" s="119" t="str">
        <f>IF(ISNONTEXT(node_raw[[#This Row],[Column2]]), "", node_raw[[#This Row],[Column2]])</f>
        <v/>
      </c>
      <c r="B263" s="116" t="str">
        <f>IF(A263&lt;&gt;"", VLOOKUP(A263, node!$C$2:$D$500, 2, FALSE), "")</f>
        <v/>
      </c>
      <c r="C263" s="117" t="str">
        <f>IF(A263&lt;&gt;"", VLOOKUP(A263, node!$C$2:$E$500, 3, FALSE), "")</f>
        <v/>
      </c>
      <c r="D263" s="118" t="str">
        <f>IF(A263&lt;&gt;"",COUNTIFS(node!$C$2:$C$500,"="&amp;A263, node!$C$2:$C$500,"&lt;&gt;"&amp;""),"")</f>
        <v/>
      </c>
      <c r="E263" s="122" t="str">
        <f>IF(A263&lt;&gt;"",SUMIFS(node!$F$2:$F$500, node!$C$2:$C$500,"="&amp;A263, node!$C$2:$C$500,"&lt;&gt;"&amp;"")/(B263*D263),"")</f>
        <v/>
      </c>
      <c r="F263" s="124" t="str">
        <f>IF(A263&lt;&gt;"",SUMIFS(node!$H$2:$H$500, node!$C$2:$C$500,"="&amp;A263, node!$C$2:$C$500,"&lt;&gt;"&amp;"")/(C263*D263),"")</f>
        <v/>
      </c>
      <c r="G263" s="93" t="str">
        <f>IF(A263&lt;&gt;"",SUMIFS(deployment!$F$4:$F$502, deployment!$D$4:$D$502,"="&amp;A263, deployment!$D$4:$D$502,"&lt;&gt;"&amp;""),"")</f>
        <v/>
      </c>
      <c r="H263" s="94" t="str">
        <f>IF(A263&lt;&gt;"",SUMIFS(deployment!$G$4:$G$502, deployment!$D$4:$D$502,"="&amp;A263, deployment!$D$4:$D$502,"&lt;&gt;"&amp;""),"")</f>
        <v/>
      </c>
      <c r="I263" s="95" t="str">
        <f>IF(A263&lt;&gt;"",SUMIFS(deployment!$H$4:$H$502, deployment!$D$4:$D$502,"="&amp;A263, deployment!$D$4:$D$502,"&lt;&gt;"&amp;""),"")</f>
        <v/>
      </c>
      <c r="J263" s="96" t="str">
        <f>IF(A263&lt;&gt;"",SUMIFS(deployment!$I$4:$I$502, deployment!$D$4:$D$502,"="&amp;A263, deployment!$D$4:$D$502,"&lt;&gt;"&amp;""),"")</f>
        <v/>
      </c>
      <c r="K263" s="112" t="str">
        <f>IF(A263&lt;&gt;"",SUMIFS(deployment!$J$4:$J$502, deployment!$D$4:$D$502,"="&amp;A263, deployment!$D$4:$D$502,"&lt;&gt;"&amp;""),"")</f>
        <v/>
      </c>
      <c r="L263" s="112" t="str">
        <f>IF(A263&lt;&gt;"",SUMIFS(deployment!$K$4:$K$502, deployment!$D$4:$D$502,"="&amp;A263, deployment!$D$4:$D$502,"&lt;&gt;"&amp;""),"")</f>
        <v/>
      </c>
      <c r="M263" s="97" t="str">
        <f>IF(A263&lt;&gt;"",SUMIFS(deployment!$L$4:$L$502, deployment!$D$4:$D$502,"="&amp;A263, deployment!$D$4:$D$502,"&lt;&gt;"&amp;""),"")</f>
        <v/>
      </c>
      <c r="N263" s="97" t="str">
        <f>IF(A263&lt;&gt;"",SUMIFS(deployment!$M$4:$M$502, deployment!$D$4:$D$502,"="&amp;A263, deployment!$D$4:$D$502,"&lt;&gt;"&amp;""),"")</f>
        <v/>
      </c>
      <c r="O263" s="127" t="str">
        <f t="shared" si="59"/>
        <v/>
      </c>
      <c r="P263" s="104"/>
      <c r="Q263" s="99" t="str">
        <f t="shared" si="48"/>
        <v/>
      </c>
      <c r="R263" s="100" t="str">
        <f t="shared" si="49"/>
        <v/>
      </c>
      <c r="S263" s="100" t="str">
        <f t="shared" si="50"/>
        <v/>
      </c>
      <c r="T263" s="101" t="str">
        <f t="shared" si="51"/>
        <v/>
      </c>
      <c r="U263" s="101" t="str">
        <f t="shared" si="52"/>
        <v/>
      </c>
      <c r="V263" s="128" t="str">
        <f t="shared" si="53"/>
        <v/>
      </c>
      <c r="W263" s="128" t="str">
        <f t="shared" si="54"/>
        <v/>
      </c>
      <c r="X263" s="101" t="str">
        <f t="shared" si="55"/>
        <v/>
      </c>
      <c r="Y263" s="101" t="str">
        <f t="shared" si="56"/>
        <v/>
      </c>
      <c r="Z263" s="102" t="str">
        <f t="shared" si="57"/>
        <v/>
      </c>
      <c r="AA263" s="103" t="str">
        <f t="shared" si="58"/>
        <v/>
      </c>
      <c r="AB263" s="142" t="str">
        <f>IF(A263&lt;&gt;"", SUMIFS(node!$J$2:$J$500, node!$C$2:$C$500,"="&amp;A263)/P263, "")</f>
        <v/>
      </c>
      <c r="AC263" s="134" t="str">
        <f>IF(A263&lt;&gt;"", SUMIFS(node!$K$2:$K$500, node!$C$2:$C$500,"="&amp;A263)/P263, "")</f>
        <v/>
      </c>
      <c r="AD263" s="135" t="str">
        <f>IF(A263&lt;&gt;"", SUMIFS(node!$L$2:$L$500, node!$C$2:$C$500,"="&amp;A263), "")</f>
        <v/>
      </c>
      <c r="AE263" s="145" t="str">
        <f>IF(A263&lt;&gt;"", SUMIFS(node!$M$2:$M$500, node!$C$2:$C$500,"="&amp;A263), "")</f>
        <v/>
      </c>
    </row>
    <row r="264" spans="1:31" ht="15.75" customHeight="1" x14ac:dyDescent="0.25">
      <c r="A264" s="119" t="str">
        <f>IF(ISNONTEXT(node_raw[[#This Row],[Column2]]), "", node_raw[[#This Row],[Column2]])</f>
        <v/>
      </c>
      <c r="B264" s="116" t="str">
        <f>IF(A264&lt;&gt;"", VLOOKUP(A264, node!$C$2:$D$500, 2, FALSE), "")</f>
        <v/>
      </c>
      <c r="C264" s="117" t="str">
        <f>IF(A264&lt;&gt;"", VLOOKUP(A264, node!$C$2:$E$500, 3, FALSE), "")</f>
        <v/>
      </c>
      <c r="D264" s="118" t="str">
        <f>IF(A264&lt;&gt;"",COUNTIFS(node!$C$2:$C$500,"="&amp;A264, node!$C$2:$C$500,"&lt;&gt;"&amp;""),"")</f>
        <v/>
      </c>
      <c r="E264" s="122" t="str">
        <f>IF(A264&lt;&gt;"",SUMIFS(node!$F$2:$F$500, node!$C$2:$C$500,"="&amp;A264, node!$C$2:$C$500,"&lt;&gt;"&amp;"")/(B264*D264),"")</f>
        <v/>
      </c>
      <c r="F264" s="124" t="str">
        <f>IF(A264&lt;&gt;"",SUMIFS(node!$H$2:$H$500, node!$C$2:$C$500,"="&amp;A264, node!$C$2:$C$500,"&lt;&gt;"&amp;"")/(C264*D264),"")</f>
        <v/>
      </c>
      <c r="G264" s="93" t="str">
        <f>IF(A264&lt;&gt;"",SUMIFS(deployment!$F$4:$F$502, deployment!$D$4:$D$502,"="&amp;A264, deployment!$D$4:$D$502,"&lt;&gt;"&amp;""),"")</f>
        <v/>
      </c>
      <c r="H264" s="94" t="str">
        <f>IF(A264&lt;&gt;"",SUMIFS(deployment!$G$4:$G$502, deployment!$D$4:$D$502,"="&amp;A264, deployment!$D$4:$D$502,"&lt;&gt;"&amp;""),"")</f>
        <v/>
      </c>
      <c r="I264" s="95" t="str">
        <f>IF(A264&lt;&gt;"",SUMIFS(deployment!$H$4:$H$502, deployment!$D$4:$D$502,"="&amp;A264, deployment!$D$4:$D$502,"&lt;&gt;"&amp;""),"")</f>
        <v/>
      </c>
      <c r="J264" s="96" t="str">
        <f>IF(A264&lt;&gt;"",SUMIFS(deployment!$I$4:$I$502, deployment!$D$4:$D$502,"="&amp;A264, deployment!$D$4:$D$502,"&lt;&gt;"&amp;""),"")</f>
        <v/>
      </c>
      <c r="K264" s="112" t="str">
        <f>IF(A264&lt;&gt;"",SUMIFS(deployment!$J$4:$J$502, deployment!$D$4:$D$502,"="&amp;A264, deployment!$D$4:$D$502,"&lt;&gt;"&amp;""),"")</f>
        <v/>
      </c>
      <c r="L264" s="112" t="str">
        <f>IF(A264&lt;&gt;"",SUMIFS(deployment!$K$4:$K$502, deployment!$D$4:$D$502,"="&amp;A264, deployment!$D$4:$D$502,"&lt;&gt;"&amp;""),"")</f>
        <v/>
      </c>
      <c r="M264" s="97" t="str">
        <f>IF(A264&lt;&gt;"",SUMIFS(deployment!$L$4:$L$502, deployment!$D$4:$D$502,"="&amp;A264, deployment!$D$4:$D$502,"&lt;&gt;"&amp;""),"")</f>
        <v/>
      </c>
      <c r="N264" s="97" t="str">
        <f>IF(A264&lt;&gt;"",SUMIFS(deployment!$M$4:$M$502, deployment!$D$4:$D$502,"="&amp;A264, deployment!$D$4:$D$502,"&lt;&gt;"&amp;""),"")</f>
        <v/>
      </c>
      <c r="O264" s="127" t="str">
        <f t="shared" si="59"/>
        <v/>
      </c>
      <c r="P264" s="104"/>
      <c r="Q264" s="99" t="str">
        <f t="shared" si="48"/>
        <v/>
      </c>
      <c r="R264" s="100" t="str">
        <f t="shared" si="49"/>
        <v/>
      </c>
      <c r="S264" s="100" t="str">
        <f t="shared" si="50"/>
        <v/>
      </c>
      <c r="T264" s="101" t="str">
        <f t="shared" si="51"/>
        <v/>
      </c>
      <c r="U264" s="101" t="str">
        <f t="shared" si="52"/>
        <v/>
      </c>
      <c r="V264" s="128" t="str">
        <f t="shared" si="53"/>
        <v/>
      </c>
      <c r="W264" s="128" t="str">
        <f t="shared" si="54"/>
        <v/>
      </c>
      <c r="X264" s="101" t="str">
        <f t="shared" si="55"/>
        <v/>
      </c>
      <c r="Y264" s="101" t="str">
        <f t="shared" si="56"/>
        <v/>
      </c>
      <c r="Z264" s="102" t="str">
        <f t="shared" si="57"/>
        <v/>
      </c>
      <c r="AA264" s="103" t="str">
        <f t="shared" si="58"/>
        <v/>
      </c>
      <c r="AB264" s="142" t="str">
        <f>IF(A264&lt;&gt;"", SUMIFS(node!$J$2:$J$500, node!$C$2:$C$500,"="&amp;A264)/P264, "")</f>
        <v/>
      </c>
      <c r="AC264" s="134" t="str">
        <f>IF(A264&lt;&gt;"", SUMIFS(node!$K$2:$K$500, node!$C$2:$C$500,"="&amp;A264)/P264, "")</f>
        <v/>
      </c>
      <c r="AD264" s="135" t="str">
        <f>IF(A264&lt;&gt;"", SUMIFS(node!$L$2:$L$500, node!$C$2:$C$500,"="&amp;A264), "")</f>
        <v/>
      </c>
      <c r="AE264" s="145" t="str">
        <f>IF(A264&lt;&gt;"", SUMIFS(node!$M$2:$M$500, node!$C$2:$C$500,"="&amp;A264), "")</f>
        <v/>
      </c>
    </row>
    <row r="265" spans="1:31" ht="15.75" customHeight="1" x14ac:dyDescent="0.25">
      <c r="A265" s="119" t="str">
        <f>IF(ISNONTEXT(node_raw[[#This Row],[Column2]]), "", node_raw[[#This Row],[Column2]])</f>
        <v/>
      </c>
      <c r="B265" s="116" t="str">
        <f>IF(A265&lt;&gt;"", VLOOKUP(A265, node!$C$2:$D$500, 2, FALSE), "")</f>
        <v/>
      </c>
      <c r="C265" s="117" t="str">
        <f>IF(A265&lt;&gt;"", VLOOKUP(A265, node!$C$2:$E$500, 3, FALSE), "")</f>
        <v/>
      </c>
      <c r="D265" s="118" t="str">
        <f>IF(A265&lt;&gt;"",COUNTIFS(node!$C$2:$C$500,"="&amp;A265, node!$C$2:$C$500,"&lt;&gt;"&amp;""),"")</f>
        <v/>
      </c>
      <c r="E265" s="122" t="str">
        <f>IF(A265&lt;&gt;"",SUMIFS(node!$F$2:$F$500, node!$C$2:$C$500,"="&amp;A265, node!$C$2:$C$500,"&lt;&gt;"&amp;"")/(B265*D265),"")</f>
        <v/>
      </c>
      <c r="F265" s="124" t="str">
        <f>IF(A265&lt;&gt;"",SUMIFS(node!$H$2:$H$500, node!$C$2:$C$500,"="&amp;A265, node!$C$2:$C$500,"&lt;&gt;"&amp;"")/(C265*D265),"")</f>
        <v/>
      </c>
      <c r="G265" s="93" t="str">
        <f>IF(A265&lt;&gt;"",SUMIFS(deployment!$F$4:$F$502, deployment!$D$4:$D$502,"="&amp;A265, deployment!$D$4:$D$502,"&lt;&gt;"&amp;""),"")</f>
        <v/>
      </c>
      <c r="H265" s="94" t="str">
        <f>IF(A265&lt;&gt;"",SUMIFS(deployment!$G$4:$G$502, deployment!$D$4:$D$502,"="&amp;A265, deployment!$D$4:$D$502,"&lt;&gt;"&amp;""),"")</f>
        <v/>
      </c>
      <c r="I265" s="95" t="str">
        <f>IF(A265&lt;&gt;"",SUMIFS(deployment!$H$4:$H$502, deployment!$D$4:$D$502,"="&amp;A265, deployment!$D$4:$D$502,"&lt;&gt;"&amp;""),"")</f>
        <v/>
      </c>
      <c r="J265" s="96" t="str">
        <f>IF(A265&lt;&gt;"",SUMIFS(deployment!$I$4:$I$502, deployment!$D$4:$D$502,"="&amp;A265, deployment!$D$4:$D$502,"&lt;&gt;"&amp;""),"")</f>
        <v/>
      </c>
      <c r="K265" s="112" t="str">
        <f>IF(A265&lt;&gt;"",SUMIFS(deployment!$J$4:$J$502, deployment!$D$4:$D$502,"="&amp;A265, deployment!$D$4:$D$502,"&lt;&gt;"&amp;""),"")</f>
        <v/>
      </c>
      <c r="L265" s="112" t="str">
        <f>IF(A265&lt;&gt;"",SUMIFS(deployment!$K$4:$K$502, deployment!$D$4:$D$502,"="&amp;A265, deployment!$D$4:$D$502,"&lt;&gt;"&amp;""),"")</f>
        <v/>
      </c>
      <c r="M265" s="97" t="str">
        <f>IF(A265&lt;&gt;"",SUMIFS(deployment!$L$4:$L$502, deployment!$D$4:$D$502,"="&amp;A265, deployment!$D$4:$D$502,"&lt;&gt;"&amp;""),"")</f>
        <v/>
      </c>
      <c r="N265" s="97" t="str">
        <f>IF(A265&lt;&gt;"",SUMIFS(deployment!$M$4:$M$502, deployment!$D$4:$D$502,"="&amp;A265, deployment!$D$4:$D$502,"&lt;&gt;"&amp;""),"")</f>
        <v/>
      </c>
      <c r="O265" s="127" t="str">
        <f t="shared" si="59"/>
        <v/>
      </c>
      <c r="P265" s="104"/>
      <c r="Q265" s="99" t="str">
        <f t="shared" si="48"/>
        <v/>
      </c>
      <c r="R265" s="100" t="str">
        <f t="shared" si="49"/>
        <v/>
      </c>
      <c r="S265" s="100" t="str">
        <f t="shared" si="50"/>
        <v/>
      </c>
      <c r="T265" s="101" t="str">
        <f t="shared" si="51"/>
        <v/>
      </c>
      <c r="U265" s="101" t="str">
        <f t="shared" si="52"/>
        <v/>
      </c>
      <c r="V265" s="128" t="str">
        <f t="shared" si="53"/>
        <v/>
      </c>
      <c r="W265" s="128" t="str">
        <f t="shared" si="54"/>
        <v/>
      </c>
      <c r="X265" s="101" t="str">
        <f t="shared" si="55"/>
        <v/>
      </c>
      <c r="Y265" s="101" t="str">
        <f t="shared" si="56"/>
        <v/>
      </c>
      <c r="Z265" s="102" t="str">
        <f t="shared" si="57"/>
        <v/>
      </c>
      <c r="AA265" s="103" t="str">
        <f t="shared" si="58"/>
        <v/>
      </c>
      <c r="AB265" s="142" t="str">
        <f>IF(A265&lt;&gt;"", SUMIFS(node!$J$2:$J$500, node!$C$2:$C$500,"="&amp;A265)/P265, "")</f>
        <v/>
      </c>
      <c r="AC265" s="134" t="str">
        <f>IF(A265&lt;&gt;"", SUMIFS(node!$K$2:$K$500, node!$C$2:$C$500,"="&amp;A265)/P265, "")</f>
        <v/>
      </c>
      <c r="AD265" s="135" t="str">
        <f>IF(A265&lt;&gt;"", SUMIFS(node!$L$2:$L$500, node!$C$2:$C$500,"="&amp;A265), "")</f>
        <v/>
      </c>
      <c r="AE265" s="145" t="str">
        <f>IF(A265&lt;&gt;"", SUMIFS(node!$M$2:$M$500, node!$C$2:$C$500,"="&amp;A265), "")</f>
        <v/>
      </c>
    </row>
    <row r="266" spans="1:31" ht="15.75" customHeight="1" x14ac:dyDescent="0.25">
      <c r="A266" s="119" t="str">
        <f>IF(ISNONTEXT(node_raw[[#This Row],[Column2]]), "", node_raw[[#This Row],[Column2]])</f>
        <v/>
      </c>
      <c r="B266" s="116" t="str">
        <f>IF(A266&lt;&gt;"", VLOOKUP(A266, node!$C$2:$D$500, 2, FALSE), "")</f>
        <v/>
      </c>
      <c r="C266" s="117" t="str">
        <f>IF(A266&lt;&gt;"", VLOOKUP(A266, node!$C$2:$E$500, 3, FALSE), "")</f>
        <v/>
      </c>
      <c r="D266" s="118" t="str">
        <f>IF(A266&lt;&gt;"",COUNTIFS(node!$C$2:$C$500,"="&amp;A266, node!$C$2:$C$500,"&lt;&gt;"&amp;""),"")</f>
        <v/>
      </c>
      <c r="E266" s="122" t="str">
        <f>IF(A266&lt;&gt;"",SUMIFS(node!$F$2:$F$500, node!$C$2:$C$500,"="&amp;A266, node!$C$2:$C$500,"&lt;&gt;"&amp;"")/(B266*D266),"")</f>
        <v/>
      </c>
      <c r="F266" s="124" t="str">
        <f>IF(A266&lt;&gt;"",SUMIFS(node!$H$2:$H$500, node!$C$2:$C$500,"="&amp;A266, node!$C$2:$C$500,"&lt;&gt;"&amp;"")/(C266*D266),"")</f>
        <v/>
      </c>
      <c r="G266" s="93" t="str">
        <f>IF(A266&lt;&gt;"",SUMIFS(deployment!$F$4:$F$502, deployment!$D$4:$D$502,"="&amp;A266, deployment!$D$4:$D$502,"&lt;&gt;"&amp;""),"")</f>
        <v/>
      </c>
      <c r="H266" s="94" t="str">
        <f>IF(A266&lt;&gt;"",SUMIFS(deployment!$G$4:$G$502, deployment!$D$4:$D$502,"="&amp;A266, deployment!$D$4:$D$502,"&lt;&gt;"&amp;""),"")</f>
        <v/>
      </c>
      <c r="I266" s="95" t="str">
        <f>IF(A266&lt;&gt;"",SUMIFS(deployment!$H$4:$H$502, deployment!$D$4:$D$502,"="&amp;A266, deployment!$D$4:$D$502,"&lt;&gt;"&amp;""),"")</f>
        <v/>
      </c>
      <c r="J266" s="96" t="str">
        <f>IF(A266&lt;&gt;"",SUMIFS(deployment!$I$4:$I$502, deployment!$D$4:$D$502,"="&amp;A266, deployment!$D$4:$D$502,"&lt;&gt;"&amp;""),"")</f>
        <v/>
      </c>
      <c r="K266" s="112" t="str">
        <f>IF(A266&lt;&gt;"",SUMIFS(deployment!$J$4:$J$502, deployment!$D$4:$D$502,"="&amp;A266, deployment!$D$4:$D$502,"&lt;&gt;"&amp;""),"")</f>
        <v/>
      </c>
      <c r="L266" s="112" t="str">
        <f>IF(A266&lt;&gt;"",SUMIFS(deployment!$K$4:$K$502, deployment!$D$4:$D$502,"="&amp;A266, deployment!$D$4:$D$502,"&lt;&gt;"&amp;""),"")</f>
        <v/>
      </c>
      <c r="M266" s="97" t="str">
        <f>IF(A266&lt;&gt;"",SUMIFS(deployment!$L$4:$L$502, deployment!$D$4:$D$502,"="&amp;A266, deployment!$D$4:$D$502,"&lt;&gt;"&amp;""),"")</f>
        <v/>
      </c>
      <c r="N266" s="97" t="str">
        <f>IF(A266&lt;&gt;"",SUMIFS(deployment!$M$4:$M$502, deployment!$D$4:$D$502,"="&amp;A266, deployment!$D$4:$D$502,"&lt;&gt;"&amp;""),"")</f>
        <v/>
      </c>
      <c r="O266" s="127" t="str">
        <f t="shared" si="59"/>
        <v/>
      </c>
      <c r="P266" s="104"/>
      <c r="Q266" s="99" t="str">
        <f t="shared" si="48"/>
        <v/>
      </c>
      <c r="R266" s="100" t="str">
        <f t="shared" si="49"/>
        <v/>
      </c>
      <c r="S266" s="100" t="str">
        <f t="shared" si="50"/>
        <v/>
      </c>
      <c r="T266" s="101" t="str">
        <f t="shared" si="51"/>
        <v/>
      </c>
      <c r="U266" s="101" t="str">
        <f t="shared" si="52"/>
        <v/>
      </c>
      <c r="V266" s="128" t="str">
        <f t="shared" si="53"/>
        <v/>
      </c>
      <c r="W266" s="128" t="str">
        <f t="shared" si="54"/>
        <v/>
      </c>
      <c r="X266" s="101" t="str">
        <f t="shared" si="55"/>
        <v/>
      </c>
      <c r="Y266" s="101" t="str">
        <f t="shared" si="56"/>
        <v/>
      </c>
      <c r="Z266" s="102" t="str">
        <f t="shared" si="57"/>
        <v/>
      </c>
      <c r="AA266" s="103" t="str">
        <f t="shared" si="58"/>
        <v/>
      </c>
      <c r="AB266" s="142" t="str">
        <f>IF(A266&lt;&gt;"", SUMIFS(node!$J$2:$J$500, node!$C$2:$C$500,"="&amp;A266)/P266, "")</f>
        <v/>
      </c>
      <c r="AC266" s="134" t="str">
        <f>IF(A266&lt;&gt;"", SUMIFS(node!$K$2:$K$500, node!$C$2:$C$500,"="&amp;A266)/P266, "")</f>
        <v/>
      </c>
      <c r="AD266" s="135" t="str">
        <f>IF(A266&lt;&gt;"", SUMIFS(node!$L$2:$L$500, node!$C$2:$C$500,"="&amp;A266), "")</f>
        <v/>
      </c>
      <c r="AE266" s="145" t="str">
        <f>IF(A266&lt;&gt;"", SUMIFS(node!$M$2:$M$500, node!$C$2:$C$500,"="&amp;A266), "")</f>
        <v/>
      </c>
    </row>
    <row r="267" spans="1:31" ht="15.75" customHeight="1" x14ac:dyDescent="0.25">
      <c r="A267" s="119" t="str">
        <f>IF(ISNONTEXT(node_raw[[#This Row],[Column2]]), "", node_raw[[#This Row],[Column2]])</f>
        <v/>
      </c>
      <c r="B267" s="116" t="str">
        <f>IF(A267&lt;&gt;"", VLOOKUP(A267, node!$C$2:$D$500, 2, FALSE), "")</f>
        <v/>
      </c>
      <c r="C267" s="117" t="str">
        <f>IF(A267&lt;&gt;"", VLOOKUP(A267, node!$C$2:$E$500, 3, FALSE), "")</f>
        <v/>
      </c>
      <c r="D267" s="118" t="str">
        <f>IF(A267&lt;&gt;"",COUNTIFS(node!$C$2:$C$500,"="&amp;A267, node!$C$2:$C$500,"&lt;&gt;"&amp;""),"")</f>
        <v/>
      </c>
      <c r="E267" s="122" t="str">
        <f>IF(A267&lt;&gt;"",SUMIFS(node!$F$2:$F$500, node!$C$2:$C$500,"="&amp;A267, node!$C$2:$C$500,"&lt;&gt;"&amp;"")/(B267*D267),"")</f>
        <v/>
      </c>
      <c r="F267" s="124" t="str">
        <f>IF(A267&lt;&gt;"",SUMIFS(node!$H$2:$H$500, node!$C$2:$C$500,"="&amp;A267, node!$C$2:$C$500,"&lt;&gt;"&amp;"")/(C267*D267),"")</f>
        <v/>
      </c>
      <c r="G267" s="93" t="str">
        <f>IF(A267&lt;&gt;"",SUMIFS(deployment!$F$4:$F$502, deployment!$D$4:$D$502,"="&amp;A267, deployment!$D$4:$D$502,"&lt;&gt;"&amp;""),"")</f>
        <v/>
      </c>
      <c r="H267" s="94" t="str">
        <f>IF(A267&lt;&gt;"",SUMIFS(deployment!$G$4:$G$502, deployment!$D$4:$D$502,"="&amp;A267, deployment!$D$4:$D$502,"&lt;&gt;"&amp;""),"")</f>
        <v/>
      </c>
      <c r="I267" s="95" t="str">
        <f>IF(A267&lt;&gt;"",SUMIFS(deployment!$H$4:$H$502, deployment!$D$4:$D$502,"="&amp;A267, deployment!$D$4:$D$502,"&lt;&gt;"&amp;""),"")</f>
        <v/>
      </c>
      <c r="J267" s="96" t="str">
        <f>IF(A267&lt;&gt;"",SUMIFS(deployment!$I$4:$I$502, deployment!$D$4:$D$502,"="&amp;A267, deployment!$D$4:$D$502,"&lt;&gt;"&amp;""),"")</f>
        <v/>
      </c>
      <c r="K267" s="112" t="str">
        <f>IF(A267&lt;&gt;"",SUMIFS(deployment!$J$4:$J$502, deployment!$D$4:$D$502,"="&amp;A267, deployment!$D$4:$D$502,"&lt;&gt;"&amp;""),"")</f>
        <v/>
      </c>
      <c r="L267" s="112" t="str">
        <f>IF(A267&lt;&gt;"",SUMIFS(deployment!$K$4:$K$502, deployment!$D$4:$D$502,"="&amp;A267, deployment!$D$4:$D$502,"&lt;&gt;"&amp;""),"")</f>
        <v/>
      </c>
      <c r="M267" s="97" t="str">
        <f>IF(A267&lt;&gt;"",SUMIFS(deployment!$L$4:$L$502, deployment!$D$4:$D$502,"="&amp;A267, deployment!$D$4:$D$502,"&lt;&gt;"&amp;""),"")</f>
        <v/>
      </c>
      <c r="N267" s="97" t="str">
        <f>IF(A267&lt;&gt;"",SUMIFS(deployment!$M$4:$M$502, deployment!$D$4:$D$502,"="&amp;A267, deployment!$D$4:$D$502,"&lt;&gt;"&amp;""),"")</f>
        <v/>
      </c>
      <c r="O267" s="127" t="str">
        <f t="shared" si="59"/>
        <v/>
      </c>
      <c r="P267" s="104"/>
      <c r="Q267" s="99" t="str">
        <f t="shared" si="48"/>
        <v/>
      </c>
      <c r="R267" s="100" t="str">
        <f t="shared" si="49"/>
        <v/>
      </c>
      <c r="S267" s="100" t="str">
        <f t="shared" si="50"/>
        <v/>
      </c>
      <c r="T267" s="101" t="str">
        <f t="shared" si="51"/>
        <v/>
      </c>
      <c r="U267" s="101" t="str">
        <f t="shared" si="52"/>
        <v/>
      </c>
      <c r="V267" s="128" t="str">
        <f t="shared" si="53"/>
        <v/>
      </c>
      <c r="W267" s="128" t="str">
        <f t="shared" si="54"/>
        <v/>
      </c>
      <c r="X267" s="101" t="str">
        <f t="shared" si="55"/>
        <v/>
      </c>
      <c r="Y267" s="101" t="str">
        <f t="shared" si="56"/>
        <v/>
      </c>
      <c r="Z267" s="102" t="str">
        <f t="shared" si="57"/>
        <v/>
      </c>
      <c r="AA267" s="103" t="str">
        <f t="shared" si="58"/>
        <v/>
      </c>
      <c r="AB267" s="142" t="str">
        <f>IF(A267&lt;&gt;"", SUMIFS(node!$J$2:$J$500, node!$C$2:$C$500,"="&amp;A267)/P267, "")</f>
        <v/>
      </c>
      <c r="AC267" s="134" t="str">
        <f>IF(A267&lt;&gt;"", SUMIFS(node!$K$2:$K$500, node!$C$2:$C$500,"="&amp;A267)/P267, "")</f>
        <v/>
      </c>
      <c r="AD267" s="135" t="str">
        <f>IF(A267&lt;&gt;"", SUMIFS(node!$L$2:$L$500, node!$C$2:$C$500,"="&amp;A267), "")</f>
        <v/>
      </c>
      <c r="AE267" s="145" t="str">
        <f>IF(A267&lt;&gt;"", SUMIFS(node!$M$2:$M$500, node!$C$2:$C$500,"="&amp;A267), "")</f>
        <v/>
      </c>
    </row>
    <row r="268" spans="1:31" ht="15.75" customHeight="1" x14ac:dyDescent="0.25">
      <c r="A268" s="119" t="str">
        <f>IF(ISNONTEXT(node_raw[[#This Row],[Column2]]), "", node_raw[[#This Row],[Column2]])</f>
        <v/>
      </c>
      <c r="B268" s="116" t="str">
        <f>IF(A268&lt;&gt;"", VLOOKUP(A268, node!$C$2:$D$500, 2, FALSE), "")</f>
        <v/>
      </c>
      <c r="C268" s="117" t="str">
        <f>IF(A268&lt;&gt;"", VLOOKUP(A268, node!$C$2:$E$500, 3, FALSE), "")</f>
        <v/>
      </c>
      <c r="D268" s="118" t="str">
        <f>IF(A268&lt;&gt;"",COUNTIFS(node!$C$2:$C$500,"="&amp;A268, node!$C$2:$C$500,"&lt;&gt;"&amp;""),"")</f>
        <v/>
      </c>
      <c r="E268" s="122" t="str">
        <f>IF(A268&lt;&gt;"",SUMIFS(node!$F$2:$F$500, node!$C$2:$C$500,"="&amp;A268, node!$C$2:$C$500,"&lt;&gt;"&amp;"")/(B268*D268),"")</f>
        <v/>
      </c>
      <c r="F268" s="124" t="str">
        <f>IF(A268&lt;&gt;"",SUMIFS(node!$H$2:$H$500, node!$C$2:$C$500,"="&amp;A268, node!$C$2:$C$500,"&lt;&gt;"&amp;"")/(C268*D268),"")</f>
        <v/>
      </c>
      <c r="G268" s="93" t="str">
        <f>IF(A268&lt;&gt;"",SUMIFS(deployment!$F$4:$F$502, deployment!$D$4:$D$502,"="&amp;A268, deployment!$D$4:$D$502,"&lt;&gt;"&amp;""),"")</f>
        <v/>
      </c>
      <c r="H268" s="94" t="str">
        <f>IF(A268&lt;&gt;"",SUMIFS(deployment!$G$4:$G$502, deployment!$D$4:$D$502,"="&amp;A268, deployment!$D$4:$D$502,"&lt;&gt;"&amp;""),"")</f>
        <v/>
      </c>
      <c r="I268" s="95" t="str">
        <f>IF(A268&lt;&gt;"",SUMIFS(deployment!$H$4:$H$502, deployment!$D$4:$D$502,"="&amp;A268, deployment!$D$4:$D$502,"&lt;&gt;"&amp;""),"")</f>
        <v/>
      </c>
      <c r="J268" s="96" t="str">
        <f>IF(A268&lt;&gt;"",SUMIFS(deployment!$I$4:$I$502, deployment!$D$4:$D$502,"="&amp;A268, deployment!$D$4:$D$502,"&lt;&gt;"&amp;""),"")</f>
        <v/>
      </c>
      <c r="K268" s="112" t="str">
        <f>IF(A268&lt;&gt;"",SUMIFS(deployment!$J$4:$J$502, deployment!$D$4:$D$502,"="&amp;A268, deployment!$D$4:$D$502,"&lt;&gt;"&amp;""),"")</f>
        <v/>
      </c>
      <c r="L268" s="112" t="str">
        <f>IF(A268&lt;&gt;"",SUMIFS(deployment!$K$4:$K$502, deployment!$D$4:$D$502,"="&amp;A268, deployment!$D$4:$D$502,"&lt;&gt;"&amp;""),"")</f>
        <v/>
      </c>
      <c r="M268" s="97" t="str">
        <f>IF(A268&lt;&gt;"",SUMIFS(deployment!$L$4:$L$502, deployment!$D$4:$D$502,"="&amp;A268, deployment!$D$4:$D$502,"&lt;&gt;"&amp;""),"")</f>
        <v/>
      </c>
      <c r="N268" s="97" t="str">
        <f>IF(A268&lt;&gt;"",SUMIFS(deployment!$M$4:$M$502, deployment!$D$4:$D$502,"="&amp;A268, deployment!$D$4:$D$502,"&lt;&gt;"&amp;""),"")</f>
        <v/>
      </c>
      <c r="O268" s="127" t="str">
        <f t="shared" si="59"/>
        <v/>
      </c>
      <c r="P268" s="104"/>
      <c r="Q268" s="99" t="str">
        <f t="shared" si="48"/>
        <v/>
      </c>
      <c r="R268" s="100" t="str">
        <f t="shared" si="49"/>
        <v/>
      </c>
      <c r="S268" s="100" t="str">
        <f t="shared" si="50"/>
        <v/>
      </c>
      <c r="T268" s="101" t="str">
        <f t="shared" si="51"/>
        <v/>
      </c>
      <c r="U268" s="101" t="str">
        <f t="shared" si="52"/>
        <v/>
      </c>
      <c r="V268" s="128" t="str">
        <f t="shared" si="53"/>
        <v/>
      </c>
      <c r="W268" s="128" t="str">
        <f t="shared" si="54"/>
        <v/>
      </c>
      <c r="X268" s="101" t="str">
        <f t="shared" si="55"/>
        <v/>
      </c>
      <c r="Y268" s="101" t="str">
        <f t="shared" si="56"/>
        <v/>
      </c>
      <c r="Z268" s="102" t="str">
        <f t="shared" si="57"/>
        <v/>
      </c>
      <c r="AA268" s="103" t="str">
        <f t="shared" si="58"/>
        <v/>
      </c>
      <c r="AB268" s="142" t="str">
        <f>IF(A268&lt;&gt;"", SUMIFS(node!$J$2:$J$500, node!$C$2:$C$500,"="&amp;A268)/P268, "")</f>
        <v/>
      </c>
      <c r="AC268" s="134" t="str">
        <f>IF(A268&lt;&gt;"", SUMIFS(node!$K$2:$K$500, node!$C$2:$C$500,"="&amp;A268)/P268, "")</f>
        <v/>
      </c>
      <c r="AD268" s="135" t="str">
        <f>IF(A268&lt;&gt;"", SUMIFS(node!$L$2:$L$500, node!$C$2:$C$500,"="&amp;A268), "")</f>
        <v/>
      </c>
      <c r="AE268" s="145" t="str">
        <f>IF(A268&lt;&gt;"", SUMIFS(node!$M$2:$M$500, node!$C$2:$C$500,"="&amp;A268), "")</f>
        <v/>
      </c>
    </row>
    <row r="269" spans="1:31" ht="15.75" customHeight="1" x14ac:dyDescent="0.25">
      <c r="A269" s="119" t="str">
        <f>IF(ISNONTEXT(node_raw[[#This Row],[Column2]]), "", node_raw[[#This Row],[Column2]])</f>
        <v/>
      </c>
      <c r="B269" s="116" t="str">
        <f>IF(A269&lt;&gt;"", VLOOKUP(A269, node!$C$2:$D$500, 2, FALSE), "")</f>
        <v/>
      </c>
      <c r="C269" s="117" t="str">
        <f>IF(A269&lt;&gt;"", VLOOKUP(A269, node!$C$2:$E$500, 3, FALSE), "")</f>
        <v/>
      </c>
      <c r="D269" s="118" t="str">
        <f>IF(A269&lt;&gt;"",COUNTIFS(node!$C$2:$C$500,"="&amp;A269, node!$C$2:$C$500,"&lt;&gt;"&amp;""),"")</f>
        <v/>
      </c>
      <c r="E269" s="122" t="str">
        <f>IF(A269&lt;&gt;"",SUMIFS(node!$F$2:$F$500, node!$C$2:$C$500,"="&amp;A269, node!$C$2:$C$500,"&lt;&gt;"&amp;"")/(B269*D269),"")</f>
        <v/>
      </c>
      <c r="F269" s="124" t="str">
        <f>IF(A269&lt;&gt;"",SUMIFS(node!$H$2:$H$500, node!$C$2:$C$500,"="&amp;A269, node!$C$2:$C$500,"&lt;&gt;"&amp;"")/(C269*D269),"")</f>
        <v/>
      </c>
      <c r="G269" s="93" t="str">
        <f>IF(A269&lt;&gt;"",SUMIFS(deployment!$F$4:$F$502, deployment!$D$4:$D$502,"="&amp;A269, deployment!$D$4:$D$502,"&lt;&gt;"&amp;""),"")</f>
        <v/>
      </c>
      <c r="H269" s="94" t="str">
        <f>IF(A269&lt;&gt;"",SUMIFS(deployment!$G$4:$G$502, deployment!$D$4:$D$502,"="&amp;A269, deployment!$D$4:$D$502,"&lt;&gt;"&amp;""),"")</f>
        <v/>
      </c>
      <c r="I269" s="95" t="str">
        <f>IF(A269&lt;&gt;"",SUMIFS(deployment!$H$4:$H$502, deployment!$D$4:$D$502,"="&amp;A269, deployment!$D$4:$D$502,"&lt;&gt;"&amp;""),"")</f>
        <v/>
      </c>
      <c r="J269" s="96" t="str">
        <f>IF(A269&lt;&gt;"",SUMIFS(deployment!$I$4:$I$502, deployment!$D$4:$D$502,"="&amp;A269, deployment!$D$4:$D$502,"&lt;&gt;"&amp;""),"")</f>
        <v/>
      </c>
      <c r="K269" s="112" t="str">
        <f>IF(A269&lt;&gt;"",SUMIFS(deployment!$J$4:$J$502, deployment!$D$4:$D$502,"="&amp;A269, deployment!$D$4:$D$502,"&lt;&gt;"&amp;""),"")</f>
        <v/>
      </c>
      <c r="L269" s="112" t="str">
        <f>IF(A269&lt;&gt;"",SUMIFS(deployment!$K$4:$K$502, deployment!$D$4:$D$502,"="&amp;A269, deployment!$D$4:$D$502,"&lt;&gt;"&amp;""),"")</f>
        <v/>
      </c>
      <c r="M269" s="97" t="str">
        <f>IF(A269&lt;&gt;"",SUMIFS(deployment!$L$4:$L$502, deployment!$D$4:$D$502,"="&amp;A269, deployment!$D$4:$D$502,"&lt;&gt;"&amp;""),"")</f>
        <v/>
      </c>
      <c r="N269" s="97" t="str">
        <f>IF(A269&lt;&gt;"",SUMIFS(deployment!$M$4:$M$502, deployment!$D$4:$D$502,"="&amp;A269, deployment!$D$4:$D$502,"&lt;&gt;"&amp;""),"")</f>
        <v/>
      </c>
      <c r="O269" s="127" t="str">
        <f t="shared" si="59"/>
        <v/>
      </c>
      <c r="P269" s="104"/>
      <c r="Q269" s="99" t="str">
        <f t="shared" si="48"/>
        <v/>
      </c>
      <c r="R269" s="100" t="str">
        <f t="shared" si="49"/>
        <v/>
      </c>
      <c r="S269" s="100" t="str">
        <f t="shared" si="50"/>
        <v/>
      </c>
      <c r="T269" s="101" t="str">
        <f t="shared" si="51"/>
        <v/>
      </c>
      <c r="U269" s="101" t="str">
        <f t="shared" si="52"/>
        <v/>
      </c>
      <c r="V269" s="128" t="str">
        <f t="shared" si="53"/>
        <v/>
      </c>
      <c r="W269" s="128" t="str">
        <f t="shared" si="54"/>
        <v/>
      </c>
      <c r="X269" s="101" t="str">
        <f t="shared" si="55"/>
        <v/>
      </c>
      <c r="Y269" s="101" t="str">
        <f t="shared" si="56"/>
        <v/>
      </c>
      <c r="Z269" s="102" t="str">
        <f t="shared" si="57"/>
        <v/>
      </c>
      <c r="AA269" s="103" t="str">
        <f t="shared" si="58"/>
        <v/>
      </c>
      <c r="AB269" s="142" t="str">
        <f>IF(A269&lt;&gt;"", SUMIFS(node!$J$2:$J$500, node!$C$2:$C$500,"="&amp;A269)/P269, "")</f>
        <v/>
      </c>
      <c r="AC269" s="134" t="str">
        <f>IF(A269&lt;&gt;"", SUMIFS(node!$K$2:$K$500, node!$C$2:$C$500,"="&amp;A269)/P269, "")</f>
        <v/>
      </c>
      <c r="AD269" s="135" t="str">
        <f>IF(A269&lt;&gt;"", SUMIFS(node!$L$2:$L$500, node!$C$2:$C$500,"="&amp;A269), "")</f>
        <v/>
      </c>
      <c r="AE269" s="145" t="str">
        <f>IF(A269&lt;&gt;"", SUMIFS(node!$M$2:$M$500, node!$C$2:$C$500,"="&amp;A269), "")</f>
        <v/>
      </c>
    </row>
    <row r="270" spans="1:31" ht="15.75" customHeight="1" x14ac:dyDescent="0.25">
      <c r="A270" s="119" t="str">
        <f>IF(ISNONTEXT(node_raw[[#This Row],[Column2]]), "", node_raw[[#This Row],[Column2]])</f>
        <v/>
      </c>
      <c r="B270" s="116" t="str">
        <f>IF(A270&lt;&gt;"", VLOOKUP(A270, node!$C$2:$D$500, 2, FALSE), "")</f>
        <v/>
      </c>
      <c r="C270" s="117" t="str">
        <f>IF(A270&lt;&gt;"", VLOOKUP(A270, node!$C$2:$E$500, 3, FALSE), "")</f>
        <v/>
      </c>
      <c r="D270" s="118" t="str">
        <f>IF(A270&lt;&gt;"",COUNTIFS(node!$C$2:$C$500,"="&amp;A270, node!$C$2:$C$500,"&lt;&gt;"&amp;""),"")</f>
        <v/>
      </c>
      <c r="E270" s="122" t="str">
        <f>IF(A270&lt;&gt;"",SUMIFS(node!$F$2:$F$500, node!$C$2:$C$500,"="&amp;A270, node!$C$2:$C$500,"&lt;&gt;"&amp;"")/(B270*D270),"")</f>
        <v/>
      </c>
      <c r="F270" s="124" t="str">
        <f>IF(A270&lt;&gt;"",SUMIFS(node!$H$2:$H$500, node!$C$2:$C$500,"="&amp;A270, node!$C$2:$C$500,"&lt;&gt;"&amp;"")/(C270*D270),"")</f>
        <v/>
      </c>
      <c r="G270" s="93" t="str">
        <f>IF(A270&lt;&gt;"",SUMIFS(deployment!$F$4:$F$502, deployment!$D$4:$D$502,"="&amp;A270, deployment!$D$4:$D$502,"&lt;&gt;"&amp;""),"")</f>
        <v/>
      </c>
      <c r="H270" s="94" t="str">
        <f>IF(A270&lt;&gt;"",SUMIFS(deployment!$G$4:$G$502, deployment!$D$4:$D$502,"="&amp;A270, deployment!$D$4:$D$502,"&lt;&gt;"&amp;""),"")</f>
        <v/>
      </c>
      <c r="I270" s="95" t="str">
        <f>IF(A270&lt;&gt;"",SUMIFS(deployment!$H$4:$H$502, deployment!$D$4:$D$502,"="&amp;A270, deployment!$D$4:$D$502,"&lt;&gt;"&amp;""),"")</f>
        <v/>
      </c>
      <c r="J270" s="96" t="str">
        <f>IF(A270&lt;&gt;"",SUMIFS(deployment!$I$4:$I$502, deployment!$D$4:$D$502,"="&amp;A270, deployment!$D$4:$D$502,"&lt;&gt;"&amp;""),"")</f>
        <v/>
      </c>
      <c r="K270" s="112" t="str">
        <f>IF(A270&lt;&gt;"",SUMIFS(deployment!$J$4:$J$502, deployment!$D$4:$D$502,"="&amp;A270, deployment!$D$4:$D$502,"&lt;&gt;"&amp;""),"")</f>
        <v/>
      </c>
      <c r="L270" s="112" t="str">
        <f>IF(A270&lt;&gt;"",SUMIFS(deployment!$K$4:$K$502, deployment!$D$4:$D$502,"="&amp;A270, deployment!$D$4:$D$502,"&lt;&gt;"&amp;""),"")</f>
        <v/>
      </c>
      <c r="M270" s="97" t="str">
        <f>IF(A270&lt;&gt;"",SUMIFS(deployment!$L$4:$L$502, deployment!$D$4:$D$502,"="&amp;A270, deployment!$D$4:$D$502,"&lt;&gt;"&amp;""),"")</f>
        <v/>
      </c>
      <c r="N270" s="97" t="str">
        <f>IF(A270&lt;&gt;"",SUMIFS(deployment!$M$4:$M$502, deployment!$D$4:$D$502,"="&amp;A270, deployment!$D$4:$D$502,"&lt;&gt;"&amp;""),"")</f>
        <v/>
      </c>
      <c r="O270" s="127" t="str">
        <f t="shared" si="59"/>
        <v/>
      </c>
      <c r="P270" s="104"/>
      <c r="Q270" s="99" t="str">
        <f t="shared" si="48"/>
        <v/>
      </c>
      <c r="R270" s="100" t="str">
        <f t="shared" si="49"/>
        <v/>
      </c>
      <c r="S270" s="100" t="str">
        <f t="shared" si="50"/>
        <v/>
      </c>
      <c r="T270" s="101" t="str">
        <f t="shared" si="51"/>
        <v/>
      </c>
      <c r="U270" s="101" t="str">
        <f t="shared" si="52"/>
        <v/>
      </c>
      <c r="V270" s="128" t="str">
        <f t="shared" si="53"/>
        <v/>
      </c>
      <c r="W270" s="128" t="str">
        <f t="shared" si="54"/>
        <v/>
      </c>
      <c r="X270" s="101" t="str">
        <f t="shared" si="55"/>
        <v/>
      </c>
      <c r="Y270" s="101" t="str">
        <f t="shared" si="56"/>
        <v/>
      </c>
      <c r="Z270" s="102" t="str">
        <f t="shared" si="57"/>
        <v/>
      </c>
      <c r="AA270" s="103" t="str">
        <f t="shared" si="58"/>
        <v/>
      </c>
      <c r="AB270" s="142" t="str">
        <f>IF(A270&lt;&gt;"", SUMIFS(node!$J$2:$J$500, node!$C$2:$C$500,"="&amp;A270)/P270, "")</f>
        <v/>
      </c>
      <c r="AC270" s="134" t="str">
        <f>IF(A270&lt;&gt;"", SUMIFS(node!$K$2:$K$500, node!$C$2:$C$500,"="&amp;A270)/P270, "")</f>
        <v/>
      </c>
      <c r="AD270" s="135" t="str">
        <f>IF(A270&lt;&gt;"", SUMIFS(node!$L$2:$L$500, node!$C$2:$C$500,"="&amp;A270), "")</f>
        <v/>
      </c>
      <c r="AE270" s="145" t="str">
        <f>IF(A270&lt;&gt;"", SUMIFS(node!$M$2:$M$500, node!$C$2:$C$500,"="&amp;A270), "")</f>
        <v/>
      </c>
    </row>
    <row r="271" spans="1:31" ht="15.75" customHeight="1" x14ac:dyDescent="0.25">
      <c r="A271" s="119" t="str">
        <f>IF(ISNONTEXT(node_raw[[#This Row],[Column2]]), "", node_raw[[#This Row],[Column2]])</f>
        <v/>
      </c>
      <c r="B271" s="116" t="str">
        <f>IF(A271&lt;&gt;"", VLOOKUP(A271, node!$C$2:$D$500, 2, FALSE), "")</f>
        <v/>
      </c>
      <c r="C271" s="117" t="str">
        <f>IF(A271&lt;&gt;"", VLOOKUP(A271, node!$C$2:$E$500, 3, FALSE), "")</f>
        <v/>
      </c>
      <c r="D271" s="118" t="str">
        <f>IF(A271&lt;&gt;"",COUNTIFS(node!$C$2:$C$500,"="&amp;A271, node!$C$2:$C$500,"&lt;&gt;"&amp;""),"")</f>
        <v/>
      </c>
      <c r="E271" s="122" t="str">
        <f>IF(A271&lt;&gt;"",SUMIFS(node!$F$2:$F$500, node!$C$2:$C$500,"="&amp;A271, node!$C$2:$C$500,"&lt;&gt;"&amp;"")/(B271*D271),"")</f>
        <v/>
      </c>
      <c r="F271" s="124" t="str">
        <f>IF(A271&lt;&gt;"",SUMIFS(node!$H$2:$H$500, node!$C$2:$C$500,"="&amp;A271, node!$C$2:$C$500,"&lt;&gt;"&amp;"")/(C271*D271),"")</f>
        <v/>
      </c>
      <c r="G271" s="93" t="str">
        <f>IF(A271&lt;&gt;"",SUMIFS(deployment!$F$4:$F$502, deployment!$D$4:$D$502,"="&amp;A271, deployment!$D$4:$D$502,"&lt;&gt;"&amp;""),"")</f>
        <v/>
      </c>
      <c r="H271" s="94" t="str">
        <f>IF(A271&lt;&gt;"",SUMIFS(deployment!$G$4:$G$502, deployment!$D$4:$D$502,"="&amp;A271, deployment!$D$4:$D$502,"&lt;&gt;"&amp;""),"")</f>
        <v/>
      </c>
      <c r="I271" s="95" t="str">
        <f>IF(A271&lt;&gt;"",SUMIFS(deployment!$H$4:$H$502, deployment!$D$4:$D$502,"="&amp;A271, deployment!$D$4:$D$502,"&lt;&gt;"&amp;""),"")</f>
        <v/>
      </c>
      <c r="J271" s="96" t="str">
        <f>IF(A271&lt;&gt;"",SUMIFS(deployment!$I$4:$I$502, deployment!$D$4:$D$502,"="&amp;A271, deployment!$D$4:$D$502,"&lt;&gt;"&amp;""),"")</f>
        <v/>
      </c>
      <c r="K271" s="112" t="str">
        <f>IF(A271&lt;&gt;"",SUMIFS(deployment!$J$4:$J$502, deployment!$D$4:$D$502,"="&amp;A271, deployment!$D$4:$D$502,"&lt;&gt;"&amp;""),"")</f>
        <v/>
      </c>
      <c r="L271" s="112" t="str">
        <f>IF(A271&lt;&gt;"",SUMIFS(deployment!$K$4:$K$502, deployment!$D$4:$D$502,"="&amp;A271, deployment!$D$4:$D$502,"&lt;&gt;"&amp;""),"")</f>
        <v/>
      </c>
      <c r="M271" s="97" t="str">
        <f>IF(A271&lt;&gt;"",SUMIFS(deployment!$L$4:$L$502, deployment!$D$4:$D$502,"="&amp;A271, deployment!$D$4:$D$502,"&lt;&gt;"&amp;""),"")</f>
        <v/>
      </c>
      <c r="N271" s="97" t="str">
        <f>IF(A271&lt;&gt;"",SUMIFS(deployment!$M$4:$M$502, deployment!$D$4:$D$502,"="&amp;A271, deployment!$D$4:$D$502,"&lt;&gt;"&amp;""),"")</f>
        <v/>
      </c>
      <c r="O271" s="127" t="str">
        <f t="shared" si="59"/>
        <v/>
      </c>
      <c r="P271" s="104"/>
      <c r="Q271" s="99" t="str">
        <f t="shared" si="48"/>
        <v/>
      </c>
      <c r="R271" s="100" t="str">
        <f t="shared" si="49"/>
        <v/>
      </c>
      <c r="S271" s="100" t="str">
        <f t="shared" si="50"/>
        <v/>
      </c>
      <c r="T271" s="101" t="str">
        <f t="shared" si="51"/>
        <v/>
      </c>
      <c r="U271" s="101" t="str">
        <f t="shared" si="52"/>
        <v/>
      </c>
      <c r="V271" s="128" t="str">
        <f t="shared" si="53"/>
        <v/>
      </c>
      <c r="W271" s="128" t="str">
        <f t="shared" si="54"/>
        <v/>
      </c>
      <c r="X271" s="101" t="str">
        <f t="shared" si="55"/>
        <v/>
      </c>
      <c r="Y271" s="101" t="str">
        <f t="shared" si="56"/>
        <v/>
      </c>
      <c r="Z271" s="102" t="str">
        <f t="shared" si="57"/>
        <v/>
      </c>
      <c r="AA271" s="103" t="str">
        <f t="shared" si="58"/>
        <v/>
      </c>
      <c r="AB271" s="142" t="str">
        <f>IF(A271&lt;&gt;"", SUMIFS(node!$J$2:$J$500, node!$C$2:$C$500,"="&amp;A271)/P271, "")</f>
        <v/>
      </c>
      <c r="AC271" s="134" t="str">
        <f>IF(A271&lt;&gt;"", SUMIFS(node!$K$2:$K$500, node!$C$2:$C$500,"="&amp;A271)/P271, "")</f>
        <v/>
      </c>
      <c r="AD271" s="135" t="str">
        <f>IF(A271&lt;&gt;"", SUMIFS(node!$L$2:$L$500, node!$C$2:$C$500,"="&amp;A271), "")</f>
        <v/>
      </c>
      <c r="AE271" s="145" t="str">
        <f>IF(A271&lt;&gt;"", SUMIFS(node!$M$2:$M$500, node!$C$2:$C$500,"="&amp;A271), "")</f>
        <v/>
      </c>
    </row>
    <row r="272" spans="1:31" ht="15.75" customHeight="1" x14ac:dyDescent="0.25">
      <c r="A272" s="119" t="str">
        <f>IF(ISNONTEXT(node_raw[[#This Row],[Column2]]), "", node_raw[[#This Row],[Column2]])</f>
        <v/>
      </c>
      <c r="B272" s="116" t="str">
        <f>IF(A272&lt;&gt;"", VLOOKUP(A272, node!$C$2:$D$500, 2, FALSE), "")</f>
        <v/>
      </c>
      <c r="C272" s="117" t="str">
        <f>IF(A272&lt;&gt;"", VLOOKUP(A272, node!$C$2:$E$500, 3, FALSE), "")</f>
        <v/>
      </c>
      <c r="D272" s="118" t="str">
        <f>IF(A272&lt;&gt;"",COUNTIFS(node!$C$2:$C$500,"="&amp;A272, node!$C$2:$C$500,"&lt;&gt;"&amp;""),"")</f>
        <v/>
      </c>
      <c r="E272" s="122" t="str">
        <f>IF(A272&lt;&gt;"",SUMIFS(node!$F$2:$F$500, node!$C$2:$C$500,"="&amp;A272, node!$C$2:$C$500,"&lt;&gt;"&amp;"")/(B272*D272),"")</f>
        <v/>
      </c>
      <c r="F272" s="124" t="str">
        <f>IF(A272&lt;&gt;"",SUMIFS(node!$H$2:$H$500, node!$C$2:$C$500,"="&amp;A272, node!$C$2:$C$500,"&lt;&gt;"&amp;"")/(C272*D272),"")</f>
        <v/>
      </c>
      <c r="G272" s="93" t="str">
        <f>IF(A272&lt;&gt;"",SUMIFS(deployment!$F$4:$F$502, deployment!$D$4:$D$502,"="&amp;A272, deployment!$D$4:$D$502,"&lt;&gt;"&amp;""),"")</f>
        <v/>
      </c>
      <c r="H272" s="94" t="str">
        <f>IF(A272&lt;&gt;"",SUMIFS(deployment!$G$4:$G$502, deployment!$D$4:$D$502,"="&amp;A272, deployment!$D$4:$D$502,"&lt;&gt;"&amp;""),"")</f>
        <v/>
      </c>
      <c r="I272" s="95" t="str">
        <f>IF(A272&lt;&gt;"",SUMIFS(deployment!$H$4:$H$502, deployment!$D$4:$D$502,"="&amp;A272, deployment!$D$4:$D$502,"&lt;&gt;"&amp;""),"")</f>
        <v/>
      </c>
      <c r="J272" s="96" t="str">
        <f>IF(A272&lt;&gt;"",SUMIFS(deployment!$I$4:$I$502, deployment!$D$4:$D$502,"="&amp;A272, deployment!$D$4:$D$502,"&lt;&gt;"&amp;""),"")</f>
        <v/>
      </c>
      <c r="K272" s="112" t="str">
        <f>IF(A272&lt;&gt;"",SUMIFS(deployment!$J$4:$J$502, deployment!$D$4:$D$502,"="&amp;A272, deployment!$D$4:$D$502,"&lt;&gt;"&amp;""),"")</f>
        <v/>
      </c>
      <c r="L272" s="112" t="str">
        <f>IF(A272&lt;&gt;"",SUMIFS(deployment!$K$4:$K$502, deployment!$D$4:$D$502,"="&amp;A272, deployment!$D$4:$D$502,"&lt;&gt;"&amp;""),"")</f>
        <v/>
      </c>
      <c r="M272" s="97" t="str">
        <f>IF(A272&lt;&gt;"",SUMIFS(deployment!$L$4:$L$502, deployment!$D$4:$D$502,"="&amp;A272, deployment!$D$4:$D$502,"&lt;&gt;"&amp;""),"")</f>
        <v/>
      </c>
      <c r="N272" s="97" t="str">
        <f>IF(A272&lt;&gt;"",SUMIFS(deployment!$M$4:$M$502, deployment!$D$4:$D$502,"="&amp;A272, deployment!$D$4:$D$502,"&lt;&gt;"&amp;""),"")</f>
        <v/>
      </c>
      <c r="O272" s="127" t="str">
        <f t="shared" si="59"/>
        <v/>
      </c>
      <c r="P272" s="104"/>
      <c r="Q272" s="99" t="str">
        <f t="shared" si="48"/>
        <v/>
      </c>
      <c r="R272" s="100" t="str">
        <f t="shared" si="49"/>
        <v/>
      </c>
      <c r="S272" s="100" t="str">
        <f t="shared" si="50"/>
        <v/>
      </c>
      <c r="T272" s="101" t="str">
        <f t="shared" si="51"/>
        <v/>
      </c>
      <c r="U272" s="101" t="str">
        <f t="shared" si="52"/>
        <v/>
      </c>
      <c r="V272" s="128" t="str">
        <f t="shared" si="53"/>
        <v/>
      </c>
      <c r="W272" s="128" t="str">
        <f t="shared" si="54"/>
        <v/>
      </c>
      <c r="X272" s="101" t="str">
        <f t="shared" si="55"/>
        <v/>
      </c>
      <c r="Y272" s="101" t="str">
        <f t="shared" si="56"/>
        <v/>
      </c>
      <c r="Z272" s="102" t="str">
        <f t="shared" si="57"/>
        <v/>
      </c>
      <c r="AA272" s="103" t="str">
        <f t="shared" si="58"/>
        <v/>
      </c>
      <c r="AB272" s="142" t="str">
        <f>IF(A272&lt;&gt;"", SUMIFS(node!$J$2:$J$500, node!$C$2:$C$500,"="&amp;A272)/P272, "")</f>
        <v/>
      </c>
      <c r="AC272" s="134" t="str">
        <f>IF(A272&lt;&gt;"", SUMIFS(node!$K$2:$K$500, node!$C$2:$C$500,"="&amp;A272)/P272, "")</f>
        <v/>
      </c>
      <c r="AD272" s="135" t="str">
        <f>IF(A272&lt;&gt;"", SUMIFS(node!$L$2:$L$500, node!$C$2:$C$500,"="&amp;A272), "")</f>
        <v/>
      </c>
      <c r="AE272" s="145" t="str">
        <f>IF(A272&lt;&gt;"", SUMIFS(node!$M$2:$M$500, node!$C$2:$C$500,"="&amp;A272), "")</f>
        <v/>
      </c>
    </row>
    <row r="273" spans="1:31" ht="15.75" customHeight="1" x14ac:dyDescent="0.25">
      <c r="A273" s="119" t="str">
        <f>IF(ISNONTEXT(node_raw[[#This Row],[Column2]]), "", node_raw[[#This Row],[Column2]])</f>
        <v/>
      </c>
      <c r="B273" s="116" t="str">
        <f>IF(A273&lt;&gt;"", VLOOKUP(A273, node!$C$2:$D$500, 2, FALSE), "")</f>
        <v/>
      </c>
      <c r="C273" s="117" t="str">
        <f>IF(A273&lt;&gt;"", VLOOKUP(A273, node!$C$2:$E$500, 3, FALSE), "")</f>
        <v/>
      </c>
      <c r="D273" s="118" t="str">
        <f>IF(A273&lt;&gt;"",COUNTIFS(node!$C$2:$C$500,"="&amp;A273, node!$C$2:$C$500,"&lt;&gt;"&amp;""),"")</f>
        <v/>
      </c>
      <c r="E273" s="122" t="str">
        <f>IF(A273&lt;&gt;"",SUMIFS(node!$F$2:$F$500, node!$C$2:$C$500,"="&amp;A273, node!$C$2:$C$500,"&lt;&gt;"&amp;"")/(B273*D273),"")</f>
        <v/>
      </c>
      <c r="F273" s="124" t="str">
        <f>IF(A273&lt;&gt;"",SUMIFS(node!$H$2:$H$500, node!$C$2:$C$500,"="&amp;A273, node!$C$2:$C$500,"&lt;&gt;"&amp;"")/(C273*D273),"")</f>
        <v/>
      </c>
      <c r="G273" s="93" t="str">
        <f>IF(A273&lt;&gt;"",SUMIFS(deployment!$F$4:$F$502, deployment!$D$4:$D$502,"="&amp;A273, deployment!$D$4:$D$502,"&lt;&gt;"&amp;""),"")</f>
        <v/>
      </c>
      <c r="H273" s="94" t="str">
        <f>IF(A273&lt;&gt;"",SUMIFS(deployment!$G$4:$G$502, deployment!$D$4:$D$502,"="&amp;A273, deployment!$D$4:$D$502,"&lt;&gt;"&amp;""),"")</f>
        <v/>
      </c>
      <c r="I273" s="95" t="str">
        <f>IF(A273&lt;&gt;"",SUMIFS(deployment!$H$4:$H$502, deployment!$D$4:$D$502,"="&amp;A273, deployment!$D$4:$D$502,"&lt;&gt;"&amp;""),"")</f>
        <v/>
      </c>
      <c r="J273" s="96" t="str">
        <f>IF(A273&lt;&gt;"",SUMIFS(deployment!$I$4:$I$502, deployment!$D$4:$D$502,"="&amp;A273, deployment!$D$4:$D$502,"&lt;&gt;"&amp;""),"")</f>
        <v/>
      </c>
      <c r="K273" s="112" t="str">
        <f>IF(A273&lt;&gt;"",SUMIFS(deployment!$J$4:$J$502, deployment!$D$4:$D$502,"="&amp;A273, deployment!$D$4:$D$502,"&lt;&gt;"&amp;""),"")</f>
        <v/>
      </c>
      <c r="L273" s="112" t="str">
        <f>IF(A273&lt;&gt;"",SUMIFS(deployment!$K$4:$K$502, deployment!$D$4:$D$502,"="&amp;A273, deployment!$D$4:$D$502,"&lt;&gt;"&amp;""),"")</f>
        <v/>
      </c>
      <c r="M273" s="97" t="str">
        <f>IF(A273&lt;&gt;"",SUMIFS(deployment!$L$4:$L$502, deployment!$D$4:$D$502,"="&amp;A273, deployment!$D$4:$D$502,"&lt;&gt;"&amp;""),"")</f>
        <v/>
      </c>
      <c r="N273" s="97" t="str">
        <f>IF(A273&lt;&gt;"",SUMIFS(deployment!$M$4:$M$502, deployment!$D$4:$D$502,"="&amp;A273, deployment!$D$4:$D$502,"&lt;&gt;"&amp;""),"")</f>
        <v/>
      </c>
      <c r="O273" s="127" t="str">
        <f t="shared" si="59"/>
        <v/>
      </c>
      <c r="P273" s="104"/>
      <c r="Q273" s="99" t="str">
        <f t="shared" si="48"/>
        <v/>
      </c>
      <c r="R273" s="100" t="str">
        <f t="shared" si="49"/>
        <v/>
      </c>
      <c r="S273" s="100" t="str">
        <f t="shared" si="50"/>
        <v/>
      </c>
      <c r="T273" s="101" t="str">
        <f t="shared" si="51"/>
        <v/>
      </c>
      <c r="U273" s="101" t="str">
        <f t="shared" si="52"/>
        <v/>
      </c>
      <c r="V273" s="128" t="str">
        <f t="shared" si="53"/>
        <v/>
      </c>
      <c r="W273" s="128" t="str">
        <f t="shared" si="54"/>
        <v/>
      </c>
      <c r="X273" s="101" t="str">
        <f t="shared" si="55"/>
        <v/>
      </c>
      <c r="Y273" s="101" t="str">
        <f t="shared" si="56"/>
        <v/>
      </c>
      <c r="Z273" s="102" t="str">
        <f t="shared" si="57"/>
        <v/>
      </c>
      <c r="AA273" s="103" t="str">
        <f t="shared" si="58"/>
        <v/>
      </c>
      <c r="AB273" s="142" t="str">
        <f>IF(A273&lt;&gt;"", SUMIFS(node!$J$2:$J$500, node!$C$2:$C$500,"="&amp;A273)/P273, "")</f>
        <v/>
      </c>
      <c r="AC273" s="134" t="str">
        <f>IF(A273&lt;&gt;"", SUMIFS(node!$K$2:$K$500, node!$C$2:$C$500,"="&amp;A273)/P273, "")</f>
        <v/>
      </c>
      <c r="AD273" s="135" t="str">
        <f>IF(A273&lt;&gt;"", SUMIFS(node!$L$2:$L$500, node!$C$2:$C$500,"="&amp;A273), "")</f>
        <v/>
      </c>
      <c r="AE273" s="145" t="str">
        <f>IF(A273&lt;&gt;"", SUMIFS(node!$M$2:$M$500, node!$C$2:$C$500,"="&amp;A273), "")</f>
        <v/>
      </c>
    </row>
    <row r="274" spans="1:31" ht="15.75" customHeight="1" x14ac:dyDescent="0.25">
      <c r="A274" s="119" t="str">
        <f>IF(ISNONTEXT(node_raw[[#This Row],[Column2]]), "", node_raw[[#This Row],[Column2]])</f>
        <v/>
      </c>
      <c r="B274" s="116" t="str">
        <f>IF(A274&lt;&gt;"", VLOOKUP(A274, node!$C$2:$D$500, 2, FALSE), "")</f>
        <v/>
      </c>
      <c r="C274" s="117" t="str">
        <f>IF(A274&lt;&gt;"", VLOOKUP(A274, node!$C$2:$E$500, 3, FALSE), "")</f>
        <v/>
      </c>
      <c r="D274" s="118" t="str">
        <f>IF(A274&lt;&gt;"",COUNTIFS(node!$C$2:$C$500,"="&amp;A274, node!$C$2:$C$500,"&lt;&gt;"&amp;""),"")</f>
        <v/>
      </c>
      <c r="E274" s="122" t="str">
        <f>IF(A274&lt;&gt;"",SUMIFS(node!$F$2:$F$500, node!$C$2:$C$500,"="&amp;A274, node!$C$2:$C$500,"&lt;&gt;"&amp;"")/(B274*D274),"")</f>
        <v/>
      </c>
      <c r="F274" s="124" t="str">
        <f>IF(A274&lt;&gt;"",SUMIFS(node!$H$2:$H$500, node!$C$2:$C$500,"="&amp;A274, node!$C$2:$C$500,"&lt;&gt;"&amp;"")/(C274*D274),"")</f>
        <v/>
      </c>
      <c r="G274" s="93" t="str">
        <f>IF(A274&lt;&gt;"",SUMIFS(deployment!$F$4:$F$502, deployment!$D$4:$D$502,"="&amp;A274, deployment!$D$4:$D$502,"&lt;&gt;"&amp;""),"")</f>
        <v/>
      </c>
      <c r="H274" s="94" t="str">
        <f>IF(A274&lt;&gt;"",SUMIFS(deployment!$G$4:$G$502, deployment!$D$4:$D$502,"="&amp;A274, deployment!$D$4:$D$502,"&lt;&gt;"&amp;""),"")</f>
        <v/>
      </c>
      <c r="I274" s="95" t="str">
        <f>IF(A274&lt;&gt;"",SUMIFS(deployment!$H$4:$H$502, deployment!$D$4:$D$502,"="&amp;A274, deployment!$D$4:$D$502,"&lt;&gt;"&amp;""),"")</f>
        <v/>
      </c>
      <c r="J274" s="96" t="str">
        <f>IF(A274&lt;&gt;"",SUMIFS(deployment!$I$4:$I$502, deployment!$D$4:$D$502,"="&amp;A274, deployment!$D$4:$D$502,"&lt;&gt;"&amp;""),"")</f>
        <v/>
      </c>
      <c r="K274" s="112" t="str">
        <f>IF(A274&lt;&gt;"",SUMIFS(deployment!$J$4:$J$502, deployment!$D$4:$D$502,"="&amp;A274, deployment!$D$4:$D$502,"&lt;&gt;"&amp;""),"")</f>
        <v/>
      </c>
      <c r="L274" s="112" t="str">
        <f>IF(A274&lt;&gt;"",SUMIFS(deployment!$K$4:$K$502, deployment!$D$4:$D$502,"="&amp;A274, deployment!$D$4:$D$502,"&lt;&gt;"&amp;""),"")</f>
        <v/>
      </c>
      <c r="M274" s="97" t="str">
        <f>IF(A274&lt;&gt;"",SUMIFS(deployment!$L$4:$L$502, deployment!$D$4:$D$502,"="&amp;A274, deployment!$D$4:$D$502,"&lt;&gt;"&amp;""),"")</f>
        <v/>
      </c>
      <c r="N274" s="97" t="str">
        <f>IF(A274&lt;&gt;"",SUMIFS(deployment!$M$4:$M$502, deployment!$D$4:$D$502,"="&amp;A274, deployment!$D$4:$D$502,"&lt;&gt;"&amp;""),"")</f>
        <v/>
      </c>
      <c r="O274" s="127" t="str">
        <f t="shared" si="59"/>
        <v/>
      </c>
      <c r="P274" s="104"/>
      <c r="Q274" s="99" t="str">
        <f t="shared" si="48"/>
        <v/>
      </c>
      <c r="R274" s="100" t="str">
        <f t="shared" si="49"/>
        <v/>
      </c>
      <c r="S274" s="100" t="str">
        <f t="shared" si="50"/>
        <v/>
      </c>
      <c r="T274" s="101" t="str">
        <f t="shared" si="51"/>
        <v/>
      </c>
      <c r="U274" s="101" t="str">
        <f t="shared" si="52"/>
        <v/>
      </c>
      <c r="V274" s="128" t="str">
        <f t="shared" si="53"/>
        <v/>
      </c>
      <c r="W274" s="128" t="str">
        <f t="shared" si="54"/>
        <v/>
      </c>
      <c r="X274" s="101" t="str">
        <f t="shared" si="55"/>
        <v/>
      </c>
      <c r="Y274" s="101" t="str">
        <f t="shared" si="56"/>
        <v/>
      </c>
      <c r="Z274" s="102" t="str">
        <f t="shared" si="57"/>
        <v/>
      </c>
      <c r="AA274" s="103" t="str">
        <f t="shared" si="58"/>
        <v/>
      </c>
      <c r="AB274" s="142" t="str">
        <f>IF(A274&lt;&gt;"", SUMIFS(node!$J$2:$J$500, node!$C$2:$C$500,"="&amp;A274)/P274, "")</f>
        <v/>
      </c>
      <c r="AC274" s="134" t="str">
        <f>IF(A274&lt;&gt;"", SUMIFS(node!$K$2:$K$500, node!$C$2:$C$500,"="&amp;A274)/P274, "")</f>
        <v/>
      </c>
      <c r="AD274" s="135" t="str">
        <f>IF(A274&lt;&gt;"", SUMIFS(node!$L$2:$L$500, node!$C$2:$C$500,"="&amp;A274), "")</f>
        <v/>
      </c>
      <c r="AE274" s="145" t="str">
        <f>IF(A274&lt;&gt;"", SUMIFS(node!$M$2:$M$500, node!$C$2:$C$500,"="&amp;A274), "")</f>
        <v/>
      </c>
    </row>
    <row r="275" spans="1:31" ht="15.75" customHeight="1" x14ac:dyDescent="0.25">
      <c r="A275" s="119" t="str">
        <f>IF(ISNONTEXT(node_raw[[#This Row],[Column2]]), "", node_raw[[#This Row],[Column2]])</f>
        <v/>
      </c>
      <c r="B275" s="116" t="str">
        <f>IF(A275&lt;&gt;"", VLOOKUP(A275, node!$C$2:$D$500, 2, FALSE), "")</f>
        <v/>
      </c>
      <c r="C275" s="117" t="str">
        <f>IF(A275&lt;&gt;"", VLOOKUP(A275, node!$C$2:$E$500, 3, FALSE), "")</f>
        <v/>
      </c>
      <c r="D275" s="118" t="str">
        <f>IF(A275&lt;&gt;"",COUNTIFS(node!$C$2:$C$500,"="&amp;A275, node!$C$2:$C$500,"&lt;&gt;"&amp;""),"")</f>
        <v/>
      </c>
      <c r="E275" s="122" t="str">
        <f>IF(A275&lt;&gt;"",SUMIFS(node!$F$2:$F$500, node!$C$2:$C$500,"="&amp;A275, node!$C$2:$C$500,"&lt;&gt;"&amp;"")/(B275*D275),"")</f>
        <v/>
      </c>
      <c r="F275" s="124" t="str">
        <f>IF(A275&lt;&gt;"",SUMIFS(node!$H$2:$H$500, node!$C$2:$C$500,"="&amp;A275, node!$C$2:$C$500,"&lt;&gt;"&amp;"")/(C275*D275),"")</f>
        <v/>
      </c>
      <c r="G275" s="93" t="str">
        <f>IF(A275&lt;&gt;"",SUMIFS(deployment!$F$4:$F$502, deployment!$D$4:$D$502,"="&amp;A275, deployment!$D$4:$D$502,"&lt;&gt;"&amp;""),"")</f>
        <v/>
      </c>
      <c r="H275" s="94" t="str">
        <f>IF(A275&lt;&gt;"",SUMIFS(deployment!$G$4:$G$502, deployment!$D$4:$D$502,"="&amp;A275, deployment!$D$4:$D$502,"&lt;&gt;"&amp;""),"")</f>
        <v/>
      </c>
      <c r="I275" s="95" t="str">
        <f>IF(A275&lt;&gt;"",SUMIFS(deployment!$H$4:$H$502, deployment!$D$4:$D$502,"="&amp;A275, deployment!$D$4:$D$502,"&lt;&gt;"&amp;""),"")</f>
        <v/>
      </c>
      <c r="J275" s="96" t="str">
        <f>IF(A275&lt;&gt;"",SUMIFS(deployment!$I$4:$I$502, deployment!$D$4:$D$502,"="&amp;A275, deployment!$D$4:$D$502,"&lt;&gt;"&amp;""),"")</f>
        <v/>
      </c>
      <c r="K275" s="112" t="str">
        <f>IF(A275&lt;&gt;"",SUMIFS(deployment!$J$4:$J$502, deployment!$D$4:$D$502,"="&amp;A275, deployment!$D$4:$D$502,"&lt;&gt;"&amp;""),"")</f>
        <v/>
      </c>
      <c r="L275" s="112" t="str">
        <f>IF(A275&lt;&gt;"",SUMIFS(deployment!$K$4:$K$502, deployment!$D$4:$D$502,"="&amp;A275, deployment!$D$4:$D$502,"&lt;&gt;"&amp;""),"")</f>
        <v/>
      </c>
      <c r="M275" s="97" t="str">
        <f>IF(A275&lt;&gt;"",SUMIFS(deployment!$L$4:$L$502, deployment!$D$4:$D$502,"="&amp;A275, deployment!$D$4:$D$502,"&lt;&gt;"&amp;""),"")</f>
        <v/>
      </c>
      <c r="N275" s="97" t="str">
        <f>IF(A275&lt;&gt;"",SUMIFS(deployment!$M$4:$M$502, deployment!$D$4:$D$502,"="&amp;A275, deployment!$D$4:$D$502,"&lt;&gt;"&amp;""),"")</f>
        <v/>
      </c>
      <c r="O275" s="127" t="str">
        <f t="shared" si="59"/>
        <v/>
      </c>
      <c r="P275" s="104"/>
      <c r="Q275" s="99" t="str">
        <f t="shared" si="48"/>
        <v/>
      </c>
      <c r="R275" s="100" t="str">
        <f t="shared" si="49"/>
        <v/>
      </c>
      <c r="S275" s="100" t="str">
        <f t="shared" si="50"/>
        <v/>
      </c>
      <c r="T275" s="101" t="str">
        <f t="shared" si="51"/>
        <v/>
      </c>
      <c r="U275" s="101" t="str">
        <f t="shared" si="52"/>
        <v/>
      </c>
      <c r="V275" s="128" t="str">
        <f t="shared" si="53"/>
        <v/>
      </c>
      <c r="W275" s="128" t="str">
        <f t="shared" si="54"/>
        <v/>
      </c>
      <c r="X275" s="101" t="str">
        <f t="shared" si="55"/>
        <v/>
      </c>
      <c r="Y275" s="101" t="str">
        <f t="shared" si="56"/>
        <v/>
      </c>
      <c r="Z275" s="102" t="str">
        <f t="shared" si="57"/>
        <v/>
      </c>
      <c r="AA275" s="103" t="str">
        <f t="shared" si="58"/>
        <v/>
      </c>
      <c r="AB275" s="142" t="str">
        <f>IF(A275&lt;&gt;"", SUMIFS(node!$J$2:$J$500, node!$C$2:$C$500,"="&amp;A275)/P275, "")</f>
        <v/>
      </c>
      <c r="AC275" s="134" t="str">
        <f>IF(A275&lt;&gt;"", SUMIFS(node!$K$2:$K$500, node!$C$2:$C$500,"="&amp;A275)/P275, "")</f>
        <v/>
      </c>
      <c r="AD275" s="135" t="str">
        <f>IF(A275&lt;&gt;"", SUMIFS(node!$L$2:$L$500, node!$C$2:$C$500,"="&amp;A275), "")</f>
        <v/>
      </c>
      <c r="AE275" s="145" t="str">
        <f>IF(A275&lt;&gt;"", SUMIFS(node!$M$2:$M$500, node!$C$2:$C$500,"="&amp;A275), "")</f>
        <v/>
      </c>
    </row>
    <row r="276" spans="1:31" ht="15.75" customHeight="1" x14ac:dyDescent="0.25">
      <c r="A276" s="119" t="str">
        <f>IF(ISNONTEXT(node_raw[[#This Row],[Column2]]), "", node_raw[[#This Row],[Column2]])</f>
        <v/>
      </c>
      <c r="B276" s="116" t="str">
        <f>IF(A276&lt;&gt;"", VLOOKUP(A276, node!$C$2:$D$500, 2, FALSE), "")</f>
        <v/>
      </c>
      <c r="C276" s="117" t="str">
        <f>IF(A276&lt;&gt;"", VLOOKUP(A276, node!$C$2:$E$500, 3, FALSE), "")</f>
        <v/>
      </c>
      <c r="D276" s="118" t="str">
        <f>IF(A276&lt;&gt;"",COUNTIFS(node!$C$2:$C$500,"="&amp;A276, node!$C$2:$C$500,"&lt;&gt;"&amp;""),"")</f>
        <v/>
      </c>
      <c r="E276" s="122" t="str">
        <f>IF(A276&lt;&gt;"",SUMIFS(node!$F$2:$F$500, node!$C$2:$C$500,"="&amp;A276, node!$C$2:$C$500,"&lt;&gt;"&amp;"")/(B276*D276),"")</f>
        <v/>
      </c>
      <c r="F276" s="124" t="str">
        <f>IF(A276&lt;&gt;"",SUMIFS(node!$H$2:$H$500, node!$C$2:$C$500,"="&amp;A276, node!$C$2:$C$500,"&lt;&gt;"&amp;"")/(C276*D276),"")</f>
        <v/>
      </c>
      <c r="G276" s="93" t="str">
        <f>IF(A276&lt;&gt;"",SUMIFS(deployment!$F$4:$F$502, deployment!$D$4:$D$502,"="&amp;A276, deployment!$D$4:$D$502,"&lt;&gt;"&amp;""),"")</f>
        <v/>
      </c>
      <c r="H276" s="94" t="str">
        <f>IF(A276&lt;&gt;"",SUMIFS(deployment!$G$4:$G$502, deployment!$D$4:$D$502,"="&amp;A276, deployment!$D$4:$D$502,"&lt;&gt;"&amp;""),"")</f>
        <v/>
      </c>
      <c r="I276" s="95" t="str">
        <f>IF(A276&lt;&gt;"",SUMIFS(deployment!$H$4:$H$502, deployment!$D$4:$D$502,"="&amp;A276, deployment!$D$4:$D$502,"&lt;&gt;"&amp;""),"")</f>
        <v/>
      </c>
      <c r="J276" s="96" t="str">
        <f>IF(A276&lt;&gt;"",SUMIFS(deployment!$I$4:$I$502, deployment!$D$4:$D$502,"="&amp;A276, deployment!$D$4:$D$502,"&lt;&gt;"&amp;""),"")</f>
        <v/>
      </c>
      <c r="K276" s="112" t="str">
        <f>IF(A276&lt;&gt;"",SUMIFS(deployment!$J$4:$J$502, deployment!$D$4:$D$502,"="&amp;A276, deployment!$D$4:$D$502,"&lt;&gt;"&amp;""),"")</f>
        <v/>
      </c>
      <c r="L276" s="112" t="str">
        <f>IF(A276&lt;&gt;"",SUMIFS(deployment!$K$4:$K$502, deployment!$D$4:$D$502,"="&amp;A276, deployment!$D$4:$D$502,"&lt;&gt;"&amp;""),"")</f>
        <v/>
      </c>
      <c r="M276" s="97" t="str">
        <f>IF(A276&lt;&gt;"",SUMIFS(deployment!$L$4:$L$502, deployment!$D$4:$D$502,"="&amp;A276, deployment!$D$4:$D$502,"&lt;&gt;"&amp;""),"")</f>
        <v/>
      </c>
      <c r="N276" s="97" t="str">
        <f>IF(A276&lt;&gt;"",SUMIFS(deployment!$M$4:$M$502, deployment!$D$4:$D$502,"="&amp;A276, deployment!$D$4:$D$502,"&lt;&gt;"&amp;""),"")</f>
        <v/>
      </c>
      <c r="O276" s="127" t="str">
        <f t="shared" si="59"/>
        <v/>
      </c>
      <c r="P276" s="104"/>
      <c r="Q276" s="99" t="str">
        <f t="shared" si="48"/>
        <v/>
      </c>
      <c r="R276" s="100" t="str">
        <f t="shared" si="49"/>
        <v/>
      </c>
      <c r="S276" s="100" t="str">
        <f t="shared" si="50"/>
        <v/>
      </c>
      <c r="T276" s="101" t="str">
        <f t="shared" si="51"/>
        <v/>
      </c>
      <c r="U276" s="101" t="str">
        <f t="shared" si="52"/>
        <v/>
      </c>
      <c r="V276" s="128" t="str">
        <f t="shared" si="53"/>
        <v/>
      </c>
      <c r="W276" s="128" t="str">
        <f t="shared" si="54"/>
        <v/>
      </c>
      <c r="X276" s="101" t="str">
        <f t="shared" si="55"/>
        <v/>
      </c>
      <c r="Y276" s="101" t="str">
        <f t="shared" si="56"/>
        <v/>
      </c>
      <c r="Z276" s="102" t="str">
        <f t="shared" si="57"/>
        <v/>
      </c>
      <c r="AA276" s="103" t="str">
        <f t="shared" si="58"/>
        <v/>
      </c>
      <c r="AB276" s="142" t="str">
        <f>IF(A276&lt;&gt;"", SUMIFS(node!$J$2:$J$500, node!$C$2:$C$500,"="&amp;A276)/P276, "")</f>
        <v/>
      </c>
      <c r="AC276" s="134" t="str">
        <f>IF(A276&lt;&gt;"", SUMIFS(node!$K$2:$K$500, node!$C$2:$C$500,"="&amp;A276)/P276, "")</f>
        <v/>
      </c>
      <c r="AD276" s="135" t="str">
        <f>IF(A276&lt;&gt;"", SUMIFS(node!$L$2:$L$500, node!$C$2:$C$500,"="&amp;A276), "")</f>
        <v/>
      </c>
      <c r="AE276" s="145" t="str">
        <f>IF(A276&lt;&gt;"", SUMIFS(node!$M$2:$M$500, node!$C$2:$C$500,"="&amp;A276), "")</f>
        <v/>
      </c>
    </row>
    <row r="277" spans="1:31" ht="15.75" customHeight="1" x14ac:dyDescent="0.25">
      <c r="A277" s="119" t="str">
        <f>IF(ISNONTEXT(node_raw[[#This Row],[Column2]]), "", node_raw[[#This Row],[Column2]])</f>
        <v/>
      </c>
      <c r="B277" s="116" t="str">
        <f>IF(A277&lt;&gt;"", VLOOKUP(A277, node!$C$2:$D$500, 2, FALSE), "")</f>
        <v/>
      </c>
      <c r="C277" s="117" t="str">
        <f>IF(A277&lt;&gt;"", VLOOKUP(A277, node!$C$2:$E$500, 3, FALSE), "")</f>
        <v/>
      </c>
      <c r="D277" s="118" t="str">
        <f>IF(A277&lt;&gt;"",COUNTIFS(node!$C$2:$C$500,"="&amp;A277, node!$C$2:$C$500,"&lt;&gt;"&amp;""),"")</f>
        <v/>
      </c>
      <c r="E277" s="122" t="str">
        <f>IF(A277&lt;&gt;"",SUMIFS(node!$F$2:$F$500, node!$C$2:$C$500,"="&amp;A277, node!$C$2:$C$500,"&lt;&gt;"&amp;"")/(B277*D277),"")</f>
        <v/>
      </c>
      <c r="F277" s="124" t="str">
        <f>IF(A277&lt;&gt;"",SUMIFS(node!$H$2:$H$500, node!$C$2:$C$500,"="&amp;A277, node!$C$2:$C$500,"&lt;&gt;"&amp;"")/(C277*D277),"")</f>
        <v/>
      </c>
      <c r="G277" s="93" t="str">
        <f>IF(A277&lt;&gt;"",SUMIFS(deployment!$F$4:$F$502, deployment!$D$4:$D$502,"="&amp;A277, deployment!$D$4:$D$502,"&lt;&gt;"&amp;""),"")</f>
        <v/>
      </c>
      <c r="H277" s="94" t="str">
        <f>IF(A277&lt;&gt;"",SUMIFS(deployment!$G$4:$G$502, deployment!$D$4:$D$502,"="&amp;A277, deployment!$D$4:$D$502,"&lt;&gt;"&amp;""),"")</f>
        <v/>
      </c>
      <c r="I277" s="95" t="str">
        <f>IF(A277&lt;&gt;"",SUMIFS(deployment!$H$4:$H$502, deployment!$D$4:$D$502,"="&amp;A277, deployment!$D$4:$D$502,"&lt;&gt;"&amp;""),"")</f>
        <v/>
      </c>
      <c r="J277" s="96" t="str">
        <f>IF(A277&lt;&gt;"",SUMIFS(deployment!$I$4:$I$502, deployment!$D$4:$D$502,"="&amp;A277, deployment!$D$4:$D$502,"&lt;&gt;"&amp;""),"")</f>
        <v/>
      </c>
      <c r="K277" s="112" t="str">
        <f>IF(A277&lt;&gt;"",SUMIFS(deployment!$J$4:$J$502, deployment!$D$4:$D$502,"="&amp;A277, deployment!$D$4:$D$502,"&lt;&gt;"&amp;""),"")</f>
        <v/>
      </c>
      <c r="L277" s="112" t="str">
        <f>IF(A277&lt;&gt;"",SUMIFS(deployment!$K$4:$K$502, deployment!$D$4:$D$502,"="&amp;A277, deployment!$D$4:$D$502,"&lt;&gt;"&amp;""),"")</f>
        <v/>
      </c>
      <c r="M277" s="97" t="str">
        <f>IF(A277&lt;&gt;"",SUMIFS(deployment!$L$4:$L$502, deployment!$D$4:$D$502,"="&amp;A277, deployment!$D$4:$D$502,"&lt;&gt;"&amp;""),"")</f>
        <v/>
      </c>
      <c r="N277" s="97" t="str">
        <f>IF(A277&lt;&gt;"",SUMIFS(deployment!$M$4:$M$502, deployment!$D$4:$D$502,"="&amp;A277, deployment!$D$4:$D$502,"&lt;&gt;"&amp;""),"")</f>
        <v/>
      </c>
      <c r="O277" s="127" t="str">
        <f t="shared" si="59"/>
        <v/>
      </c>
      <c r="P277" s="104"/>
      <c r="Q277" s="99" t="str">
        <f t="shared" si="48"/>
        <v/>
      </c>
      <c r="R277" s="100" t="str">
        <f t="shared" si="49"/>
        <v/>
      </c>
      <c r="S277" s="100" t="str">
        <f t="shared" si="50"/>
        <v/>
      </c>
      <c r="T277" s="101" t="str">
        <f t="shared" si="51"/>
        <v/>
      </c>
      <c r="U277" s="101" t="str">
        <f t="shared" si="52"/>
        <v/>
      </c>
      <c r="V277" s="128" t="str">
        <f t="shared" si="53"/>
        <v/>
      </c>
      <c r="W277" s="128" t="str">
        <f t="shared" si="54"/>
        <v/>
      </c>
      <c r="X277" s="101" t="str">
        <f t="shared" si="55"/>
        <v/>
      </c>
      <c r="Y277" s="101" t="str">
        <f t="shared" si="56"/>
        <v/>
      </c>
      <c r="Z277" s="102" t="str">
        <f t="shared" si="57"/>
        <v/>
      </c>
      <c r="AA277" s="103" t="str">
        <f t="shared" si="58"/>
        <v/>
      </c>
      <c r="AB277" s="142" t="str">
        <f>IF(A277&lt;&gt;"", SUMIFS(node!$J$2:$J$500, node!$C$2:$C$500,"="&amp;A277)/P277, "")</f>
        <v/>
      </c>
      <c r="AC277" s="134" t="str">
        <f>IF(A277&lt;&gt;"", SUMIFS(node!$K$2:$K$500, node!$C$2:$C$500,"="&amp;A277)/P277, "")</f>
        <v/>
      </c>
      <c r="AD277" s="135" t="str">
        <f>IF(A277&lt;&gt;"", SUMIFS(node!$L$2:$L$500, node!$C$2:$C$500,"="&amp;A277), "")</f>
        <v/>
      </c>
      <c r="AE277" s="145" t="str">
        <f>IF(A277&lt;&gt;"", SUMIFS(node!$M$2:$M$500, node!$C$2:$C$500,"="&amp;A277), "")</f>
        <v/>
      </c>
    </row>
    <row r="278" spans="1:31" ht="15.75" customHeight="1" x14ac:dyDescent="0.25">
      <c r="A278" s="119" t="str">
        <f>IF(ISNONTEXT(node_raw[[#This Row],[Column2]]), "", node_raw[[#This Row],[Column2]])</f>
        <v/>
      </c>
      <c r="B278" s="116" t="str">
        <f>IF(A278&lt;&gt;"", VLOOKUP(A278, node!$C$2:$D$500, 2, FALSE), "")</f>
        <v/>
      </c>
      <c r="C278" s="117" t="str">
        <f>IF(A278&lt;&gt;"", VLOOKUP(A278, node!$C$2:$E$500, 3, FALSE), "")</f>
        <v/>
      </c>
      <c r="D278" s="118" t="str">
        <f>IF(A278&lt;&gt;"",COUNTIFS(node!$C$2:$C$500,"="&amp;A278, node!$C$2:$C$500,"&lt;&gt;"&amp;""),"")</f>
        <v/>
      </c>
      <c r="E278" s="122" t="str">
        <f>IF(A278&lt;&gt;"",SUMIFS(node!$F$2:$F$500, node!$C$2:$C$500,"="&amp;A278, node!$C$2:$C$500,"&lt;&gt;"&amp;"")/(B278*D278),"")</f>
        <v/>
      </c>
      <c r="F278" s="124" t="str">
        <f>IF(A278&lt;&gt;"",SUMIFS(node!$H$2:$H$500, node!$C$2:$C$500,"="&amp;A278, node!$C$2:$C$500,"&lt;&gt;"&amp;"")/(C278*D278),"")</f>
        <v/>
      </c>
      <c r="G278" s="93" t="str">
        <f>IF(A278&lt;&gt;"",SUMIFS(deployment!$F$4:$F$502, deployment!$D$4:$D$502,"="&amp;A278, deployment!$D$4:$D$502,"&lt;&gt;"&amp;""),"")</f>
        <v/>
      </c>
      <c r="H278" s="94" t="str">
        <f>IF(A278&lt;&gt;"",SUMIFS(deployment!$G$4:$G$502, deployment!$D$4:$D$502,"="&amp;A278, deployment!$D$4:$D$502,"&lt;&gt;"&amp;""),"")</f>
        <v/>
      </c>
      <c r="I278" s="95" t="str">
        <f>IF(A278&lt;&gt;"",SUMIFS(deployment!$H$4:$H$502, deployment!$D$4:$D$502,"="&amp;A278, deployment!$D$4:$D$502,"&lt;&gt;"&amp;""),"")</f>
        <v/>
      </c>
      <c r="J278" s="96" t="str">
        <f>IF(A278&lt;&gt;"",SUMIFS(deployment!$I$4:$I$502, deployment!$D$4:$D$502,"="&amp;A278, deployment!$D$4:$D$502,"&lt;&gt;"&amp;""),"")</f>
        <v/>
      </c>
      <c r="K278" s="112" t="str">
        <f>IF(A278&lt;&gt;"",SUMIFS(deployment!$J$4:$J$502, deployment!$D$4:$D$502,"="&amp;A278, deployment!$D$4:$D$502,"&lt;&gt;"&amp;""),"")</f>
        <v/>
      </c>
      <c r="L278" s="112" t="str">
        <f>IF(A278&lt;&gt;"",SUMIFS(deployment!$K$4:$K$502, deployment!$D$4:$D$502,"="&amp;A278, deployment!$D$4:$D$502,"&lt;&gt;"&amp;""),"")</f>
        <v/>
      </c>
      <c r="M278" s="97" t="str">
        <f>IF(A278&lt;&gt;"",SUMIFS(deployment!$L$4:$L$502, deployment!$D$4:$D$502,"="&amp;A278, deployment!$D$4:$D$502,"&lt;&gt;"&amp;""),"")</f>
        <v/>
      </c>
      <c r="N278" s="97" t="str">
        <f>IF(A278&lt;&gt;"",SUMIFS(deployment!$M$4:$M$502, deployment!$D$4:$D$502,"="&amp;A278, deployment!$D$4:$D$502,"&lt;&gt;"&amp;""),"")</f>
        <v/>
      </c>
      <c r="O278" s="127" t="str">
        <f t="shared" si="59"/>
        <v/>
      </c>
      <c r="P278" s="104"/>
      <c r="Q278" s="99" t="str">
        <f t="shared" si="48"/>
        <v/>
      </c>
      <c r="R278" s="100" t="str">
        <f t="shared" si="49"/>
        <v/>
      </c>
      <c r="S278" s="100" t="str">
        <f t="shared" si="50"/>
        <v/>
      </c>
      <c r="T278" s="101" t="str">
        <f t="shared" si="51"/>
        <v/>
      </c>
      <c r="U278" s="101" t="str">
        <f t="shared" si="52"/>
        <v/>
      </c>
      <c r="V278" s="128" t="str">
        <f t="shared" si="53"/>
        <v/>
      </c>
      <c r="W278" s="128" t="str">
        <f t="shared" si="54"/>
        <v/>
      </c>
      <c r="X278" s="101" t="str">
        <f t="shared" si="55"/>
        <v/>
      </c>
      <c r="Y278" s="101" t="str">
        <f t="shared" si="56"/>
        <v/>
      </c>
      <c r="Z278" s="102" t="str">
        <f t="shared" si="57"/>
        <v/>
      </c>
      <c r="AA278" s="103" t="str">
        <f t="shared" si="58"/>
        <v/>
      </c>
      <c r="AB278" s="142" t="str">
        <f>IF(A278&lt;&gt;"", SUMIFS(node!$J$2:$J$500, node!$C$2:$C$500,"="&amp;A278)/P278, "")</f>
        <v/>
      </c>
      <c r="AC278" s="134" t="str">
        <f>IF(A278&lt;&gt;"", SUMIFS(node!$K$2:$K$500, node!$C$2:$C$500,"="&amp;A278)/P278, "")</f>
        <v/>
      </c>
      <c r="AD278" s="135" t="str">
        <f>IF(A278&lt;&gt;"", SUMIFS(node!$L$2:$L$500, node!$C$2:$C$500,"="&amp;A278), "")</f>
        <v/>
      </c>
      <c r="AE278" s="145" t="str">
        <f>IF(A278&lt;&gt;"", SUMIFS(node!$M$2:$M$500, node!$C$2:$C$500,"="&amp;A278), "")</f>
        <v/>
      </c>
    </row>
    <row r="279" spans="1:31" ht="15.75" customHeight="1" x14ac:dyDescent="0.25">
      <c r="A279" s="119" t="str">
        <f>IF(ISNONTEXT(node_raw[[#This Row],[Column2]]), "", node_raw[[#This Row],[Column2]])</f>
        <v/>
      </c>
      <c r="B279" s="116" t="str">
        <f>IF(A279&lt;&gt;"", VLOOKUP(A279, node!$C$2:$D$500, 2, FALSE), "")</f>
        <v/>
      </c>
      <c r="C279" s="117" t="str">
        <f>IF(A279&lt;&gt;"", VLOOKUP(A279, node!$C$2:$E$500, 3, FALSE), "")</f>
        <v/>
      </c>
      <c r="D279" s="118" t="str">
        <f>IF(A279&lt;&gt;"",COUNTIFS(node!$C$2:$C$500,"="&amp;A279, node!$C$2:$C$500,"&lt;&gt;"&amp;""),"")</f>
        <v/>
      </c>
      <c r="E279" s="122" t="str">
        <f>IF(A279&lt;&gt;"",SUMIFS(node!$F$2:$F$500, node!$C$2:$C$500,"="&amp;A279, node!$C$2:$C$500,"&lt;&gt;"&amp;"")/(B279*D279),"")</f>
        <v/>
      </c>
      <c r="F279" s="124" t="str">
        <f>IF(A279&lt;&gt;"",SUMIFS(node!$H$2:$H$500, node!$C$2:$C$500,"="&amp;A279, node!$C$2:$C$500,"&lt;&gt;"&amp;"")/(C279*D279),"")</f>
        <v/>
      </c>
      <c r="G279" s="93" t="str">
        <f>IF(A279&lt;&gt;"",SUMIFS(deployment!$F$4:$F$502, deployment!$D$4:$D$502,"="&amp;A279, deployment!$D$4:$D$502,"&lt;&gt;"&amp;""),"")</f>
        <v/>
      </c>
      <c r="H279" s="94" t="str">
        <f>IF(A279&lt;&gt;"",SUMIFS(deployment!$G$4:$G$502, deployment!$D$4:$D$502,"="&amp;A279, deployment!$D$4:$D$502,"&lt;&gt;"&amp;""),"")</f>
        <v/>
      </c>
      <c r="I279" s="95" t="str">
        <f>IF(A279&lt;&gt;"",SUMIFS(deployment!$H$4:$H$502, deployment!$D$4:$D$502,"="&amp;A279, deployment!$D$4:$D$502,"&lt;&gt;"&amp;""),"")</f>
        <v/>
      </c>
      <c r="J279" s="96" t="str">
        <f>IF(A279&lt;&gt;"",SUMIFS(deployment!$I$4:$I$502, deployment!$D$4:$D$502,"="&amp;A279, deployment!$D$4:$D$502,"&lt;&gt;"&amp;""),"")</f>
        <v/>
      </c>
      <c r="K279" s="112" t="str">
        <f>IF(A279&lt;&gt;"",SUMIFS(deployment!$J$4:$J$502, deployment!$D$4:$D$502,"="&amp;A279, deployment!$D$4:$D$502,"&lt;&gt;"&amp;""),"")</f>
        <v/>
      </c>
      <c r="L279" s="112" t="str">
        <f>IF(A279&lt;&gt;"",SUMIFS(deployment!$K$4:$K$502, deployment!$D$4:$D$502,"="&amp;A279, deployment!$D$4:$D$502,"&lt;&gt;"&amp;""),"")</f>
        <v/>
      </c>
      <c r="M279" s="97" t="str">
        <f>IF(A279&lt;&gt;"",SUMIFS(deployment!$L$4:$L$502, deployment!$D$4:$D$502,"="&amp;A279, deployment!$D$4:$D$502,"&lt;&gt;"&amp;""),"")</f>
        <v/>
      </c>
      <c r="N279" s="97" t="str">
        <f>IF(A279&lt;&gt;"",SUMIFS(deployment!$M$4:$M$502, deployment!$D$4:$D$502,"="&amp;A279, deployment!$D$4:$D$502,"&lt;&gt;"&amp;""),"")</f>
        <v/>
      </c>
      <c r="O279" s="127" t="str">
        <f t="shared" si="59"/>
        <v/>
      </c>
      <c r="P279" s="104"/>
      <c r="Q279" s="99" t="str">
        <f t="shared" si="48"/>
        <v/>
      </c>
      <c r="R279" s="100" t="str">
        <f t="shared" si="49"/>
        <v/>
      </c>
      <c r="S279" s="100" t="str">
        <f t="shared" si="50"/>
        <v/>
      </c>
      <c r="T279" s="101" t="str">
        <f t="shared" si="51"/>
        <v/>
      </c>
      <c r="U279" s="101" t="str">
        <f t="shared" si="52"/>
        <v/>
      </c>
      <c r="V279" s="128" t="str">
        <f t="shared" si="53"/>
        <v/>
      </c>
      <c r="W279" s="128" t="str">
        <f t="shared" si="54"/>
        <v/>
      </c>
      <c r="X279" s="101" t="str">
        <f t="shared" si="55"/>
        <v/>
      </c>
      <c r="Y279" s="101" t="str">
        <f t="shared" si="56"/>
        <v/>
      </c>
      <c r="Z279" s="102" t="str">
        <f t="shared" si="57"/>
        <v/>
      </c>
      <c r="AA279" s="103" t="str">
        <f t="shared" si="58"/>
        <v/>
      </c>
      <c r="AB279" s="142" t="str">
        <f>IF(A279&lt;&gt;"", SUMIFS(node!$J$2:$J$500, node!$C$2:$C$500,"="&amp;A279)/P279, "")</f>
        <v/>
      </c>
      <c r="AC279" s="134" t="str">
        <f>IF(A279&lt;&gt;"", SUMIFS(node!$K$2:$K$500, node!$C$2:$C$500,"="&amp;A279)/P279, "")</f>
        <v/>
      </c>
      <c r="AD279" s="135" t="str">
        <f>IF(A279&lt;&gt;"", SUMIFS(node!$L$2:$L$500, node!$C$2:$C$500,"="&amp;A279), "")</f>
        <v/>
      </c>
      <c r="AE279" s="145" t="str">
        <f>IF(A279&lt;&gt;"", SUMIFS(node!$M$2:$M$500, node!$C$2:$C$500,"="&amp;A279), "")</f>
        <v/>
      </c>
    </row>
    <row r="280" spans="1:31" ht="15.75" customHeight="1" x14ac:dyDescent="0.25">
      <c r="A280" s="119" t="str">
        <f>IF(ISNONTEXT(node_raw[[#This Row],[Column2]]), "", node_raw[[#This Row],[Column2]])</f>
        <v/>
      </c>
      <c r="B280" s="116" t="str">
        <f>IF(A280&lt;&gt;"", VLOOKUP(A280, node!$C$2:$D$500, 2, FALSE), "")</f>
        <v/>
      </c>
      <c r="C280" s="117" t="str">
        <f>IF(A280&lt;&gt;"", VLOOKUP(A280, node!$C$2:$E$500, 3, FALSE), "")</f>
        <v/>
      </c>
      <c r="D280" s="118" t="str">
        <f>IF(A280&lt;&gt;"",COUNTIFS(node!$C$2:$C$500,"="&amp;A280, node!$C$2:$C$500,"&lt;&gt;"&amp;""),"")</f>
        <v/>
      </c>
      <c r="E280" s="122" t="str">
        <f>IF(A280&lt;&gt;"",SUMIFS(node!$F$2:$F$500, node!$C$2:$C$500,"="&amp;A280, node!$C$2:$C$500,"&lt;&gt;"&amp;"")/(B280*D280),"")</f>
        <v/>
      </c>
      <c r="F280" s="124" t="str">
        <f>IF(A280&lt;&gt;"",SUMIFS(node!$H$2:$H$500, node!$C$2:$C$500,"="&amp;A280, node!$C$2:$C$500,"&lt;&gt;"&amp;"")/(C280*D280),"")</f>
        <v/>
      </c>
      <c r="G280" s="93" t="str">
        <f>IF(A280&lt;&gt;"",SUMIFS(deployment!$F$4:$F$502, deployment!$D$4:$D$502,"="&amp;A280, deployment!$D$4:$D$502,"&lt;&gt;"&amp;""),"")</f>
        <v/>
      </c>
      <c r="H280" s="94" t="str">
        <f>IF(A280&lt;&gt;"",SUMIFS(deployment!$G$4:$G$502, deployment!$D$4:$D$502,"="&amp;A280, deployment!$D$4:$D$502,"&lt;&gt;"&amp;""),"")</f>
        <v/>
      </c>
      <c r="I280" s="95" t="str">
        <f>IF(A280&lt;&gt;"",SUMIFS(deployment!$H$4:$H$502, deployment!$D$4:$D$502,"="&amp;A280, deployment!$D$4:$D$502,"&lt;&gt;"&amp;""),"")</f>
        <v/>
      </c>
      <c r="J280" s="96" t="str">
        <f>IF(A280&lt;&gt;"",SUMIFS(deployment!$I$4:$I$502, deployment!$D$4:$D$502,"="&amp;A280, deployment!$D$4:$D$502,"&lt;&gt;"&amp;""),"")</f>
        <v/>
      </c>
      <c r="K280" s="112" t="str">
        <f>IF(A280&lt;&gt;"",SUMIFS(deployment!$J$4:$J$502, deployment!$D$4:$D$502,"="&amp;A280, deployment!$D$4:$D$502,"&lt;&gt;"&amp;""),"")</f>
        <v/>
      </c>
      <c r="L280" s="112" t="str">
        <f>IF(A280&lt;&gt;"",SUMIFS(deployment!$K$4:$K$502, deployment!$D$4:$D$502,"="&amp;A280, deployment!$D$4:$D$502,"&lt;&gt;"&amp;""),"")</f>
        <v/>
      </c>
      <c r="M280" s="97" t="str">
        <f>IF(A280&lt;&gt;"",SUMIFS(deployment!$L$4:$L$502, deployment!$D$4:$D$502,"="&amp;A280, deployment!$D$4:$D$502,"&lt;&gt;"&amp;""),"")</f>
        <v/>
      </c>
      <c r="N280" s="97" t="str">
        <f>IF(A280&lt;&gt;"",SUMIFS(deployment!$M$4:$M$502, deployment!$D$4:$D$502,"="&amp;A280, deployment!$D$4:$D$502,"&lt;&gt;"&amp;""),"")</f>
        <v/>
      </c>
      <c r="O280" s="127" t="str">
        <f t="shared" si="59"/>
        <v/>
      </c>
      <c r="P280" s="104"/>
      <c r="Q280" s="99" t="str">
        <f t="shared" si="48"/>
        <v/>
      </c>
      <c r="R280" s="100" t="str">
        <f t="shared" si="49"/>
        <v/>
      </c>
      <c r="S280" s="100" t="str">
        <f t="shared" si="50"/>
        <v/>
      </c>
      <c r="T280" s="101" t="str">
        <f t="shared" si="51"/>
        <v/>
      </c>
      <c r="U280" s="101" t="str">
        <f t="shared" si="52"/>
        <v/>
      </c>
      <c r="V280" s="128" t="str">
        <f t="shared" si="53"/>
        <v/>
      </c>
      <c r="W280" s="128" t="str">
        <f t="shared" si="54"/>
        <v/>
      </c>
      <c r="X280" s="101" t="str">
        <f t="shared" si="55"/>
        <v/>
      </c>
      <c r="Y280" s="101" t="str">
        <f t="shared" si="56"/>
        <v/>
      </c>
      <c r="Z280" s="102" t="str">
        <f t="shared" si="57"/>
        <v/>
      </c>
      <c r="AA280" s="103" t="str">
        <f t="shared" si="58"/>
        <v/>
      </c>
      <c r="AB280" s="142" t="str">
        <f>IF(A280&lt;&gt;"", SUMIFS(node!$J$2:$J$500, node!$C$2:$C$500,"="&amp;A280)/P280, "")</f>
        <v/>
      </c>
      <c r="AC280" s="134" t="str">
        <f>IF(A280&lt;&gt;"", SUMIFS(node!$K$2:$K$500, node!$C$2:$C$500,"="&amp;A280)/P280, "")</f>
        <v/>
      </c>
      <c r="AD280" s="135" t="str">
        <f>IF(A280&lt;&gt;"", SUMIFS(node!$L$2:$L$500, node!$C$2:$C$500,"="&amp;A280), "")</f>
        <v/>
      </c>
      <c r="AE280" s="145" t="str">
        <f>IF(A280&lt;&gt;"", SUMIFS(node!$M$2:$M$500, node!$C$2:$C$500,"="&amp;A280), "")</f>
        <v/>
      </c>
    </row>
    <row r="281" spans="1:31" ht="15.75" customHeight="1" x14ac:dyDescent="0.25">
      <c r="A281" s="119" t="str">
        <f>IF(ISNONTEXT(node_raw[[#This Row],[Column2]]), "", node_raw[[#This Row],[Column2]])</f>
        <v/>
      </c>
      <c r="B281" s="116" t="str">
        <f>IF(A281&lt;&gt;"", VLOOKUP(A281, node!$C$2:$D$500, 2, FALSE), "")</f>
        <v/>
      </c>
      <c r="C281" s="117" t="str">
        <f>IF(A281&lt;&gt;"", VLOOKUP(A281, node!$C$2:$E$500, 3, FALSE), "")</f>
        <v/>
      </c>
      <c r="D281" s="118" t="str">
        <f>IF(A281&lt;&gt;"",COUNTIFS(node!$C$2:$C$500,"="&amp;A281, node!$C$2:$C$500,"&lt;&gt;"&amp;""),"")</f>
        <v/>
      </c>
      <c r="E281" s="122" t="str">
        <f>IF(A281&lt;&gt;"",SUMIFS(node!$F$2:$F$500, node!$C$2:$C$500,"="&amp;A281, node!$C$2:$C$500,"&lt;&gt;"&amp;"")/(B281*D281),"")</f>
        <v/>
      </c>
      <c r="F281" s="124" t="str">
        <f>IF(A281&lt;&gt;"",SUMIFS(node!$H$2:$H$500, node!$C$2:$C$500,"="&amp;A281, node!$C$2:$C$500,"&lt;&gt;"&amp;"")/(C281*D281),"")</f>
        <v/>
      </c>
      <c r="G281" s="93" t="str">
        <f>IF(A281&lt;&gt;"",SUMIFS(deployment!$F$4:$F$502, deployment!$D$4:$D$502,"="&amp;A281, deployment!$D$4:$D$502,"&lt;&gt;"&amp;""),"")</f>
        <v/>
      </c>
      <c r="H281" s="94" t="str">
        <f>IF(A281&lt;&gt;"",SUMIFS(deployment!$G$4:$G$502, deployment!$D$4:$D$502,"="&amp;A281, deployment!$D$4:$D$502,"&lt;&gt;"&amp;""),"")</f>
        <v/>
      </c>
      <c r="I281" s="95" t="str">
        <f>IF(A281&lt;&gt;"",SUMIFS(deployment!$H$4:$H$502, deployment!$D$4:$D$502,"="&amp;A281, deployment!$D$4:$D$502,"&lt;&gt;"&amp;""),"")</f>
        <v/>
      </c>
      <c r="J281" s="96" t="str">
        <f>IF(A281&lt;&gt;"",SUMIFS(deployment!$I$4:$I$502, deployment!$D$4:$D$502,"="&amp;A281, deployment!$D$4:$D$502,"&lt;&gt;"&amp;""),"")</f>
        <v/>
      </c>
      <c r="K281" s="112" t="str">
        <f>IF(A281&lt;&gt;"",SUMIFS(deployment!$J$4:$J$502, deployment!$D$4:$D$502,"="&amp;A281, deployment!$D$4:$D$502,"&lt;&gt;"&amp;""),"")</f>
        <v/>
      </c>
      <c r="L281" s="112" t="str">
        <f>IF(A281&lt;&gt;"",SUMIFS(deployment!$K$4:$K$502, deployment!$D$4:$D$502,"="&amp;A281, deployment!$D$4:$D$502,"&lt;&gt;"&amp;""),"")</f>
        <v/>
      </c>
      <c r="M281" s="97" t="str">
        <f>IF(A281&lt;&gt;"",SUMIFS(deployment!$L$4:$L$502, deployment!$D$4:$D$502,"="&amp;A281, deployment!$D$4:$D$502,"&lt;&gt;"&amp;""),"")</f>
        <v/>
      </c>
      <c r="N281" s="97" t="str">
        <f>IF(A281&lt;&gt;"",SUMIFS(deployment!$M$4:$M$502, deployment!$D$4:$D$502,"="&amp;A281, deployment!$D$4:$D$502,"&lt;&gt;"&amp;""),"")</f>
        <v/>
      </c>
      <c r="O281" s="127" t="str">
        <f t="shared" si="59"/>
        <v/>
      </c>
      <c r="P281" s="104"/>
      <c r="Q281" s="99" t="str">
        <f t="shared" si="48"/>
        <v/>
      </c>
      <c r="R281" s="100" t="str">
        <f t="shared" si="49"/>
        <v/>
      </c>
      <c r="S281" s="100" t="str">
        <f t="shared" si="50"/>
        <v/>
      </c>
      <c r="T281" s="101" t="str">
        <f t="shared" si="51"/>
        <v/>
      </c>
      <c r="U281" s="101" t="str">
        <f t="shared" si="52"/>
        <v/>
      </c>
      <c r="V281" s="128" t="str">
        <f t="shared" si="53"/>
        <v/>
      </c>
      <c r="W281" s="128" t="str">
        <f t="shared" si="54"/>
        <v/>
      </c>
      <c r="X281" s="101" t="str">
        <f t="shared" si="55"/>
        <v/>
      </c>
      <c r="Y281" s="101" t="str">
        <f t="shared" si="56"/>
        <v/>
      </c>
      <c r="Z281" s="102" t="str">
        <f t="shared" si="57"/>
        <v/>
      </c>
      <c r="AA281" s="103" t="str">
        <f t="shared" si="58"/>
        <v/>
      </c>
      <c r="AB281" s="142" t="str">
        <f>IF(A281&lt;&gt;"", SUMIFS(node!$J$2:$J$500, node!$C$2:$C$500,"="&amp;A281)/P281, "")</f>
        <v/>
      </c>
      <c r="AC281" s="134" t="str">
        <f>IF(A281&lt;&gt;"", SUMIFS(node!$K$2:$K$500, node!$C$2:$C$500,"="&amp;A281)/P281, "")</f>
        <v/>
      </c>
      <c r="AD281" s="135" t="str">
        <f>IF(A281&lt;&gt;"", SUMIFS(node!$L$2:$L$500, node!$C$2:$C$500,"="&amp;A281), "")</f>
        <v/>
      </c>
      <c r="AE281" s="145" t="str">
        <f>IF(A281&lt;&gt;"", SUMIFS(node!$M$2:$M$500, node!$C$2:$C$500,"="&amp;A281), "")</f>
        <v/>
      </c>
    </row>
    <row r="282" spans="1:31" ht="15.75" customHeight="1" x14ac:dyDescent="0.25">
      <c r="A282" s="119" t="str">
        <f>IF(ISNONTEXT(node_raw[[#This Row],[Column2]]), "", node_raw[[#This Row],[Column2]])</f>
        <v/>
      </c>
      <c r="B282" s="116" t="str">
        <f>IF(A282&lt;&gt;"", VLOOKUP(A282, node!$C$2:$D$500, 2, FALSE), "")</f>
        <v/>
      </c>
      <c r="C282" s="117" t="str">
        <f>IF(A282&lt;&gt;"", VLOOKUP(A282, node!$C$2:$E$500, 3, FALSE), "")</f>
        <v/>
      </c>
      <c r="D282" s="118" t="str">
        <f>IF(A282&lt;&gt;"",COUNTIFS(node!$C$2:$C$500,"="&amp;A282, node!$C$2:$C$500,"&lt;&gt;"&amp;""),"")</f>
        <v/>
      </c>
      <c r="E282" s="122" t="str">
        <f>IF(A282&lt;&gt;"",SUMIFS(node!$F$2:$F$500, node!$C$2:$C$500,"="&amp;A282, node!$C$2:$C$500,"&lt;&gt;"&amp;"")/(B282*D282),"")</f>
        <v/>
      </c>
      <c r="F282" s="124" t="str">
        <f>IF(A282&lt;&gt;"",SUMIFS(node!$H$2:$H$500, node!$C$2:$C$500,"="&amp;A282, node!$C$2:$C$500,"&lt;&gt;"&amp;"")/(C282*D282),"")</f>
        <v/>
      </c>
      <c r="G282" s="93" t="str">
        <f>IF(A282&lt;&gt;"",SUMIFS(deployment!$F$4:$F$502, deployment!$D$4:$D$502,"="&amp;A282, deployment!$D$4:$D$502,"&lt;&gt;"&amp;""),"")</f>
        <v/>
      </c>
      <c r="H282" s="94" t="str">
        <f>IF(A282&lt;&gt;"",SUMIFS(deployment!$G$4:$G$502, deployment!$D$4:$D$502,"="&amp;A282, deployment!$D$4:$D$502,"&lt;&gt;"&amp;""),"")</f>
        <v/>
      </c>
      <c r="I282" s="95" t="str">
        <f>IF(A282&lt;&gt;"",SUMIFS(deployment!$H$4:$H$502, deployment!$D$4:$D$502,"="&amp;A282, deployment!$D$4:$D$502,"&lt;&gt;"&amp;""),"")</f>
        <v/>
      </c>
      <c r="J282" s="96" t="str">
        <f>IF(A282&lt;&gt;"",SUMIFS(deployment!$I$4:$I$502, deployment!$D$4:$D$502,"="&amp;A282, deployment!$D$4:$D$502,"&lt;&gt;"&amp;""),"")</f>
        <v/>
      </c>
      <c r="K282" s="112" t="str">
        <f>IF(A282&lt;&gt;"",SUMIFS(deployment!$J$4:$J$502, deployment!$D$4:$D$502,"="&amp;A282, deployment!$D$4:$D$502,"&lt;&gt;"&amp;""),"")</f>
        <v/>
      </c>
      <c r="L282" s="112" t="str">
        <f>IF(A282&lt;&gt;"",SUMIFS(deployment!$K$4:$K$502, deployment!$D$4:$D$502,"="&amp;A282, deployment!$D$4:$D$502,"&lt;&gt;"&amp;""),"")</f>
        <v/>
      </c>
      <c r="M282" s="97" t="str">
        <f>IF(A282&lt;&gt;"",SUMIFS(deployment!$L$4:$L$502, deployment!$D$4:$D$502,"="&amp;A282, deployment!$D$4:$D$502,"&lt;&gt;"&amp;""),"")</f>
        <v/>
      </c>
      <c r="N282" s="97" t="str">
        <f>IF(A282&lt;&gt;"",SUMIFS(deployment!$M$4:$M$502, deployment!$D$4:$D$502,"="&amp;A282, deployment!$D$4:$D$502,"&lt;&gt;"&amp;""),"")</f>
        <v/>
      </c>
      <c r="O282" s="127" t="str">
        <f t="shared" si="59"/>
        <v/>
      </c>
      <c r="P282" s="104"/>
      <c r="Q282" s="99" t="str">
        <f t="shared" si="48"/>
        <v/>
      </c>
      <c r="R282" s="100" t="str">
        <f t="shared" si="49"/>
        <v/>
      </c>
      <c r="S282" s="100" t="str">
        <f t="shared" si="50"/>
        <v/>
      </c>
      <c r="T282" s="101" t="str">
        <f t="shared" si="51"/>
        <v/>
      </c>
      <c r="U282" s="101" t="str">
        <f t="shared" si="52"/>
        <v/>
      </c>
      <c r="V282" s="128" t="str">
        <f t="shared" si="53"/>
        <v/>
      </c>
      <c r="W282" s="128" t="str">
        <f t="shared" si="54"/>
        <v/>
      </c>
      <c r="X282" s="101" t="str">
        <f t="shared" si="55"/>
        <v/>
      </c>
      <c r="Y282" s="101" t="str">
        <f t="shared" si="56"/>
        <v/>
      </c>
      <c r="Z282" s="102" t="str">
        <f t="shared" si="57"/>
        <v/>
      </c>
      <c r="AA282" s="103" t="str">
        <f t="shared" si="58"/>
        <v/>
      </c>
      <c r="AB282" s="142" t="str">
        <f>IF(A282&lt;&gt;"", SUMIFS(node!$J$2:$J$500, node!$C$2:$C$500,"="&amp;A282)/P282, "")</f>
        <v/>
      </c>
      <c r="AC282" s="134" t="str">
        <f>IF(A282&lt;&gt;"", SUMIFS(node!$K$2:$K$500, node!$C$2:$C$500,"="&amp;A282)/P282, "")</f>
        <v/>
      </c>
      <c r="AD282" s="135" t="str">
        <f>IF(A282&lt;&gt;"", SUMIFS(node!$L$2:$L$500, node!$C$2:$C$500,"="&amp;A282), "")</f>
        <v/>
      </c>
      <c r="AE282" s="145" t="str">
        <f>IF(A282&lt;&gt;"", SUMIFS(node!$M$2:$M$500, node!$C$2:$C$500,"="&amp;A282), "")</f>
        <v/>
      </c>
    </row>
    <row r="283" spans="1:31" ht="15.75" customHeight="1" x14ac:dyDescent="0.25">
      <c r="A283" s="119" t="str">
        <f>IF(ISNONTEXT(node_raw[[#This Row],[Column2]]), "", node_raw[[#This Row],[Column2]])</f>
        <v/>
      </c>
      <c r="B283" s="116" t="str">
        <f>IF(A283&lt;&gt;"", VLOOKUP(A283, node!$C$2:$D$500, 2, FALSE), "")</f>
        <v/>
      </c>
      <c r="C283" s="117" t="str">
        <f>IF(A283&lt;&gt;"", VLOOKUP(A283, node!$C$2:$E$500, 3, FALSE), "")</f>
        <v/>
      </c>
      <c r="D283" s="118" t="str">
        <f>IF(A283&lt;&gt;"",COUNTIFS(node!$C$2:$C$500,"="&amp;A283, node!$C$2:$C$500,"&lt;&gt;"&amp;""),"")</f>
        <v/>
      </c>
      <c r="E283" s="122" t="str">
        <f>IF(A283&lt;&gt;"",SUMIFS(node!$F$2:$F$500, node!$C$2:$C$500,"="&amp;A283, node!$C$2:$C$500,"&lt;&gt;"&amp;"")/(B283*D283),"")</f>
        <v/>
      </c>
      <c r="F283" s="124" t="str">
        <f>IF(A283&lt;&gt;"",SUMIFS(node!$H$2:$H$500, node!$C$2:$C$500,"="&amp;A283, node!$C$2:$C$500,"&lt;&gt;"&amp;"")/(C283*D283),"")</f>
        <v/>
      </c>
      <c r="G283" s="93" t="str">
        <f>IF(A283&lt;&gt;"",SUMIFS(deployment!$F$4:$F$502, deployment!$D$4:$D$502,"="&amp;A283, deployment!$D$4:$D$502,"&lt;&gt;"&amp;""),"")</f>
        <v/>
      </c>
      <c r="H283" s="94" t="str">
        <f>IF(A283&lt;&gt;"",SUMIFS(deployment!$G$4:$G$502, deployment!$D$4:$D$502,"="&amp;A283, deployment!$D$4:$D$502,"&lt;&gt;"&amp;""),"")</f>
        <v/>
      </c>
      <c r="I283" s="95" t="str">
        <f>IF(A283&lt;&gt;"",SUMIFS(deployment!$H$4:$H$502, deployment!$D$4:$D$502,"="&amp;A283, deployment!$D$4:$D$502,"&lt;&gt;"&amp;""),"")</f>
        <v/>
      </c>
      <c r="J283" s="96" t="str">
        <f>IF(A283&lt;&gt;"",SUMIFS(deployment!$I$4:$I$502, deployment!$D$4:$D$502,"="&amp;A283, deployment!$D$4:$D$502,"&lt;&gt;"&amp;""),"")</f>
        <v/>
      </c>
      <c r="K283" s="112" t="str">
        <f>IF(A283&lt;&gt;"",SUMIFS(deployment!$J$4:$J$502, deployment!$D$4:$D$502,"="&amp;A283, deployment!$D$4:$D$502,"&lt;&gt;"&amp;""),"")</f>
        <v/>
      </c>
      <c r="L283" s="112" t="str">
        <f>IF(A283&lt;&gt;"",SUMIFS(deployment!$K$4:$K$502, deployment!$D$4:$D$502,"="&amp;A283, deployment!$D$4:$D$502,"&lt;&gt;"&amp;""),"")</f>
        <v/>
      </c>
      <c r="M283" s="97" t="str">
        <f>IF(A283&lt;&gt;"",SUMIFS(deployment!$L$4:$L$502, deployment!$D$4:$D$502,"="&amp;A283, deployment!$D$4:$D$502,"&lt;&gt;"&amp;""),"")</f>
        <v/>
      </c>
      <c r="N283" s="97" t="str">
        <f>IF(A283&lt;&gt;"",SUMIFS(deployment!$M$4:$M$502, deployment!$D$4:$D$502,"="&amp;A283, deployment!$D$4:$D$502,"&lt;&gt;"&amp;""),"")</f>
        <v/>
      </c>
      <c r="O283" s="127" t="str">
        <f t="shared" si="59"/>
        <v/>
      </c>
      <c r="P283" s="104"/>
      <c r="Q283" s="99" t="str">
        <f t="shared" si="48"/>
        <v/>
      </c>
      <c r="R283" s="100" t="str">
        <f t="shared" si="49"/>
        <v/>
      </c>
      <c r="S283" s="100" t="str">
        <f t="shared" si="50"/>
        <v/>
      </c>
      <c r="T283" s="101" t="str">
        <f t="shared" si="51"/>
        <v/>
      </c>
      <c r="U283" s="101" t="str">
        <f t="shared" si="52"/>
        <v/>
      </c>
      <c r="V283" s="128" t="str">
        <f t="shared" si="53"/>
        <v/>
      </c>
      <c r="W283" s="128" t="str">
        <f t="shared" si="54"/>
        <v/>
      </c>
      <c r="X283" s="101" t="str">
        <f t="shared" si="55"/>
        <v/>
      </c>
      <c r="Y283" s="101" t="str">
        <f t="shared" si="56"/>
        <v/>
      </c>
      <c r="Z283" s="102" t="str">
        <f t="shared" si="57"/>
        <v/>
      </c>
      <c r="AA283" s="103" t="str">
        <f t="shared" si="58"/>
        <v/>
      </c>
      <c r="AB283" s="142" t="str">
        <f>IF(A283&lt;&gt;"", SUMIFS(node!$J$2:$J$500, node!$C$2:$C$500,"="&amp;A283)/P283, "")</f>
        <v/>
      </c>
      <c r="AC283" s="134" t="str">
        <f>IF(A283&lt;&gt;"", SUMIFS(node!$K$2:$K$500, node!$C$2:$C$500,"="&amp;A283)/P283, "")</f>
        <v/>
      </c>
      <c r="AD283" s="135" t="str">
        <f>IF(A283&lt;&gt;"", SUMIFS(node!$L$2:$L$500, node!$C$2:$C$500,"="&amp;A283), "")</f>
        <v/>
      </c>
      <c r="AE283" s="145" t="str">
        <f>IF(A283&lt;&gt;"", SUMIFS(node!$M$2:$M$500, node!$C$2:$C$500,"="&amp;A283), "")</f>
        <v/>
      </c>
    </row>
    <row r="284" spans="1:31" ht="15.75" customHeight="1" x14ac:dyDescent="0.25">
      <c r="A284" s="119" t="str">
        <f>IF(ISNONTEXT(node_raw[[#This Row],[Column2]]), "", node_raw[[#This Row],[Column2]])</f>
        <v/>
      </c>
      <c r="B284" s="116" t="str">
        <f>IF(A284&lt;&gt;"", VLOOKUP(A284, node!$C$2:$D$500, 2, FALSE), "")</f>
        <v/>
      </c>
      <c r="C284" s="117" t="str">
        <f>IF(A284&lt;&gt;"", VLOOKUP(A284, node!$C$2:$E$500, 3, FALSE), "")</f>
        <v/>
      </c>
      <c r="D284" s="118" t="str">
        <f>IF(A284&lt;&gt;"",COUNTIFS(node!$C$2:$C$500,"="&amp;A284, node!$C$2:$C$500,"&lt;&gt;"&amp;""),"")</f>
        <v/>
      </c>
      <c r="E284" s="122" t="str">
        <f>IF(A284&lt;&gt;"",SUMIFS(node!$F$2:$F$500, node!$C$2:$C$500,"="&amp;A284, node!$C$2:$C$500,"&lt;&gt;"&amp;"")/(B284*D284),"")</f>
        <v/>
      </c>
      <c r="F284" s="124" t="str">
        <f>IF(A284&lt;&gt;"",SUMIFS(node!$H$2:$H$500, node!$C$2:$C$500,"="&amp;A284, node!$C$2:$C$500,"&lt;&gt;"&amp;"")/(C284*D284),"")</f>
        <v/>
      </c>
      <c r="G284" s="93" t="str">
        <f>IF(A284&lt;&gt;"",SUMIFS(deployment!$F$4:$F$502, deployment!$D$4:$D$502,"="&amp;A284, deployment!$D$4:$D$502,"&lt;&gt;"&amp;""),"")</f>
        <v/>
      </c>
      <c r="H284" s="94" t="str">
        <f>IF(A284&lt;&gt;"",SUMIFS(deployment!$G$4:$G$502, deployment!$D$4:$D$502,"="&amp;A284, deployment!$D$4:$D$502,"&lt;&gt;"&amp;""),"")</f>
        <v/>
      </c>
      <c r="I284" s="95" t="str">
        <f>IF(A284&lt;&gt;"",SUMIFS(deployment!$H$4:$H$502, deployment!$D$4:$D$502,"="&amp;A284, deployment!$D$4:$D$502,"&lt;&gt;"&amp;""),"")</f>
        <v/>
      </c>
      <c r="J284" s="96" t="str">
        <f>IF(A284&lt;&gt;"",SUMIFS(deployment!$I$4:$I$502, deployment!$D$4:$D$502,"="&amp;A284, deployment!$D$4:$D$502,"&lt;&gt;"&amp;""),"")</f>
        <v/>
      </c>
      <c r="K284" s="112" t="str">
        <f>IF(A284&lt;&gt;"",SUMIFS(deployment!$J$4:$J$502, deployment!$D$4:$D$502,"="&amp;A284, deployment!$D$4:$D$502,"&lt;&gt;"&amp;""),"")</f>
        <v/>
      </c>
      <c r="L284" s="112" t="str">
        <f>IF(A284&lt;&gt;"",SUMIFS(deployment!$K$4:$K$502, deployment!$D$4:$D$502,"="&amp;A284, deployment!$D$4:$D$502,"&lt;&gt;"&amp;""),"")</f>
        <v/>
      </c>
      <c r="M284" s="97" t="str">
        <f>IF(A284&lt;&gt;"",SUMIFS(deployment!$L$4:$L$502, deployment!$D$4:$D$502,"="&amp;A284, deployment!$D$4:$D$502,"&lt;&gt;"&amp;""),"")</f>
        <v/>
      </c>
      <c r="N284" s="97" t="str">
        <f>IF(A284&lt;&gt;"",SUMIFS(deployment!$M$4:$M$502, deployment!$D$4:$D$502,"="&amp;A284, deployment!$D$4:$D$502,"&lt;&gt;"&amp;""),"")</f>
        <v/>
      </c>
      <c r="O284" s="127" t="str">
        <f t="shared" si="59"/>
        <v/>
      </c>
      <c r="P284" s="104"/>
      <c r="Q284" s="99" t="str">
        <f t="shared" si="48"/>
        <v/>
      </c>
      <c r="R284" s="100" t="str">
        <f t="shared" si="49"/>
        <v/>
      </c>
      <c r="S284" s="100" t="str">
        <f t="shared" si="50"/>
        <v/>
      </c>
      <c r="T284" s="101" t="str">
        <f t="shared" si="51"/>
        <v/>
      </c>
      <c r="U284" s="101" t="str">
        <f t="shared" si="52"/>
        <v/>
      </c>
      <c r="V284" s="128" t="str">
        <f t="shared" si="53"/>
        <v/>
      </c>
      <c r="W284" s="128" t="str">
        <f t="shared" si="54"/>
        <v/>
      </c>
      <c r="X284" s="101" t="str">
        <f t="shared" si="55"/>
        <v/>
      </c>
      <c r="Y284" s="101" t="str">
        <f t="shared" si="56"/>
        <v/>
      </c>
      <c r="Z284" s="102" t="str">
        <f t="shared" si="57"/>
        <v/>
      </c>
      <c r="AA284" s="103" t="str">
        <f t="shared" si="58"/>
        <v/>
      </c>
      <c r="AB284" s="142" t="str">
        <f>IF(A284&lt;&gt;"", SUMIFS(node!$J$2:$J$500, node!$C$2:$C$500,"="&amp;A284)/P284, "")</f>
        <v/>
      </c>
      <c r="AC284" s="134" t="str">
        <f>IF(A284&lt;&gt;"", SUMIFS(node!$K$2:$K$500, node!$C$2:$C$500,"="&amp;A284)/P284, "")</f>
        <v/>
      </c>
      <c r="AD284" s="135" t="str">
        <f>IF(A284&lt;&gt;"", SUMIFS(node!$L$2:$L$500, node!$C$2:$C$500,"="&amp;A284), "")</f>
        <v/>
      </c>
      <c r="AE284" s="145" t="str">
        <f>IF(A284&lt;&gt;"", SUMIFS(node!$M$2:$M$500, node!$C$2:$C$500,"="&amp;A284), "")</f>
        <v/>
      </c>
    </row>
    <row r="285" spans="1:31" ht="15.75" customHeight="1" x14ac:dyDescent="0.25">
      <c r="A285" s="119" t="str">
        <f>IF(ISNONTEXT(node_raw[[#This Row],[Column2]]), "", node_raw[[#This Row],[Column2]])</f>
        <v/>
      </c>
      <c r="B285" s="116" t="str">
        <f>IF(A285&lt;&gt;"", VLOOKUP(A285, node!$C$2:$D$500, 2, FALSE), "")</f>
        <v/>
      </c>
      <c r="C285" s="117" t="str">
        <f>IF(A285&lt;&gt;"", VLOOKUP(A285, node!$C$2:$E$500, 3, FALSE), "")</f>
        <v/>
      </c>
      <c r="D285" s="118" t="str">
        <f>IF(A285&lt;&gt;"",COUNTIFS(node!$C$2:$C$500,"="&amp;A285, node!$C$2:$C$500,"&lt;&gt;"&amp;""),"")</f>
        <v/>
      </c>
      <c r="E285" s="122" t="str">
        <f>IF(A285&lt;&gt;"",SUMIFS(node!$F$2:$F$500, node!$C$2:$C$500,"="&amp;A285, node!$C$2:$C$500,"&lt;&gt;"&amp;"")/(B285*D285),"")</f>
        <v/>
      </c>
      <c r="F285" s="124" t="str">
        <f>IF(A285&lt;&gt;"",SUMIFS(node!$H$2:$H$500, node!$C$2:$C$500,"="&amp;A285, node!$C$2:$C$500,"&lt;&gt;"&amp;"")/(C285*D285),"")</f>
        <v/>
      </c>
      <c r="G285" s="93" t="str">
        <f>IF(A285&lt;&gt;"",SUMIFS(deployment!$F$4:$F$502, deployment!$D$4:$D$502,"="&amp;A285, deployment!$D$4:$D$502,"&lt;&gt;"&amp;""),"")</f>
        <v/>
      </c>
      <c r="H285" s="94" t="str">
        <f>IF(A285&lt;&gt;"",SUMIFS(deployment!$G$4:$G$502, deployment!$D$4:$D$502,"="&amp;A285, deployment!$D$4:$D$502,"&lt;&gt;"&amp;""),"")</f>
        <v/>
      </c>
      <c r="I285" s="95" t="str">
        <f>IF(A285&lt;&gt;"",SUMIFS(deployment!$H$4:$H$502, deployment!$D$4:$D$502,"="&amp;A285, deployment!$D$4:$D$502,"&lt;&gt;"&amp;""),"")</f>
        <v/>
      </c>
      <c r="J285" s="96" t="str">
        <f>IF(A285&lt;&gt;"",SUMIFS(deployment!$I$4:$I$502, deployment!$D$4:$D$502,"="&amp;A285, deployment!$D$4:$D$502,"&lt;&gt;"&amp;""),"")</f>
        <v/>
      </c>
      <c r="K285" s="112" t="str">
        <f>IF(A285&lt;&gt;"",SUMIFS(deployment!$J$4:$J$502, deployment!$D$4:$D$502,"="&amp;A285, deployment!$D$4:$D$502,"&lt;&gt;"&amp;""),"")</f>
        <v/>
      </c>
      <c r="L285" s="112" t="str">
        <f>IF(A285&lt;&gt;"",SUMIFS(deployment!$K$4:$K$502, deployment!$D$4:$D$502,"="&amp;A285, deployment!$D$4:$D$502,"&lt;&gt;"&amp;""),"")</f>
        <v/>
      </c>
      <c r="M285" s="97" t="str">
        <f>IF(A285&lt;&gt;"",SUMIFS(deployment!$L$4:$L$502, deployment!$D$4:$D$502,"="&amp;A285, deployment!$D$4:$D$502,"&lt;&gt;"&amp;""),"")</f>
        <v/>
      </c>
      <c r="N285" s="97" t="str">
        <f>IF(A285&lt;&gt;"",SUMIFS(deployment!$M$4:$M$502, deployment!$D$4:$D$502,"="&amp;A285, deployment!$D$4:$D$502,"&lt;&gt;"&amp;""),"")</f>
        <v/>
      </c>
      <c r="O285" s="127" t="str">
        <f t="shared" si="59"/>
        <v/>
      </c>
      <c r="P285" s="104"/>
      <c r="Q285" s="99" t="str">
        <f t="shared" si="48"/>
        <v/>
      </c>
      <c r="R285" s="100" t="str">
        <f t="shared" si="49"/>
        <v/>
      </c>
      <c r="S285" s="100" t="str">
        <f t="shared" si="50"/>
        <v/>
      </c>
      <c r="T285" s="101" t="str">
        <f t="shared" si="51"/>
        <v/>
      </c>
      <c r="U285" s="101" t="str">
        <f t="shared" si="52"/>
        <v/>
      </c>
      <c r="V285" s="128" t="str">
        <f t="shared" si="53"/>
        <v/>
      </c>
      <c r="W285" s="128" t="str">
        <f t="shared" si="54"/>
        <v/>
      </c>
      <c r="X285" s="101" t="str">
        <f t="shared" si="55"/>
        <v/>
      </c>
      <c r="Y285" s="101" t="str">
        <f t="shared" si="56"/>
        <v/>
      </c>
      <c r="Z285" s="102" t="str">
        <f t="shared" si="57"/>
        <v/>
      </c>
      <c r="AA285" s="103" t="str">
        <f t="shared" si="58"/>
        <v/>
      </c>
      <c r="AB285" s="142" t="str">
        <f>IF(A285&lt;&gt;"", SUMIFS(node!$J$2:$J$500, node!$C$2:$C$500,"="&amp;A285)/P285, "")</f>
        <v/>
      </c>
      <c r="AC285" s="134" t="str">
        <f>IF(A285&lt;&gt;"", SUMIFS(node!$K$2:$K$500, node!$C$2:$C$500,"="&amp;A285)/P285, "")</f>
        <v/>
      </c>
      <c r="AD285" s="135" t="str">
        <f>IF(A285&lt;&gt;"", SUMIFS(node!$L$2:$L$500, node!$C$2:$C$500,"="&amp;A285), "")</f>
        <v/>
      </c>
      <c r="AE285" s="145" t="str">
        <f>IF(A285&lt;&gt;"", SUMIFS(node!$M$2:$M$500, node!$C$2:$C$500,"="&amp;A285), "")</f>
        <v/>
      </c>
    </row>
    <row r="286" spans="1:31" ht="15.75" customHeight="1" x14ac:dyDescent="0.25">
      <c r="A286" s="119" t="str">
        <f>IF(ISNONTEXT(node_raw[[#This Row],[Column2]]), "", node_raw[[#This Row],[Column2]])</f>
        <v/>
      </c>
      <c r="B286" s="116" t="str">
        <f>IF(A286&lt;&gt;"", VLOOKUP(A286, node!$C$2:$D$500, 2, FALSE), "")</f>
        <v/>
      </c>
      <c r="C286" s="117" t="str">
        <f>IF(A286&lt;&gt;"", VLOOKUP(A286, node!$C$2:$E$500, 3, FALSE), "")</f>
        <v/>
      </c>
      <c r="D286" s="118" t="str">
        <f>IF(A286&lt;&gt;"",COUNTIFS(node!$C$2:$C$500,"="&amp;A286, node!$C$2:$C$500,"&lt;&gt;"&amp;""),"")</f>
        <v/>
      </c>
      <c r="E286" s="122" t="str">
        <f>IF(A286&lt;&gt;"",SUMIFS(node!$F$2:$F$500, node!$C$2:$C$500,"="&amp;A286, node!$C$2:$C$500,"&lt;&gt;"&amp;"")/(B286*D286),"")</f>
        <v/>
      </c>
      <c r="F286" s="124" t="str">
        <f>IF(A286&lt;&gt;"",SUMIFS(node!$H$2:$H$500, node!$C$2:$C$500,"="&amp;A286, node!$C$2:$C$500,"&lt;&gt;"&amp;"")/(C286*D286),"")</f>
        <v/>
      </c>
      <c r="G286" s="93" t="str">
        <f>IF(A286&lt;&gt;"",SUMIFS(deployment!$F$4:$F$502, deployment!$D$4:$D$502,"="&amp;A286, deployment!$D$4:$D$502,"&lt;&gt;"&amp;""),"")</f>
        <v/>
      </c>
      <c r="H286" s="94" t="str">
        <f>IF(A286&lt;&gt;"",SUMIFS(deployment!$G$4:$G$502, deployment!$D$4:$D$502,"="&amp;A286, deployment!$D$4:$D$502,"&lt;&gt;"&amp;""),"")</f>
        <v/>
      </c>
      <c r="I286" s="95" t="str">
        <f>IF(A286&lt;&gt;"",SUMIFS(deployment!$H$4:$H$502, deployment!$D$4:$D$502,"="&amp;A286, deployment!$D$4:$D$502,"&lt;&gt;"&amp;""),"")</f>
        <v/>
      </c>
      <c r="J286" s="96" t="str">
        <f>IF(A286&lt;&gt;"",SUMIFS(deployment!$I$4:$I$502, deployment!$D$4:$D$502,"="&amp;A286, deployment!$D$4:$D$502,"&lt;&gt;"&amp;""),"")</f>
        <v/>
      </c>
      <c r="K286" s="112" t="str">
        <f>IF(A286&lt;&gt;"",SUMIFS(deployment!$J$4:$J$502, deployment!$D$4:$D$502,"="&amp;A286, deployment!$D$4:$D$502,"&lt;&gt;"&amp;""),"")</f>
        <v/>
      </c>
      <c r="L286" s="112" t="str">
        <f>IF(A286&lt;&gt;"",SUMIFS(deployment!$K$4:$K$502, deployment!$D$4:$D$502,"="&amp;A286, deployment!$D$4:$D$502,"&lt;&gt;"&amp;""),"")</f>
        <v/>
      </c>
      <c r="M286" s="97" t="str">
        <f>IF(A286&lt;&gt;"",SUMIFS(deployment!$L$4:$L$502, deployment!$D$4:$D$502,"="&amp;A286, deployment!$D$4:$D$502,"&lt;&gt;"&amp;""),"")</f>
        <v/>
      </c>
      <c r="N286" s="97" t="str">
        <f>IF(A286&lt;&gt;"",SUMIFS(deployment!$M$4:$M$502, deployment!$D$4:$D$502,"="&amp;A286, deployment!$D$4:$D$502,"&lt;&gt;"&amp;""),"")</f>
        <v/>
      </c>
      <c r="O286" s="127" t="str">
        <f t="shared" si="59"/>
        <v/>
      </c>
      <c r="P286" s="104"/>
      <c r="Q286" s="99" t="str">
        <f t="shared" si="48"/>
        <v/>
      </c>
      <c r="R286" s="100" t="str">
        <f t="shared" si="49"/>
        <v/>
      </c>
      <c r="S286" s="100" t="str">
        <f t="shared" si="50"/>
        <v/>
      </c>
      <c r="T286" s="101" t="str">
        <f t="shared" si="51"/>
        <v/>
      </c>
      <c r="U286" s="101" t="str">
        <f t="shared" si="52"/>
        <v/>
      </c>
      <c r="V286" s="128" t="str">
        <f t="shared" si="53"/>
        <v/>
      </c>
      <c r="W286" s="128" t="str">
        <f t="shared" si="54"/>
        <v/>
      </c>
      <c r="X286" s="101" t="str">
        <f t="shared" si="55"/>
        <v/>
      </c>
      <c r="Y286" s="101" t="str">
        <f t="shared" si="56"/>
        <v/>
      </c>
      <c r="Z286" s="102" t="str">
        <f t="shared" si="57"/>
        <v/>
      </c>
      <c r="AA286" s="103" t="str">
        <f t="shared" si="58"/>
        <v/>
      </c>
      <c r="AB286" s="142" t="str">
        <f>IF(A286&lt;&gt;"", SUMIFS(node!$J$2:$J$500, node!$C$2:$C$500,"="&amp;A286)/P286, "")</f>
        <v/>
      </c>
      <c r="AC286" s="134" t="str">
        <f>IF(A286&lt;&gt;"", SUMIFS(node!$K$2:$K$500, node!$C$2:$C$500,"="&amp;A286)/P286, "")</f>
        <v/>
      </c>
      <c r="AD286" s="135" t="str">
        <f>IF(A286&lt;&gt;"", SUMIFS(node!$L$2:$L$500, node!$C$2:$C$500,"="&amp;A286), "")</f>
        <v/>
      </c>
      <c r="AE286" s="145" t="str">
        <f>IF(A286&lt;&gt;"", SUMIFS(node!$M$2:$M$500, node!$C$2:$C$500,"="&amp;A286), "")</f>
        <v/>
      </c>
    </row>
    <row r="287" spans="1:31" ht="15.75" customHeight="1" x14ac:dyDescent="0.25">
      <c r="A287" s="119" t="str">
        <f>IF(ISNONTEXT(node_raw[[#This Row],[Column2]]), "", node_raw[[#This Row],[Column2]])</f>
        <v/>
      </c>
      <c r="B287" s="116" t="str">
        <f>IF(A287&lt;&gt;"", VLOOKUP(A287, node!$C$2:$D$500, 2, FALSE), "")</f>
        <v/>
      </c>
      <c r="C287" s="117" t="str">
        <f>IF(A287&lt;&gt;"", VLOOKUP(A287, node!$C$2:$E$500, 3, FALSE), "")</f>
        <v/>
      </c>
      <c r="D287" s="118" t="str">
        <f>IF(A287&lt;&gt;"",COUNTIFS(node!$C$2:$C$500,"="&amp;A287, node!$C$2:$C$500,"&lt;&gt;"&amp;""),"")</f>
        <v/>
      </c>
      <c r="E287" s="122" t="str">
        <f>IF(A287&lt;&gt;"",SUMIFS(node!$F$2:$F$500, node!$C$2:$C$500,"="&amp;A287, node!$C$2:$C$500,"&lt;&gt;"&amp;"")/(B287*D287),"")</f>
        <v/>
      </c>
      <c r="F287" s="124" t="str">
        <f>IF(A287&lt;&gt;"",SUMIFS(node!$H$2:$H$500, node!$C$2:$C$500,"="&amp;A287, node!$C$2:$C$500,"&lt;&gt;"&amp;"")/(C287*D287),"")</f>
        <v/>
      </c>
      <c r="G287" s="93" t="str">
        <f>IF(A287&lt;&gt;"",SUMIFS(deployment!$F$4:$F$502, deployment!$D$4:$D$502,"="&amp;A287, deployment!$D$4:$D$502,"&lt;&gt;"&amp;""),"")</f>
        <v/>
      </c>
      <c r="H287" s="94" t="str">
        <f>IF(A287&lt;&gt;"",SUMIFS(deployment!$G$4:$G$502, deployment!$D$4:$D$502,"="&amp;A287, deployment!$D$4:$D$502,"&lt;&gt;"&amp;""),"")</f>
        <v/>
      </c>
      <c r="I287" s="95" t="str">
        <f>IF(A287&lt;&gt;"",SUMIFS(deployment!$H$4:$H$502, deployment!$D$4:$D$502,"="&amp;A287, deployment!$D$4:$D$502,"&lt;&gt;"&amp;""),"")</f>
        <v/>
      </c>
      <c r="J287" s="96" t="str">
        <f>IF(A287&lt;&gt;"",SUMIFS(deployment!$I$4:$I$502, deployment!$D$4:$D$502,"="&amp;A287, deployment!$D$4:$D$502,"&lt;&gt;"&amp;""),"")</f>
        <v/>
      </c>
      <c r="K287" s="112" t="str">
        <f>IF(A287&lt;&gt;"",SUMIFS(deployment!$J$4:$J$502, deployment!$D$4:$D$502,"="&amp;A287, deployment!$D$4:$D$502,"&lt;&gt;"&amp;""),"")</f>
        <v/>
      </c>
      <c r="L287" s="112" t="str">
        <f>IF(A287&lt;&gt;"",SUMIFS(deployment!$K$4:$K$502, deployment!$D$4:$D$502,"="&amp;A287, deployment!$D$4:$D$502,"&lt;&gt;"&amp;""),"")</f>
        <v/>
      </c>
      <c r="M287" s="97" t="str">
        <f>IF(A287&lt;&gt;"",SUMIFS(deployment!$L$4:$L$502, deployment!$D$4:$D$502,"="&amp;A287, deployment!$D$4:$D$502,"&lt;&gt;"&amp;""),"")</f>
        <v/>
      </c>
      <c r="N287" s="97" t="str">
        <f>IF(A287&lt;&gt;"",SUMIFS(deployment!$M$4:$M$502, deployment!$D$4:$D$502,"="&amp;A287, deployment!$D$4:$D$502,"&lt;&gt;"&amp;""),"")</f>
        <v/>
      </c>
      <c r="O287" s="127" t="str">
        <f t="shared" si="59"/>
        <v/>
      </c>
      <c r="P287" s="104"/>
      <c r="Q287" s="99" t="str">
        <f t="shared" si="48"/>
        <v/>
      </c>
      <c r="R287" s="100" t="str">
        <f t="shared" si="49"/>
        <v/>
      </c>
      <c r="S287" s="100" t="str">
        <f t="shared" si="50"/>
        <v/>
      </c>
      <c r="T287" s="101" t="str">
        <f t="shared" si="51"/>
        <v/>
      </c>
      <c r="U287" s="101" t="str">
        <f t="shared" si="52"/>
        <v/>
      </c>
      <c r="V287" s="128" t="str">
        <f t="shared" si="53"/>
        <v/>
      </c>
      <c r="W287" s="128" t="str">
        <f t="shared" si="54"/>
        <v/>
      </c>
      <c r="X287" s="101" t="str">
        <f t="shared" si="55"/>
        <v/>
      </c>
      <c r="Y287" s="101" t="str">
        <f t="shared" si="56"/>
        <v/>
      </c>
      <c r="Z287" s="102" t="str">
        <f t="shared" si="57"/>
        <v/>
      </c>
      <c r="AA287" s="103" t="str">
        <f t="shared" si="58"/>
        <v/>
      </c>
      <c r="AB287" s="142" t="str">
        <f>IF(A287&lt;&gt;"", SUMIFS(node!$J$2:$J$500, node!$C$2:$C$500,"="&amp;A287)/P287, "")</f>
        <v/>
      </c>
      <c r="AC287" s="134" t="str">
        <f>IF(A287&lt;&gt;"", SUMIFS(node!$K$2:$K$500, node!$C$2:$C$500,"="&amp;A287)/P287, "")</f>
        <v/>
      </c>
      <c r="AD287" s="135" t="str">
        <f>IF(A287&lt;&gt;"", SUMIFS(node!$L$2:$L$500, node!$C$2:$C$500,"="&amp;A287), "")</f>
        <v/>
      </c>
      <c r="AE287" s="145" t="str">
        <f>IF(A287&lt;&gt;"", SUMIFS(node!$M$2:$M$500, node!$C$2:$C$500,"="&amp;A287), "")</f>
        <v/>
      </c>
    </row>
    <row r="288" spans="1:31" ht="15.75" customHeight="1" x14ac:dyDescent="0.25">
      <c r="A288" s="119" t="str">
        <f>IF(ISNONTEXT(node_raw[[#This Row],[Column2]]), "", node_raw[[#This Row],[Column2]])</f>
        <v/>
      </c>
      <c r="B288" s="116" t="str">
        <f>IF(A288&lt;&gt;"", VLOOKUP(A288, node!$C$2:$D$500, 2, FALSE), "")</f>
        <v/>
      </c>
      <c r="C288" s="117" t="str">
        <f>IF(A288&lt;&gt;"", VLOOKUP(A288, node!$C$2:$E$500, 3, FALSE), "")</f>
        <v/>
      </c>
      <c r="D288" s="118" t="str">
        <f>IF(A288&lt;&gt;"",COUNTIFS(node!$C$2:$C$500,"="&amp;A288, node!$C$2:$C$500,"&lt;&gt;"&amp;""),"")</f>
        <v/>
      </c>
      <c r="E288" s="122" t="str">
        <f>IF(A288&lt;&gt;"",SUMIFS(node!$F$2:$F$500, node!$C$2:$C$500,"="&amp;A288, node!$C$2:$C$500,"&lt;&gt;"&amp;"")/(B288*D288),"")</f>
        <v/>
      </c>
      <c r="F288" s="124" t="str">
        <f>IF(A288&lt;&gt;"",SUMIFS(node!$H$2:$H$500, node!$C$2:$C$500,"="&amp;A288, node!$C$2:$C$500,"&lt;&gt;"&amp;"")/(C288*D288),"")</f>
        <v/>
      </c>
      <c r="G288" s="93" t="str">
        <f>IF(A288&lt;&gt;"",SUMIFS(deployment!$F$4:$F$502, deployment!$D$4:$D$502,"="&amp;A288, deployment!$D$4:$D$502,"&lt;&gt;"&amp;""),"")</f>
        <v/>
      </c>
      <c r="H288" s="94" t="str">
        <f>IF(A288&lt;&gt;"",SUMIFS(deployment!$G$4:$G$502, deployment!$D$4:$D$502,"="&amp;A288, deployment!$D$4:$D$502,"&lt;&gt;"&amp;""),"")</f>
        <v/>
      </c>
      <c r="I288" s="95" t="str">
        <f>IF(A288&lt;&gt;"",SUMIFS(deployment!$H$4:$H$502, deployment!$D$4:$D$502,"="&amp;A288, deployment!$D$4:$D$502,"&lt;&gt;"&amp;""),"")</f>
        <v/>
      </c>
      <c r="J288" s="96" t="str">
        <f>IF(A288&lt;&gt;"",SUMIFS(deployment!$I$4:$I$502, deployment!$D$4:$D$502,"="&amp;A288, deployment!$D$4:$D$502,"&lt;&gt;"&amp;""),"")</f>
        <v/>
      </c>
      <c r="K288" s="112" t="str">
        <f>IF(A288&lt;&gt;"",SUMIFS(deployment!$J$4:$J$502, deployment!$D$4:$D$502,"="&amp;A288, deployment!$D$4:$D$502,"&lt;&gt;"&amp;""),"")</f>
        <v/>
      </c>
      <c r="L288" s="112" t="str">
        <f>IF(A288&lt;&gt;"",SUMIFS(deployment!$K$4:$K$502, deployment!$D$4:$D$502,"="&amp;A288, deployment!$D$4:$D$502,"&lt;&gt;"&amp;""),"")</f>
        <v/>
      </c>
      <c r="M288" s="97" t="str">
        <f>IF(A288&lt;&gt;"",SUMIFS(deployment!$L$4:$L$502, deployment!$D$4:$D$502,"="&amp;A288, deployment!$D$4:$D$502,"&lt;&gt;"&amp;""),"")</f>
        <v/>
      </c>
      <c r="N288" s="97" t="str">
        <f>IF(A288&lt;&gt;"",SUMIFS(deployment!$M$4:$M$502, deployment!$D$4:$D$502,"="&amp;A288, deployment!$D$4:$D$502,"&lt;&gt;"&amp;""),"")</f>
        <v/>
      </c>
      <c r="O288" s="127" t="str">
        <f t="shared" si="59"/>
        <v/>
      </c>
      <c r="P288" s="104"/>
      <c r="Q288" s="99" t="str">
        <f t="shared" si="48"/>
        <v/>
      </c>
      <c r="R288" s="100" t="str">
        <f t="shared" si="49"/>
        <v/>
      </c>
      <c r="S288" s="100" t="str">
        <f t="shared" si="50"/>
        <v/>
      </c>
      <c r="T288" s="101" t="str">
        <f t="shared" si="51"/>
        <v/>
      </c>
      <c r="U288" s="101" t="str">
        <f t="shared" si="52"/>
        <v/>
      </c>
      <c r="V288" s="128" t="str">
        <f t="shared" si="53"/>
        <v/>
      </c>
      <c r="W288" s="128" t="str">
        <f t="shared" si="54"/>
        <v/>
      </c>
      <c r="X288" s="101" t="str">
        <f t="shared" si="55"/>
        <v/>
      </c>
      <c r="Y288" s="101" t="str">
        <f t="shared" si="56"/>
        <v/>
      </c>
      <c r="Z288" s="102" t="str">
        <f t="shared" si="57"/>
        <v/>
      </c>
      <c r="AA288" s="103" t="str">
        <f t="shared" si="58"/>
        <v/>
      </c>
      <c r="AB288" s="142" t="str">
        <f>IF(A288&lt;&gt;"", SUMIFS(node!$J$2:$J$500, node!$C$2:$C$500,"="&amp;A288)/P288, "")</f>
        <v/>
      </c>
      <c r="AC288" s="134" t="str">
        <f>IF(A288&lt;&gt;"", SUMIFS(node!$K$2:$K$500, node!$C$2:$C$500,"="&amp;A288)/P288, "")</f>
        <v/>
      </c>
      <c r="AD288" s="135" t="str">
        <f>IF(A288&lt;&gt;"", SUMIFS(node!$L$2:$L$500, node!$C$2:$C$500,"="&amp;A288), "")</f>
        <v/>
      </c>
      <c r="AE288" s="145" t="str">
        <f>IF(A288&lt;&gt;"", SUMIFS(node!$M$2:$M$500, node!$C$2:$C$500,"="&amp;A288), "")</f>
        <v/>
      </c>
    </row>
    <row r="289" spans="1:31" ht="15.75" customHeight="1" x14ac:dyDescent="0.25">
      <c r="A289" s="119" t="str">
        <f>IF(ISNONTEXT(node_raw[[#This Row],[Column2]]), "", node_raw[[#This Row],[Column2]])</f>
        <v/>
      </c>
      <c r="B289" s="116" t="str">
        <f>IF(A289&lt;&gt;"", VLOOKUP(A289, node!$C$2:$D$500, 2, FALSE), "")</f>
        <v/>
      </c>
      <c r="C289" s="117" t="str">
        <f>IF(A289&lt;&gt;"", VLOOKUP(A289, node!$C$2:$E$500, 3, FALSE), "")</f>
        <v/>
      </c>
      <c r="D289" s="118" t="str">
        <f>IF(A289&lt;&gt;"",COUNTIFS(node!$C$2:$C$500,"="&amp;A289, node!$C$2:$C$500,"&lt;&gt;"&amp;""),"")</f>
        <v/>
      </c>
      <c r="E289" s="122" t="str">
        <f>IF(A289&lt;&gt;"",SUMIFS(node!$F$2:$F$500, node!$C$2:$C$500,"="&amp;A289, node!$C$2:$C$500,"&lt;&gt;"&amp;"")/(B289*D289),"")</f>
        <v/>
      </c>
      <c r="F289" s="124" t="str">
        <f>IF(A289&lt;&gt;"",SUMIFS(node!$H$2:$H$500, node!$C$2:$C$500,"="&amp;A289, node!$C$2:$C$500,"&lt;&gt;"&amp;"")/(C289*D289),"")</f>
        <v/>
      </c>
      <c r="G289" s="93" t="str">
        <f>IF(A289&lt;&gt;"",SUMIFS(deployment!$F$4:$F$502, deployment!$D$4:$D$502,"="&amp;A289, deployment!$D$4:$D$502,"&lt;&gt;"&amp;""),"")</f>
        <v/>
      </c>
      <c r="H289" s="94" t="str">
        <f>IF(A289&lt;&gt;"",SUMIFS(deployment!$G$4:$G$502, deployment!$D$4:$D$502,"="&amp;A289, deployment!$D$4:$D$502,"&lt;&gt;"&amp;""),"")</f>
        <v/>
      </c>
      <c r="I289" s="95" t="str">
        <f>IF(A289&lt;&gt;"",SUMIFS(deployment!$H$4:$H$502, deployment!$D$4:$D$502,"="&amp;A289, deployment!$D$4:$D$502,"&lt;&gt;"&amp;""),"")</f>
        <v/>
      </c>
      <c r="J289" s="96" t="str">
        <f>IF(A289&lt;&gt;"",SUMIFS(deployment!$I$4:$I$502, deployment!$D$4:$D$502,"="&amp;A289, deployment!$D$4:$D$502,"&lt;&gt;"&amp;""),"")</f>
        <v/>
      </c>
      <c r="K289" s="112" t="str">
        <f>IF(A289&lt;&gt;"",SUMIFS(deployment!$J$4:$J$502, deployment!$D$4:$D$502,"="&amp;A289, deployment!$D$4:$D$502,"&lt;&gt;"&amp;""),"")</f>
        <v/>
      </c>
      <c r="L289" s="112" t="str">
        <f>IF(A289&lt;&gt;"",SUMIFS(deployment!$K$4:$K$502, deployment!$D$4:$D$502,"="&amp;A289, deployment!$D$4:$D$502,"&lt;&gt;"&amp;""),"")</f>
        <v/>
      </c>
      <c r="M289" s="97" t="str">
        <f>IF(A289&lt;&gt;"",SUMIFS(deployment!$L$4:$L$502, deployment!$D$4:$D$502,"="&amp;A289, deployment!$D$4:$D$502,"&lt;&gt;"&amp;""),"")</f>
        <v/>
      </c>
      <c r="N289" s="97" t="str">
        <f>IF(A289&lt;&gt;"",SUMIFS(deployment!$M$4:$M$502, deployment!$D$4:$D$502,"="&amp;A289, deployment!$D$4:$D$502,"&lt;&gt;"&amp;""),"")</f>
        <v/>
      </c>
      <c r="O289" s="127" t="str">
        <f t="shared" si="59"/>
        <v/>
      </c>
      <c r="P289" s="104"/>
      <c r="Q289" s="99" t="str">
        <f t="shared" si="48"/>
        <v/>
      </c>
      <c r="R289" s="100" t="str">
        <f t="shared" si="49"/>
        <v/>
      </c>
      <c r="S289" s="100" t="str">
        <f t="shared" si="50"/>
        <v/>
      </c>
      <c r="T289" s="101" t="str">
        <f t="shared" si="51"/>
        <v/>
      </c>
      <c r="U289" s="101" t="str">
        <f t="shared" si="52"/>
        <v/>
      </c>
      <c r="V289" s="128" t="str">
        <f t="shared" si="53"/>
        <v/>
      </c>
      <c r="W289" s="128" t="str">
        <f t="shared" si="54"/>
        <v/>
      </c>
      <c r="X289" s="101" t="str">
        <f t="shared" si="55"/>
        <v/>
      </c>
      <c r="Y289" s="101" t="str">
        <f t="shared" si="56"/>
        <v/>
      </c>
      <c r="Z289" s="102" t="str">
        <f t="shared" si="57"/>
        <v/>
      </c>
      <c r="AA289" s="103" t="str">
        <f t="shared" si="58"/>
        <v/>
      </c>
      <c r="AB289" s="142" t="str">
        <f>IF(A289&lt;&gt;"", SUMIFS(node!$J$2:$J$500, node!$C$2:$C$500,"="&amp;A289)/P289, "")</f>
        <v/>
      </c>
      <c r="AC289" s="134" t="str">
        <f>IF(A289&lt;&gt;"", SUMIFS(node!$K$2:$K$500, node!$C$2:$C$500,"="&amp;A289)/P289, "")</f>
        <v/>
      </c>
      <c r="AD289" s="135" t="str">
        <f>IF(A289&lt;&gt;"", SUMIFS(node!$L$2:$L$500, node!$C$2:$C$500,"="&amp;A289), "")</f>
        <v/>
      </c>
      <c r="AE289" s="145" t="str">
        <f>IF(A289&lt;&gt;"", SUMIFS(node!$M$2:$M$500, node!$C$2:$C$500,"="&amp;A289), "")</f>
        <v/>
      </c>
    </row>
    <row r="290" spans="1:31" ht="15.75" customHeight="1" x14ac:dyDescent="0.25">
      <c r="A290" s="119" t="str">
        <f>IF(ISNONTEXT(node_raw[[#This Row],[Column2]]), "", node_raw[[#This Row],[Column2]])</f>
        <v/>
      </c>
      <c r="B290" s="116" t="str">
        <f>IF(A290&lt;&gt;"", VLOOKUP(A290, node!$C$2:$D$500, 2, FALSE), "")</f>
        <v/>
      </c>
      <c r="C290" s="117" t="str">
        <f>IF(A290&lt;&gt;"", VLOOKUP(A290, node!$C$2:$E$500, 3, FALSE), "")</f>
        <v/>
      </c>
      <c r="D290" s="118" t="str">
        <f>IF(A290&lt;&gt;"",COUNTIFS(node!$C$2:$C$500,"="&amp;A290, node!$C$2:$C$500,"&lt;&gt;"&amp;""),"")</f>
        <v/>
      </c>
      <c r="E290" s="122" t="str">
        <f>IF(A290&lt;&gt;"",SUMIFS(node!$F$2:$F$500, node!$C$2:$C$500,"="&amp;A290, node!$C$2:$C$500,"&lt;&gt;"&amp;"")/(B290*D290),"")</f>
        <v/>
      </c>
      <c r="F290" s="124" t="str">
        <f>IF(A290&lt;&gt;"",SUMIFS(node!$H$2:$H$500, node!$C$2:$C$500,"="&amp;A290, node!$C$2:$C$500,"&lt;&gt;"&amp;"")/(C290*D290),"")</f>
        <v/>
      </c>
      <c r="G290" s="93" t="str">
        <f>IF(A290&lt;&gt;"",SUMIFS(deployment!$F$4:$F$502, deployment!$D$4:$D$502,"="&amp;A290, deployment!$D$4:$D$502,"&lt;&gt;"&amp;""),"")</f>
        <v/>
      </c>
      <c r="H290" s="94" t="str">
        <f>IF(A290&lt;&gt;"",SUMIFS(deployment!$G$4:$G$502, deployment!$D$4:$D$502,"="&amp;A290, deployment!$D$4:$D$502,"&lt;&gt;"&amp;""),"")</f>
        <v/>
      </c>
      <c r="I290" s="95" t="str">
        <f>IF(A290&lt;&gt;"",SUMIFS(deployment!$H$4:$H$502, deployment!$D$4:$D$502,"="&amp;A290, deployment!$D$4:$D$502,"&lt;&gt;"&amp;""),"")</f>
        <v/>
      </c>
      <c r="J290" s="96" t="str">
        <f>IF(A290&lt;&gt;"",SUMIFS(deployment!$I$4:$I$502, deployment!$D$4:$D$502,"="&amp;A290, deployment!$D$4:$D$502,"&lt;&gt;"&amp;""),"")</f>
        <v/>
      </c>
      <c r="K290" s="112" t="str">
        <f>IF(A290&lt;&gt;"",SUMIFS(deployment!$J$4:$J$502, deployment!$D$4:$D$502,"="&amp;A290, deployment!$D$4:$D$502,"&lt;&gt;"&amp;""),"")</f>
        <v/>
      </c>
      <c r="L290" s="112" t="str">
        <f>IF(A290&lt;&gt;"",SUMIFS(deployment!$K$4:$K$502, deployment!$D$4:$D$502,"="&amp;A290, deployment!$D$4:$D$502,"&lt;&gt;"&amp;""),"")</f>
        <v/>
      </c>
      <c r="M290" s="97" t="str">
        <f>IF(A290&lt;&gt;"",SUMIFS(deployment!$L$4:$L$502, deployment!$D$4:$D$502,"="&amp;A290, deployment!$D$4:$D$502,"&lt;&gt;"&amp;""),"")</f>
        <v/>
      </c>
      <c r="N290" s="97" t="str">
        <f>IF(A290&lt;&gt;"",SUMIFS(deployment!$M$4:$M$502, deployment!$D$4:$D$502,"="&amp;A290, deployment!$D$4:$D$502,"&lt;&gt;"&amp;""),"")</f>
        <v/>
      </c>
      <c r="O290" s="127" t="str">
        <f t="shared" si="59"/>
        <v/>
      </c>
      <c r="P290" s="104"/>
      <c r="Q290" s="99" t="str">
        <f t="shared" si="48"/>
        <v/>
      </c>
      <c r="R290" s="100" t="str">
        <f t="shared" si="49"/>
        <v/>
      </c>
      <c r="S290" s="100" t="str">
        <f t="shared" si="50"/>
        <v/>
      </c>
      <c r="T290" s="101" t="str">
        <f t="shared" si="51"/>
        <v/>
      </c>
      <c r="U290" s="101" t="str">
        <f t="shared" si="52"/>
        <v/>
      </c>
      <c r="V290" s="128" t="str">
        <f t="shared" si="53"/>
        <v/>
      </c>
      <c r="W290" s="128" t="str">
        <f t="shared" si="54"/>
        <v/>
      </c>
      <c r="X290" s="101" t="str">
        <f t="shared" si="55"/>
        <v/>
      </c>
      <c r="Y290" s="101" t="str">
        <f t="shared" si="56"/>
        <v/>
      </c>
      <c r="Z290" s="102" t="str">
        <f t="shared" si="57"/>
        <v/>
      </c>
      <c r="AA290" s="103" t="str">
        <f t="shared" si="58"/>
        <v/>
      </c>
      <c r="AB290" s="142" t="str">
        <f>IF(A290&lt;&gt;"", SUMIFS(node!$J$2:$J$500, node!$C$2:$C$500,"="&amp;A290)/P290, "")</f>
        <v/>
      </c>
      <c r="AC290" s="134" t="str">
        <f>IF(A290&lt;&gt;"", SUMIFS(node!$K$2:$K$500, node!$C$2:$C$500,"="&amp;A290)/P290, "")</f>
        <v/>
      </c>
      <c r="AD290" s="135" t="str">
        <f>IF(A290&lt;&gt;"", SUMIFS(node!$L$2:$L$500, node!$C$2:$C$500,"="&amp;A290), "")</f>
        <v/>
      </c>
      <c r="AE290" s="145" t="str">
        <f>IF(A290&lt;&gt;"", SUMIFS(node!$M$2:$M$500, node!$C$2:$C$500,"="&amp;A290), "")</f>
        <v/>
      </c>
    </row>
    <row r="291" spans="1:31" ht="15.75" customHeight="1" x14ac:dyDescent="0.25">
      <c r="A291" s="119" t="str">
        <f>IF(ISNONTEXT(node_raw[[#This Row],[Column2]]), "", node_raw[[#This Row],[Column2]])</f>
        <v/>
      </c>
      <c r="B291" s="116" t="str">
        <f>IF(A291&lt;&gt;"", VLOOKUP(A291, node!$C$2:$D$500, 2, FALSE), "")</f>
        <v/>
      </c>
      <c r="C291" s="117" t="str">
        <f>IF(A291&lt;&gt;"", VLOOKUP(A291, node!$C$2:$E$500, 3, FALSE), "")</f>
        <v/>
      </c>
      <c r="D291" s="118" t="str">
        <f>IF(A291&lt;&gt;"",COUNTIFS(node!$C$2:$C$500,"="&amp;A291, node!$C$2:$C$500,"&lt;&gt;"&amp;""),"")</f>
        <v/>
      </c>
      <c r="E291" s="122" t="str">
        <f>IF(A291&lt;&gt;"",SUMIFS(node!$F$2:$F$500, node!$C$2:$C$500,"="&amp;A291, node!$C$2:$C$500,"&lt;&gt;"&amp;"")/(B291*D291),"")</f>
        <v/>
      </c>
      <c r="F291" s="124" t="str">
        <f>IF(A291&lt;&gt;"",SUMIFS(node!$H$2:$H$500, node!$C$2:$C$500,"="&amp;A291, node!$C$2:$C$500,"&lt;&gt;"&amp;"")/(C291*D291),"")</f>
        <v/>
      </c>
      <c r="G291" s="93" t="str">
        <f>IF(A291&lt;&gt;"",SUMIFS(deployment!$F$4:$F$502, deployment!$D$4:$D$502,"="&amp;A291, deployment!$D$4:$D$502,"&lt;&gt;"&amp;""),"")</f>
        <v/>
      </c>
      <c r="H291" s="94" t="str">
        <f>IF(A291&lt;&gt;"",SUMIFS(deployment!$G$4:$G$502, deployment!$D$4:$D$502,"="&amp;A291, deployment!$D$4:$D$502,"&lt;&gt;"&amp;""),"")</f>
        <v/>
      </c>
      <c r="I291" s="95" t="str">
        <f>IF(A291&lt;&gt;"",SUMIFS(deployment!$H$4:$H$502, deployment!$D$4:$D$502,"="&amp;A291, deployment!$D$4:$D$502,"&lt;&gt;"&amp;""),"")</f>
        <v/>
      </c>
      <c r="J291" s="96" t="str">
        <f>IF(A291&lt;&gt;"",SUMIFS(deployment!$I$4:$I$502, deployment!$D$4:$D$502,"="&amp;A291, deployment!$D$4:$D$502,"&lt;&gt;"&amp;""),"")</f>
        <v/>
      </c>
      <c r="K291" s="112" t="str">
        <f>IF(A291&lt;&gt;"",SUMIFS(deployment!$J$4:$J$502, deployment!$D$4:$D$502,"="&amp;A291, deployment!$D$4:$D$502,"&lt;&gt;"&amp;""),"")</f>
        <v/>
      </c>
      <c r="L291" s="112" t="str">
        <f>IF(A291&lt;&gt;"",SUMIFS(deployment!$K$4:$K$502, deployment!$D$4:$D$502,"="&amp;A291, deployment!$D$4:$D$502,"&lt;&gt;"&amp;""),"")</f>
        <v/>
      </c>
      <c r="M291" s="97" t="str">
        <f>IF(A291&lt;&gt;"",SUMIFS(deployment!$L$4:$L$502, deployment!$D$4:$D$502,"="&amp;A291, deployment!$D$4:$D$502,"&lt;&gt;"&amp;""),"")</f>
        <v/>
      </c>
      <c r="N291" s="97" t="str">
        <f>IF(A291&lt;&gt;"",SUMIFS(deployment!$M$4:$M$502, deployment!$D$4:$D$502,"="&amp;A291, deployment!$D$4:$D$502,"&lt;&gt;"&amp;""),"")</f>
        <v/>
      </c>
      <c r="O291" s="127" t="str">
        <f t="shared" si="59"/>
        <v/>
      </c>
      <c r="P291" s="104"/>
      <c r="Q291" s="99" t="str">
        <f t="shared" si="48"/>
        <v/>
      </c>
      <c r="R291" s="100" t="str">
        <f t="shared" si="49"/>
        <v/>
      </c>
      <c r="S291" s="100" t="str">
        <f t="shared" si="50"/>
        <v/>
      </c>
      <c r="T291" s="101" t="str">
        <f t="shared" si="51"/>
        <v/>
      </c>
      <c r="U291" s="101" t="str">
        <f t="shared" si="52"/>
        <v/>
      </c>
      <c r="V291" s="128" t="str">
        <f t="shared" si="53"/>
        <v/>
      </c>
      <c r="W291" s="128" t="str">
        <f t="shared" si="54"/>
        <v/>
      </c>
      <c r="X291" s="101" t="str">
        <f t="shared" si="55"/>
        <v/>
      </c>
      <c r="Y291" s="101" t="str">
        <f t="shared" si="56"/>
        <v/>
      </c>
      <c r="Z291" s="102" t="str">
        <f t="shared" si="57"/>
        <v/>
      </c>
      <c r="AA291" s="103" t="str">
        <f t="shared" si="58"/>
        <v/>
      </c>
      <c r="AB291" s="142" t="str">
        <f>IF(A291&lt;&gt;"", SUMIFS(node!$J$2:$J$500, node!$C$2:$C$500,"="&amp;A291)/P291, "")</f>
        <v/>
      </c>
      <c r="AC291" s="134" t="str">
        <f>IF(A291&lt;&gt;"", SUMIFS(node!$K$2:$K$500, node!$C$2:$C$500,"="&amp;A291)/P291, "")</f>
        <v/>
      </c>
      <c r="AD291" s="135" t="str">
        <f>IF(A291&lt;&gt;"", SUMIFS(node!$L$2:$L$500, node!$C$2:$C$500,"="&amp;A291), "")</f>
        <v/>
      </c>
      <c r="AE291" s="145" t="str">
        <f>IF(A291&lt;&gt;"", SUMIFS(node!$M$2:$M$500, node!$C$2:$C$500,"="&amp;A291), "")</f>
        <v/>
      </c>
    </row>
    <row r="292" spans="1:31" ht="15.75" customHeight="1" x14ac:dyDescent="0.25">
      <c r="A292" s="119" t="str">
        <f>IF(ISNONTEXT(node_raw[[#This Row],[Column2]]), "", node_raw[[#This Row],[Column2]])</f>
        <v/>
      </c>
      <c r="B292" s="116" t="str">
        <f>IF(A292&lt;&gt;"", VLOOKUP(A292, node!$C$2:$D$500, 2, FALSE), "")</f>
        <v/>
      </c>
      <c r="C292" s="117" t="str">
        <f>IF(A292&lt;&gt;"", VLOOKUP(A292, node!$C$2:$E$500, 3, FALSE), "")</f>
        <v/>
      </c>
      <c r="D292" s="118" t="str">
        <f>IF(A292&lt;&gt;"",COUNTIFS(node!$C$2:$C$500,"="&amp;A292, node!$C$2:$C$500,"&lt;&gt;"&amp;""),"")</f>
        <v/>
      </c>
      <c r="E292" s="122" t="str">
        <f>IF(A292&lt;&gt;"",SUMIFS(node!$F$2:$F$500, node!$C$2:$C$500,"="&amp;A292, node!$C$2:$C$500,"&lt;&gt;"&amp;"")/(B292*D292),"")</f>
        <v/>
      </c>
      <c r="F292" s="124" t="str">
        <f>IF(A292&lt;&gt;"",SUMIFS(node!$H$2:$H$500, node!$C$2:$C$500,"="&amp;A292, node!$C$2:$C$500,"&lt;&gt;"&amp;"")/(C292*D292),"")</f>
        <v/>
      </c>
      <c r="G292" s="93" t="str">
        <f>IF(A292&lt;&gt;"",SUMIFS(deployment!$F$4:$F$502, deployment!$D$4:$D$502,"="&amp;A292, deployment!$D$4:$D$502,"&lt;&gt;"&amp;""),"")</f>
        <v/>
      </c>
      <c r="H292" s="94" t="str">
        <f>IF(A292&lt;&gt;"",SUMIFS(deployment!$G$4:$G$502, deployment!$D$4:$D$502,"="&amp;A292, deployment!$D$4:$D$502,"&lt;&gt;"&amp;""),"")</f>
        <v/>
      </c>
      <c r="I292" s="95" t="str">
        <f>IF(A292&lt;&gt;"",SUMIFS(deployment!$H$4:$H$502, deployment!$D$4:$D$502,"="&amp;A292, deployment!$D$4:$D$502,"&lt;&gt;"&amp;""),"")</f>
        <v/>
      </c>
      <c r="J292" s="96" t="str">
        <f>IF(A292&lt;&gt;"",SUMIFS(deployment!$I$4:$I$502, deployment!$D$4:$D$502,"="&amp;A292, deployment!$D$4:$D$502,"&lt;&gt;"&amp;""),"")</f>
        <v/>
      </c>
      <c r="K292" s="112" t="str">
        <f>IF(A292&lt;&gt;"",SUMIFS(deployment!$J$4:$J$502, deployment!$D$4:$D$502,"="&amp;A292, deployment!$D$4:$D$502,"&lt;&gt;"&amp;""),"")</f>
        <v/>
      </c>
      <c r="L292" s="112" t="str">
        <f>IF(A292&lt;&gt;"",SUMIFS(deployment!$K$4:$K$502, deployment!$D$4:$D$502,"="&amp;A292, deployment!$D$4:$D$502,"&lt;&gt;"&amp;""),"")</f>
        <v/>
      </c>
      <c r="M292" s="97" t="str">
        <f>IF(A292&lt;&gt;"",SUMIFS(deployment!$L$4:$L$502, deployment!$D$4:$D$502,"="&amp;A292, deployment!$D$4:$D$502,"&lt;&gt;"&amp;""),"")</f>
        <v/>
      </c>
      <c r="N292" s="97" t="str">
        <f>IF(A292&lt;&gt;"",SUMIFS(deployment!$M$4:$M$502, deployment!$D$4:$D$502,"="&amp;A292, deployment!$D$4:$D$502,"&lt;&gt;"&amp;""),"")</f>
        <v/>
      </c>
      <c r="O292" s="127" t="str">
        <f t="shared" si="59"/>
        <v/>
      </c>
      <c r="P292" s="104"/>
      <c r="Q292" s="99" t="str">
        <f t="shared" si="48"/>
        <v/>
      </c>
      <c r="R292" s="100" t="str">
        <f t="shared" si="49"/>
        <v/>
      </c>
      <c r="S292" s="100" t="str">
        <f t="shared" si="50"/>
        <v/>
      </c>
      <c r="T292" s="101" t="str">
        <f t="shared" si="51"/>
        <v/>
      </c>
      <c r="U292" s="101" t="str">
        <f t="shared" si="52"/>
        <v/>
      </c>
      <c r="V292" s="128" t="str">
        <f t="shared" si="53"/>
        <v/>
      </c>
      <c r="W292" s="128" t="str">
        <f t="shared" si="54"/>
        <v/>
      </c>
      <c r="X292" s="101" t="str">
        <f t="shared" si="55"/>
        <v/>
      </c>
      <c r="Y292" s="101" t="str">
        <f t="shared" si="56"/>
        <v/>
      </c>
      <c r="Z292" s="102" t="str">
        <f t="shared" si="57"/>
        <v/>
      </c>
      <c r="AA292" s="103" t="str">
        <f t="shared" si="58"/>
        <v/>
      </c>
      <c r="AB292" s="142" t="str">
        <f>IF(A292&lt;&gt;"", SUMIFS(node!$J$2:$J$500, node!$C$2:$C$500,"="&amp;A292)/P292, "")</f>
        <v/>
      </c>
      <c r="AC292" s="134" t="str">
        <f>IF(A292&lt;&gt;"", SUMIFS(node!$K$2:$K$500, node!$C$2:$C$500,"="&amp;A292)/P292, "")</f>
        <v/>
      </c>
      <c r="AD292" s="135" t="str">
        <f>IF(A292&lt;&gt;"", SUMIFS(node!$L$2:$L$500, node!$C$2:$C$500,"="&amp;A292), "")</f>
        <v/>
      </c>
      <c r="AE292" s="145" t="str">
        <f>IF(A292&lt;&gt;"", SUMIFS(node!$M$2:$M$500, node!$C$2:$C$500,"="&amp;A292), "")</f>
        <v/>
      </c>
    </row>
    <row r="293" spans="1:31" ht="15.75" customHeight="1" x14ac:dyDescent="0.25">
      <c r="A293" s="119" t="str">
        <f>IF(ISNONTEXT(node_raw[[#This Row],[Column2]]), "", node_raw[[#This Row],[Column2]])</f>
        <v/>
      </c>
      <c r="B293" s="116" t="str">
        <f>IF(A293&lt;&gt;"", VLOOKUP(A293, node!$C$2:$D$500, 2, FALSE), "")</f>
        <v/>
      </c>
      <c r="C293" s="117" t="str">
        <f>IF(A293&lt;&gt;"", VLOOKUP(A293, node!$C$2:$E$500, 3, FALSE), "")</f>
        <v/>
      </c>
      <c r="D293" s="118" t="str">
        <f>IF(A293&lt;&gt;"",COUNTIFS(node!$C$2:$C$500,"="&amp;A293, node!$C$2:$C$500,"&lt;&gt;"&amp;""),"")</f>
        <v/>
      </c>
      <c r="E293" s="122" t="str">
        <f>IF(A293&lt;&gt;"",SUMIFS(node!$F$2:$F$500, node!$C$2:$C$500,"="&amp;A293, node!$C$2:$C$500,"&lt;&gt;"&amp;"")/(B293*D293),"")</f>
        <v/>
      </c>
      <c r="F293" s="124" t="str">
        <f>IF(A293&lt;&gt;"",SUMIFS(node!$H$2:$H$500, node!$C$2:$C$500,"="&amp;A293, node!$C$2:$C$500,"&lt;&gt;"&amp;"")/(C293*D293),"")</f>
        <v/>
      </c>
      <c r="G293" s="93" t="str">
        <f>IF(A293&lt;&gt;"",SUMIFS(deployment!$F$4:$F$502, deployment!$D$4:$D$502,"="&amp;A293, deployment!$D$4:$D$502,"&lt;&gt;"&amp;""),"")</f>
        <v/>
      </c>
      <c r="H293" s="94" t="str">
        <f>IF(A293&lt;&gt;"",SUMIFS(deployment!$G$4:$G$502, deployment!$D$4:$D$502,"="&amp;A293, deployment!$D$4:$D$502,"&lt;&gt;"&amp;""),"")</f>
        <v/>
      </c>
      <c r="I293" s="95" t="str">
        <f>IF(A293&lt;&gt;"",SUMIFS(deployment!$H$4:$H$502, deployment!$D$4:$D$502,"="&amp;A293, deployment!$D$4:$D$502,"&lt;&gt;"&amp;""),"")</f>
        <v/>
      </c>
      <c r="J293" s="96" t="str">
        <f>IF(A293&lt;&gt;"",SUMIFS(deployment!$I$4:$I$502, deployment!$D$4:$D$502,"="&amp;A293, deployment!$D$4:$D$502,"&lt;&gt;"&amp;""),"")</f>
        <v/>
      </c>
      <c r="K293" s="112" t="str">
        <f>IF(A293&lt;&gt;"",SUMIFS(deployment!$J$4:$J$502, deployment!$D$4:$D$502,"="&amp;A293, deployment!$D$4:$D$502,"&lt;&gt;"&amp;""),"")</f>
        <v/>
      </c>
      <c r="L293" s="112" t="str">
        <f>IF(A293&lt;&gt;"",SUMIFS(deployment!$K$4:$K$502, deployment!$D$4:$D$502,"="&amp;A293, deployment!$D$4:$D$502,"&lt;&gt;"&amp;""),"")</f>
        <v/>
      </c>
      <c r="M293" s="97" t="str">
        <f>IF(A293&lt;&gt;"",SUMIFS(deployment!$L$4:$L$502, deployment!$D$4:$D$502,"="&amp;A293, deployment!$D$4:$D$502,"&lt;&gt;"&amp;""),"")</f>
        <v/>
      </c>
      <c r="N293" s="97" t="str">
        <f>IF(A293&lt;&gt;"",SUMIFS(deployment!$M$4:$M$502, deployment!$D$4:$D$502,"="&amp;A293, deployment!$D$4:$D$502,"&lt;&gt;"&amp;""),"")</f>
        <v/>
      </c>
      <c r="O293" s="127" t="str">
        <f t="shared" si="59"/>
        <v/>
      </c>
      <c r="P293" s="104"/>
      <c r="Q293" s="99" t="str">
        <f t="shared" si="48"/>
        <v/>
      </c>
      <c r="R293" s="100" t="str">
        <f t="shared" si="49"/>
        <v/>
      </c>
      <c r="S293" s="100" t="str">
        <f t="shared" si="50"/>
        <v/>
      </c>
      <c r="T293" s="101" t="str">
        <f t="shared" si="51"/>
        <v/>
      </c>
      <c r="U293" s="101" t="str">
        <f t="shared" si="52"/>
        <v/>
      </c>
      <c r="V293" s="128" t="str">
        <f t="shared" si="53"/>
        <v/>
      </c>
      <c r="W293" s="128" t="str">
        <f t="shared" si="54"/>
        <v/>
      </c>
      <c r="X293" s="101" t="str">
        <f t="shared" si="55"/>
        <v/>
      </c>
      <c r="Y293" s="101" t="str">
        <f t="shared" si="56"/>
        <v/>
      </c>
      <c r="Z293" s="102" t="str">
        <f t="shared" si="57"/>
        <v/>
      </c>
      <c r="AA293" s="103" t="str">
        <f t="shared" si="58"/>
        <v/>
      </c>
      <c r="AB293" s="142" t="str">
        <f>IF(A293&lt;&gt;"", SUMIFS(node!$J$2:$J$500, node!$C$2:$C$500,"="&amp;A293)/P293, "")</f>
        <v/>
      </c>
      <c r="AC293" s="134" t="str">
        <f>IF(A293&lt;&gt;"", SUMIFS(node!$K$2:$K$500, node!$C$2:$C$500,"="&amp;A293)/P293, "")</f>
        <v/>
      </c>
      <c r="AD293" s="135" t="str">
        <f>IF(A293&lt;&gt;"", SUMIFS(node!$L$2:$L$500, node!$C$2:$C$500,"="&amp;A293), "")</f>
        <v/>
      </c>
      <c r="AE293" s="145" t="str">
        <f>IF(A293&lt;&gt;"", SUMIFS(node!$M$2:$M$500, node!$C$2:$C$500,"="&amp;A293), "")</f>
        <v/>
      </c>
    </row>
    <row r="294" spans="1:31" ht="15.75" customHeight="1" x14ac:dyDescent="0.25">
      <c r="A294" s="119" t="str">
        <f>IF(ISNONTEXT(node_raw[[#This Row],[Column2]]), "", node_raw[[#This Row],[Column2]])</f>
        <v/>
      </c>
      <c r="B294" s="116" t="str">
        <f>IF(A294&lt;&gt;"", VLOOKUP(A294, node!$C$2:$D$500, 2, FALSE), "")</f>
        <v/>
      </c>
      <c r="C294" s="117" t="str">
        <f>IF(A294&lt;&gt;"", VLOOKUP(A294, node!$C$2:$E$500, 3, FALSE), "")</f>
        <v/>
      </c>
      <c r="D294" s="118" t="str">
        <f>IF(A294&lt;&gt;"",COUNTIFS(node!$C$2:$C$500,"="&amp;A294, node!$C$2:$C$500,"&lt;&gt;"&amp;""),"")</f>
        <v/>
      </c>
      <c r="E294" s="122" t="str">
        <f>IF(A294&lt;&gt;"",SUMIFS(node!$F$2:$F$500, node!$C$2:$C$500,"="&amp;A294, node!$C$2:$C$500,"&lt;&gt;"&amp;"")/(B294*D294),"")</f>
        <v/>
      </c>
      <c r="F294" s="124" t="str">
        <f>IF(A294&lt;&gt;"",SUMIFS(node!$H$2:$H$500, node!$C$2:$C$500,"="&amp;A294, node!$C$2:$C$500,"&lt;&gt;"&amp;"")/(C294*D294),"")</f>
        <v/>
      </c>
      <c r="G294" s="93" t="str">
        <f>IF(A294&lt;&gt;"",SUMIFS(deployment!$F$4:$F$502, deployment!$D$4:$D$502,"="&amp;A294, deployment!$D$4:$D$502,"&lt;&gt;"&amp;""),"")</f>
        <v/>
      </c>
      <c r="H294" s="94" t="str">
        <f>IF(A294&lt;&gt;"",SUMIFS(deployment!$G$4:$G$502, deployment!$D$4:$D$502,"="&amp;A294, deployment!$D$4:$D$502,"&lt;&gt;"&amp;""),"")</f>
        <v/>
      </c>
      <c r="I294" s="95" t="str">
        <f>IF(A294&lt;&gt;"",SUMIFS(deployment!$H$4:$H$502, deployment!$D$4:$D$502,"="&amp;A294, deployment!$D$4:$D$502,"&lt;&gt;"&amp;""),"")</f>
        <v/>
      </c>
      <c r="J294" s="96" t="str">
        <f>IF(A294&lt;&gt;"",SUMIFS(deployment!$I$4:$I$502, deployment!$D$4:$D$502,"="&amp;A294, deployment!$D$4:$D$502,"&lt;&gt;"&amp;""),"")</f>
        <v/>
      </c>
      <c r="K294" s="112" t="str">
        <f>IF(A294&lt;&gt;"",SUMIFS(deployment!$J$4:$J$502, deployment!$D$4:$D$502,"="&amp;A294, deployment!$D$4:$D$502,"&lt;&gt;"&amp;""),"")</f>
        <v/>
      </c>
      <c r="L294" s="112" t="str">
        <f>IF(A294&lt;&gt;"",SUMIFS(deployment!$K$4:$K$502, deployment!$D$4:$D$502,"="&amp;A294, deployment!$D$4:$D$502,"&lt;&gt;"&amp;""),"")</f>
        <v/>
      </c>
      <c r="M294" s="97" t="str">
        <f>IF(A294&lt;&gt;"",SUMIFS(deployment!$L$4:$L$502, deployment!$D$4:$D$502,"="&amp;A294, deployment!$D$4:$D$502,"&lt;&gt;"&amp;""),"")</f>
        <v/>
      </c>
      <c r="N294" s="97" t="str">
        <f>IF(A294&lt;&gt;"",SUMIFS(deployment!$M$4:$M$502, deployment!$D$4:$D$502,"="&amp;A294, deployment!$D$4:$D$502,"&lt;&gt;"&amp;""),"")</f>
        <v/>
      </c>
      <c r="O294" s="127" t="str">
        <f t="shared" si="59"/>
        <v/>
      </c>
      <c r="P294" s="104"/>
      <c r="Q294" s="99" t="str">
        <f t="shared" si="48"/>
        <v/>
      </c>
      <c r="R294" s="100" t="str">
        <f t="shared" si="49"/>
        <v/>
      </c>
      <c r="S294" s="100" t="str">
        <f t="shared" si="50"/>
        <v/>
      </c>
      <c r="T294" s="101" t="str">
        <f t="shared" si="51"/>
        <v/>
      </c>
      <c r="U294" s="101" t="str">
        <f t="shared" si="52"/>
        <v/>
      </c>
      <c r="V294" s="128" t="str">
        <f t="shared" si="53"/>
        <v/>
      </c>
      <c r="W294" s="128" t="str">
        <f t="shared" si="54"/>
        <v/>
      </c>
      <c r="X294" s="101" t="str">
        <f t="shared" si="55"/>
        <v/>
      </c>
      <c r="Y294" s="101" t="str">
        <f t="shared" si="56"/>
        <v/>
      </c>
      <c r="Z294" s="102" t="str">
        <f t="shared" si="57"/>
        <v/>
      </c>
      <c r="AA294" s="103" t="str">
        <f t="shared" si="58"/>
        <v/>
      </c>
      <c r="AB294" s="142" t="str">
        <f>IF(A294&lt;&gt;"", SUMIFS(node!$J$2:$J$500, node!$C$2:$C$500,"="&amp;A294)/P294, "")</f>
        <v/>
      </c>
      <c r="AC294" s="134" t="str">
        <f>IF(A294&lt;&gt;"", SUMIFS(node!$K$2:$K$500, node!$C$2:$C$500,"="&amp;A294)/P294, "")</f>
        <v/>
      </c>
      <c r="AD294" s="135" t="str">
        <f>IF(A294&lt;&gt;"", SUMIFS(node!$L$2:$L$500, node!$C$2:$C$500,"="&amp;A294), "")</f>
        <v/>
      </c>
      <c r="AE294" s="145" t="str">
        <f>IF(A294&lt;&gt;"", SUMIFS(node!$M$2:$M$500, node!$C$2:$C$500,"="&amp;A294), "")</f>
        <v/>
      </c>
    </row>
    <row r="295" spans="1:31" ht="15.75" customHeight="1" x14ac:dyDescent="0.25">
      <c r="A295" s="119" t="str">
        <f>IF(ISNONTEXT(node_raw[[#This Row],[Column2]]), "", node_raw[[#This Row],[Column2]])</f>
        <v/>
      </c>
      <c r="B295" s="116" t="str">
        <f>IF(A295&lt;&gt;"", VLOOKUP(A295, node!$C$2:$D$500, 2, FALSE), "")</f>
        <v/>
      </c>
      <c r="C295" s="117" t="str">
        <f>IF(A295&lt;&gt;"", VLOOKUP(A295, node!$C$2:$E$500, 3, FALSE), "")</f>
        <v/>
      </c>
      <c r="D295" s="118" t="str">
        <f>IF(A295&lt;&gt;"",COUNTIFS(node!$C$2:$C$500,"="&amp;A295, node!$C$2:$C$500,"&lt;&gt;"&amp;""),"")</f>
        <v/>
      </c>
      <c r="E295" s="122" t="str">
        <f>IF(A295&lt;&gt;"",SUMIFS(node!$F$2:$F$500, node!$C$2:$C$500,"="&amp;A295, node!$C$2:$C$500,"&lt;&gt;"&amp;"")/(B295*D295),"")</f>
        <v/>
      </c>
      <c r="F295" s="124" t="str">
        <f>IF(A295&lt;&gt;"",SUMIFS(node!$H$2:$H$500, node!$C$2:$C$500,"="&amp;A295, node!$C$2:$C$500,"&lt;&gt;"&amp;"")/(C295*D295),"")</f>
        <v/>
      </c>
      <c r="G295" s="93" t="str">
        <f>IF(A295&lt;&gt;"",SUMIFS(deployment!$F$4:$F$502, deployment!$D$4:$D$502,"="&amp;A295, deployment!$D$4:$D$502,"&lt;&gt;"&amp;""),"")</f>
        <v/>
      </c>
      <c r="H295" s="94" t="str">
        <f>IF(A295&lt;&gt;"",SUMIFS(deployment!$G$4:$G$502, deployment!$D$4:$D$502,"="&amp;A295, deployment!$D$4:$D$502,"&lt;&gt;"&amp;""),"")</f>
        <v/>
      </c>
      <c r="I295" s="95" t="str">
        <f>IF(A295&lt;&gt;"",SUMIFS(deployment!$H$4:$H$502, deployment!$D$4:$D$502,"="&amp;A295, deployment!$D$4:$D$502,"&lt;&gt;"&amp;""),"")</f>
        <v/>
      </c>
      <c r="J295" s="96" t="str">
        <f>IF(A295&lt;&gt;"",SUMIFS(deployment!$I$4:$I$502, deployment!$D$4:$D$502,"="&amp;A295, deployment!$D$4:$D$502,"&lt;&gt;"&amp;""),"")</f>
        <v/>
      </c>
      <c r="K295" s="112" t="str">
        <f>IF(A295&lt;&gt;"",SUMIFS(deployment!$J$4:$J$502, deployment!$D$4:$D$502,"="&amp;A295, deployment!$D$4:$D$502,"&lt;&gt;"&amp;""),"")</f>
        <v/>
      </c>
      <c r="L295" s="112" t="str">
        <f>IF(A295&lt;&gt;"",SUMIFS(deployment!$K$4:$K$502, deployment!$D$4:$D$502,"="&amp;A295, deployment!$D$4:$D$502,"&lt;&gt;"&amp;""),"")</f>
        <v/>
      </c>
      <c r="M295" s="97" t="str">
        <f>IF(A295&lt;&gt;"",SUMIFS(deployment!$L$4:$L$502, deployment!$D$4:$D$502,"="&amp;A295, deployment!$D$4:$D$502,"&lt;&gt;"&amp;""),"")</f>
        <v/>
      </c>
      <c r="N295" s="97" t="str">
        <f>IF(A295&lt;&gt;"",SUMIFS(deployment!$M$4:$M$502, deployment!$D$4:$D$502,"="&amp;A295, deployment!$D$4:$D$502,"&lt;&gt;"&amp;""),"")</f>
        <v/>
      </c>
      <c r="O295" s="127" t="str">
        <f t="shared" si="59"/>
        <v/>
      </c>
      <c r="P295" s="104"/>
      <c r="Q295" s="99" t="str">
        <f t="shared" si="48"/>
        <v/>
      </c>
      <c r="R295" s="100" t="str">
        <f t="shared" si="49"/>
        <v/>
      </c>
      <c r="S295" s="100" t="str">
        <f t="shared" si="50"/>
        <v/>
      </c>
      <c r="T295" s="101" t="str">
        <f t="shared" si="51"/>
        <v/>
      </c>
      <c r="U295" s="101" t="str">
        <f t="shared" si="52"/>
        <v/>
      </c>
      <c r="V295" s="128" t="str">
        <f t="shared" si="53"/>
        <v/>
      </c>
      <c r="W295" s="128" t="str">
        <f t="shared" si="54"/>
        <v/>
      </c>
      <c r="X295" s="101" t="str">
        <f t="shared" si="55"/>
        <v/>
      </c>
      <c r="Y295" s="101" t="str">
        <f t="shared" si="56"/>
        <v/>
      </c>
      <c r="Z295" s="102" t="str">
        <f t="shared" si="57"/>
        <v/>
      </c>
      <c r="AA295" s="103" t="str">
        <f t="shared" si="58"/>
        <v/>
      </c>
      <c r="AB295" s="142" t="str">
        <f>IF(A295&lt;&gt;"", SUMIFS(node!$J$2:$J$500, node!$C$2:$C$500,"="&amp;A295)/P295, "")</f>
        <v/>
      </c>
      <c r="AC295" s="134" t="str">
        <f>IF(A295&lt;&gt;"", SUMIFS(node!$K$2:$K$500, node!$C$2:$C$500,"="&amp;A295)/P295, "")</f>
        <v/>
      </c>
      <c r="AD295" s="135" t="str">
        <f>IF(A295&lt;&gt;"", SUMIFS(node!$L$2:$L$500, node!$C$2:$C$500,"="&amp;A295), "")</f>
        <v/>
      </c>
      <c r="AE295" s="145" t="str">
        <f>IF(A295&lt;&gt;"", SUMIFS(node!$M$2:$M$500, node!$C$2:$C$500,"="&amp;A295), "")</f>
        <v/>
      </c>
    </row>
    <row r="296" spans="1:31" ht="15.75" customHeight="1" x14ac:dyDescent="0.25">
      <c r="A296" s="119" t="str">
        <f>IF(ISNONTEXT(node_raw[[#This Row],[Column2]]), "", node_raw[[#This Row],[Column2]])</f>
        <v/>
      </c>
      <c r="B296" s="116" t="str">
        <f>IF(A296&lt;&gt;"", VLOOKUP(A296, node!$C$2:$D$500, 2, FALSE), "")</f>
        <v/>
      </c>
      <c r="C296" s="117" t="str">
        <f>IF(A296&lt;&gt;"", VLOOKUP(A296, node!$C$2:$E$500, 3, FALSE), "")</f>
        <v/>
      </c>
      <c r="D296" s="118" t="str">
        <f>IF(A296&lt;&gt;"",COUNTIFS(node!$C$2:$C$500,"="&amp;A296, node!$C$2:$C$500,"&lt;&gt;"&amp;""),"")</f>
        <v/>
      </c>
      <c r="E296" s="122" t="str">
        <f>IF(A296&lt;&gt;"",SUMIFS(node!$F$2:$F$500, node!$C$2:$C$500,"="&amp;A296, node!$C$2:$C$500,"&lt;&gt;"&amp;"")/(B296*D296),"")</f>
        <v/>
      </c>
      <c r="F296" s="124" t="str">
        <f>IF(A296&lt;&gt;"",SUMIFS(node!$H$2:$H$500, node!$C$2:$C$500,"="&amp;A296, node!$C$2:$C$500,"&lt;&gt;"&amp;"")/(C296*D296),"")</f>
        <v/>
      </c>
      <c r="G296" s="93" t="str">
        <f>IF(A296&lt;&gt;"",SUMIFS(deployment!$F$4:$F$502, deployment!$D$4:$D$502,"="&amp;A296, deployment!$D$4:$D$502,"&lt;&gt;"&amp;""),"")</f>
        <v/>
      </c>
      <c r="H296" s="94" t="str">
        <f>IF(A296&lt;&gt;"",SUMIFS(deployment!$G$4:$G$502, deployment!$D$4:$D$502,"="&amp;A296, deployment!$D$4:$D$502,"&lt;&gt;"&amp;""),"")</f>
        <v/>
      </c>
      <c r="I296" s="95" t="str">
        <f>IF(A296&lt;&gt;"",SUMIFS(deployment!$H$4:$H$502, deployment!$D$4:$D$502,"="&amp;A296, deployment!$D$4:$D$502,"&lt;&gt;"&amp;""),"")</f>
        <v/>
      </c>
      <c r="J296" s="96" t="str">
        <f>IF(A296&lt;&gt;"",SUMIFS(deployment!$I$4:$I$502, deployment!$D$4:$D$502,"="&amp;A296, deployment!$D$4:$D$502,"&lt;&gt;"&amp;""),"")</f>
        <v/>
      </c>
      <c r="K296" s="112" t="str">
        <f>IF(A296&lt;&gt;"",SUMIFS(deployment!$J$4:$J$502, deployment!$D$4:$D$502,"="&amp;A296, deployment!$D$4:$D$502,"&lt;&gt;"&amp;""),"")</f>
        <v/>
      </c>
      <c r="L296" s="112" t="str">
        <f>IF(A296&lt;&gt;"",SUMIFS(deployment!$K$4:$K$502, deployment!$D$4:$D$502,"="&amp;A296, deployment!$D$4:$D$502,"&lt;&gt;"&amp;""),"")</f>
        <v/>
      </c>
      <c r="M296" s="97" t="str">
        <f>IF(A296&lt;&gt;"",SUMIFS(deployment!$L$4:$L$502, deployment!$D$4:$D$502,"="&amp;A296, deployment!$D$4:$D$502,"&lt;&gt;"&amp;""),"")</f>
        <v/>
      </c>
      <c r="N296" s="97" t="str">
        <f>IF(A296&lt;&gt;"",SUMIFS(deployment!$M$4:$M$502, deployment!$D$4:$D$502,"="&amp;A296, deployment!$D$4:$D$502,"&lt;&gt;"&amp;""),"")</f>
        <v/>
      </c>
      <c r="O296" s="127" t="str">
        <f t="shared" si="59"/>
        <v/>
      </c>
      <c r="P296" s="104"/>
      <c r="Q296" s="99" t="str">
        <f t="shared" si="48"/>
        <v/>
      </c>
      <c r="R296" s="100" t="str">
        <f t="shared" si="49"/>
        <v/>
      </c>
      <c r="S296" s="100" t="str">
        <f t="shared" si="50"/>
        <v/>
      </c>
      <c r="T296" s="101" t="str">
        <f t="shared" si="51"/>
        <v/>
      </c>
      <c r="U296" s="101" t="str">
        <f t="shared" si="52"/>
        <v/>
      </c>
      <c r="V296" s="128" t="str">
        <f t="shared" si="53"/>
        <v/>
      </c>
      <c r="W296" s="128" t="str">
        <f t="shared" si="54"/>
        <v/>
      </c>
      <c r="X296" s="101" t="str">
        <f t="shared" si="55"/>
        <v/>
      </c>
      <c r="Y296" s="101" t="str">
        <f t="shared" si="56"/>
        <v/>
      </c>
      <c r="Z296" s="102" t="str">
        <f t="shared" si="57"/>
        <v/>
      </c>
      <c r="AA296" s="103" t="str">
        <f t="shared" si="58"/>
        <v/>
      </c>
      <c r="AB296" s="142" t="str">
        <f>IF(A296&lt;&gt;"", SUMIFS(node!$J$2:$J$500, node!$C$2:$C$500,"="&amp;A296)/P296, "")</f>
        <v/>
      </c>
      <c r="AC296" s="134" t="str">
        <f>IF(A296&lt;&gt;"", SUMIFS(node!$K$2:$K$500, node!$C$2:$C$500,"="&amp;A296)/P296, "")</f>
        <v/>
      </c>
      <c r="AD296" s="135" t="str">
        <f>IF(A296&lt;&gt;"", SUMIFS(node!$L$2:$L$500, node!$C$2:$C$500,"="&amp;A296), "")</f>
        <v/>
      </c>
      <c r="AE296" s="145" t="str">
        <f>IF(A296&lt;&gt;"", SUMIFS(node!$M$2:$M$500, node!$C$2:$C$500,"="&amp;A296), "")</f>
        <v/>
      </c>
    </row>
    <row r="297" spans="1:31" ht="15.75" customHeight="1" x14ac:dyDescent="0.25">
      <c r="A297" s="119" t="str">
        <f>IF(ISNONTEXT(node_raw[[#This Row],[Column2]]), "", node_raw[[#This Row],[Column2]])</f>
        <v/>
      </c>
      <c r="B297" s="116" t="str">
        <f>IF(A297&lt;&gt;"", VLOOKUP(A297, node!$C$2:$D$500, 2, FALSE), "")</f>
        <v/>
      </c>
      <c r="C297" s="117" t="str">
        <f>IF(A297&lt;&gt;"", VLOOKUP(A297, node!$C$2:$E$500, 3, FALSE), "")</f>
        <v/>
      </c>
      <c r="D297" s="118" t="str">
        <f>IF(A297&lt;&gt;"",COUNTIFS(node!$C$2:$C$500,"="&amp;A297, node!$C$2:$C$500,"&lt;&gt;"&amp;""),"")</f>
        <v/>
      </c>
      <c r="E297" s="122" t="str">
        <f>IF(A297&lt;&gt;"",SUMIFS(node!$F$2:$F$500, node!$C$2:$C$500,"="&amp;A297, node!$C$2:$C$500,"&lt;&gt;"&amp;"")/(B297*D297),"")</f>
        <v/>
      </c>
      <c r="F297" s="124" t="str">
        <f>IF(A297&lt;&gt;"",SUMIFS(node!$H$2:$H$500, node!$C$2:$C$500,"="&amp;A297, node!$C$2:$C$500,"&lt;&gt;"&amp;"")/(C297*D297),"")</f>
        <v/>
      </c>
      <c r="G297" s="93" t="str">
        <f>IF(A297&lt;&gt;"",SUMIFS(deployment!$F$4:$F$502, deployment!$D$4:$D$502,"="&amp;A297, deployment!$D$4:$D$502,"&lt;&gt;"&amp;""),"")</f>
        <v/>
      </c>
      <c r="H297" s="94" t="str">
        <f>IF(A297&lt;&gt;"",SUMIFS(deployment!$G$4:$G$502, deployment!$D$4:$D$502,"="&amp;A297, deployment!$D$4:$D$502,"&lt;&gt;"&amp;""),"")</f>
        <v/>
      </c>
      <c r="I297" s="95" t="str">
        <f>IF(A297&lt;&gt;"",SUMIFS(deployment!$H$4:$H$502, deployment!$D$4:$D$502,"="&amp;A297, deployment!$D$4:$D$502,"&lt;&gt;"&amp;""),"")</f>
        <v/>
      </c>
      <c r="J297" s="96" t="str">
        <f>IF(A297&lt;&gt;"",SUMIFS(deployment!$I$4:$I$502, deployment!$D$4:$D$502,"="&amp;A297, deployment!$D$4:$D$502,"&lt;&gt;"&amp;""),"")</f>
        <v/>
      </c>
      <c r="K297" s="112" t="str">
        <f>IF(A297&lt;&gt;"",SUMIFS(deployment!$J$4:$J$502, deployment!$D$4:$D$502,"="&amp;A297, deployment!$D$4:$D$502,"&lt;&gt;"&amp;""),"")</f>
        <v/>
      </c>
      <c r="L297" s="112" t="str">
        <f>IF(A297&lt;&gt;"",SUMIFS(deployment!$K$4:$K$502, deployment!$D$4:$D$502,"="&amp;A297, deployment!$D$4:$D$502,"&lt;&gt;"&amp;""),"")</f>
        <v/>
      </c>
      <c r="M297" s="97" t="str">
        <f>IF(A297&lt;&gt;"",SUMIFS(deployment!$L$4:$L$502, deployment!$D$4:$D$502,"="&amp;A297, deployment!$D$4:$D$502,"&lt;&gt;"&amp;""),"")</f>
        <v/>
      </c>
      <c r="N297" s="97" t="str">
        <f>IF(A297&lt;&gt;"",SUMIFS(deployment!$M$4:$M$502, deployment!$D$4:$D$502,"="&amp;A297, deployment!$D$4:$D$502,"&lt;&gt;"&amp;""),"")</f>
        <v/>
      </c>
      <c r="O297" s="127" t="str">
        <f t="shared" si="59"/>
        <v/>
      </c>
      <c r="P297" s="104"/>
      <c r="Q297" s="99" t="str">
        <f t="shared" si="48"/>
        <v/>
      </c>
      <c r="R297" s="100" t="str">
        <f t="shared" si="49"/>
        <v/>
      </c>
      <c r="S297" s="100" t="str">
        <f t="shared" si="50"/>
        <v/>
      </c>
      <c r="T297" s="101" t="str">
        <f t="shared" si="51"/>
        <v/>
      </c>
      <c r="U297" s="101" t="str">
        <f t="shared" si="52"/>
        <v/>
      </c>
      <c r="V297" s="128" t="str">
        <f t="shared" si="53"/>
        <v/>
      </c>
      <c r="W297" s="128" t="str">
        <f t="shared" si="54"/>
        <v/>
      </c>
      <c r="X297" s="101" t="str">
        <f t="shared" si="55"/>
        <v/>
      </c>
      <c r="Y297" s="101" t="str">
        <f t="shared" si="56"/>
        <v/>
      </c>
      <c r="Z297" s="102" t="str">
        <f t="shared" si="57"/>
        <v/>
      </c>
      <c r="AA297" s="103" t="str">
        <f t="shared" si="58"/>
        <v/>
      </c>
      <c r="AB297" s="142" t="str">
        <f>IF(A297&lt;&gt;"", SUMIFS(node!$J$2:$J$500, node!$C$2:$C$500,"="&amp;A297)/P297, "")</f>
        <v/>
      </c>
      <c r="AC297" s="134" t="str">
        <f>IF(A297&lt;&gt;"", SUMIFS(node!$K$2:$K$500, node!$C$2:$C$500,"="&amp;A297)/P297, "")</f>
        <v/>
      </c>
      <c r="AD297" s="135" t="str">
        <f>IF(A297&lt;&gt;"", SUMIFS(node!$L$2:$L$500, node!$C$2:$C$500,"="&amp;A297), "")</f>
        <v/>
      </c>
      <c r="AE297" s="145" t="str">
        <f>IF(A297&lt;&gt;"", SUMIFS(node!$M$2:$M$500, node!$C$2:$C$500,"="&amp;A297), "")</f>
        <v/>
      </c>
    </row>
    <row r="298" spans="1:31" ht="15.75" customHeight="1" x14ac:dyDescent="0.25">
      <c r="A298" s="119" t="str">
        <f>IF(ISNONTEXT(node_raw[[#This Row],[Column2]]), "", node_raw[[#This Row],[Column2]])</f>
        <v/>
      </c>
      <c r="B298" s="116" t="str">
        <f>IF(A298&lt;&gt;"", VLOOKUP(A298, node!$C$2:$D$500, 2, FALSE), "")</f>
        <v/>
      </c>
      <c r="C298" s="117" t="str">
        <f>IF(A298&lt;&gt;"", VLOOKUP(A298, node!$C$2:$E$500, 3, FALSE), "")</f>
        <v/>
      </c>
      <c r="D298" s="118" t="str">
        <f>IF(A298&lt;&gt;"",COUNTIFS(node!$C$2:$C$500,"="&amp;A298, node!$C$2:$C$500,"&lt;&gt;"&amp;""),"")</f>
        <v/>
      </c>
      <c r="E298" s="122" t="str">
        <f>IF(A298&lt;&gt;"",SUMIFS(node!$F$2:$F$500, node!$C$2:$C$500,"="&amp;A298, node!$C$2:$C$500,"&lt;&gt;"&amp;"")/(B298*D298),"")</f>
        <v/>
      </c>
      <c r="F298" s="124" t="str">
        <f>IF(A298&lt;&gt;"",SUMIFS(node!$H$2:$H$500, node!$C$2:$C$500,"="&amp;A298, node!$C$2:$C$500,"&lt;&gt;"&amp;"")/(C298*D298),"")</f>
        <v/>
      </c>
      <c r="G298" s="93" t="str">
        <f>IF(A298&lt;&gt;"",SUMIFS(deployment!$F$4:$F$502, deployment!$D$4:$D$502,"="&amp;A298, deployment!$D$4:$D$502,"&lt;&gt;"&amp;""),"")</f>
        <v/>
      </c>
      <c r="H298" s="94" t="str">
        <f>IF(A298&lt;&gt;"",SUMIFS(deployment!$G$4:$G$502, deployment!$D$4:$D$502,"="&amp;A298, deployment!$D$4:$D$502,"&lt;&gt;"&amp;""),"")</f>
        <v/>
      </c>
      <c r="I298" s="95" t="str">
        <f>IF(A298&lt;&gt;"",SUMIFS(deployment!$H$4:$H$502, deployment!$D$4:$D$502,"="&amp;A298, deployment!$D$4:$D$502,"&lt;&gt;"&amp;""),"")</f>
        <v/>
      </c>
      <c r="J298" s="96" t="str">
        <f>IF(A298&lt;&gt;"",SUMIFS(deployment!$I$4:$I$502, deployment!$D$4:$D$502,"="&amp;A298, deployment!$D$4:$D$502,"&lt;&gt;"&amp;""),"")</f>
        <v/>
      </c>
      <c r="K298" s="112" t="str">
        <f>IF(A298&lt;&gt;"",SUMIFS(deployment!$J$4:$J$502, deployment!$D$4:$D$502,"="&amp;A298, deployment!$D$4:$D$502,"&lt;&gt;"&amp;""),"")</f>
        <v/>
      </c>
      <c r="L298" s="112" t="str">
        <f>IF(A298&lt;&gt;"",SUMIFS(deployment!$K$4:$K$502, deployment!$D$4:$D$502,"="&amp;A298, deployment!$D$4:$D$502,"&lt;&gt;"&amp;""),"")</f>
        <v/>
      </c>
      <c r="M298" s="97" t="str">
        <f>IF(A298&lt;&gt;"",SUMIFS(deployment!$L$4:$L$502, deployment!$D$4:$D$502,"="&amp;A298, deployment!$D$4:$D$502,"&lt;&gt;"&amp;""),"")</f>
        <v/>
      </c>
      <c r="N298" s="97" t="str">
        <f>IF(A298&lt;&gt;"",SUMIFS(deployment!$M$4:$M$502, deployment!$D$4:$D$502,"="&amp;A298, deployment!$D$4:$D$502,"&lt;&gt;"&amp;""),"")</f>
        <v/>
      </c>
      <c r="O298" s="127" t="str">
        <f t="shared" si="59"/>
        <v/>
      </c>
      <c r="P298" s="104"/>
      <c r="Q298" s="99" t="str">
        <f t="shared" si="48"/>
        <v/>
      </c>
      <c r="R298" s="100" t="str">
        <f t="shared" si="49"/>
        <v/>
      </c>
      <c r="S298" s="100" t="str">
        <f t="shared" si="50"/>
        <v/>
      </c>
      <c r="T298" s="101" t="str">
        <f t="shared" si="51"/>
        <v/>
      </c>
      <c r="U298" s="101" t="str">
        <f t="shared" si="52"/>
        <v/>
      </c>
      <c r="V298" s="128" t="str">
        <f t="shared" si="53"/>
        <v/>
      </c>
      <c r="W298" s="128" t="str">
        <f t="shared" si="54"/>
        <v/>
      </c>
      <c r="X298" s="101" t="str">
        <f t="shared" si="55"/>
        <v/>
      </c>
      <c r="Y298" s="101" t="str">
        <f t="shared" si="56"/>
        <v/>
      </c>
      <c r="Z298" s="102" t="str">
        <f t="shared" si="57"/>
        <v/>
      </c>
      <c r="AA298" s="103" t="str">
        <f t="shared" si="58"/>
        <v/>
      </c>
      <c r="AB298" s="142" t="str">
        <f>IF(A298&lt;&gt;"", SUMIFS(node!$J$2:$J$500, node!$C$2:$C$500,"="&amp;A298)/P298, "")</f>
        <v/>
      </c>
      <c r="AC298" s="134" t="str">
        <f>IF(A298&lt;&gt;"", SUMIFS(node!$K$2:$K$500, node!$C$2:$C$500,"="&amp;A298)/P298, "")</f>
        <v/>
      </c>
      <c r="AD298" s="135" t="str">
        <f>IF(A298&lt;&gt;"", SUMIFS(node!$L$2:$L$500, node!$C$2:$C$500,"="&amp;A298), "")</f>
        <v/>
      </c>
      <c r="AE298" s="145" t="str">
        <f>IF(A298&lt;&gt;"", SUMIFS(node!$M$2:$M$500, node!$C$2:$C$500,"="&amp;A298), "")</f>
        <v/>
      </c>
    </row>
    <row r="299" spans="1:31" ht="15.75" customHeight="1" x14ac:dyDescent="0.25">
      <c r="A299" s="119" t="str">
        <f>IF(ISNONTEXT(node_raw[[#This Row],[Column2]]), "", node_raw[[#This Row],[Column2]])</f>
        <v/>
      </c>
      <c r="B299" s="116" t="str">
        <f>IF(A299&lt;&gt;"", VLOOKUP(A299, node!$C$2:$D$500, 2, FALSE), "")</f>
        <v/>
      </c>
      <c r="C299" s="117" t="str">
        <f>IF(A299&lt;&gt;"", VLOOKUP(A299, node!$C$2:$E$500, 3, FALSE), "")</f>
        <v/>
      </c>
      <c r="D299" s="118" t="str">
        <f>IF(A299&lt;&gt;"",COUNTIFS(node!$C$2:$C$500,"="&amp;A299, node!$C$2:$C$500,"&lt;&gt;"&amp;""),"")</f>
        <v/>
      </c>
      <c r="E299" s="122" t="str">
        <f>IF(A299&lt;&gt;"",SUMIFS(node!$F$2:$F$500, node!$C$2:$C$500,"="&amp;A299, node!$C$2:$C$500,"&lt;&gt;"&amp;"")/(B299*D299),"")</f>
        <v/>
      </c>
      <c r="F299" s="124" t="str">
        <f>IF(A299&lt;&gt;"",SUMIFS(node!$H$2:$H$500, node!$C$2:$C$500,"="&amp;A299, node!$C$2:$C$500,"&lt;&gt;"&amp;"")/(C299*D299),"")</f>
        <v/>
      </c>
      <c r="G299" s="93" t="str">
        <f>IF(A299&lt;&gt;"",SUMIFS(deployment!$F$4:$F$502, deployment!$D$4:$D$502,"="&amp;A299, deployment!$D$4:$D$502,"&lt;&gt;"&amp;""),"")</f>
        <v/>
      </c>
      <c r="H299" s="94" t="str">
        <f>IF(A299&lt;&gt;"",SUMIFS(deployment!$G$4:$G$502, deployment!$D$4:$D$502,"="&amp;A299, deployment!$D$4:$D$502,"&lt;&gt;"&amp;""),"")</f>
        <v/>
      </c>
      <c r="I299" s="95" t="str">
        <f>IF(A299&lt;&gt;"",SUMIFS(deployment!$H$4:$H$502, deployment!$D$4:$D$502,"="&amp;A299, deployment!$D$4:$D$502,"&lt;&gt;"&amp;""),"")</f>
        <v/>
      </c>
      <c r="J299" s="96" t="str">
        <f>IF(A299&lt;&gt;"",SUMIFS(deployment!$I$4:$I$502, deployment!$D$4:$D$502,"="&amp;A299, deployment!$D$4:$D$502,"&lt;&gt;"&amp;""),"")</f>
        <v/>
      </c>
      <c r="K299" s="112" t="str">
        <f>IF(A299&lt;&gt;"",SUMIFS(deployment!$J$4:$J$502, deployment!$D$4:$D$502,"="&amp;A299, deployment!$D$4:$D$502,"&lt;&gt;"&amp;""),"")</f>
        <v/>
      </c>
      <c r="L299" s="112" t="str">
        <f>IF(A299&lt;&gt;"",SUMIFS(deployment!$K$4:$K$502, deployment!$D$4:$D$502,"="&amp;A299, deployment!$D$4:$D$502,"&lt;&gt;"&amp;""),"")</f>
        <v/>
      </c>
      <c r="M299" s="97" t="str">
        <f>IF(A299&lt;&gt;"",SUMIFS(deployment!$L$4:$L$502, deployment!$D$4:$D$502,"="&amp;A299, deployment!$D$4:$D$502,"&lt;&gt;"&amp;""),"")</f>
        <v/>
      </c>
      <c r="N299" s="97" t="str">
        <f>IF(A299&lt;&gt;"",SUMIFS(deployment!$M$4:$M$502, deployment!$D$4:$D$502,"="&amp;A299, deployment!$D$4:$D$502,"&lt;&gt;"&amp;""),"")</f>
        <v/>
      </c>
      <c r="O299" s="127" t="str">
        <f t="shared" si="59"/>
        <v/>
      </c>
      <c r="P299" s="104"/>
      <c r="Q299" s="99" t="str">
        <f t="shared" si="48"/>
        <v/>
      </c>
      <c r="R299" s="100" t="str">
        <f t="shared" si="49"/>
        <v/>
      </c>
      <c r="S299" s="100" t="str">
        <f t="shared" si="50"/>
        <v/>
      </c>
      <c r="T299" s="101" t="str">
        <f t="shared" si="51"/>
        <v/>
      </c>
      <c r="U299" s="101" t="str">
        <f t="shared" si="52"/>
        <v/>
      </c>
      <c r="V299" s="128" t="str">
        <f t="shared" si="53"/>
        <v/>
      </c>
      <c r="W299" s="128" t="str">
        <f t="shared" si="54"/>
        <v/>
      </c>
      <c r="X299" s="101" t="str">
        <f t="shared" si="55"/>
        <v/>
      </c>
      <c r="Y299" s="101" t="str">
        <f t="shared" si="56"/>
        <v/>
      </c>
      <c r="Z299" s="102" t="str">
        <f t="shared" si="57"/>
        <v/>
      </c>
      <c r="AA299" s="103" t="str">
        <f t="shared" si="58"/>
        <v/>
      </c>
      <c r="AB299" s="142" t="str">
        <f>IF(A299&lt;&gt;"", SUMIFS(node!$J$2:$J$500, node!$C$2:$C$500,"="&amp;A299)/P299, "")</f>
        <v/>
      </c>
      <c r="AC299" s="134" t="str">
        <f>IF(A299&lt;&gt;"", SUMIFS(node!$K$2:$K$500, node!$C$2:$C$500,"="&amp;A299)/P299, "")</f>
        <v/>
      </c>
      <c r="AD299" s="135" t="str">
        <f>IF(A299&lt;&gt;"", SUMIFS(node!$L$2:$L$500, node!$C$2:$C$500,"="&amp;A299), "")</f>
        <v/>
      </c>
      <c r="AE299" s="145" t="str">
        <f>IF(A299&lt;&gt;"", SUMIFS(node!$M$2:$M$500, node!$C$2:$C$500,"="&amp;A299), "")</f>
        <v/>
      </c>
    </row>
    <row r="300" spans="1:31" ht="15.75" customHeight="1" x14ac:dyDescent="0.25">
      <c r="A300" s="119" t="str">
        <f>IF(ISNONTEXT(node_raw[[#This Row],[Column2]]), "", node_raw[[#This Row],[Column2]])</f>
        <v/>
      </c>
      <c r="B300" s="116" t="str">
        <f>IF(A300&lt;&gt;"", VLOOKUP(A300, node!$C$2:$D$500, 2, FALSE), "")</f>
        <v/>
      </c>
      <c r="C300" s="117" t="str">
        <f>IF(A300&lt;&gt;"", VLOOKUP(A300, node!$C$2:$E$500, 3, FALSE), "")</f>
        <v/>
      </c>
      <c r="D300" s="118" t="str">
        <f>IF(A300&lt;&gt;"",COUNTIFS(node!$C$2:$C$500,"="&amp;A300, node!$C$2:$C$500,"&lt;&gt;"&amp;""),"")</f>
        <v/>
      </c>
      <c r="E300" s="122" t="str">
        <f>IF(A300&lt;&gt;"",SUMIFS(node!$F$2:$F$500, node!$C$2:$C$500,"="&amp;A300, node!$C$2:$C$500,"&lt;&gt;"&amp;"")/(B300*D300),"")</f>
        <v/>
      </c>
      <c r="F300" s="124" t="str">
        <f>IF(A300&lt;&gt;"",SUMIFS(node!$H$2:$H$500, node!$C$2:$C$500,"="&amp;A300, node!$C$2:$C$500,"&lt;&gt;"&amp;"")/(C300*D300),"")</f>
        <v/>
      </c>
      <c r="G300" s="93" t="str">
        <f>IF(A300&lt;&gt;"",SUMIFS(deployment!$F$4:$F$502, deployment!$D$4:$D$502,"="&amp;A300, deployment!$D$4:$D$502,"&lt;&gt;"&amp;""),"")</f>
        <v/>
      </c>
      <c r="H300" s="94" t="str">
        <f>IF(A300&lt;&gt;"",SUMIFS(deployment!$G$4:$G$502, deployment!$D$4:$D$502,"="&amp;A300, deployment!$D$4:$D$502,"&lt;&gt;"&amp;""),"")</f>
        <v/>
      </c>
      <c r="I300" s="95" t="str">
        <f>IF(A300&lt;&gt;"",SUMIFS(deployment!$H$4:$H$502, deployment!$D$4:$D$502,"="&amp;A300, deployment!$D$4:$D$502,"&lt;&gt;"&amp;""),"")</f>
        <v/>
      </c>
      <c r="J300" s="96" t="str">
        <f>IF(A300&lt;&gt;"",SUMIFS(deployment!$I$4:$I$502, deployment!$D$4:$D$502,"="&amp;A300, deployment!$D$4:$D$502,"&lt;&gt;"&amp;""),"")</f>
        <v/>
      </c>
      <c r="K300" s="112" t="str">
        <f>IF(A300&lt;&gt;"",SUMIFS(deployment!$J$4:$J$502, deployment!$D$4:$D$502,"="&amp;A300, deployment!$D$4:$D$502,"&lt;&gt;"&amp;""),"")</f>
        <v/>
      </c>
      <c r="L300" s="112" t="str">
        <f>IF(A300&lt;&gt;"",SUMIFS(deployment!$K$4:$K$502, deployment!$D$4:$D$502,"="&amp;A300, deployment!$D$4:$D$502,"&lt;&gt;"&amp;""),"")</f>
        <v/>
      </c>
      <c r="M300" s="97" t="str">
        <f>IF(A300&lt;&gt;"",SUMIFS(deployment!$L$4:$L$502, deployment!$D$4:$D$502,"="&amp;A300, deployment!$D$4:$D$502,"&lt;&gt;"&amp;""),"")</f>
        <v/>
      </c>
      <c r="N300" s="97" t="str">
        <f>IF(A300&lt;&gt;"",SUMIFS(deployment!$M$4:$M$502, deployment!$D$4:$D$502,"="&amp;A300, deployment!$D$4:$D$502,"&lt;&gt;"&amp;""),"")</f>
        <v/>
      </c>
      <c r="O300" s="127" t="str">
        <f t="shared" si="59"/>
        <v/>
      </c>
      <c r="P300" s="104"/>
      <c r="Q300" s="99" t="str">
        <f t="shared" si="48"/>
        <v/>
      </c>
      <c r="R300" s="100" t="str">
        <f t="shared" si="49"/>
        <v/>
      </c>
      <c r="S300" s="100" t="str">
        <f t="shared" si="50"/>
        <v/>
      </c>
      <c r="T300" s="101" t="str">
        <f t="shared" si="51"/>
        <v/>
      </c>
      <c r="U300" s="101" t="str">
        <f t="shared" si="52"/>
        <v/>
      </c>
      <c r="V300" s="128" t="str">
        <f t="shared" si="53"/>
        <v/>
      </c>
      <c r="W300" s="128" t="str">
        <f t="shared" si="54"/>
        <v/>
      </c>
      <c r="X300" s="101" t="str">
        <f t="shared" si="55"/>
        <v/>
      </c>
      <c r="Y300" s="101" t="str">
        <f t="shared" si="56"/>
        <v/>
      </c>
      <c r="Z300" s="102" t="str">
        <f t="shared" si="57"/>
        <v/>
      </c>
      <c r="AA300" s="103" t="str">
        <f t="shared" si="58"/>
        <v/>
      </c>
      <c r="AB300" s="142" t="str">
        <f>IF(A300&lt;&gt;"", SUMIFS(node!$J$2:$J$500, node!$C$2:$C$500,"="&amp;A300)/P300, "")</f>
        <v/>
      </c>
      <c r="AC300" s="134" t="str">
        <f>IF(A300&lt;&gt;"", SUMIFS(node!$K$2:$K$500, node!$C$2:$C$500,"="&amp;A300)/P300, "")</f>
        <v/>
      </c>
      <c r="AD300" s="135" t="str">
        <f>IF(A300&lt;&gt;"", SUMIFS(node!$L$2:$L$500, node!$C$2:$C$500,"="&amp;A300), "")</f>
        <v/>
      </c>
      <c r="AE300" s="145" t="str">
        <f>IF(A300&lt;&gt;"", SUMIFS(node!$M$2:$M$500, node!$C$2:$C$500,"="&amp;A300), "")</f>
        <v/>
      </c>
    </row>
    <row r="301" spans="1:31" ht="15.75" customHeight="1" x14ac:dyDescent="0.25">
      <c r="A301" s="119" t="str">
        <f>IF(ISNONTEXT(node_raw[[#This Row],[Column2]]), "", node_raw[[#This Row],[Column2]])</f>
        <v/>
      </c>
      <c r="B301" s="116" t="str">
        <f>IF(A301&lt;&gt;"", VLOOKUP(A301, node!$C$2:$D$500, 2, FALSE), "")</f>
        <v/>
      </c>
      <c r="C301" s="117" t="str">
        <f>IF(A301&lt;&gt;"", VLOOKUP(A301, node!$C$2:$E$500, 3, FALSE), "")</f>
        <v/>
      </c>
      <c r="D301" s="118" t="str">
        <f>IF(A301&lt;&gt;"",COUNTIFS(node!$C$2:$C$500,"="&amp;A301, node!$C$2:$C$500,"&lt;&gt;"&amp;""),"")</f>
        <v/>
      </c>
      <c r="E301" s="122" t="str">
        <f>IF(A301&lt;&gt;"",SUMIFS(node!$F$2:$F$500, node!$C$2:$C$500,"="&amp;A301, node!$C$2:$C$500,"&lt;&gt;"&amp;"")/(B301*D301),"")</f>
        <v/>
      </c>
      <c r="F301" s="124" t="str">
        <f>IF(A301&lt;&gt;"",SUMIFS(node!$H$2:$H$500, node!$C$2:$C$500,"="&amp;A301, node!$C$2:$C$500,"&lt;&gt;"&amp;"")/(C301*D301),"")</f>
        <v/>
      </c>
      <c r="G301" s="93" t="str">
        <f>IF(A301&lt;&gt;"",SUMIFS(deployment!$F$4:$F$502, deployment!$D$4:$D$502,"="&amp;A301, deployment!$D$4:$D$502,"&lt;&gt;"&amp;""),"")</f>
        <v/>
      </c>
      <c r="H301" s="94" t="str">
        <f>IF(A301&lt;&gt;"",SUMIFS(deployment!$G$4:$G$502, deployment!$D$4:$D$502,"="&amp;A301, deployment!$D$4:$D$502,"&lt;&gt;"&amp;""),"")</f>
        <v/>
      </c>
      <c r="I301" s="95" t="str">
        <f>IF(A301&lt;&gt;"",SUMIFS(deployment!$H$4:$H$502, deployment!$D$4:$D$502,"="&amp;A301, deployment!$D$4:$D$502,"&lt;&gt;"&amp;""),"")</f>
        <v/>
      </c>
      <c r="J301" s="96" t="str">
        <f>IF(A301&lt;&gt;"",SUMIFS(deployment!$I$4:$I$502, deployment!$D$4:$D$502,"="&amp;A301, deployment!$D$4:$D$502,"&lt;&gt;"&amp;""),"")</f>
        <v/>
      </c>
      <c r="K301" s="112" t="str">
        <f>IF(A301&lt;&gt;"",SUMIFS(deployment!$J$4:$J$502, deployment!$D$4:$D$502,"="&amp;A301, deployment!$D$4:$D$502,"&lt;&gt;"&amp;""),"")</f>
        <v/>
      </c>
      <c r="L301" s="112" t="str">
        <f>IF(A301&lt;&gt;"",SUMIFS(deployment!$K$4:$K$502, deployment!$D$4:$D$502,"="&amp;A301, deployment!$D$4:$D$502,"&lt;&gt;"&amp;""),"")</f>
        <v/>
      </c>
      <c r="M301" s="97" t="str">
        <f>IF(A301&lt;&gt;"",SUMIFS(deployment!$L$4:$L$502, deployment!$D$4:$D$502,"="&amp;A301, deployment!$D$4:$D$502,"&lt;&gt;"&amp;""),"")</f>
        <v/>
      </c>
      <c r="N301" s="97" t="str">
        <f>IF(A301&lt;&gt;"",SUMIFS(deployment!$M$4:$M$502, deployment!$D$4:$D$502,"="&amp;A301, deployment!$D$4:$D$502,"&lt;&gt;"&amp;""),"")</f>
        <v/>
      </c>
      <c r="O301" s="127" t="str">
        <f t="shared" si="59"/>
        <v/>
      </c>
      <c r="P301" s="104"/>
      <c r="Q301" s="99" t="str">
        <f t="shared" si="48"/>
        <v/>
      </c>
      <c r="R301" s="100" t="str">
        <f t="shared" si="49"/>
        <v/>
      </c>
      <c r="S301" s="100" t="str">
        <f t="shared" si="50"/>
        <v/>
      </c>
      <c r="T301" s="101" t="str">
        <f t="shared" si="51"/>
        <v/>
      </c>
      <c r="U301" s="101" t="str">
        <f t="shared" si="52"/>
        <v/>
      </c>
      <c r="V301" s="128" t="str">
        <f t="shared" si="53"/>
        <v/>
      </c>
      <c r="W301" s="128" t="str">
        <f t="shared" si="54"/>
        <v/>
      </c>
      <c r="X301" s="101" t="str">
        <f t="shared" si="55"/>
        <v/>
      </c>
      <c r="Y301" s="101" t="str">
        <f t="shared" si="56"/>
        <v/>
      </c>
      <c r="Z301" s="102" t="str">
        <f t="shared" si="57"/>
        <v/>
      </c>
      <c r="AA301" s="103" t="str">
        <f t="shared" si="58"/>
        <v/>
      </c>
      <c r="AB301" s="142" t="str">
        <f>IF(A301&lt;&gt;"", SUMIFS(node!$J$2:$J$500, node!$C$2:$C$500,"="&amp;A301)/P301, "")</f>
        <v/>
      </c>
      <c r="AC301" s="134" t="str">
        <f>IF(A301&lt;&gt;"", SUMIFS(node!$K$2:$K$500, node!$C$2:$C$500,"="&amp;A301)/P301, "")</f>
        <v/>
      </c>
      <c r="AD301" s="135" t="str">
        <f>IF(A301&lt;&gt;"", SUMIFS(node!$L$2:$L$500, node!$C$2:$C$500,"="&amp;A301), "")</f>
        <v/>
      </c>
      <c r="AE301" s="145" t="str">
        <f>IF(A301&lt;&gt;"", SUMIFS(node!$M$2:$M$500, node!$C$2:$C$500,"="&amp;A301), "")</f>
        <v/>
      </c>
    </row>
    <row r="302" spans="1:31" ht="15.75" customHeight="1" x14ac:dyDescent="0.25">
      <c r="A302" s="119" t="str">
        <f>IF(ISNONTEXT(node_raw[[#This Row],[Column2]]), "", node_raw[[#This Row],[Column2]])</f>
        <v/>
      </c>
      <c r="B302" s="116" t="str">
        <f>IF(A302&lt;&gt;"", VLOOKUP(A302, node!$C$2:$D$500, 2, FALSE), "")</f>
        <v/>
      </c>
      <c r="C302" s="117" t="str">
        <f>IF(A302&lt;&gt;"", VLOOKUP(A302, node!$C$2:$E$500, 3, FALSE), "")</f>
        <v/>
      </c>
      <c r="D302" s="118" t="str">
        <f>IF(A302&lt;&gt;"",COUNTIFS(node!$C$2:$C$500,"="&amp;A302, node!$C$2:$C$500,"&lt;&gt;"&amp;""),"")</f>
        <v/>
      </c>
      <c r="E302" s="122" t="str">
        <f>IF(A302&lt;&gt;"",SUMIFS(node!$F$2:$F$500, node!$C$2:$C$500,"="&amp;A302, node!$C$2:$C$500,"&lt;&gt;"&amp;"")/(B302*D302),"")</f>
        <v/>
      </c>
      <c r="F302" s="124" t="str">
        <f>IF(A302&lt;&gt;"",SUMIFS(node!$H$2:$H$500, node!$C$2:$C$500,"="&amp;A302, node!$C$2:$C$500,"&lt;&gt;"&amp;"")/(C302*D302),"")</f>
        <v/>
      </c>
      <c r="G302" s="93" t="str">
        <f>IF(A302&lt;&gt;"",SUMIFS(deployment!$F$4:$F$502, deployment!$D$4:$D$502,"="&amp;A302, deployment!$D$4:$D$502,"&lt;&gt;"&amp;""),"")</f>
        <v/>
      </c>
      <c r="H302" s="94" t="str">
        <f>IF(A302&lt;&gt;"",SUMIFS(deployment!$G$4:$G$502, deployment!$D$4:$D$502,"="&amp;A302, deployment!$D$4:$D$502,"&lt;&gt;"&amp;""),"")</f>
        <v/>
      </c>
      <c r="I302" s="95" t="str">
        <f>IF(A302&lt;&gt;"",SUMIFS(deployment!$H$4:$H$502, deployment!$D$4:$D$502,"="&amp;A302, deployment!$D$4:$D$502,"&lt;&gt;"&amp;""),"")</f>
        <v/>
      </c>
      <c r="J302" s="96" t="str">
        <f>IF(A302&lt;&gt;"",SUMIFS(deployment!$I$4:$I$502, deployment!$D$4:$D$502,"="&amp;A302, deployment!$D$4:$D$502,"&lt;&gt;"&amp;""),"")</f>
        <v/>
      </c>
      <c r="K302" s="112" t="str">
        <f>IF(A302&lt;&gt;"",SUMIFS(deployment!$J$4:$J$502, deployment!$D$4:$D$502,"="&amp;A302, deployment!$D$4:$D$502,"&lt;&gt;"&amp;""),"")</f>
        <v/>
      </c>
      <c r="L302" s="112" t="str">
        <f>IF(A302&lt;&gt;"",SUMIFS(deployment!$K$4:$K$502, deployment!$D$4:$D$502,"="&amp;A302, deployment!$D$4:$D$502,"&lt;&gt;"&amp;""),"")</f>
        <v/>
      </c>
      <c r="M302" s="97" t="str">
        <f>IF(A302&lt;&gt;"",SUMIFS(deployment!$L$4:$L$502, deployment!$D$4:$D$502,"="&amp;A302, deployment!$D$4:$D$502,"&lt;&gt;"&amp;""),"")</f>
        <v/>
      </c>
      <c r="N302" s="97" t="str">
        <f>IF(A302&lt;&gt;"",SUMIFS(deployment!$M$4:$M$502, deployment!$D$4:$D$502,"="&amp;A302, deployment!$D$4:$D$502,"&lt;&gt;"&amp;""),"")</f>
        <v/>
      </c>
      <c r="O302" s="127" t="str">
        <f t="shared" si="59"/>
        <v/>
      </c>
      <c r="P302" s="104"/>
      <c r="Q302" s="99" t="str">
        <f t="shared" si="48"/>
        <v/>
      </c>
      <c r="R302" s="100" t="str">
        <f t="shared" si="49"/>
        <v/>
      </c>
      <c r="S302" s="100" t="str">
        <f t="shared" si="50"/>
        <v/>
      </c>
      <c r="T302" s="101" t="str">
        <f t="shared" si="51"/>
        <v/>
      </c>
      <c r="U302" s="101" t="str">
        <f t="shared" si="52"/>
        <v/>
      </c>
      <c r="V302" s="128" t="str">
        <f t="shared" si="53"/>
        <v/>
      </c>
      <c r="W302" s="128" t="str">
        <f t="shared" si="54"/>
        <v/>
      </c>
      <c r="X302" s="101" t="str">
        <f t="shared" si="55"/>
        <v/>
      </c>
      <c r="Y302" s="101" t="str">
        <f t="shared" si="56"/>
        <v/>
      </c>
      <c r="Z302" s="102" t="str">
        <f t="shared" si="57"/>
        <v/>
      </c>
      <c r="AA302" s="103" t="str">
        <f t="shared" si="58"/>
        <v/>
      </c>
      <c r="AB302" s="142" t="str">
        <f>IF(A302&lt;&gt;"", SUMIFS(node!$J$2:$J$500, node!$C$2:$C$500,"="&amp;A302)/P302, "")</f>
        <v/>
      </c>
      <c r="AC302" s="134" t="str">
        <f>IF(A302&lt;&gt;"", SUMIFS(node!$K$2:$K$500, node!$C$2:$C$500,"="&amp;A302)/P302, "")</f>
        <v/>
      </c>
      <c r="AD302" s="135" t="str">
        <f>IF(A302&lt;&gt;"", SUMIFS(node!$L$2:$L$500, node!$C$2:$C$500,"="&amp;A302), "")</f>
        <v/>
      </c>
      <c r="AE302" s="145" t="str">
        <f>IF(A302&lt;&gt;"", SUMIFS(node!$M$2:$M$500, node!$C$2:$C$500,"="&amp;A302), "")</f>
        <v/>
      </c>
    </row>
    <row r="303" spans="1:31" ht="15.75" customHeight="1" x14ac:dyDescent="0.25">
      <c r="A303" s="119" t="str">
        <f>IF(ISNONTEXT(node_raw[[#This Row],[Column2]]), "", node_raw[[#This Row],[Column2]])</f>
        <v/>
      </c>
      <c r="B303" s="116" t="str">
        <f>IF(A303&lt;&gt;"", VLOOKUP(A303, node!$C$2:$D$500, 2, FALSE), "")</f>
        <v/>
      </c>
      <c r="C303" s="117" t="str">
        <f>IF(A303&lt;&gt;"", VLOOKUP(A303, node!$C$2:$E$500, 3, FALSE), "")</f>
        <v/>
      </c>
      <c r="D303" s="118" t="str">
        <f>IF(A303&lt;&gt;"",COUNTIFS(node!$C$2:$C$500,"="&amp;A303, node!$C$2:$C$500,"&lt;&gt;"&amp;""),"")</f>
        <v/>
      </c>
      <c r="E303" s="122" t="str">
        <f>IF(A303&lt;&gt;"",SUMIFS(node!$F$2:$F$500, node!$C$2:$C$500,"="&amp;A303, node!$C$2:$C$500,"&lt;&gt;"&amp;"")/(B303*D303),"")</f>
        <v/>
      </c>
      <c r="F303" s="124" t="str">
        <f>IF(A303&lt;&gt;"",SUMIFS(node!$H$2:$H$500, node!$C$2:$C$500,"="&amp;A303, node!$C$2:$C$500,"&lt;&gt;"&amp;"")/(C303*D303),"")</f>
        <v/>
      </c>
      <c r="G303" s="93" t="str">
        <f>IF(A303&lt;&gt;"",SUMIFS(deployment!$F$4:$F$502, deployment!$D$4:$D$502,"="&amp;A303, deployment!$D$4:$D$502,"&lt;&gt;"&amp;""),"")</f>
        <v/>
      </c>
      <c r="H303" s="94" t="str">
        <f>IF(A303&lt;&gt;"",SUMIFS(deployment!$G$4:$G$502, deployment!$D$4:$D$502,"="&amp;A303, deployment!$D$4:$D$502,"&lt;&gt;"&amp;""),"")</f>
        <v/>
      </c>
      <c r="I303" s="95" t="str">
        <f>IF(A303&lt;&gt;"",SUMIFS(deployment!$H$4:$H$502, deployment!$D$4:$D$502,"="&amp;A303, deployment!$D$4:$D$502,"&lt;&gt;"&amp;""),"")</f>
        <v/>
      </c>
      <c r="J303" s="96" t="str">
        <f>IF(A303&lt;&gt;"",SUMIFS(deployment!$I$4:$I$502, deployment!$D$4:$D$502,"="&amp;A303, deployment!$D$4:$D$502,"&lt;&gt;"&amp;""),"")</f>
        <v/>
      </c>
      <c r="K303" s="112" t="str">
        <f>IF(A303&lt;&gt;"",SUMIFS(deployment!$J$4:$J$502, deployment!$D$4:$D$502,"="&amp;A303, deployment!$D$4:$D$502,"&lt;&gt;"&amp;""),"")</f>
        <v/>
      </c>
      <c r="L303" s="112" t="str">
        <f>IF(A303&lt;&gt;"",SUMIFS(deployment!$K$4:$K$502, deployment!$D$4:$D$502,"="&amp;A303, deployment!$D$4:$D$502,"&lt;&gt;"&amp;""),"")</f>
        <v/>
      </c>
      <c r="M303" s="97" t="str">
        <f>IF(A303&lt;&gt;"",SUMIFS(deployment!$L$4:$L$502, deployment!$D$4:$D$502,"="&amp;A303, deployment!$D$4:$D$502,"&lt;&gt;"&amp;""),"")</f>
        <v/>
      </c>
      <c r="N303" s="97" t="str">
        <f>IF(A303&lt;&gt;"",SUMIFS(deployment!$M$4:$M$502, deployment!$D$4:$D$502,"="&amp;A303, deployment!$D$4:$D$502,"&lt;&gt;"&amp;""),"")</f>
        <v/>
      </c>
      <c r="O303" s="127" t="str">
        <f t="shared" si="59"/>
        <v/>
      </c>
      <c r="P303" s="104"/>
      <c r="Q303" s="99" t="str">
        <f t="shared" si="48"/>
        <v/>
      </c>
      <c r="R303" s="100" t="str">
        <f t="shared" si="49"/>
        <v/>
      </c>
      <c r="S303" s="100" t="str">
        <f t="shared" si="50"/>
        <v/>
      </c>
      <c r="T303" s="101" t="str">
        <f t="shared" si="51"/>
        <v/>
      </c>
      <c r="U303" s="101" t="str">
        <f t="shared" si="52"/>
        <v/>
      </c>
      <c r="V303" s="128" t="str">
        <f t="shared" si="53"/>
        <v/>
      </c>
      <c r="W303" s="128" t="str">
        <f t="shared" si="54"/>
        <v/>
      </c>
      <c r="X303" s="101" t="str">
        <f t="shared" si="55"/>
        <v/>
      </c>
      <c r="Y303" s="101" t="str">
        <f t="shared" si="56"/>
        <v/>
      </c>
      <c r="Z303" s="102" t="str">
        <f t="shared" si="57"/>
        <v/>
      </c>
      <c r="AA303" s="103" t="str">
        <f t="shared" si="58"/>
        <v/>
      </c>
      <c r="AB303" s="142" t="str">
        <f>IF(A303&lt;&gt;"", SUMIFS(node!$J$2:$J$500, node!$C$2:$C$500,"="&amp;A303)/P303, "")</f>
        <v/>
      </c>
      <c r="AC303" s="134" t="str">
        <f>IF(A303&lt;&gt;"", SUMIFS(node!$K$2:$K$500, node!$C$2:$C$500,"="&amp;A303)/P303, "")</f>
        <v/>
      </c>
      <c r="AD303" s="135" t="str">
        <f>IF(A303&lt;&gt;"", SUMIFS(node!$L$2:$L$500, node!$C$2:$C$500,"="&amp;A303), "")</f>
        <v/>
      </c>
      <c r="AE303" s="145" t="str">
        <f>IF(A303&lt;&gt;"", SUMIFS(node!$M$2:$M$500, node!$C$2:$C$500,"="&amp;A303), "")</f>
        <v/>
      </c>
    </row>
    <row r="304" spans="1:31" ht="15.75" customHeight="1" x14ac:dyDescent="0.25">
      <c r="A304" s="119" t="str">
        <f>IF(ISNONTEXT(node_raw[[#This Row],[Column2]]), "", node_raw[[#This Row],[Column2]])</f>
        <v/>
      </c>
      <c r="B304" s="116" t="str">
        <f>IF(A304&lt;&gt;"", VLOOKUP(A304, node!$C$2:$D$500, 2, FALSE), "")</f>
        <v/>
      </c>
      <c r="C304" s="117" t="str">
        <f>IF(A304&lt;&gt;"", VLOOKUP(A304, node!$C$2:$E$500, 3, FALSE), "")</f>
        <v/>
      </c>
      <c r="D304" s="118" t="str">
        <f>IF(A304&lt;&gt;"",COUNTIFS(node!$C$2:$C$500,"="&amp;A304, node!$C$2:$C$500,"&lt;&gt;"&amp;""),"")</f>
        <v/>
      </c>
      <c r="E304" s="122" t="str">
        <f>IF(A304&lt;&gt;"",SUMIFS(node!$F$2:$F$500, node!$C$2:$C$500,"="&amp;A304, node!$C$2:$C$500,"&lt;&gt;"&amp;"")/(B304*D304),"")</f>
        <v/>
      </c>
      <c r="F304" s="124" t="str">
        <f>IF(A304&lt;&gt;"",SUMIFS(node!$H$2:$H$500, node!$C$2:$C$500,"="&amp;A304, node!$C$2:$C$500,"&lt;&gt;"&amp;"")/(C304*D304),"")</f>
        <v/>
      </c>
      <c r="G304" s="93" t="str">
        <f>IF(A304&lt;&gt;"",SUMIFS(deployment!$F$4:$F$502, deployment!$D$4:$D$502,"="&amp;A304, deployment!$D$4:$D$502,"&lt;&gt;"&amp;""),"")</f>
        <v/>
      </c>
      <c r="H304" s="94" t="str">
        <f>IF(A304&lt;&gt;"",SUMIFS(deployment!$G$4:$G$502, deployment!$D$4:$D$502,"="&amp;A304, deployment!$D$4:$D$502,"&lt;&gt;"&amp;""),"")</f>
        <v/>
      </c>
      <c r="I304" s="95" t="str">
        <f>IF(A304&lt;&gt;"",SUMIFS(deployment!$H$4:$H$502, deployment!$D$4:$D$502,"="&amp;A304, deployment!$D$4:$D$502,"&lt;&gt;"&amp;""),"")</f>
        <v/>
      </c>
      <c r="J304" s="96" t="str">
        <f>IF(A304&lt;&gt;"",SUMIFS(deployment!$I$4:$I$502, deployment!$D$4:$D$502,"="&amp;A304, deployment!$D$4:$D$502,"&lt;&gt;"&amp;""),"")</f>
        <v/>
      </c>
      <c r="K304" s="112" t="str">
        <f>IF(A304&lt;&gt;"",SUMIFS(deployment!$J$4:$J$502, deployment!$D$4:$D$502,"="&amp;A304, deployment!$D$4:$D$502,"&lt;&gt;"&amp;""),"")</f>
        <v/>
      </c>
      <c r="L304" s="112" t="str">
        <f>IF(A304&lt;&gt;"",SUMIFS(deployment!$K$4:$K$502, deployment!$D$4:$D$502,"="&amp;A304, deployment!$D$4:$D$502,"&lt;&gt;"&amp;""),"")</f>
        <v/>
      </c>
      <c r="M304" s="97" t="str">
        <f>IF(A304&lt;&gt;"",SUMIFS(deployment!$L$4:$L$502, deployment!$D$4:$D$502,"="&amp;A304, deployment!$D$4:$D$502,"&lt;&gt;"&amp;""),"")</f>
        <v/>
      </c>
      <c r="N304" s="97" t="str">
        <f>IF(A304&lt;&gt;"",SUMIFS(deployment!$M$4:$M$502, deployment!$D$4:$D$502,"="&amp;A304, deployment!$D$4:$D$502,"&lt;&gt;"&amp;""),"")</f>
        <v/>
      </c>
      <c r="O304" s="127" t="str">
        <f t="shared" si="59"/>
        <v/>
      </c>
      <c r="P304" s="104"/>
      <c r="Q304" s="99" t="str">
        <f t="shared" si="48"/>
        <v/>
      </c>
      <c r="R304" s="100" t="str">
        <f t="shared" si="49"/>
        <v/>
      </c>
      <c r="S304" s="100" t="str">
        <f t="shared" si="50"/>
        <v/>
      </c>
      <c r="T304" s="101" t="str">
        <f t="shared" si="51"/>
        <v/>
      </c>
      <c r="U304" s="101" t="str">
        <f t="shared" si="52"/>
        <v/>
      </c>
      <c r="V304" s="128" t="str">
        <f t="shared" si="53"/>
        <v/>
      </c>
      <c r="W304" s="128" t="str">
        <f t="shared" si="54"/>
        <v/>
      </c>
      <c r="X304" s="101" t="str">
        <f t="shared" si="55"/>
        <v/>
      </c>
      <c r="Y304" s="101" t="str">
        <f t="shared" si="56"/>
        <v/>
      </c>
      <c r="Z304" s="102" t="str">
        <f t="shared" si="57"/>
        <v/>
      </c>
      <c r="AA304" s="103" t="str">
        <f t="shared" si="58"/>
        <v/>
      </c>
      <c r="AB304" s="142" t="str">
        <f>IF(A304&lt;&gt;"", SUMIFS(node!$J$2:$J$500, node!$C$2:$C$500,"="&amp;A304)/P304, "")</f>
        <v/>
      </c>
      <c r="AC304" s="134" t="str">
        <f>IF(A304&lt;&gt;"", SUMIFS(node!$K$2:$K$500, node!$C$2:$C$500,"="&amp;A304)/P304, "")</f>
        <v/>
      </c>
      <c r="AD304" s="135" t="str">
        <f>IF(A304&lt;&gt;"", SUMIFS(node!$L$2:$L$500, node!$C$2:$C$500,"="&amp;A304), "")</f>
        <v/>
      </c>
      <c r="AE304" s="145" t="str">
        <f>IF(A304&lt;&gt;"", SUMIFS(node!$M$2:$M$500, node!$C$2:$C$500,"="&amp;A304), "")</f>
        <v/>
      </c>
    </row>
    <row r="305" spans="1:31" ht="15.75" customHeight="1" x14ac:dyDescent="0.25">
      <c r="A305" s="119" t="str">
        <f>IF(ISNONTEXT(node_raw[[#This Row],[Column2]]), "", node_raw[[#This Row],[Column2]])</f>
        <v/>
      </c>
      <c r="B305" s="116" t="str">
        <f>IF(A305&lt;&gt;"", VLOOKUP(A305, node!$C$2:$D$500, 2, FALSE), "")</f>
        <v/>
      </c>
      <c r="C305" s="117" t="str">
        <f>IF(A305&lt;&gt;"", VLOOKUP(A305, node!$C$2:$E$500, 3, FALSE), "")</f>
        <v/>
      </c>
      <c r="D305" s="118" t="str">
        <f>IF(A305&lt;&gt;"",COUNTIFS(node!$C$2:$C$500,"="&amp;A305, node!$C$2:$C$500,"&lt;&gt;"&amp;""),"")</f>
        <v/>
      </c>
      <c r="E305" s="122" t="str">
        <f>IF(A305&lt;&gt;"",SUMIFS(node!$F$2:$F$500, node!$C$2:$C$500,"="&amp;A305, node!$C$2:$C$500,"&lt;&gt;"&amp;"")/(B305*D305),"")</f>
        <v/>
      </c>
      <c r="F305" s="124" t="str">
        <f>IF(A305&lt;&gt;"",SUMIFS(node!$H$2:$H$500, node!$C$2:$C$500,"="&amp;A305, node!$C$2:$C$500,"&lt;&gt;"&amp;"")/(C305*D305),"")</f>
        <v/>
      </c>
      <c r="G305" s="93" t="str">
        <f>IF(A305&lt;&gt;"",SUMIFS(deployment!$F$4:$F$502, deployment!$D$4:$D$502,"="&amp;A305, deployment!$D$4:$D$502,"&lt;&gt;"&amp;""),"")</f>
        <v/>
      </c>
      <c r="H305" s="94" t="str">
        <f>IF(A305&lt;&gt;"",SUMIFS(deployment!$G$4:$G$502, deployment!$D$4:$D$502,"="&amp;A305, deployment!$D$4:$D$502,"&lt;&gt;"&amp;""),"")</f>
        <v/>
      </c>
      <c r="I305" s="95" t="str">
        <f>IF(A305&lt;&gt;"",SUMIFS(deployment!$H$4:$H$502, deployment!$D$4:$D$502,"="&amp;A305, deployment!$D$4:$D$502,"&lt;&gt;"&amp;""),"")</f>
        <v/>
      </c>
      <c r="J305" s="96" t="str">
        <f>IF(A305&lt;&gt;"",SUMIFS(deployment!$I$4:$I$502, deployment!$D$4:$D$502,"="&amp;A305, deployment!$D$4:$D$502,"&lt;&gt;"&amp;""),"")</f>
        <v/>
      </c>
      <c r="K305" s="112" t="str">
        <f>IF(A305&lt;&gt;"",SUMIFS(deployment!$J$4:$J$502, deployment!$D$4:$D$502,"="&amp;A305, deployment!$D$4:$D$502,"&lt;&gt;"&amp;""),"")</f>
        <v/>
      </c>
      <c r="L305" s="112" t="str">
        <f>IF(A305&lt;&gt;"",SUMIFS(deployment!$K$4:$K$502, deployment!$D$4:$D$502,"="&amp;A305, deployment!$D$4:$D$502,"&lt;&gt;"&amp;""),"")</f>
        <v/>
      </c>
      <c r="M305" s="97" t="str">
        <f>IF(A305&lt;&gt;"",SUMIFS(deployment!$L$4:$L$502, deployment!$D$4:$D$502,"="&amp;A305, deployment!$D$4:$D$502,"&lt;&gt;"&amp;""),"")</f>
        <v/>
      </c>
      <c r="N305" s="97" t="str">
        <f>IF(A305&lt;&gt;"",SUMIFS(deployment!$M$4:$M$502, deployment!$D$4:$D$502,"="&amp;A305, deployment!$D$4:$D$502,"&lt;&gt;"&amp;""),"")</f>
        <v/>
      </c>
      <c r="O305" s="127" t="str">
        <f t="shared" si="59"/>
        <v/>
      </c>
      <c r="P305" s="104"/>
      <c r="Q305" s="99" t="str">
        <f t="shared" si="48"/>
        <v/>
      </c>
      <c r="R305" s="100" t="str">
        <f t="shared" si="49"/>
        <v/>
      </c>
      <c r="S305" s="100" t="str">
        <f t="shared" si="50"/>
        <v/>
      </c>
      <c r="T305" s="101" t="str">
        <f t="shared" si="51"/>
        <v/>
      </c>
      <c r="U305" s="101" t="str">
        <f t="shared" si="52"/>
        <v/>
      </c>
      <c r="V305" s="128" t="str">
        <f t="shared" si="53"/>
        <v/>
      </c>
      <c r="W305" s="128" t="str">
        <f t="shared" si="54"/>
        <v/>
      </c>
      <c r="X305" s="101" t="str">
        <f t="shared" si="55"/>
        <v/>
      </c>
      <c r="Y305" s="101" t="str">
        <f t="shared" si="56"/>
        <v/>
      </c>
      <c r="Z305" s="102" t="str">
        <f t="shared" si="57"/>
        <v/>
      </c>
      <c r="AA305" s="103" t="str">
        <f t="shared" si="58"/>
        <v/>
      </c>
      <c r="AB305" s="142" t="str">
        <f>IF(A305&lt;&gt;"", SUMIFS(node!$J$2:$J$500, node!$C$2:$C$500,"="&amp;A305)/P305, "")</f>
        <v/>
      </c>
      <c r="AC305" s="134" t="str">
        <f>IF(A305&lt;&gt;"", SUMIFS(node!$K$2:$K$500, node!$C$2:$C$500,"="&amp;A305)/P305, "")</f>
        <v/>
      </c>
      <c r="AD305" s="135" t="str">
        <f>IF(A305&lt;&gt;"", SUMIFS(node!$L$2:$L$500, node!$C$2:$C$500,"="&amp;A305), "")</f>
        <v/>
      </c>
      <c r="AE305" s="145" t="str">
        <f>IF(A305&lt;&gt;"", SUMIFS(node!$M$2:$M$500, node!$C$2:$C$500,"="&amp;A305), "")</f>
        <v/>
      </c>
    </row>
    <row r="306" spans="1:31" ht="15.75" customHeight="1" x14ac:dyDescent="0.25">
      <c r="A306" s="119" t="str">
        <f>IF(ISNONTEXT(node_raw[[#This Row],[Column2]]), "", node_raw[[#This Row],[Column2]])</f>
        <v/>
      </c>
      <c r="B306" s="116" t="str">
        <f>IF(A306&lt;&gt;"", VLOOKUP(A306, node!$C$2:$D$500, 2, FALSE), "")</f>
        <v/>
      </c>
      <c r="C306" s="117" t="str">
        <f>IF(A306&lt;&gt;"", VLOOKUP(A306, node!$C$2:$E$500, 3, FALSE), "")</f>
        <v/>
      </c>
      <c r="D306" s="118" t="str">
        <f>IF(A306&lt;&gt;"",COUNTIFS(node!$C$2:$C$500,"="&amp;A306, node!$C$2:$C$500,"&lt;&gt;"&amp;""),"")</f>
        <v/>
      </c>
      <c r="E306" s="122" t="str">
        <f>IF(A306&lt;&gt;"",SUMIFS(node!$F$2:$F$500, node!$C$2:$C$500,"="&amp;A306, node!$C$2:$C$500,"&lt;&gt;"&amp;"")/(B306*D306),"")</f>
        <v/>
      </c>
      <c r="F306" s="124" t="str">
        <f>IF(A306&lt;&gt;"",SUMIFS(node!$H$2:$H$500, node!$C$2:$C$500,"="&amp;A306, node!$C$2:$C$500,"&lt;&gt;"&amp;"")/(C306*D306),"")</f>
        <v/>
      </c>
      <c r="G306" s="93" t="str">
        <f>IF(A306&lt;&gt;"",SUMIFS(deployment!$F$4:$F$502, deployment!$D$4:$D$502,"="&amp;A306, deployment!$D$4:$D$502,"&lt;&gt;"&amp;""),"")</f>
        <v/>
      </c>
      <c r="H306" s="94" t="str">
        <f>IF(A306&lt;&gt;"",SUMIFS(deployment!$G$4:$G$502, deployment!$D$4:$D$502,"="&amp;A306, deployment!$D$4:$D$502,"&lt;&gt;"&amp;""),"")</f>
        <v/>
      </c>
      <c r="I306" s="95" t="str">
        <f>IF(A306&lt;&gt;"",SUMIFS(deployment!$H$4:$H$502, deployment!$D$4:$D$502,"="&amp;A306, deployment!$D$4:$D$502,"&lt;&gt;"&amp;""),"")</f>
        <v/>
      </c>
      <c r="J306" s="96" t="str">
        <f>IF(A306&lt;&gt;"",SUMIFS(deployment!$I$4:$I$502, deployment!$D$4:$D$502,"="&amp;A306, deployment!$D$4:$D$502,"&lt;&gt;"&amp;""),"")</f>
        <v/>
      </c>
      <c r="K306" s="112" t="str">
        <f>IF(A306&lt;&gt;"",SUMIFS(deployment!$J$4:$J$502, deployment!$D$4:$D$502,"="&amp;A306, deployment!$D$4:$D$502,"&lt;&gt;"&amp;""),"")</f>
        <v/>
      </c>
      <c r="L306" s="112" t="str">
        <f>IF(A306&lt;&gt;"",SUMIFS(deployment!$K$4:$K$502, deployment!$D$4:$D$502,"="&amp;A306, deployment!$D$4:$D$502,"&lt;&gt;"&amp;""),"")</f>
        <v/>
      </c>
      <c r="M306" s="97" t="str">
        <f>IF(A306&lt;&gt;"",SUMIFS(deployment!$L$4:$L$502, deployment!$D$4:$D$502,"="&amp;A306, deployment!$D$4:$D$502,"&lt;&gt;"&amp;""),"")</f>
        <v/>
      </c>
      <c r="N306" s="97" t="str">
        <f>IF(A306&lt;&gt;"",SUMIFS(deployment!$M$4:$M$502, deployment!$D$4:$D$502,"="&amp;A306, deployment!$D$4:$D$502,"&lt;&gt;"&amp;""),"")</f>
        <v/>
      </c>
      <c r="O306" s="127" t="str">
        <f t="shared" si="59"/>
        <v/>
      </c>
      <c r="P306" s="104"/>
      <c r="Q306" s="99" t="str">
        <f t="shared" si="48"/>
        <v/>
      </c>
      <c r="R306" s="100" t="str">
        <f t="shared" si="49"/>
        <v/>
      </c>
      <c r="S306" s="100" t="str">
        <f t="shared" si="50"/>
        <v/>
      </c>
      <c r="T306" s="101" t="str">
        <f t="shared" si="51"/>
        <v/>
      </c>
      <c r="U306" s="101" t="str">
        <f t="shared" si="52"/>
        <v/>
      </c>
      <c r="V306" s="128" t="str">
        <f t="shared" si="53"/>
        <v/>
      </c>
      <c r="W306" s="128" t="str">
        <f t="shared" si="54"/>
        <v/>
      </c>
      <c r="X306" s="101" t="str">
        <f t="shared" si="55"/>
        <v/>
      </c>
      <c r="Y306" s="101" t="str">
        <f t="shared" si="56"/>
        <v/>
      </c>
      <c r="Z306" s="102" t="str">
        <f t="shared" si="57"/>
        <v/>
      </c>
      <c r="AA306" s="103" t="str">
        <f t="shared" si="58"/>
        <v/>
      </c>
      <c r="AB306" s="142" t="str">
        <f>IF(A306&lt;&gt;"", SUMIFS(node!$J$2:$J$500, node!$C$2:$C$500,"="&amp;A306)/P306, "")</f>
        <v/>
      </c>
      <c r="AC306" s="134" t="str">
        <f>IF(A306&lt;&gt;"", SUMIFS(node!$K$2:$K$500, node!$C$2:$C$500,"="&amp;A306)/P306, "")</f>
        <v/>
      </c>
      <c r="AD306" s="135" t="str">
        <f>IF(A306&lt;&gt;"", SUMIFS(node!$L$2:$L$500, node!$C$2:$C$500,"="&amp;A306), "")</f>
        <v/>
      </c>
      <c r="AE306" s="145" t="str">
        <f>IF(A306&lt;&gt;"", SUMIFS(node!$M$2:$M$500, node!$C$2:$C$500,"="&amp;A306), "")</f>
        <v/>
      </c>
    </row>
    <row r="307" spans="1:31" ht="15.75" customHeight="1" x14ac:dyDescent="0.25">
      <c r="A307" s="119" t="str">
        <f>IF(ISNONTEXT(node_raw[[#This Row],[Column2]]), "", node_raw[[#This Row],[Column2]])</f>
        <v/>
      </c>
      <c r="B307" s="116" t="str">
        <f>IF(A307&lt;&gt;"", VLOOKUP(A307, node!$C$2:$D$500, 2, FALSE), "")</f>
        <v/>
      </c>
      <c r="C307" s="117" t="str">
        <f>IF(A307&lt;&gt;"", VLOOKUP(A307, node!$C$2:$E$500, 3, FALSE), "")</f>
        <v/>
      </c>
      <c r="D307" s="118" t="str">
        <f>IF(A307&lt;&gt;"",COUNTIFS(node!$C$2:$C$500,"="&amp;A307, node!$C$2:$C$500,"&lt;&gt;"&amp;""),"")</f>
        <v/>
      </c>
      <c r="E307" s="122" t="str">
        <f>IF(A307&lt;&gt;"",SUMIFS(node!$F$2:$F$500, node!$C$2:$C$500,"="&amp;A307, node!$C$2:$C$500,"&lt;&gt;"&amp;"")/(B307*D307),"")</f>
        <v/>
      </c>
      <c r="F307" s="124" t="str">
        <f>IF(A307&lt;&gt;"",SUMIFS(node!$H$2:$H$500, node!$C$2:$C$500,"="&amp;A307, node!$C$2:$C$500,"&lt;&gt;"&amp;"")/(C307*D307),"")</f>
        <v/>
      </c>
      <c r="G307" s="93" t="str">
        <f>IF(A307&lt;&gt;"",SUMIFS(deployment!$F$4:$F$502, deployment!$D$4:$D$502,"="&amp;A307, deployment!$D$4:$D$502,"&lt;&gt;"&amp;""),"")</f>
        <v/>
      </c>
      <c r="H307" s="94" t="str">
        <f>IF(A307&lt;&gt;"",SUMIFS(deployment!$G$4:$G$502, deployment!$D$4:$D$502,"="&amp;A307, deployment!$D$4:$D$502,"&lt;&gt;"&amp;""),"")</f>
        <v/>
      </c>
      <c r="I307" s="95" t="str">
        <f>IF(A307&lt;&gt;"",SUMIFS(deployment!$H$4:$H$502, deployment!$D$4:$D$502,"="&amp;A307, deployment!$D$4:$D$502,"&lt;&gt;"&amp;""),"")</f>
        <v/>
      </c>
      <c r="J307" s="96" t="str">
        <f>IF(A307&lt;&gt;"",SUMIFS(deployment!$I$4:$I$502, deployment!$D$4:$D$502,"="&amp;A307, deployment!$D$4:$D$502,"&lt;&gt;"&amp;""),"")</f>
        <v/>
      </c>
      <c r="K307" s="112" t="str">
        <f>IF(A307&lt;&gt;"",SUMIFS(deployment!$J$4:$J$502, deployment!$D$4:$D$502,"="&amp;A307, deployment!$D$4:$D$502,"&lt;&gt;"&amp;""),"")</f>
        <v/>
      </c>
      <c r="L307" s="112" t="str">
        <f>IF(A307&lt;&gt;"",SUMIFS(deployment!$K$4:$K$502, deployment!$D$4:$D$502,"="&amp;A307, deployment!$D$4:$D$502,"&lt;&gt;"&amp;""),"")</f>
        <v/>
      </c>
      <c r="M307" s="97" t="str">
        <f>IF(A307&lt;&gt;"",SUMIFS(deployment!$L$4:$L$502, deployment!$D$4:$D$502,"="&amp;A307, deployment!$D$4:$D$502,"&lt;&gt;"&amp;""),"")</f>
        <v/>
      </c>
      <c r="N307" s="97" t="str">
        <f>IF(A307&lt;&gt;"",SUMIFS(deployment!$M$4:$M$502, deployment!$D$4:$D$502,"="&amp;A307, deployment!$D$4:$D$502,"&lt;&gt;"&amp;""),"")</f>
        <v/>
      </c>
      <c r="O307" s="127" t="str">
        <f t="shared" si="59"/>
        <v/>
      </c>
      <c r="P307" s="104"/>
      <c r="Q307" s="99" t="str">
        <f t="shared" si="48"/>
        <v/>
      </c>
      <c r="R307" s="100" t="str">
        <f t="shared" si="49"/>
        <v/>
      </c>
      <c r="S307" s="100" t="str">
        <f t="shared" si="50"/>
        <v/>
      </c>
      <c r="T307" s="101" t="str">
        <f t="shared" si="51"/>
        <v/>
      </c>
      <c r="U307" s="101" t="str">
        <f t="shared" si="52"/>
        <v/>
      </c>
      <c r="V307" s="128" t="str">
        <f t="shared" si="53"/>
        <v/>
      </c>
      <c r="W307" s="128" t="str">
        <f t="shared" si="54"/>
        <v/>
      </c>
      <c r="X307" s="101" t="str">
        <f t="shared" si="55"/>
        <v/>
      </c>
      <c r="Y307" s="101" t="str">
        <f t="shared" si="56"/>
        <v/>
      </c>
      <c r="Z307" s="102" t="str">
        <f t="shared" si="57"/>
        <v/>
      </c>
      <c r="AA307" s="103" t="str">
        <f t="shared" si="58"/>
        <v/>
      </c>
      <c r="AB307" s="142" t="str">
        <f>IF(A307&lt;&gt;"", SUMIFS(node!$J$2:$J$500, node!$C$2:$C$500,"="&amp;A307)/P307, "")</f>
        <v/>
      </c>
      <c r="AC307" s="134" t="str">
        <f>IF(A307&lt;&gt;"", SUMIFS(node!$K$2:$K$500, node!$C$2:$C$500,"="&amp;A307)/P307, "")</f>
        <v/>
      </c>
      <c r="AD307" s="135" t="str">
        <f>IF(A307&lt;&gt;"", SUMIFS(node!$L$2:$L$500, node!$C$2:$C$500,"="&amp;A307), "")</f>
        <v/>
      </c>
      <c r="AE307" s="145" t="str">
        <f>IF(A307&lt;&gt;"", SUMIFS(node!$M$2:$M$500, node!$C$2:$C$500,"="&amp;A307), "")</f>
        <v/>
      </c>
    </row>
    <row r="308" spans="1:31" ht="15.75" customHeight="1" x14ac:dyDescent="0.25">
      <c r="A308" s="119" t="str">
        <f>IF(ISNONTEXT(node_raw[[#This Row],[Column2]]), "", node_raw[[#This Row],[Column2]])</f>
        <v/>
      </c>
      <c r="B308" s="116" t="str">
        <f>IF(A308&lt;&gt;"", VLOOKUP(A308, node!$C$2:$D$500, 2, FALSE), "")</f>
        <v/>
      </c>
      <c r="C308" s="117" t="str">
        <f>IF(A308&lt;&gt;"", VLOOKUP(A308, node!$C$2:$E$500, 3, FALSE), "")</f>
        <v/>
      </c>
      <c r="D308" s="118" t="str">
        <f>IF(A308&lt;&gt;"",COUNTIFS(node!$C$2:$C$500,"="&amp;A308, node!$C$2:$C$500,"&lt;&gt;"&amp;""),"")</f>
        <v/>
      </c>
      <c r="E308" s="122" t="str">
        <f>IF(A308&lt;&gt;"",SUMIFS(node!$F$2:$F$500, node!$C$2:$C$500,"="&amp;A308, node!$C$2:$C$500,"&lt;&gt;"&amp;"")/(B308*D308),"")</f>
        <v/>
      </c>
      <c r="F308" s="124" t="str">
        <f>IF(A308&lt;&gt;"",SUMIFS(node!$H$2:$H$500, node!$C$2:$C$500,"="&amp;A308, node!$C$2:$C$500,"&lt;&gt;"&amp;"")/(C308*D308),"")</f>
        <v/>
      </c>
      <c r="G308" s="93" t="str">
        <f>IF(A308&lt;&gt;"",SUMIFS(deployment!$F$4:$F$502, deployment!$D$4:$D$502,"="&amp;A308, deployment!$D$4:$D$502,"&lt;&gt;"&amp;""),"")</f>
        <v/>
      </c>
      <c r="H308" s="94" t="str">
        <f>IF(A308&lt;&gt;"",SUMIFS(deployment!$G$4:$G$502, deployment!$D$4:$D$502,"="&amp;A308, deployment!$D$4:$D$502,"&lt;&gt;"&amp;""),"")</f>
        <v/>
      </c>
      <c r="I308" s="95" t="str">
        <f>IF(A308&lt;&gt;"",SUMIFS(deployment!$H$4:$H$502, deployment!$D$4:$D$502,"="&amp;A308, deployment!$D$4:$D$502,"&lt;&gt;"&amp;""),"")</f>
        <v/>
      </c>
      <c r="J308" s="96" t="str">
        <f>IF(A308&lt;&gt;"",SUMIFS(deployment!$I$4:$I$502, deployment!$D$4:$D$502,"="&amp;A308, deployment!$D$4:$D$502,"&lt;&gt;"&amp;""),"")</f>
        <v/>
      </c>
      <c r="K308" s="112" t="str">
        <f>IF(A308&lt;&gt;"",SUMIFS(deployment!$J$4:$J$502, deployment!$D$4:$D$502,"="&amp;A308, deployment!$D$4:$D$502,"&lt;&gt;"&amp;""),"")</f>
        <v/>
      </c>
      <c r="L308" s="112" t="str">
        <f>IF(A308&lt;&gt;"",SUMIFS(deployment!$K$4:$K$502, deployment!$D$4:$D$502,"="&amp;A308, deployment!$D$4:$D$502,"&lt;&gt;"&amp;""),"")</f>
        <v/>
      </c>
      <c r="M308" s="97" t="str">
        <f>IF(A308&lt;&gt;"",SUMIFS(deployment!$L$4:$L$502, deployment!$D$4:$D$502,"="&amp;A308, deployment!$D$4:$D$502,"&lt;&gt;"&amp;""),"")</f>
        <v/>
      </c>
      <c r="N308" s="97" t="str">
        <f>IF(A308&lt;&gt;"",SUMIFS(deployment!$M$4:$M$502, deployment!$D$4:$D$502,"="&amp;A308, deployment!$D$4:$D$502,"&lt;&gt;"&amp;""),"")</f>
        <v/>
      </c>
      <c r="O308" s="127" t="str">
        <f t="shared" si="59"/>
        <v/>
      </c>
      <c r="P308" s="104"/>
      <c r="Q308" s="99" t="str">
        <f t="shared" si="48"/>
        <v/>
      </c>
      <c r="R308" s="100" t="str">
        <f t="shared" si="49"/>
        <v/>
      </c>
      <c r="S308" s="100" t="str">
        <f t="shared" si="50"/>
        <v/>
      </c>
      <c r="T308" s="101" t="str">
        <f t="shared" si="51"/>
        <v/>
      </c>
      <c r="U308" s="101" t="str">
        <f t="shared" si="52"/>
        <v/>
      </c>
      <c r="V308" s="128" t="str">
        <f t="shared" si="53"/>
        <v/>
      </c>
      <c r="W308" s="128" t="str">
        <f t="shared" si="54"/>
        <v/>
      </c>
      <c r="X308" s="101" t="str">
        <f t="shared" si="55"/>
        <v/>
      </c>
      <c r="Y308" s="101" t="str">
        <f t="shared" si="56"/>
        <v/>
      </c>
      <c r="Z308" s="102" t="str">
        <f t="shared" si="57"/>
        <v/>
      </c>
      <c r="AA308" s="103" t="str">
        <f t="shared" si="58"/>
        <v/>
      </c>
      <c r="AB308" s="142" t="str">
        <f>IF(A308&lt;&gt;"", SUMIFS(node!$J$2:$J$500, node!$C$2:$C$500,"="&amp;A308)/P308, "")</f>
        <v/>
      </c>
      <c r="AC308" s="134" t="str">
        <f>IF(A308&lt;&gt;"", SUMIFS(node!$K$2:$K$500, node!$C$2:$C$500,"="&amp;A308)/P308, "")</f>
        <v/>
      </c>
      <c r="AD308" s="135" t="str">
        <f>IF(A308&lt;&gt;"", SUMIFS(node!$L$2:$L$500, node!$C$2:$C$500,"="&amp;A308), "")</f>
        <v/>
      </c>
      <c r="AE308" s="145" t="str">
        <f>IF(A308&lt;&gt;"", SUMIFS(node!$M$2:$M$500, node!$C$2:$C$500,"="&amp;A308), "")</f>
        <v/>
      </c>
    </row>
    <row r="309" spans="1:31" ht="15.75" customHeight="1" x14ac:dyDescent="0.25">
      <c r="A309" s="119" t="str">
        <f>IF(ISNONTEXT(node_raw[[#This Row],[Column2]]), "", node_raw[[#This Row],[Column2]])</f>
        <v/>
      </c>
      <c r="B309" s="116" t="str">
        <f>IF(A309&lt;&gt;"", VLOOKUP(A309, node!$C$2:$D$500, 2, FALSE), "")</f>
        <v/>
      </c>
      <c r="C309" s="117" t="str">
        <f>IF(A309&lt;&gt;"", VLOOKUP(A309, node!$C$2:$E$500, 3, FALSE), "")</f>
        <v/>
      </c>
      <c r="D309" s="118" t="str">
        <f>IF(A309&lt;&gt;"",COUNTIFS(node!$C$2:$C$500,"="&amp;A309, node!$C$2:$C$500,"&lt;&gt;"&amp;""),"")</f>
        <v/>
      </c>
      <c r="E309" s="122" t="str">
        <f>IF(A309&lt;&gt;"",SUMIFS(node!$F$2:$F$500, node!$C$2:$C$500,"="&amp;A309, node!$C$2:$C$500,"&lt;&gt;"&amp;"")/(B309*D309),"")</f>
        <v/>
      </c>
      <c r="F309" s="124" t="str">
        <f>IF(A309&lt;&gt;"",SUMIFS(node!$H$2:$H$500, node!$C$2:$C$500,"="&amp;A309, node!$C$2:$C$500,"&lt;&gt;"&amp;"")/(C309*D309),"")</f>
        <v/>
      </c>
      <c r="G309" s="93" t="str">
        <f>IF(A309&lt;&gt;"",SUMIFS(deployment!$F$4:$F$502, deployment!$D$4:$D$502,"="&amp;A309, deployment!$D$4:$D$502,"&lt;&gt;"&amp;""),"")</f>
        <v/>
      </c>
      <c r="H309" s="94" t="str">
        <f>IF(A309&lt;&gt;"",SUMIFS(deployment!$G$4:$G$502, deployment!$D$4:$D$502,"="&amp;A309, deployment!$D$4:$D$502,"&lt;&gt;"&amp;""),"")</f>
        <v/>
      </c>
      <c r="I309" s="95" t="str">
        <f>IF(A309&lt;&gt;"",SUMIFS(deployment!$H$4:$H$502, deployment!$D$4:$D$502,"="&amp;A309, deployment!$D$4:$D$502,"&lt;&gt;"&amp;""),"")</f>
        <v/>
      </c>
      <c r="J309" s="96" t="str">
        <f>IF(A309&lt;&gt;"",SUMIFS(deployment!$I$4:$I$502, deployment!$D$4:$D$502,"="&amp;A309, deployment!$D$4:$D$502,"&lt;&gt;"&amp;""),"")</f>
        <v/>
      </c>
      <c r="K309" s="112" t="str">
        <f>IF(A309&lt;&gt;"",SUMIFS(deployment!$J$4:$J$502, deployment!$D$4:$D$502,"="&amp;A309, deployment!$D$4:$D$502,"&lt;&gt;"&amp;""),"")</f>
        <v/>
      </c>
      <c r="L309" s="112" t="str">
        <f>IF(A309&lt;&gt;"",SUMIFS(deployment!$K$4:$K$502, deployment!$D$4:$D$502,"="&amp;A309, deployment!$D$4:$D$502,"&lt;&gt;"&amp;""),"")</f>
        <v/>
      </c>
      <c r="M309" s="97" t="str">
        <f>IF(A309&lt;&gt;"",SUMIFS(deployment!$L$4:$L$502, deployment!$D$4:$D$502,"="&amp;A309, deployment!$D$4:$D$502,"&lt;&gt;"&amp;""),"")</f>
        <v/>
      </c>
      <c r="N309" s="97" t="str">
        <f>IF(A309&lt;&gt;"",SUMIFS(deployment!$M$4:$M$502, deployment!$D$4:$D$502,"="&amp;A309, deployment!$D$4:$D$502,"&lt;&gt;"&amp;""),"")</f>
        <v/>
      </c>
      <c r="O309" s="127" t="str">
        <f t="shared" si="59"/>
        <v/>
      </c>
      <c r="P309" s="104"/>
      <c r="Q309" s="99" t="str">
        <f t="shared" si="48"/>
        <v/>
      </c>
      <c r="R309" s="100" t="str">
        <f t="shared" si="49"/>
        <v/>
      </c>
      <c r="S309" s="100" t="str">
        <f t="shared" si="50"/>
        <v/>
      </c>
      <c r="T309" s="101" t="str">
        <f t="shared" si="51"/>
        <v/>
      </c>
      <c r="U309" s="101" t="str">
        <f t="shared" si="52"/>
        <v/>
      </c>
      <c r="V309" s="128" t="str">
        <f t="shared" si="53"/>
        <v/>
      </c>
      <c r="W309" s="128" t="str">
        <f t="shared" si="54"/>
        <v/>
      </c>
      <c r="X309" s="101" t="str">
        <f t="shared" si="55"/>
        <v/>
      </c>
      <c r="Y309" s="101" t="str">
        <f t="shared" si="56"/>
        <v/>
      </c>
      <c r="Z309" s="102" t="str">
        <f t="shared" si="57"/>
        <v/>
      </c>
      <c r="AA309" s="103" t="str">
        <f t="shared" si="58"/>
        <v/>
      </c>
      <c r="AB309" s="142" t="str">
        <f>IF(A309&lt;&gt;"", SUMIFS(node!$J$2:$J$500, node!$C$2:$C$500,"="&amp;A309)/P309, "")</f>
        <v/>
      </c>
      <c r="AC309" s="134" t="str">
        <f>IF(A309&lt;&gt;"", SUMIFS(node!$K$2:$K$500, node!$C$2:$C$500,"="&amp;A309)/P309, "")</f>
        <v/>
      </c>
      <c r="AD309" s="135" t="str">
        <f>IF(A309&lt;&gt;"", SUMIFS(node!$L$2:$L$500, node!$C$2:$C$500,"="&amp;A309), "")</f>
        <v/>
      </c>
      <c r="AE309" s="145" t="str">
        <f>IF(A309&lt;&gt;"", SUMIFS(node!$M$2:$M$500, node!$C$2:$C$500,"="&amp;A309), "")</f>
        <v/>
      </c>
    </row>
    <row r="310" spans="1:31" ht="15.75" customHeight="1" x14ac:dyDescent="0.25">
      <c r="A310" s="119" t="str">
        <f>IF(ISNONTEXT(node_raw[[#This Row],[Column2]]), "", node_raw[[#This Row],[Column2]])</f>
        <v/>
      </c>
      <c r="B310" s="116" t="str">
        <f>IF(A310&lt;&gt;"", VLOOKUP(A310, node!$C$2:$D$500, 2, FALSE), "")</f>
        <v/>
      </c>
      <c r="C310" s="117" t="str">
        <f>IF(A310&lt;&gt;"", VLOOKUP(A310, node!$C$2:$E$500, 3, FALSE), "")</f>
        <v/>
      </c>
      <c r="D310" s="118" t="str">
        <f>IF(A310&lt;&gt;"",COUNTIFS(node!$C$2:$C$500,"="&amp;A310, node!$C$2:$C$500,"&lt;&gt;"&amp;""),"")</f>
        <v/>
      </c>
      <c r="E310" s="122" t="str">
        <f>IF(A310&lt;&gt;"",SUMIFS(node!$F$2:$F$500, node!$C$2:$C$500,"="&amp;A310, node!$C$2:$C$500,"&lt;&gt;"&amp;"")/(B310*D310),"")</f>
        <v/>
      </c>
      <c r="F310" s="124" t="str">
        <f>IF(A310&lt;&gt;"",SUMIFS(node!$H$2:$H$500, node!$C$2:$C$500,"="&amp;A310, node!$C$2:$C$500,"&lt;&gt;"&amp;"")/(C310*D310),"")</f>
        <v/>
      </c>
      <c r="G310" s="93" t="str">
        <f>IF(A310&lt;&gt;"",SUMIFS(deployment!$F$4:$F$502, deployment!$D$4:$D$502,"="&amp;A310, deployment!$D$4:$D$502,"&lt;&gt;"&amp;""),"")</f>
        <v/>
      </c>
      <c r="H310" s="94" t="str">
        <f>IF(A310&lt;&gt;"",SUMIFS(deployment!$G$4:$G$502, deployment!$D$4:$D$502,"="&amp;A310, deployment!$D$4:$D$502,"&lt;&gt;"&amp;""),"")</f>
        <v/>
      </c>
      <c r="I310" s="95" t="str">
        <f>IF(A310&lt;&gt;"",SUMIFS(deployment!$H$4:$H$502, deployment!$D$4:$D$502,"="&amp;A310, deployment!$D$4:$D$502,"&lt;&gt;"&amp;""),"")</f>
        <v/>
      </c>
      <c r="J310" s="96" t="str">
        <f>IF(A310&lt;&gt;"",SUMIFS(deployment!$I$4:$I$502, deployment!$D$4:$D$502,"="&amp;A310, deployment!$D$4:$D$502,"&lt;&gt;"&amp;""),"")</f>
        <v/>
      </c>
      <c r="K310" s="112" t="str">
        <f>IF(A310&lt;&gt;"",SUMIFS(deployment!$J$4:$J$502, deployment!$D$4:$D$502,"="&amp;A310, deployment!$D$4:$D$502,"&lt;&gt;"&amp;""),"")</f>
        <v/>
      </c>
      <c r="L310" s="112" t="str">
        <f>IF(A310&lt;&gt;"",SUMIFS(deployment!$K$4:$K$502, deployment!$D$4:$D$502,"="&amp;A310, deployment!$D$4:$D$502,"&lt;&gt;"&amp;""),"")</f>
        <v/>
      </c>
      <c r="M310" s="97" t="str">
        <f>IF(A310&lt;&gt;"",SUMIFS(deployment!$L$4:$L$502, deployment!$D$4:$D$502,"="&amp;A310, deployment!$D$4:$D$502,"&lt;&gt;"&amp;""),"")</f>
        <v/>
      </c>
      <c r="N310" s="97" t="str">
        <f>IF(A310&lt;&gt;"",SUMIFS(deployment!$M$4:$M$502, deployment!$D$4:$D$502,"="&amp;A310, deployment!$D$4:$D$502,"&lt;&gt;"&amp;""),"")</f>
        <v/>
      </c>
      <c r="O310" s="127" t="str">
        <f t="shared" si="59"/>
        <v/>
      </c>
      <c r="P310" s="104"/>
      <c r="Q310" s="99" t="str">
        <f t="shared" si="48"/>
        <v/>
      </c>
      <c r="R310" s="100" t="str">
        <f t="shared" si="49"/>
        <v/>
      </c>
      <c r="S310" s="100" t="str">
        <f t="shared" si="50"/>
        <v/>
      </c>
      <c r="T310" s="101" t="str">
        <f t="shared" si="51"/>
        <v/>
      </c>
      <c r="U310" s="101" t="str">
        <f t="shared" si="52"/>
        <v/>
      </c>
      <c r="V310" s="128" t="str">
        <f t="shared" si="53"/>
        <v/>
      </c>
      <c r="W310" s="128" t="str">
        <f t="shared" si="54"/>
        <v/>
      </c>
      <c r="X310" s="101" t="str">
        <f t="shared" si="55"/>
        <v/>
      </c>
      <c r="Y310" s="101" t="str">
        <f t="shared" si="56"/>
        <v/>
      </c>
      <c r="Z310" s="102" t="str">
        <f t="shared" si="57"/>
        <v/>
      </c>
      <c r="AA310" s="103" t="str">
        <f t="shared" si="58"/>
        <v/>
      </c>
      <c r="AB310" s="142" t="str">
        <f>IF(A310&lt;&gt;"", SUMIFS(node!$J$2:$J$500, node!$C$2:$C$500,"="&amp;A310)/P310, "")</f>
        <v/>
      </c>
      <c r="AC310" s="134" t="str">
        <f>IF(A310&lt;&gt;"", SUMIFS(node!$K$2:$K$500, node!$C$2:$C$500,"="&amp;A310)/P310, "")</f>
        <v/>
      </c>
      <c r="AD310" s="135" t="str">
        <f>IF(A310&lt;&gt;"", SUMIFS(node!$L$2:$L$500, node!$C$2:$C$500,"="&amp;A310), "")</f>
        <v/>
      </c>
      <c r="AE310" s="145" t="str">
        <f>IF(A310&lt;&gt;"", SUMIFS(node!$M$2:$M$500, node!$C$2:$C$500,"="&amp;A310), "")</f>
        <v/>
      </c>
    </row>
    <row r="311" spans="1:31" ht="15.75" customHeight="1" x14ac:dyDescent="0.25">
      <c r="A311" s="119" t="str">
        <f>IF(ISNONTEXT(node_raw[[#This Row],[Column2]]), "", node_raw[[#This Row],[Column2]])</f>
        <v/>
      </c>
      <c r="B311" s="116" t="str">
        <f>IF(A311&lt;&gt;"", VLOOKUP(A311, node!$C$2:$D$500, 2, FALSE), "")</f>
        <v/>
      </c>
      <c r="C311" s="117" t="str">
        <f>IF(A311&lt;&gt;"", VLOOKUP(A311, node!$C$2:$E$500, 3, FALSE), "")</f>
        <v/>
      </c>
      <c r="D311" s="118" t="str">
        <f>IF(A311&lt;&gt;"",COUNTIFS(node!$C$2:$C$500,"="&amp;A311, node!$C$2:$C$500,"&lt;&gt;"&amp;""),"")</f>
        <v/>
      </c>
      <c r="E311" s="122" t="str">
        <f>IF(A311&lt;&gt;"",SUMIFS(node!$F$2:$F$500, node!$C$2:$C$500,"="&amp;A311, node!$C$2:$C$500,"&lt;&gt;"&amp;"")/(B311*D311),"")</f>
        <v/>
      </c>
      <c r="F311" s="124" t="str">
        <f>IF(A311&lt;&gt;"",SUMIFS(node!$H$2:$H$500, node!$C$2:$C$500,"="&amp;A311, node!$C$2:$C$500,"&lt;&gt;"&amp;"")/(C311*D311),"")</f>
        <v/>
      </c>
      <c r="G311" s="93" t="str">
        <f>IF(A311&lt;&gt;"",SUMIFS(deployment!$F$4:$F$502, deployment!$D$4:$D$502,"="&amp;A311, deployment!$D$4:$D$502,"&lt;&gt;"&amp;""),"")</f>
        <v/>
      </c>
      <c r="H311" s="94" t="str">
        <f>IF(A311&lt;&gt;"",SUMIFS(deployment!$G$4:$G$502, deployment!$D$4:$D$502,"="&amp;A311, deployment!$D$4:$D$502,"&lt;&gt;"&amp;""),"")</f>
        <v/>
      </c>
      <c r="I311" s="95" t="str">
        <f>IF(A311&lt;&gt;"",SUMIFS(deployment!$H$4:$H$502, deployment!$D$4:$D$502,"="&amp;A311, deployment!$D$4:$D$502,"&lt;&gt;"&amp;""),"")</f>
        <v/>
      </c>
      <c r="J311" s="96" t="str">
        <f>IF(A311&lt;&gt;"",SUMIFS(deployment!$I$4:$I$502, deployment!$D$4:$D$502,"="&amp;A311, deployment!$D$4:$D$502,"&lt;&gt;"&amp;""),"")</f>
        <v/>
      </c>
      <c r="K311" s="112" t="str">
        <f>IF(A311&lt;&gt;"",SUMIFS(deployment!$J$4:$J$502, deployment!$D$4:$D$502,"="&amp;A311, deployment!$D$4:$D$502,"&lt;&gt;"&amp;""),"")</f>
        <v/>
      </c>
      <c r="L311" s="112" t="str">
        <f>IF(A311&lt;&gt;"",SUMIFS(deployment!$K$4:$K$502, deployment!$D$4:$D$502,"="&amp;A311, deployment!$D$4:$D$502,"&lt;&gt;"&amp;""),"")</f>
        <v/>
      </c>
      <c r="M311" s="97" t="str">
        <f>IF(A311&lt;&gt;"",SUMIFS(deployment!$L$4:$L$502, deployment!$D$4:$D$502,"="&amp;A311, deployment!$D$4:$D$502,"&lt;&gt;"&amp;""),"")</f>
        <v/>
      </c>
      <c r="N311" s="97" t="str">
        <f>IF(A311&lt;&gt;"",SUMIFS(deployment!$M$4:$M$502, deployment!$D$4:$D$502,"="&amp;A311, deployment!$D$4:$D$502,"&lt;&gt;"&amp;""),"")</f>
        <v/>
      </c>
      <c r="O311" s="127" t="str">
        <f t="shared" si="59"/>
        <v/>
      </c>
      <c r="P311" s="104"/>
      <c r="Q311" s="99" t="str">
        <f t="shared" si="48"/>
        <v/>
      </c>
      <c r="R311" s="100" t="str">
        <f t="shared" si="49"/>
        <v/>
      </c>
      <c r="S311" s="100" t="str">
        <f t="shared" si="50"/>
        <v/>
      </c>
      <c r="T311" s="101" t="str">
        <f t="shared" si="51"/>
        <v/>
      </c>
      <c r="U311" s="101" t="str">
        <f t="shared" si="52"/>
        <v/>
      </c>
      <c r="V311" s="128" t="str">
        <f t="shared" si="53"/>
        <v/>
      </c>
      <c r="W311" s="128" t="str">
        <f t="shared" si="54"/>
        <v/>
      </c>
      <c r="X311" s="101" t="str">
        <f t="shared" si="55"/>
        <v/>
      </c>
      <c r="Y311" s="101" t="str">
        <f t="shared" si="56"/>
        <v/>
      </c>
      <c r="Z311" s="102" t="str">
        <f t="shared" si="57"/>
        <v/>
      </c>
      <c r="AA311" s="103" t="str">
        <f t="shared" si="58"/>
        <v/>
      </c>
      <c r="AB311" s="142" t="str">
        <f>IF(A311&lt;&gt;"", SUMIFS(node!$J$2:$J$500, node!$C$2:$C$500,"="&amp;A311)/P311, "")</f>
        <v/>
      </c>
      <c r="AC311" s="134" t="str">
        <f>IF(A311&lt;&gt;"", SUMIFS(node!$K$2:$K$500, node!$C$2:$C$500,"="&amp;A311)/P311, "")</f>
        <v/>
      </c>
      <c r="AD311" s="135" t="str">
        <f>IF(A311&lt;&gt;"", SUMIFS(node!$L$2:$L$500, node!$C$2:$C$500,"="&amp;A311), "")</f>
        <v/>
      </c>
      <c r="AE311" s="145" t="str">
        <f>IF(A311&lt;&gt;"", SUMIFS(node!$M$2:$M$500, node!$C$2:$C$500,"="&amp;A311), "")</f>
        <v/>
      </c>
    </row>
    <row r="312" spans="1:31" ht="15.75" customHeight="1" x14ac:dyDescent="0.25">
      <c r="A312" s="119" t="str">
        <f>IF(ISNONTEXT(node_raw[[#This Row],[Column2]]), "", node_raw[[#This Row],[Column2]])</f>
        <v/>
      </c>
      <c r="B312" s="116" t="str">
        <f>IF(A312&lt;&gt;"", VLOOKUP(A312, node!$C$2:$D$500, 2, FALSE), "")</f>
        <v/>
      </c>
      <c r="C312" s="117" t="str">
        <f>IF(A312&lt;&gt;"", VLOOKUP(A312, node!$C$2:$E$500, 3, FALSE), "")</f>
        <v/>
      </c>
      <c r="D312" s="118" t="str">
        <f>IF(A312&lt;&gt;"",COUNTIFS(node!$C$2:$C$500,"="&amp;A312, node!$C$2:$C$500,"&lt;&gt;"&amp;""),"")</f>
        <v/>
      </c>
      <c r="E312" s="122" t="str">
        <f>IF(A312&lt;&gt;"",SUMIFS(node!$F$2:$F$500, node!$C$2:$C$500,"="&amp;A312, node!$C$2:$C$500,"&lt;&gt;"&amp;"")/(B312*D312),"")</f>
        <v/>
      </c>
      <c r="F312" s="124" t="str">
        <f>IF(A312&lt;&gt;"",SUMIFS(node!$H$2:$H$500, node!$C$2:$C$500,"="&amp;A312, node!$C$2:$C$500,"&lt;&gt;"&amp;"")/(C312*D312),"")</f>
        <v/>
      </c>
      <c r="G312" s="93" t="str">
        <f>IF(A312&lt;&gt;"",SUMIFS(deployment!$F$4:$F$502, deployment!$D$4:$D$502,"="&amp;A312, deployment!$D$4:$D$502,"&lt;&gt;"&amp;""),"")</f>
        <v/>
      </c>
      <c r="H312" s="94" t="str">
        <f>IF(A312&lt;&gt;"",SUMIFS(deployment!$G$4:$G$502, deployment!$D$4:$D$502,"="&amp;A312, deployment!$D$4:$D$502,"&lt;&gt;"&amp;""),"")</f>
        <v/>
      </c>
      <c r="I312" s="95" t="str">
        <f>IF(A312&lt;&gt;"",SUMIFS(deployment!$H$4:$H$502, deployment!$D$4:$D$502,"="&amp;A312, deployment!$D$4:$D$502,"&lt;&gt;"&amp;""),"")</f>
        <v/>
      </c>
      <c r="J312" s="96" t="str">
        <f>IF(A312&lt;&gt;"",SUMIFS(deployment!$I$4:$I$502, deployment!$D$4:$D$502,"="&amp;A312, deployment!$D$4:$D$502,"&lt;&gt;"&amp;""),"")</f>
        <v/>
      </c>
      <c r="K312" s="112" t="str">
        <f>IF(A312&lt;&gt;"",SUMIFS(deployment!$J$4:$J$502, deployment!$D$4:$D$502,"="&amp;A312, deployment!$D$4:$D$502,"&lt;&gt;"&amp;""),"")</f>
        <v/>
      </c>
      <c r="L312" s="112" t="str">
        <f>IF(A312&lt;&gt;"",SUMIFS(deployment!$K$4:$K$502, deployment!$D$4:$D$502,"="&amp;A312, deployment!$D$4:$D$502,"&lt;&gt;"&amp;""),"")</f>
        <v/>
      </c>
      <c r="M312" s="97" t="str">
        <f>IF(A312&lt;&gt;"",SUMIFS(deployment!$L$4:$L$502, deployment!$D$4:$D$502,"="&amp;A312, deployment!$D$4:$D$502,"&lt;&gt;"&amp;""),"")</f>
        <v/>
      </c>
      <c r="N312" s="97" t="str">
        <f>IF(A312&lt;&gt;"",SUMIFS(deployment!$M$4:$M$502, deployment!$D$4:$D$502,"="&amp;A312, deployment!$D$4:$D$502,"&lt;&gt;"&amp;""),"")</f>
        <v/>
      </c>
      <c r="O312" s="127" t="str">
        <f t="shared" si="59"/>
        <v/>
      </c>
      <c r="P312" s="104"/>
      <c r="Q312" s="99" t="str">
        <f t="shared" si="48"/>
        <v/>
      </c>
      <c r="R312" s="100" t="str">
        <f t="shared" si="49"/>
        <v/>
      </c>
      <c r="S312" s="100" t="str">
        <f t="shared" si="50"/>
        <v/>
      </c>
      <c r="T312" s="101" t="str">
        <f t="shared" si="51"/>
        <v/>
      </c>
      <c r="U312" s="101" t="str">
        <f t="shared" si="52"/>
        <v/>
      </c>
      <c r="V312" s="128" t="str">
        <f t="shared" si="53"/>
        <v/>
      </c>
      <c r="W312" s="128" t="str">
        <f t="shared" si="54"/>
        <v/>
      </c>
      <c r="X312" s="101" t="str">
        <f t="shared" si="55"/>
        <v/>
      </c>
      <c r="Y312" s="101" t="str">
        <f t="shared" si="56"/>
        <v/>
      </c>
      <c r="Z312" s="102" t="str">
        <f t="shared" si="57"/>
        <v/>
      </c>
      <c r="AA312" s="103" t="str">
        <f t="shared" si="58"/>
        <v/>
      </c>
      <c r="AB312" s="142" t="str">
        <f>IF(A312&lt;&gt;"", SUMIFS(node!$J$2:$J$500, node!$C$2:$C$500,"="&amp;A312)/P312, "")</f>
        <v/>
      </c>
      <c r="AC312" s="134" t="str">
        <f>IF(A312&lt;&gt;"", SUMIFS(node!$K$2:$K$500, node!$C$2:$C$500,"="&amp;A312)/P312, "")</f>
        <v/>
      </c>
      <c r="AD312" s="135" t="str">
        <f>IF(A312&lt;&gt;"", SUMIFS(node!$L$2:$L$500, node!$C$2:$C$500,"="&amp;A312), "")</f>
        <v/>
      </c>
      <c r="AE312" s="145" t="str">
        <f>IF(A312&lt;&gt;"", SUMIFS(node!$M$2:$M$500, node!$C$2:$C$500,"="&amp;A312), "")</f>
        <v/>
      </c>
    </row>
    <row r="313" spans="1:31" ht="15.75" customHeight="1" x14ac:dyDescent="0.25">
      <c r="A313" s="119" t="str">
        <f>IF(ISNONTEXT(node_raw[[#This Row],[Column2]]), "", node_raw[[#This Row],[Column2]])</f>
        <v/>
      </c>
      <c r="B313" s="116" t="str">
        <f>IF(A313&lt;&gt;"", VLOOKUP(A313, node!$C$2:$D$500, 2, FALSE), "")</f>
        <v/>
      </c>
      <c r="C313" s="117" t="str">
        <f>IF(A313&lt;&gt;"", VLOOKUP(A313, node!$C$2:$E$500, 3, FALSE), "")</f>
        <v/>
      </c>
      <c r="D313" s="118" t="str">
        <f>IF(A313&lt;&gt;"",COUNTIFS(node!$C$2:$C$500,"="&amp;A313, node!$C$2:$C$500,"&lt;&gt;"&amp;""),"")</f>
        <v/>
      </c>
      <c r="E313" s="122" t="str">
        <f>IF(A313&lt;&gt;"",SUMIFS(node!$F$2:$F$500, node!$C$2:$C$500,"="&amp;A313, node!$C$2:$C$500,"&lt;&gt;"&amp;"")/(B313*D313),"")</f>
        <v/>
      </c>
      <c r="F313" s="124" t="str">
        <f>IF(A313&lt;&gt;"",SUMIFS(node!$H$2:$H$500, node!$C$2:$C$500,"="&amp;A313, node!$C$2:$C$500,"&lt;&gt;"&amp;"")/(C313*D313),"")</f>
        <v/>
      </c>
      <c r="G313" s="93" t="str">
        <f>IF(A313&lt;&gt;"",SUMIFS(deployment!$F$4:$F$502, deployment!$D$4:$D$502,"="&amp;A313, deployment!$D$4:$D$502,"&lt;&gt;"&amp;""),"")</f>
        <v/>
      </c>
      <c r="H313" s="94" t="str">
        <f>IF(A313&lt;&gt;"",SUMIFS(deployment!$G$4:$G$502, deployment!$D$4:$D$502,"="&amp;A313, deployment!$D$4:$D$502,"&lt;&gt;"&amp;""),"")</f>
        <v/>
      </c>
      <c r="I313" s="95" t="str">
        <f>IF(A313&lt;&gt;"",SUMIFS(deployment!$H$4:$H$502, deployment!$D$4:$D$502,"="&amp;A313, deployment!$D$4:$D$502,"&lt;&gt;"&amp;""),"")</f>
        <v/>
      </c>
      <c r="J313" s="96" t="str">
        <f>IF(A313&lt;&gt;"",SUMIFS(deployment!$I$4:$I$502, deployment!$D$4:$D$502,"="&amp;A313, deployment!$D$4:$D$502,"&lt;&gt;"&amp;""),"")</f>
        <v/>
      </c>
      <c r="K313" s="112" t="str">
        <f>IF(A313&lt;&gt;"",SUMIFS(deployment!$J$4:$J$502, deployment!$D$4:$D$502,"="&amp;A313, deployment!$D$4:$D$502,"&lt;&gt;"&amp;""),"")</f>
        <v/>
      </c>
      <c r="L313" s="112" t="str">
        <f>IF(A313&lt;&gt;"",SUMIFS(deployment!$K$4:$K$502, deployment!$D$4:$D$502,"="&amp;A313, deployment!$D$4:$D$502,"&lt;&gt;"&amp;""),"")</f>
        <v/>
      </c>
      <c r="M313" s="97" t="str">
        <f>IF(A313&lt;&gt;"",SUMIFS(deployment!$L$4:$L$502, deployment!$D$4:$D$502,"="&amp;A313, deployment!$D$4:$D$502,"&lt;&gt;"&amp;""),"")</f>
        <v/>
      </c>
      <c r="N313" s="97" t="str">
        <f>IF(A313&lt;&gt;"",SUMIFS(deployment!$M$4:$M$502, deployment!$D$4:$D$502,"="&amp;A313, deployment!$D$4:$D$502,"&lt;&gt;"&amp;""),"")</f>
        <v/>
      </c>
      <c r="O313" s="127" t="str">
        <f t="shared" si="59"/>
        <v/>
      </c>
      <c r="P313" s="104"/>
      <c r="Q313" s="99" t="str">
        <f t="shared" si="48"/>
        <v/>
      </c>
      <c r="R313" s="100" t="str">
        <f t="shared" si="49"/>
        <v/>
      </c>
      <c r="S313" s="100" t="str">
        <f t="shared" si="50"/>
        <v/>
      </c>
      <c r="T313" s="101" t="str">
        <f t="shared" si="51"/>
        <v/>
      </c>
      <c r="U313" s="101" t="str">
        <f t="shared" si="52"/>
        <v/>
      </c>
      <c r="V313" s="128" t="str">
        <f t="shared" si="53"/>
        <v/>
      </c>
      <c r="W313" s="128" t="str">
        <f t="shared" si="54"/>
        <v/>
      </c>
      <c r="X313" s="101" t="str">
        <f t="shared" si="55"/>
        <v/>
      </c>
      <c r="Y313" s="101" t="str">
        <f t="shared" si="56"/>
        <v/>
      </c>
      <c r="Z313" s="102" t="str">
        <f t="shared" si="57"/>
        <v/>
      </c>
      <c r="AA313" s="103" t="str">
        <f t="shared" si="58"/>
        <v/>
      </c>
      <c r="AB313" s="142" t="str">
        <f>IF(A313&lt;&gt;"", SUMIFS(node!$J$2:$J$500, node!$C$2:$C$500,"="&amp;A313)/P313, "")</f>
        <v/>
      </c>
      <c r="AC313" s="134" t="str">
        <f>IF(A313&lt;&gt;"", SUMIFS(node!$K$2:$K$500, node!$C$2:$C$500,"="&amp;A313)/P313, "")</f>
        <v/>
      </c>
      <c r="AD313" s="135" t="str">
        <f>IF(A313&lt;&gt;"", SUMIFS(node!$L$2:$L$500, node!$C$2:$C$500,"="&amp;A313), "")</f>
        <v/>
      </c>
      <c r="AE313" s="145" t="str">
        <f>IF(A313&lt;&gt;"", SUMIFS(node!$M$2:$M$500, node!$C$2:$C$500,"="&amp;A313), "")</f>
        <v/>
      </c>
    </row>
    <row r="314" spans="1:31" ht="15.75" customHeight="1" x14ac:dyDescent="0.25">
      <c r="A314" s="119" t="str">
        <f>IF(ISNONTEXT(node_raw[[#This Row],[Column2]]), "", node_raw[[#This Row],[Column2]])</f>
        <v/>
      </c>
      <c r="B314" s="116" t="str">
        <f>IF(A314&lt;&gt;"", VLOOKUP(A314, node!$C$2:$D$500, 2, FALSE), "")</f>
        <v/>
      </c>
      <c r="C314" s="117" t="str">
        <f>IF(A314&lt;&gt;"", VLOOKUP(A314, node!$C$2:$E$500, 3, FALSE), "")</f>
        <v/>
      </c>
      <c r="D314" s="118" t="str">
        <f>IF(A314&lt;&gt;"",COUNTIFS(node!$C$2:$C$500,"="&amp;A314, node!$C$2:$C$500,"&lt;&gt;"&amp;""),"")</f>
        <v/>
      </c>
      <c r="E314" s="122" t="str">
        <f>IF(A314&lt;&gt;"",SUMIFS(node!$F$2:$F$500, node!$C$2:$C$500,"="&amp;A314, node!$C$2:$C$500,"&lt;&gt;"&amp;"")/(B314*D314),"")</f>
        <v/>
      </c>
      <c r="F314" s="124" t="str">
        <f>IF(A314&lt;&gt;"",SUMIFS(node!$H$2:$H$500, node!$C$2:$C$500,"="&amp;A314, node!$C$2:$C$500,"&lt;&gt;"&amp;"")/(C314*D314),"")</f>
        <v/>
      </c>
      <c r="G314" s="93" t="str">
        <f>IF(A314&lt;&gt;"",SUMIFS(deployment!$F$4:$F$502, deployment!$D$4:$D$502,"="&amp;A314, deployment!$D$4:$D$502,"&lt;&gt;"&amp;""),"")</f>
        <v/>
      </c>
      <c r="H314" s="94" t="str">
        <f>IF(A314&lt;&gt;"",SUMIFS(deployment!$G$4:$G$502, deployment!$D$4:$D$502,"="&amp;A314, deployment!$D$4:$D$502,"&lt;&gt;"&amp;""),"")</f>
        <v/>
      </c>
      <c r="I314" s="95" t="str">
        <f>IF(A314&lt;&gt;"",SUMIFS(deployment!$H$4:$H$502, deployment!$D$4:$D$502,"="&amp;A314, deployment!$D$4:$D$502,"&lt;&gt;"&amp;""),"")</f>
        <v/>
      </c>
      <c r="J314" s="96" t="str">
        <f>IF(A314&lt;&gt;"",SUMIFS(deployment!$I$4:$I$502, deployment!$D$4:$D$502,"="&amp;A314, deployment!$D$4:$D$502,"&lt;&gt;"&amp;""),"")</f>
        <v/>
      </c>
      <c r="K314" s="112" t="str">
        <f>IF(A314&lt;&gt;"",SUMIFS(deployment!$J$4:$J$502, deployment!$D$4:$D$502,"="&amp;A314, deployment!$D$4:$D$502,"&lt;&gt;"&amp;""),"")</f>
        <v/>
      </c>
      <c r="L314" s="112" t="str">
        <f>IF(A314&lt;&gt;"",SUMIFS(deployment!$K$4:$K$502, deployment!$D$4:$D$502,"="&amp;A314, deployment!$D$4:$D$502,"&lt;&gt;"&amp;""),"")</f>
        <v/>
      </c>
      <c r="M314" s="97" t="str">
        <f>IF(A314&lt;&gt;"",SUMIFS(deployment!$L$4:$L$502, deployment!$D$4:$D$502,"="&amp;A314, deployment!$D$4:$D$502,"&lt;&gt;"&amp;""),"")</f>
        <v/>
      </c>
      <c r="N314" s="97" t="str">
        <f>IF(A314&lt;&gt;"",SUMIFS(deployment!$M$4:$M$502, deployment!$D$4:$D$502,"="&amp;A314, deployment!$D$4:$D$502,"&lt;&gt;"&amp;""),"")</f>
        <v/>
      </c>
      <c r="O314" s="127" t="str">
        <f t="shared" si="59"/>
        <v/>
      </c>
      <c r="P314" s="104"/>
      <c r="Q314" s="99" t="str">
        <f t="shared" si="48"/>
        <v/>
      </c>
      <c r="R314" s="100" t="str">
        <f t="shared" si="49"/>
        <v/>
      </c>
      <c r="S314" s="100" t="str">
        <f t="shared" si="50"/>
        <v/>
      </c>
      <c r="T314" s="101" t="str">
        <f t="shared" si="51"/>
        <v/>
      </c>
      <c r="U314" s="101" t="str">
        <f t="shared" si="52"/>
        <v/>
      </c>
      <c r="V314" s="128" t="str">
        <f t="shared" si="53"/>
        <v/>
      </c>
      <c r="W314" s="128" t="str">
        <f t="shared" si="54"/>
        <v/>
      </c>
      <c r="X314" s="101" t="str">
        <f t="shared" si="55"/>
        <v/>
      </c>
      <c r="Y314" s="101" t="str">
        <f t="shared" si="56"/>
        <v/>
      </c>
      <c r="Z314" s="102" t="str">
        <f t="shared" si="57"/>
        <v/>
      </c>
      <c r="AA314" s="103" t="str">
        <f t="shared" si="58"/>
        <v/>
      </c>
      <c r="AB314" s="142" t="str">
        <f>IF(A314&lt;&gt;"", SUMIFS(node!$J$2:$J$500, node!$C$2:$C$500,"="&amp;A314)/P314, "")</f>
        <v/>
      </c>
      <c r="AC314" s="134" t="str">
        <f>IF(A314&lt;&gt;"", SUMIFS(node!$K$2:$K$500, node!$C$2:$C$500,"="&amp;A314)/P314, "")</f>
        <v/>
      </c>
      <c r="AD314" s="135" t="str">
        <f>IF(A314&lt;&gt;"", SUMIFS(node!$L$2:$L$500, node!$C$2:$C$500,"="&amp;A314), "")</f>
        <v/>
      </c>
      <c r="AE314" s="145" t="str">
        <f>IF(A314&lt;&gt;"", SUMIFS(node!$M$2:$M$500, node!$C$2:$C$500,"="&amp;A314), "")</f>
        <v/>
      </c>
    </row>
    <row r="315" spans="1:31" ht="15.75" customHeight="1" x14ac:dyDescent="0.25">
      <c r="A315" s="119" t="str">
        <f>IF(ISNONTEXT(node_raw[[#This Row],[Column2]]), "", node_raw[[#This Row],[Column2]])</f>
        <v/>
      </c>
      <c r="B315" s="116" t="str">
        <f>IF(A315&lt;&gt;"", VLOOKUP(A315, node!$C$2:$D$500, 2, FALSE), "")</f>
        <v/>
      </c>
      <c r="C315" s="117" t="str">
        <f>IF(A315&lt;&gt;"", VLOOKUP(A315, node!$C$2:$E$500, 3, FALSE), "")</f>
        <v/>
      </c>
      <c r="D315" s="118" t="str">
        <f>IF(A315&lt;&gt;"",COUNTIFS(node!$C$2:$C$500,"="&amp;A315, node!$C$2:$C$500,"&lt;&gt;"&amp;""),"")</f>
        <v/>
      </c>
      <c r="E315" s="122" t="str">
        <f>IF(A315&lt;&gt;"",SUMIFS(node!$F$2:$F$500, node!$C$2:$C$500,"="&amp;A315, node!$C$2:$C$500,"&lt;&gt;"&amp;"")/(B315*D315),"")</f>
        <v/>
      </c>
      <c r="F315" s="124" t="str">
        <f>IF(A315&lt;&gt;"",SUMIFS(node!$H$2:$H$500, node!$C$2:$C$500,"="&amp;A315, node!$C$2:$C$500,"&lt;&gt;"&amp;"")/(C315*D315),"")</f>
        <v/>
      </c>
      <c r="G315" s="93" t="str">
        <f>IF(A315&lt;&gt;"",SUMIFS(deployment!$F$4:$F$502, deployment!$D$4:$D$502,"="&amp;A315, deployment!$D$4:$D$502,"&lt;&gt;"&amp;""),"")</f>
        <v/>
      </c>
      <c r="H315" s="94" t="str">
        <f>IF(A315&lt;&gt;"",SUMIFS(deployment!$G$4:$G$502, deployment!$D$4:$D$502,"="&amp;A315, deployment!$D$4:$D$502,"&lt;&gt;"&amp;""),"")</f>
        <v/>
      </c>
      <c r="I315" s="95" t="str">
        <f>IF(A315&lt;&gt;"",SUMIFS(deployment!$H$4:$H$502, deployment!$D$4:$D$502,"="&amp;A315, deployment!$D$4:$D$502,"&lt;&gt;"&amp;""),"")</f>
        <v/>
      </c>
      <c r="J315" s="96" t="str">
        <f>IF(A315&lt;&gt;"",SUMIFS(deployment!$I$4:$I$502, deployment!$D$4:$D$502,"="&amp;A315, deployment!$D$4:$D$502,"&lt;&gt;"&amp;""),"")</f>
        <v/>
      </c>
      <c r="K315" s="112" t="str">
        <f>IF(A315&lt;&gt;"",SUMIFS(deployment!$J$4:$J$502, deployment!$D$4:$D$502,"="&amp;A315, deployment!$D$4:$D$502,"&lt;&gt;"&amp;""),"")</f>
        <v/>
      </c>
      <c r="L315" s="112" t="str">
        <f>IF(A315&lt;&gt;"",SUMIFS(deployment!$K$4:$K$502, deployment!$D$4:$D$502,"="&amp;A315, deployment!$D$4:$D$502,"&lt;&gt;"&amp;""),"")</f>
        <v/>
      </c>
      <c r="M315" s="97" t="str">
        <f>IF(A315&lt;&gt;"",SUMIFS(deployment!$L$4:$L$502, deployment!$D$4:$D$502,"="&amp;A315, deployment!$D$4:$D$502,"&lt;&gt;"&amp;""),"")</f>
        <v/>
      </c>
      <c r="N315" s="97" t="str">
        <f>IF(A315&lt;&gt;"",SUMIFS(deployment!$M$4:$M$502, deployment!$D$4:$D$502,"="&amp;A315, deployment!$D$4:$D$502,"&lt;&gt;"&amp;""),"")</f>
        <v/>
      </c>
      <c r="O315" s="127" t="str">
        <f t="shared" si="59"/>
        <v/>
      </c>
      <c r="P315" s="104"/>
      <c r="Q315" s="99" t="str">
        <f t="shared" si="48"/>
        <v/>
      </c>
      <c r="R315" s="100" t="str">
        <f t="shared" si="49"/>
        <v/>
      </c>
      <c r="S315" s="100" t="str">
        <f t="shared" si="50"/>
        <v/>
      </c>
      <c r="T315" s="101" t="str">
        <f t="shared" si="51"/>
        <v/>
      </c>
      <c r="U315" s="101" t="str">
        <f t="shared" si="52"/>
        <v/>
      </c>
      <c r="V315" s="128" t="str">
        <f t="shared" si="53"/>
        <v/>
      </c>
      <c r="W315" s="128" t="str">
        <f t="shared" si="54"/>
        <v/>
      </c>
      <c r="X315" s="101" t="str">
        <f t="shared" si="55"/>
        <v/>
      </c>
      <c r="Y315" s="101" t="str">
        <f t="shared" si="56"/>
        <v/>
      </c>
      <c r="Z315" s="102" t="str">
        <f t="shared" si="57"/>
        <v/>
      </c>
      <c r="AA315" s="103" t="str">
        <f t="shared" si="58"/>
        <v/>
      </c>
      <c r="AB315" s="142" t="str">
        <f>IF(A315&lt;&gt;"", SUMIFS(node!$J$2:$J$500, node!$C$2:$C$500,"="&amp;A315)/P315, "")</f>
        <v/>
      </c>
      <c r="AC315" s="134" t="str">
        <f>IF(A315&lt;&gt;"", SUMIFS(node!$K$2:$K$500, node!$C$2:$C$500,"="&amp;A315)/P315, "")</f>
        <v/>
      </c>
      <c r="AD315" s="135" t="str">
        <f>IF(A315&lt;&gt;"", SUMIFS(node!$L$2:$L$500, node!$C$2:$C$500,"="&amp;A315), "")</f>
        <v/>
      </c>
      <c r="AE315" s="145" t="str">
        <f>IF(A315&lt;&gt;"", SUMIFS(node!$M$2:$M$500, node!$C$2:$C$500,"="&amp;A315), "")</f>
        <v/>
      </c>
    </row>
    <row r="316" spans="1:31" ht="15.75" customHeight="1" x14ac:dyDescent="0.25">
      <c r="A316" s="119" t="str">
        <f>IF(ISNONTEXT(node_raw[[#This Row],[Column2]]), "", node_raw[[#This Row],[Column2]])</f>
        <v/>
      </c>
      <c r="B316" s="116" t="str">
        <f>IF(A316&lt;&gt;"", VLOOKUP(A316, node!$C$2:$D$500, 2, FALSE), "")</f>
        <v/>
      </c>
      <c r="C316" s="117" t="str">
        <f>IF(A316&lt;&gt;"", VLOOKUP(A316, node!$C$2:$E$500, 3, FALSE), "")</f>
        <v/>
      </c>
      <c r="D316" s="118" t="str">
        <f>IF(A316&lt;&gt;"",COUNTIFS(node!$C$2:$C$500,"="&amp;A316, node!$C$2:$C$500,"&lt;&gt;"&amp;""),"")</f>
        <v/>
      </c>
      <c r="E316" s="122" t="str">
        <f>IF(A316&lt;&gt;"",SUMIFS(node!$F$2:$F$500, node!$C$2:$C$500,"="&amp;A316, node!$C$2:$C$500,"&lt;&gt;"&amp;"")/(B316*D316),"")</f>
        <v/>
      </c>
      <c r="F316" s="124" t="str">
        <f>IF(A316&lt;&gt;"",SUMIFS(node!$H$2:$H$500, node!$C$2:$C$500,"="&amp;A316, node!$C$2:$C$500,"&lt;&gt;"&amp;"")/(C316*D316),"")</f>
        <v/>
      </c>
      <c r="G316" s="93" t="str">
        <f>IF(A316&lt;&gt;"",SUMIFS(deployment!$F$4:$F$502, deployment!$D$4:$D$502,"="&amp;A316, deployment!$D$4:$D$502,"&lt;&gt;"&amp;""),"")</f>
        <v/>
      </c>
      <c r="H316" s="94" t="str">
        <f>IF(A316&lt;&gt;"",SUMIFS(deployment!$G$4:$G$502, deployment!$D$4:$D$502,"="&amp;A316, deployment!$D$4:$D$502,"&lt;&gt;"&amp;""),"")</f>
        <v/>
      </c>
      <c r="I316" s="95" t="str">
        <f>IF(A316&lt;&gt;"",SUMIFS(deployment!$H$4:$H$502, deployment!$D$4:$D$502,"="&amp;A316, deployment!$D$4:$D$502,"&lt;&gt;"&amp;""),"")</f>
        <v/>
      </c>
      <c r="J316" s="96" t="str">
        <f>IF(A316&lt;&gt;"",SUMIFS(deployment!$I$4:$I$502, deployment!$D$4:$D$502,"="&amp;A316, deployment!$D$4:$D$502,"&lt;&gt;"&amp;""),"")</f>
        <v/>
      </c>
      <c r="K316" s="112" t="str">
        <f>IF(A316&lt;&gt;"",SUMIFS(deployment!$J$4:$J$502, deployment!$D$4:$D$502,"="&amp;A316, deployment!$D$4:$D$502,"&lt;&gt;"&amp;""),"")</f>
        <v/>
      </c>
      <c r="L316" s="112" t="str">
        <f>IF(A316&lt;&gt;"",SUMIFS(deployment!$K$4:$K$502, deployment!$D$4:$D$502,"="&amp;A316, deployment!$D$4:$D$502,"&lt;&gt;"&amp;""),"")</f>
        <v/>
      </c>
      <c r="M316" s="97" t="str">
        <f>IF(A316&lt;&gt;"",SUMIFS(deployment!$L$4:$L$502, deployment!$D$4:$D$502,"="&amp;A316, deployment!$D$4:$D$502,"&lt;&gt;"&amp;""),"")</f>
        <v/>
      </c>
      <c r="N316" s="97" t="str">
        <f>IF(A316&lt;&gt;"",SUMIFS(deployment!$M$4:$M$502, deployment!$D$4:$D$502,"="&amp;A316, deployment!$D$4:$D$502,"&lt;&gt;"&amp;""),"")</f>
        <v/>
      </c>
      <c r="O316" s="127" t="str">
        <f t="shared" si="59"/>
        <v/>
      </c>
      <c r="P316" s="104"/>
      <c r="Q316" s="99" t="str">
        <f t="shared" si="48"/>
        <v/>
      </c>
      <c r="R316" s="100" t="str">
        <f t="shared" si="49"/>
        <v/>
      </c>
      <c r="S316" s="100" t="str">
        <f t="shared" si="50"/>
        <v/>
      </c>
      <c r="T316" s="101" t="str">
        <f t="shared" si="51"/>
        <v/>
      </c>
      <c r="U316" s="101" t="str">
        <f t="shared" si="52"/>
        <v/>
      </c>
      <c r="V316" s="128" t="str">
        <f t="shared" si="53"/>
        <v/>
      </c>
      <c r="W316" s="128" t="str">
        <f t="shared" si="54"/>
        <v/>
      </c>
      <c r="X316" s="101" t="str">
        <f t="shared" si="55"/>
        <v/>
      </c>
      <c r="Y316" s="101" t="str">
        <f t="shared" si="56"/>
        <v/>
      </c>
      <c r="Z316" s="102" t="str">
        <f t="shared" si="57"/>
        <v/>
      </c>
      <c r="AA316" s="103" t="str">
        <f t="shared" si="58"/>
        <v/>
      </c>
      <c r="AB316" s="142" t="str">
        <f>IF(A316&lt;&gt;"", SUMIFS(node!$J$2:$J$500, node!$C$2:$C$500,"="&amp;A316)/P316, "")</f>
        <v/>
      </c>
      <c r="AC316" s="134" t="str">
        <f>IF(A316&lt;&gt;"", SUMIFS(node!$K$2:$K$500, node!$C$2:$C$500,"="&amp;A316)/P316, "")</f>
        <v/>
      </c>
      <c r="AD316" s="135" t="str">
        <f>IF(A316&lt;&gt;"", SUMIFS(node!$L$2:$L$500, node!$C$2:$C$500,"="&amp;A316), "")</f>
        <v/>
      </c>
      <c r="AE316" s="145" t="str">
        <f>IF(A316&lt;&gt;"", SUMIFS(node!$M$2:$M$500, node!$C$2:$C$500,"="&amp;A316), "")</f>
        <v/>
      </c>
    </row>
    <row r="317" spans="1:31" ht="15.75" customHeight="1" x14ac:dyDescent="0.25">
      <c r="A317" s="119" t="str">
        <f>IF(ISNONTEXT(node_raw[[#This Row],[Column2]]), "", node_raw[[#This Row],[Column2]])</f>
        <v/>
      </c>
      <c r="B317" s="116" t="str">
        <f>IF(A317&lt;&gt;"", VLOOKUP(A317, node!$C$2:$D$500, 2, FALSE), "")</f>
        <v/>
      </c>
      <c r="C317" s="117" t="str">
        <f>IF(A317&lt;&gt;"", VLOOKUP(A317, node!$C$2:$E$500, 3, FALSE), "")</f>
        <v/>
      </c>
      <c r="D317" s="118" t="str">
        <f>IF(A317&lt;&gt;"",COUNTIFS(node!$C$2:$C$500,"="&amp;A317, node!$C$2:$C$500,"&lt;&gt;"&amp;""),"")</f>
        <v/>
      </c>
      <c r="E317" s="122" t="str">
        <f>IF(A317&lt;&gt;"",SUMIFS(node!$F$2:$F$500, node!$C$2:$C$500,"="&amp;A317, node!$C$2:$C$500,"&lt;&gt;"&amp;"")/(B317*D317),"")</f>
        <v/>
      </c>
      <c r="F317" s="124" t="str">
        <f>IF(A317&lt;&gt;"",SUMIFS(node!$H$2:$H$500, node!$C$2:$C$500,"="&amp;A317, node!$C$2:$C$500,"&lt;&gt;"&amp;"")/(C317*D317),"")</f>
        <v/>
      </c>
      <c r="G317" s="93" t="str">
        <f>IF(A317&lt;&gt;"",SUMIFS(deployment!$F$4:$F$502, deployment!$D$4:$D$502,"="&amp;A317, deployment!$D$4:$D$502,"&lt;&gt;"&amp;""),"")</f>
        <v/>
      </c>
      <c r="H317" s="94" t="str">
        <f>IF(A317&lt;&gt;"",SUMIFS(deployment!$G$4:$G$502, deployment!$D$4:$D$502,"="&amp;A317, deployment!$D$4:$D$502,"&lt;&gt;"&amp;""),"")</f>
        <v/>
      </c>
      <c r="I317" s="95" t="str">
        <f>IF(A317&lt;&gt;"",SUMIFS(deployment!$H$4:$H$502, deployment!$D$4:$D$502,"="&amp;A317, deployment!$D$4:$D$502,"&lt;&gt;"&amp;""),"")</f>
        <v/>
      </c>
      <c r="J317" s="96" t="str">
        <f>IF(A317&lt;&gt;"",SUMIFS(deployment!$I$4:$I$502, deployment!$D$4:$D$502,"="&amp;A317, deployment!$D$4:$D$502,"&lt;&gt;"&amp;""),"")</f>
        <v/>
      </c>
      <c r="K317" s="112" t="str">
        <f>IF(A317&lt;&gt;"",SUMIFS(deployment!$J$4:$J$502, deployment!$D$4:$D$502,"="&amp;A317, deployment!$D$4:$D$502,"&lt;&gt;"&amp;""),"")</f>
        <v/>
      </c>
      <c r="L317" s="112" t="str">
        <f>IF(A317&lt;&gt;"",SUMIFS(deployment!$K$4:$K$502, deployment!$D$4:$D$502,"="&amp;A317, deployment!$D$4:$D$502,"&lt;&gt;"&amp;""),"")</f>
        <v/>
      </c>
      <c r="M317" s="97" t="str">
        <f>IF(A317&lt;&gt;"",SUMIFS(deployment!$L$4:$L$502, deployment!$D$4:$D$502,"="&amp;A317, deployment!$D$4:$D$502,"&lt;&gt;"&amp;""),"")</f>
        <v/>
      </c>
      <c r="N317" s="97" t="str">
        <f>IF(A317&lt;&gt;"",SUMIFS(deployment!$M$4:$M$502, deployment!$D$4:$D$502,"="&amp;A317, deployment!$D$4:$D$502,"&lt;&gt;"&amp;""),"")</f>
        <v/>
      </c>
      <c r="O317" s="127" t="str">
        <f t="shared" si="59"/>
        <v/>
      </c>
      <c r="P317" s="104"/>
      <c r="Q317" s="99" t="str">
        <f t="shared" si="48"/>
        <v/>
      </c>
      <c r="R317" s="100" t="str">
        <f t="shared" si="49"/>
        <v/>
      </c>
      <c r="S317" s="100" t="str">
        <f t="shared" si="50"/>
        <v/>
      </c>
      <c r="T317" s="101" t="str">
        <f t="shared" si="51"/>
        <v/>
      </c>
      <c r="U317" s="101" t="str">
        <f t="shared" si="52"/>
        <v/>
      </c>
      <c r="V317" s="128" t="str">
        <f t="shared" si="53"/>
        <v/>
      </c>
      <c r="W317" s="128" t="str">
        <f t="shared" si="54"/>
        <v/>
      </c>
      <c r="X317" s="101" t="str">
        <f t="shared" si="55"/>
        <v/>
      </c>
      <c r="Y317" s="101" t="str">
        <f t="shared" si="56"/>
        <v/>
      </c>
      <c r="Z317" s="102" t="str">
        <f t="shared" si="57"/>
        <v/>
      </c>
      <c r="AA317" s="103" t="str">
        <f t="shared" si="58"/>
        <v/>
      </c>
      <c r="AB317" s="142" t="str">
        <f>IF(A317&lt;&gt;"", SUMIFS(node!$J$2:$J$500, node!$C$2:$C$500,"="&amp;A317)/P317, "")</f>
        <v/>
      </c>
      <c r="AC317" s="134" t="str">
        <f>IF(A317&lt;&gt;"", SUMIFS(node!$K$2:$K$500, node!$C$2:$C$500,"="&amp;A317)/P317, "")</f>
        <v/>
      </c>
      <c r="AD317" s="135" t="str">
        <f>IF(A317&lt;&gt;"", SUMIFS(node!$L$2:$L$500, node!$C$2:$C$500,"="&amp;A317), "")</f>
        <v/>
      </c>
      <c r="AE317" s="145" t="str">
        <f>IF(A317&lt;&gt;"", SUMIFS(node!$M$2:$M$500, node!$C$2:$C$500,"="&amp;A317), "")</f>
        <v/>
      </c>
    </row>
    <row r="318" spans="1:31" ht="15.75" customHeight="1" x14ac:dyDescent="0.25">
      <c r="A318" s="119" t="str">
        <f>IF(ISNONTEXT(node_raw[[#This Row],[Column2]]), "", node_raw[[#This Row],[Column2]])</f>
        <v/>
      </c>
      <c r="B318" s="116" t="str">
        <f>IF(A318&lt;&gt;"", VLOOKUP(A318, node!$C$2:$D$500, 2, FALSE), "")</f>
        <v/>
      </c>
      <c r="C318" s="117" t="str">
        <f>IF(A318&lt;&gt;"", VLOOKUP(A318, node!$C$2:$E$500, 3, FALSE), "")</f>
        <v/>
      </c>
      <c r="D318" s="118" t="str">
        <f>IF(A318&lt;&gt;"",COUNTIFS(node!$C$2:$C$500,"="&amp;A318, node!$C$2:$C$500,"&lt;&gt;"&amp;""),"")</f>
        <v/>
      </c>
      <c r="E318" s="122" t="str">
        <f>IF(A318&lt;&gt;"",SUMIFS(node!$F$2:$F$500, node!$C$2:$C$500,"="&amp;A318, node!$C$2:$C$500,"&lt;&gt;"&amp;"")/(B318*D318),"")</f>
        <v/>
      </c>
      <c r="F318" s="124" t="str">
        <f>IF(A318&lt;&gt;"",SUMIFS(node!$H$2:$H$500, node!$C$2:$C$500,"="&amp;A318, node!$C$2:$C$500,"&lt;&gt;"&amp;"")/(C318*D318),"")</f>
        <v/>
      </c>
      <c r="G318" s="93" t="str">
        <f>IF(A318&lt;&gt;"",SUMIFS(deployment!$F$4:$F$502, deployment!$D$4:$D$502,"="&amp;A318, deployment!$D$4:$D$502,"&lt;&gt;"&amp;""),"")</f>
        <v/>
      </c>
      <c r="H318" s="94" t="str">
        <f>IF(A318&lt;&gt;"",SUMIFS(deployment!$G$4:$G$502, deployment!$D$4:$D$502,"="&amp;A318, deployment!$D$4:$D$502,"&lt;&gt;"&amp;""),"")</f>
        <v/>
      </c>
      <c r="I318" s="95" t="str">
        <f>IF(A318&lt;&gt;"",SUMIFS(deployment!$H$4:$H$502, deployment!$D$4:$D$502,"="&amp;A318, deployment!$D$4:$D$502,"&lt;&gt;"&amp;""),"")</f>
        <v/>
      </c>
      <c r="J318" s="96" t="str">
        <f>IF(A318&lt;&gt;"",SUMIFS(deployment!$I$4:$I$502, deployment!$D$4:$D$502,"="&amp;A318, deployment!$D$4:$D$502,"&lt;&gt;"&amp;""),"")</f>
        <v/>
      </c>
      <c r="K318" s="112" t="str">
        <f>IF(A318&lt;&gt;"",SUMIFS(deployment!$J$4:$J$502, deployment!$D$4:$D$502,"="&amp;A318, deployment!$D$4:$D$502,"&lt;&gt;"&amp;""),"")</f>
        <v/>
      </c>
      <c r="L318" s="112" t="str">
        <f>IF(A318&lt;&gt;"",SUMIFS(deployment!$K$4:$K$502, deployment!$D$4:$D$502,"="&amp;A318, deployment!$D$4:$D$502,"&lt;&gt;"&amp;""),"")</f>
        <v/>
      </c>
      <c r="M318" s="97" t="str">
        <f>IF(A318&lt;&gt;"",SUMIFS(deployment!$L$4:$L$502, deployment!$D$4:$D$502,"="&amp;A318, deployment!$D$4:$D$502,"&lt;&gt;"&amp;""),"")</f>
        <v/>
      </c>
      <c r="N318" s="97" t="str">
        <f>IF(A318&lt;&gt;"",SUMIFS(deployment!$M$4:$M$502, deployment!$D$4:$D$502,"="&amp;A318, deployment!$D$4:$D$502,"&lt;&gt;"&amp;""),"")</f>
        <v/>
      </c>
      <c r="O318" s="127" t="str">
        <f t="shared" si="59"/>
        <v/>
      </c>
      <c r="P318" s="104"/>
      <c r="Q318" s="99" t="str">
        <f t="shared" si="48"/>
        <v/>
      </c>
      <c r="R318" s="100" t="str">
        <f t="shared" si="49"/>
        <v/>
      </c>
      <c r="S318" s="100" t="str">
        <f t="shared" si="50"/>
        <v/>
      </c>
      <c r="T318" s="101" t="str">
        <f t="shared" si="51"/>
        <v/>
      </c>
      <c r="U318" s="101" t="str">
        <f t="shared" si="52"/>
        <v/>
      </c>
      <c r="V318" s="128" t="str">
        <f t="shared" si="53"/>
        <v/>
      </c>
      <c r="W318" s="128" t="str">
        <f t="shared" si="54"/>
        <v/>
      </c>
      <c r="X318" s="101" t="str">
        <f t="shared" si="55"/>
        <v/>
      </c>
      <c r="Y318" s="101" t="str">
        <f t="shared" si="56"/>
        <v/>
      </c>
      <c r="Z318" s="102" t="str">
        <f t="shared" si="57"/>
        <v/>
      </c>
      <c r="AA318" s="103" t="str">
        <f t="shared" si="58"/>
        <v/>
      </c>
      <c r="AB318" s="142" t="str">
        <f>IF(A318&lt;&gt;"", SUMIFS(node!$J$2:$J$500, node!$C$2:$C$500,"="&amp;A318)/P318, "")</f>
        <v/>
      </c>
      <c r="AC318" s="134" t="str">
        <f>IF(A318&lt;&gt;"", SUMIFS(node!$K$2:$K$500, node!$C$2:$C$500,"="&amp;A318)/P318, "")</f>
        <v/>
      </c>
      <c r="AD318" s="135" t="str">
        <f>IF(A318&lt;&gt;"", SUMIFS(node!$L$2:$L$500, node!$C$2:$C$500,"="&amp;A318), "")</f>
        <v/>
      </c>
      <c r="AE318" s="145" t="str">
        <f>IF(A318&lt;&gt;"", SUMIFS(node!$M$2:$M$500, node!$C$2:$C$500,"="&amp;A318), "")</f>
        <v/>
      </c>
    </row>
    <row r="319" spans="1:31" ht="15.75" customHeight="1" x14ac:dyDescent="0.25">
      <c r="A319" s="119" t="str">
        <f>IF(ISNONTEXT(node_raw[[#This Row],[Column2]]), "", node_raw[[#This Row],[Column2]])</f>
        <v/>
      </c>
      <c r="B319" s="116" t="str">
        <f>IF(A319&lt;&gt;"", VLOOKUP(A319, node!$C$2:$D$500, 2, FALSE), "")</f>
        <v/>
      </c>
      <c r="C319" s="117" t="str">
        <f>IF(A319&lt;&gt;"", VLOOKUP(A319, node!$C$2:$E$500, 3, FALSE), "")</f>
        <v/>
      </c>
      <c r="D319" s="118" t="str">
        <f>IF(A319&lt;&gt;"",COUNTIFS(node!$C$2:$C$500,"="&amp;A319, node!$C$2:$C$500,"&lt;&gt;"&amp;""),"")</f>
        <v/>
      </c>
      <c r="E319" s="122" t="str">
        <f>IF(A319&lt;&gt;"",SUMIFS(node!$F$2:$F$500, node!$C$2:$C$500,"="&amp;A319, node!$C$2:$C$500,"&lt;&gt;"&amp;"")/(B319*D319),"")</f>
        <v/>
      </c>
      <c r="F319" s="124" t="str">
        <f>IF(A319&lt;&gt;"",SUMIFS(node!$H$2:$H$500, node!$C$2:$C$500,"="&amp;A319, node!$C$2:$C$500,"&lt;&gt;"&amp;"")/(C319*D319),"")</f>
        <v/>
      </c>
      <c r="G319" s="93" t="str">
        <f>IF(A319&lt;&gt;"",SUMIFS(deployment!$F$4:$F$502, deployment!$D$4:$D$502,"="&amp;A319, deployment!$D$4:$D$502,"&lt;&gt;"&amp;""),"")</f>
        <v/>
      </c>
      <c r="H319" s="94" t="str">
        <f>IF(A319&lt;&gt;"",SUMIFS(deployment!$G$4:$G$502, deployment!$D$4:$D$502,"="&amp;A319, deployment!$D$4:$D$502,"&lt;&gt;"&amp;""),"")</f>
        <v/>
      </c>
      <c r="I319" s="95" t="str">
        <f>IF(A319&lt;&gt;"",SUMIFS(deployment!$H$4:$H$502, deployment!$D$4:$D$502,"="&amp;A319, deployment!$D$4:$D$502,"&lt;&gt;"&amp;""),"")</f>
        <v/>
      </c>
      <c r="J319" s="96" t="str">
        <f>IF(A319&lt;&gt;"",SUMIFS(deployment!$I$4:$I$502, deployment!$D$4:$D$502,"="&amp;A319, deployment!$D$4:$D$502,"&lt;&gt;"&amp;""),"")</f>
        <v/>
      </c>
      <c r="K319" s="112" t="str">
        <f>IF(A319&lt;&gt;"",SUMIFS(deployment!$J$4:$J$502, deployment!$D$4:$D$502,"="&amp;A319, deployment!$D$4:$D$502,"&lt;&gt;"&amp;""),"")</f>
        <v/>
      </c>
      <c r="L319" s="112" t="str">
        <f>IF(A319&lt;&gt;"",SUMIFS(deployment!$K$4:$K$502, deployment!$D$4:$D$502,"="&amp;A319, deployment!$D$4:$D$502,"&lt;&gt;"&amp;""),"")</f>
        <v/>
      </c>
      <c r="M319" s="97" t="str">
        <f>IF(A319&lt;&gt;"",SUMIFS(deployment!$L$4:$L$502, deployment!$D$4:$D$502,"="&amp;A319, deployment!$D$4:$D$502,"&lt;&gt;"&amp;""),"")</f>
        <v/>
      </c>
      <c r="N319" s="97" t="str">
        <f>IF(A319&lt;&gt;"",SUMIFS(deployment!$M$4:$M$502, deployment!$D$4:$D$502,"="&amp;A319, deployment!$D$4:$D$502,"&lt;&gt;"&amp;""),"")</f>
        <v/>
      </c>
      <c r="O319" s="127" t="str">
        <f t="shared" si="59"/>
        <v/>
      </c>
      <c r="P319" s="104"/>
      <c r="Q319" s="99" t="str">
        <f t="shared" si="48"/>
        <v/>
      </c>
      <c r="R319" s="100" t="str">
        <f t="shared" si="49"/>
        <v/>
      </c>
      <c r="S319" s="100" t="str">
        <f t="shared" si="50"/>
        <v/>
      </c>
      <c r="T319" s="101" t="str">
        <f t="shared" si="51"/>
        <v/>
      </c>
      <c r="U319" s="101" t="str">
        <f t="shared" si="52"/>
        <v/>
      </c>
      <c r="V319" s="128" t="str">
        <f t="shared" si="53"/>
        <v/>
      </c>
      <c r="W319" s="128" t="str">
        <f t="shared" si="54"/>
        <v/>
      </c>
      <c r="X319" s="101" t="str">
        <f t="shared" si="55"/>
        <v/>
      </c>
      <c r="Y319" s="101" t="str">
        <f t="shared" si="56"/>
        <v/>
      </c>
      <c r="Z319" s="102" t="str">
        <f t="shared" si="57"/>
        <v/>
      </c>
      <c r="AA319" s="103" t="str">
        <f t="shared" si="58"/>
        <v/>
      </c>
      <c r="AB319" s="142" t="str">
        <f>IF(A319&lt;&gt;"", SUMIFS(node!$J$2:$J$500, node!$C$2:$C$500,"="&amp;A319)/P319, "")</f>
        <v/>
      </c>
      <c r="AC319" s="134" t="str">
        <f>IF(A319&lt;&gt;"", SUMIFS(node!$K$2:$K$500, node!$C$2:$C$500,"="&amp;A319)/P319, "")</f>
        <v/>
      </c>
      <c r="AD319" s="135" t="str">
        <f>IF(A319&lt;&gt;"", SUMIFS(node!$L$2:$L$500, node!$C$2:$C$500,"="&amp;A319), "")</f>
        <v/>
      </c>
      <c r="AE319" s="145" t="str">
        <f>IF(A319&lt;&gt;"", SUMIFS(node!$M$2:$M$500, node!$C$2:$C$500,"="&amp;A319), "")</f>
        <v/>
      </c>
    </row>
    <row r="320" spans="1:31" ht="15.75" customHeight="1" x14ac:dyDescent="0.25">
      <c r="A320" s="119" t="str">
        <f>IF(ISNONTEXT(node_raw[[#This Row],[Column2]]), "", node_raw[[#This Row],[Column2]])</f>
        <v/>
      </c>
      <c r="B320" s="116" t="str">
        <f>IF(A320&lt;&gt;"", VLOOKUP(A320, node!$C$2:$D$500, 2, FALSE), "")</f>
        <v/>
      </c>
      <c r="C320" s="117" t="str">
        <f>IF(A320&lt;&gt;"", VLOOKUP(A320, node!$C$2:$E$500, 3, FALSE), "")</f>
        <v/>
      </c>
      <c r="D320" s="118" t="str">
        <f>IF(A320&lt;&gt;"",COUNTIFS(node!$C$2:$C$500,"="&amp;A320, node!$C$2:$C$500,"&lt;&gt;"&amp;""),"")</f>
        <v/>
      </c>
      <c r="E320" s="122" t="str">
        <f>IF(A320&lt;&gt;"",SUMIFS(node!$F$2:$F$500, node!$C$2:$C$500,"="&amp;A320, node!$C$2:$C$500,"&lt;&gt;"&amp;"")/(B320*D320),"")</f>
        <v/>
      </c>
      <c r="F320" s="124" t="str">
        <f>IF(A320&lt;&gt;"",SUMIFS(node!$H$2:$H$500, node!$C$2:$C$500,"="&amp;A320, node!$C$2:$C$500,"&lt;&gt;"&amp;"")/(C320*D320),"")</f>
        <v/>
      </c>
      <c r="G320" s="93" t="str">
        <f>IF(A320&lt;&gt;"",SUMIFS(deployment!$F$4:$F$502, deployment!$D$4:$D$502,"="&amp;A320, deployment!$D$4:$D$502,"&lt;&gt;"&amp;""),"")</f>
        <v/>
      </c>
      <c r="H320" s="94" t="str">
        <f>IF(A320&lt;&gt;"",SUMIFS(deployment!$G$4:$G$502, deployment!$D$4:$D$502,"="&amp;A320, deployment!$D$4:$D$502,"&lt;&gt;"&amp;""),"")</f>
        <v/>
      </c>
      <c r="I320" s="95" t="str">
        <f>IF(A320&lt;&gt;"",SUMIFS(deployment!$H$4:$H$502, deployment!$D$4:$D$502,"="&amp;A320, deployment!$D$4:$D$502,"&lt;&gt;"&amp;""),"")</f>
        <v/>
      </c>
      <c r="J320" s="96" t="str">
        <f>IF(A320&lt;&gt;"",SUMIFS(deployment!$I$4:$I$502, deployment!$D$4:$D$502,"="&amp;A320, deployment!$D$4:$D$502,"&lt;&gt;"&amp;""),"")</f>
        <v/>
      </c>
      <c r="K320" s="112" t="str">
        <f>IF(A320&lt;&gt;"",SUMIFS(deployment!$J$4:$J$502, deployment!$D$4:$D$502,"="&amp;A320, deployment!$D$4:$D$502,"&lt;&gt;"&amp;""),"")</f>
        <v/>
      </c>
      <c r="L320" s="112" t="str">
        <f>IF(A320&lt;&gt;"",SUMIFS(deployment!$K$4:$K$502, deployment!$D$4:$D$502,"="&amp;A320, deployment!$D$4:$D$502,"&lt;&gt;"&amp;""),"")</f>
        <v/>
      </c>
      <c r="M320" s="97" t="str">
        <f>IF(A320&lt;&gt;"",SUMIFS(deployment!$L$4:$L$502, deployment!$D$4:$D$502,"="&amp;A320, deployment!$D$4:$D$502,"&lt;&gt;"&amp;""),"")</f>
        <v/>
      </c>
      <c r="N320" s="97" t="str">
        <f>IF(A320&lt;&gt;"",SUMIFS(deployment!$M$4:$M$502, deployment!$D$4:$D$502,"="&amp;A320, deployment!$D$4:$D$502,"&lt;&gt;"&amp;""),"")</f>
        <v/>
      </c>
      <c r="O320" s="127" t="str">
        <f t="shared" si="59"/>
        <v/>
      </c>
      <c r="P320" s="104"/>
      <c r="Q320" s="99" t="str">
        <f t="shared" si="48"/>
        <v/>
      </c>
      <c r="R320" s="100" t="str">
        <f t="shared" si="49"/>
        <v/>
      </c>
      <c r="S320" s="100" t="str">
        <f t="shared" si="50"/>
        <v/>
      </c>
      <c r="T320" s="101" t="str">
        <f t="shared" si="51"/>
        <v/>
      </c>
      <c r="U320" s="101" t="str">
        <f t="shared" si="52"/>
        <v/>
      </c>
      <c r="V320" s="128" t="str">
        <f t="shared" si="53"/>
        <v/>
      </c>
      <c r="W320" s="128" t="str">
        <f t="shared" si="54"/>
        <v/>
      </c>
      <c r="X320" s="101" t="str">
        <f t="shared" si="55"/>
        <v/>
      </c>
      <c r="Y320" s="101" t="str">
        <f t="shared" si="56"/>
        <v/>
      </c>
      <c r="Z320" s="102" t="str">
        <f t="shared" si="57"/>
        <v/>
      </c>
      <c r="AA320" s="103" t="str">
        <f t="shared" si="58"/>
        <v/>
      </c>
      <c r="AB320" s="142" t="str">
        <f>IF(A320&lt;&gt;"", SUMIFS(node!$J$2:$J$500, node!$C$2:$C$500,"="&amp;A320)/P320, "")</f>
        <v/>
      </c>
      <c r="AC320" s="134" t="str">
        <f>IF(A320&lt;&gt;"", SUMIFS(node!$K$2:$K$500, node!$C$2:$C$500,"="&amp;A320)/P320, "")</f>
        <v/>
      </c>
      <c r="AD320" s="135" t="str">
        <f>IF(A320&lt;&gt;"", SUMIFS(node!$L$2:$L$500, node!$C$2:$C$500,"="&amp;A320), "")</f>
        <v/>
      </c>
      <c r="AE320" s="145" t="str">
        <f>IF(A320&lt;&gt;"", SUMIFS(node!$M$2:$M$500, node!$C$2:$C$500,"="&amp;A320), "")</f>
        <v/>
      </c>
    </row>
    <row r="321" spans="1:31" ht="15.75" customHeight="1" x14ac:dyDescent="0.25">
      <c r="A321" s="119" t="str">
        <f>IF(ISNONTEXT(node_raw[[#This Row],[Column2]]), "", node_raw[[#This Row],[Column2]])</f>
        <v/>
      </c>
      <c r="B321" s="116" t="str">
        <f>IF(A321&lt;&gt;"", VLOOKUP(A321, node!$C$2:$D$500, 2, FALSE), "")</f>
        <v/>
      </c>
      <c r="C321" s="117" t="str">
        <f>IF(A321&lt;&gt;"", VLOOKUP(A321, node!$C$2:$E$500, 3, FALSE), "")</f>
        <v/>
      </c>
      <c r="D321" s="118" t="str">
        <f>IF(A321&lt;&gt;"",COUNTIFS(node!$C$2:$C$500,"="&amp;A321, node!$C$2:$C$500,"&lt;&gt;"&amp;""),"")</f>
        <v/>
      </c>
      <c r="E321" s="122" t="str">
        <f>IF(A321&lt;&gt;"",SUMIFS(node!$F$2:$F$500, node!$C$2:$C$500,"="&amp;A321, node!$C$2:$C$500,"&lt;&gt;"&amp;"")/(B321*D321),"")</f>
        <v/>
      </c>
      <c r="F321" s="124" t="str">
        <f>IF(A321&lt;&gt;"",SUMIFS(node!$H$2:$H$500, node!$C$2:$C$500,"="&amp;A321, node!$C$2:$C$500,"&lt;&gt;"&amp;"")/(C321*D321),"")</f>
        <v/>
      </c>
      <c r="G321" s="93" t="str">
        <f>IF(A321&lt;&gt;"",SUMIFS(deployment!$F$4:$F$502, deployment!$D$4:$D$502,"="&amp;A321, deployment!$D$4:$D$502,"&lt;&gt;"&amp;""),"")</f>
        <v/>
      </c>
      <c r="H321" s="94" t="str">
        <f>IF(A321&lt;&gt;"",SUMIFS(deployment!$G$4:$G$502, deployment!$D$4:$D$502,"="&amp;A321, deployment!$D$4:$D$502,"&lt;&gt;"&amp;""),"")</f>
        <v/>
      </c>
      <c r="I321" s="95" t="str">
        <f>IF(A321&lt;&gt;"",SUMIFS(deployment!$H$4:$H$502, deployment!$D$4:$D$502,"="&amp;A321, deployment!$D$4:$D$502,"&lt;&gt;"&amp;""),"")</f>
        <v/>
      </c>
      <c r="J321" s="96" t="str">
        <f>IF(A321&lt;&gt;"",SUMIFS(deployment!$I$4:$I$502, deployment!$D$4:$D$502,"="&amp;A321, deployment!$D$4:$D$502,"&lt;&gt;"&amp;""),"")</f>
        <v/>
      </c>
      <c r="K321" s="112" t="str">
        <f>IF(A321&lt;&gt;"",SUMIFS(deployment!$J$4:$J$502, deployment!$D$4:$D$502,"="&amp;A321, deployment!$D$4:$D$502,"&lt;&gt;"&amp;""),"")</f>
        <v/>
      </c>
      <c r="L321" s="112" t="str">
        <f>IF(A321&lt;&gt;"",SUMIFS(deployment!$K$4:$K$502, deployment!$D$4:$D$502,"="&amp;A321, deployment!$D$4:$D$502,"&lt;&gt;"&amp;""),"")</f>
        <v/>
      </c>
      <c r="M321" s="97" t="str">
        <f>IF(A321&lt;&gt;"",SUMIFS(deployment!$L$4:$L$502, deployment!$D$4:$D$502,"="&amp;A321, deployment!$D$4:$D$502,"&lt;&gt;"&amp;""),"")</f>
        <v/>
      </c>
      <c r="N321" s="97" t="str">
        <f>IF(A321&lt;&gt;"",SUMIFS(deployment!$M$4:$M$502, deployment!$D$4:$D$502,"="&amp;A321, deployment!$D$4:$D$502,"&lt;&gt;"&amp;""),"")</f>
        <v/>
      </c>
      <c r="O321" s="127" t="str">
        <f t="shared" si="59"/>
        <v/>
      </c>
      <c r="P321" s="104"/>
      <c r="Q321" s="99" t="str">
        <f t="shared" si="48"/>
        <v/>
      </c>
      <c r="R321" s="100" t="str">
        <f t="shared" si="49"/>
        <v/>
      </c>
      <c r="S321" s="100" t="str">
        <f t="shared" si="50"/>
        <v/>
      </c>
      <c r="T321" s="101" t="str">
        <f t="shared" si="51"/>
        <v/>
      </c>
      <c r="U321" s="101" t="str">
        <f t="shared" si="52"/>
        <v/>
      </c>
      <c r="V321" s="128" t="str">
        <f t="shared" si="53"/>
        <v/>
      </c>
      <c r="W321" s="128" t="str">
        <f t="shared" si="54"/>
        <v/>
      </c>
      <c r="X321" s="101" t="str">
        <f t="shared" si="55"/>
        <v/>
      </c>
      <c r="Y321" s="101" t="str">
        <f t="shared" si="56"/>
        <v/>
      </c>
      <c r="Z321" s="102" t="str">
        <f t="shared" si="57"/>
        <v/>
      </c>
      <c r="AA321" s="103" t="str">
        <f t="shared" si="58"/>
        <v/>
      </c>
      <c r="AB321" s="142" t="str">
        <f>IF(A321&lt;&gt;"", SUMIFS(node!$J$2:$J$500, node!$C$2:$C$500,"="&amp;A321)/P321, "")</f>
        <v/>
      </c>
      <c r="AC321" s="134" t="str">
        <f>IF(A321&lt;&gt;"", SUMIFS(node!$K$2:$K$500, node!$C$2:$C$500,"="&amp;A321)/P321, "")</f>
        <v/>
      </c>
      <c r="AD321" s="135" t="str">
        <f>IF(A321&lt;&gt;"", SUMIFS(node!$L$2:$L$500, node!$C$2:$C$500,"="&amp;A321), "")</f>
        <v/>
      </c>
      <c r="AE321" s="145" t="str">
        <f>IF(A321&lt;&gt;"", SUMIFS(node!$M$2:$M$500, node!$C$2:$C$500,"="&amp;A321), "")</f>
        <v/>
      </c>
    </row>
    <row r="322" spans="1:31" ht="15.75" customHeight="1" x14ac:dyDescent="0.25">
      <c r="A322" s="119" t="str">
        <f>IF(ISNONTEXT(node_raw[[#This Row],[Column2]]), "", node_raw[[#This Row],[Column2]])</f>
        <v/>
      </c>
      <c r="B322" s="116" t="str">
        <f>IF(A322&lt;&gt;"", VLOOKUP(A322, node!$C$2:$D$500, 2, FALSE), "")</f>
        <v/>
      </c>
      <c r="C322" s="117" t="str">
        <f>IF(A322&lt;&gt;"", VLOOKUP(A322, node!$C$2:$E$500, 3, FALSE), "")</f>
        <v/>
      </c>
      <c r="D322" s="118" t="str">
        <f>IF(A322&lt;&gt;"",COUNTIFS(node!$C$2:$C$500,"="&amp;A322, node!$C$2:$C$500,"&lt;&gt;"&amp;""),"")</f>
        <v/>
      </c>
      <c r="E322" s="122" t="str">
        <f>IF(A322&lt;&gt;"",SUMIFS(node!$F$2:$F$500, node!$C$2:$C$500,"="&amp;A322, node!$C$2:$C$500,"&lt;&gt;"&amp;"")/(B322*D322),"")</f>
        <v/>
      </c>
      <c r="F322" s="124" t="str">
        <f>IF(A322&lt;&gt;"",SUMIFS(node!$H$2:$H$500, node!$C$2:$C$500,"="&amp;A322, node!$C$2:$C$500,"&lt;&gt;"&amp;"")/(C322*D322),"")</f>
        <v/>
      </c>
      <c r="G322" s="93" t="str">
        <f>IF(A322&lt;&gt;"",SUMIFS(deployment!$F$4:$F$502, deployment!$D$4:$D$502,"="&amp;A322, deployment!$D$4:$D$502,"&lt;&gt;"&amp;""),"")</f>
        <v/>
      </c>
      <c r="H322" s="94" t="str">
        <f>IF(A322&lt;&gt;"",SUMIFS(deployment!$G$4:$G$502, deployment!$D$4:$D$502,"="&amp;A322, deployment!$D$4:$D$502,"&lt;&gt;"&amp;""),"")</f>
        <v/>
      </c>
      <c r="I322" s="95" t="str">
        <f>IF(A322&lt;&gt;"",SUMIFS(deployment!$H$4:$H$502, deployment!$D$4:$D$502,"="&amp;A322, deployment!$D$4:$D$502,"&lt;&gt;"&amp;""),"")</f>
        <v/>
      </c>
      <c r="J322" s="96" t="str">
        <f>IF(A322&lt;&gt;"",SUMIFS(deployment!$I$4:$I$502, deployment!$D$4:$D$502,"="&amp;A322, deployment!$D$4:$D$502,"&lt;&gt;"&amp;""),"")</f>
        <v/>
      </c>
      <c r="K322" s="112" t="str">
        <f>IF(A322&lt;&gt;"",SUMIFS(deployment!$J$4:$J$502, deployment!$D$4:$D$502,"="&amp;A322, deployment!$D$4:$D$502,"&lt;&gt;"&amp;""),"")</f>
        <v/>
      </c>
      <c r="L322" s="112" t="str">
        <f>IF(A322&lt;&gt;"",SUMIFS(deployment!$K$4:$K$502, deployment!$D$4:$D$502,"="&amp;A322, deployment!$D$4:$D$502,"&lt;&gt;"&amp;""),"")</f>
        <v/>
      </c>
      <c r="M322" s="97" t="str">
        <f>IF(A322&lt;&gt;"",SUMIFS(deployment!$L$4:$L$502, deployment!$D$4:$D$502,"="&amp;A322, deployment!$D$4:$D$502,"&lt;&gt;"&amp;""),"")</f>
        <v/>
      </c>
      <c r="N322" s="97" t="str">
        <f>IF(A322&lt;&gt;"",SUMIFS(deployment!$M$4:$M$502, deployment!$D$4:$D$502,"="&amp;A322, deployment!$D$4:$D$502,"&lt;&gt;"&amp;""),"")</f>
        <v/>
      </c>
      <c r="O322" s="127" t="str">
        <f t="shared" si="59"/>
        <v/>
      </c>
      <c r="P322" s="104"/>
      <c r="Q322" s="99" t="str">
        <f t="shared" si="48"/>
        <v/>
      </c>
      <c r="R322" s="100" t="str">
        <f t="shared" si="49"/>
        <v/>
      </c>
      <c r="S322" s="100" t="str">
        <f t="shared" si="50"/>
        <v/>
      </c>
      <c r="T322" s="101" t="str">
        <f t="shared" si="51"/>
        <v/>
      </c>
      <c r="U322" s="101" t="str">
        <f t="shared" si="52"/>
        <v/>
      </c>
      <c r="V322" s="128" t="str">
        <f t="shared" si="53"/>
        <v/>
      </c>
      <c r="W322" s="128" t="str">
        <f t="shared" si="54"/>
        <v/>
      </c>
      <c r="X322" s="101" t="str">
        <f t="shared" si="55"/>
        <v/>
      </c>
      <c r="Y322" s="101" t="str">
        <f t="shared" si="56"/>
        <v/>
      </c>
      <c r="Z322" s="102" t="str">
        <f t="shared" si="57"/>
        <v/>
      </c>
      <c r="AA322" s="103" t="str">
        <f t="shared" si="58"/>
        <v/>
      </c>
      <c r="AB322" s="142" t="str">
        <f>IF(A322&lt;&gt;"", SUMIFS(node!$J$2:$J$500, node!$C$2:$C$500,"="&amp;A322)/P322, "")</f>
        <v/>
      </c>
      <c r="AC322" s="134" t="str">
        <f>IF(A322&lt;&gt;"", SUMIFS(node!$K$2:$K$500, node!$C$2:$C$500,"="&amp;A322)/P322, "")</f>
        <v/>
      </c>
      <c r="AD322" s="135" t="str">
        <f>IF(A322&lt;&gt;"", SUMIFS(node!$L$2:$L$500, node!$C$2:$C$500,"="&amp;A322), "")</f>
        <v/>
      </c>
      <c r="AE322" s="145" t="str">
        <f>IF(A322&lt;&gt;"", SUMIFS(node!$M$2:$M$500, node!$C$2:$C$500,"="&amp;A322), "")</f>
        <v/>
      </c>
    </row>
    <row r="323" spans="1:31" ht="15.75" customHeight="1" x14ac:dyDescent="0.25">
      <c r="A323" s="119" t="str">
        <f>IF(ISNONTEXT(node_raw[[#This Row],[Column2]]), "", node_raw[[#This Row],[Column2]])</f>
        <v/>
      </c>
      <c r="B323" s="116" t="str">
        <f>IF(A323&lt;&gt;"", VLOOKUP(A323, node!$C$2:$D$500, 2, FALSE), "")</f>
        <v/>
      </c>
      <c r="C323" s="117" t="str">
        <f>IF(A323&lt;&gt;"", VLOOKUP(A323, node!$C$2:$E$500, 3, FALSE), "")</f>
        <v/>
      </c>
      <c r="D323" s="118" t="str">
        <f>IF(A323&lt;&gt;"",COUNTIFS(node!$C$2:$C$500,"="&amp;A323, node!$C$2:$C$500,"&lt;&gt;"&amp;""),"")</f>
        <v/>
      </c>
      <c r="E323" s="122" t="str">
        <f>IF(A323&lt;&gt;"",SUMIFS(node!$F$2:$F$500, node!$C$2:$C$500,"="&amp;A323, node!$C$2:$C$500,"&lt;&gt;"&amp;"")/(B323*D323),"")</f>
        <v/>
      </c>
      <c r="F323" s="124" t="str">
        <f>IF(A323&lt;&gt;"",SUMIFS(node!$H$2:$H$500, node!$C$2:$C$500,"="&amp;A323, node!$C$2:$C$500,"&lt;&gt;"&amp;"")/(C323*D323),"")</f>
        <v/>
      </c>
      <c r="G323" s="93" t="str">
        <f>IF(A323&lt;&gt;"",SUMIFS(deployment!$F$4:$F$502, deployment!$D$4:$D$502,"="&amp;A323, deployment!$D$4:$D$502,"&lt;&gt;"&amp;""),"")</f>
        <v/>
      </c>
      <c r="H323" s="94" t="str">
        <f>IF(A323&lt;&gt;"",SUMIFS(deployment!$G$4:$G$502, deployment!$D$4:$D$502,"="&amp;A323, deployment!$D$4:$D$502,"&lt;&gt;"&amp;""),"")</f>
        <v/>
      </c>
      <c r="I323" s="95" t="str">
        <f>IF(A323&lt;&gt;"",SUMIFS(deployment!$H$4:$H$502, deployment!$D$4:$D$502,"="&amp;A323, deployment!$D$4:$D$502,"&lt;&gt;"&amp;""),"")</f>
        <v/>
      </c>
      <c r="J323" s="96" t="str">
        <f>IF(A323&lt;&gt;"",SUMIFS(deployment!$I$4:$I$502, deployment!$D$4:$D$502,"="&amp;A323, deployment!$D$4:$D$502,"&lt;&gt;"&amp;""),"")</f>
        <v/>
      </c>
      <c r="K323" s="112" t="str">
        <f>IF(A323&lt;&gt;"",SUMIFS(deployment!$J$4:$J$502, deployment!$D$4:$D$502,"="&amp;A323, deployment!$D$4:$D$502,"&lt;&gt;"&amp;""),"")</f>
        <v/>
      </c>
      <c r="L323" s="112" t="str">
        <f>IF(A323&lt;&gt;"",SUMIFS(deployment!$K$4:$K$502, deployment!$D$4:$D$502,"="&amp;A323, deployment!$D$4:$D$502,"&lt;&gt;"&amp;""),"")</f>
        <v/>
      </c>
      <c r="M323" s="97" t="str">
        <f>IF(A323&lt;&gt;"",SUMIFS(deployment!$L$4:$L$502, deployment!$D$4:$D$502,"="&amp;A323, deployment!$D$4:$D$502,"&lt;&gt;"&amp;""),"")</f>
        <v/>
      </c>
      <c r="N323" s="97" t="str">
        <f>IF(A323&lt;&gt;"",SUMIFS(deployment!$M$4:$M$502, deployment!$D$4:$D$502,"="&amp;A323, deployment!$D$4:$D$502,"&lt;&gt;"&amp;""),"")</f>
        <v/>
      </c>
      <c r="O323" s="127" t="str">
        <f t="shared" si="59"/>
        <v/>
      </c>
      <c r="P323" s="104"/>
      <c r="Q323" s="99" t="str">
        <f t="shared" si="48"/>
        <v/>
      </c>
      <c r="R323" s="100" t="str">
        <f t="shared" si="49"/>
        <v/>
      </c>
      <c r="S323" s="100" t="str">
        <f t="shared" si="50"/>
        <v/>
      </c>
      <c r="T323" s="101" t="str">
        <f t="shared" si="51"/>
        <v/>
      </c>
      <c r="U323" s="101" t="str">
        <f t="shared" si="52"/>
        <v/>
      </c>
      <c r="V323" s="128" t="str">
        <f t="shared" si="53"/>
        <v/>
      </c>
      <c r="W323" s="128" t="str">
        <f t="shared" si="54"/>
        <v/>
      </c>
      <c r="X323" s="101" t="str">
        <f t="shared" si="55"/>
        <v/>
      </c>
      <c r="Y323" s="101" t="str">
        <f t="shared" si="56"/>
        <v/>
      </c>
      <c r="Z323" s="102" t="str">
        <f t="shared" si="57"/>
        <v/>
      </c>
      <c r="AA323" s="103" t="str">
        <f t="shared" si="58"/>
        <v/>
      </c>
      <c r="AB323" s="142" t="str">
        <f>IF(A323&lt;&gt;"", SUMIFS(node!$J$2:$J$500, node!$C$2:$C$500,"="&amp;A323)/P323, "")</f>
        <v/>
      </c>
      <c r="AC323" s="134" t="str">
        <f>IF(A323&lt;&gt;"", SUMIFS(node!$K$2:$K$500, node!$C$2:$C$500,"="&amp;A323)/P323, "")</f>
        <v/>
      </c>
      <c r="AD323" s="135" t="str">
        <f>IF(A323&lt;&gt;"", SUMIFS(node!$L$2:$L$500, node!$C$2:$C$500,"="&amp;A323), "")</f>
        <v/>
      </c>
      <c r="AE323" s="145" t="str">
        <f>IF(A323&lt;&gt;"", SUMIFS(node!$M$2:$M$500, node!$C$2:$C$500,"="&amp;A323), "")</f>
        <v/>
      </c>
    </row>
    <row r="324" spans="1:31" ht="15.75" customHeight="1" x14ac:dyDescent="0.25">
      <c r="A324" s="119" t="str">
        <f>IF(ISNONTEXT(node_raw[[#This Row],[Column2]]), "", node_raw[[#This Row],[Column2]])</f>
        <v/>
      </c>
      <c r="B324" s="116" t="str">
        <f>IF(A324&lt;&gt;"", VLOOKUP(A324, node!$C$2:$D$500, 2, FALSE), "")</f>
        <v/>
      </c>
      <c r="C324" s="117" t="str">
        <f>IF(A324&lt;&gt;"", VLOOKUP(A324, node!$C$2:$E$500, 3, FALSE), "")</f>
        <v/>
      </c>
      <c r="D324" s="118" t="str">
        <f>IF(A324&lt;&gt;"",COUNTIFS(node!$C$2:$C$500,"="&amp;A324, node!$C$2:$C$500,"&lt;&gt;"&amp;""),"")</f>
        <v/>
      </c>
      <c r="E324" s="122" t="str">
        <f>IF(A324&lt;&gt;"",SUMIFS(node!$F$2:$F$500, node!$C$2:$C$500,"="&amp;A324, node!$C$2:$C$500,"&lt;&gt;"&amp;"")/(B324*D324),"")</f>
        <v/>
      </c>
      <c r="F324" s="124" t="str">
        <f>IF(A324&lt;&gt;"",SUMIFS(node!$H$2:$H$500, node!$C$2:$C$500,"="&amp;A324, node!$C$2:$C$500,"&lt;&gt;"&amp;"")/(C324*D324),"")</f>
        <v/>
      </c>
      <c r="G324" s="93" t="str">
        <f>IF(A324&lt;&gt;"",SUMIFS(deployment!$F$4:$F$502, deployment!$D$4:$D$502,"="&amp;A324, deployment!$D$4:$D$502,"&lt;&gt;"&amp;""),"")</f>
        <v/>
      </c>
      <c r="H324" s="94" t="str">
        <f>IF(A324&lt;&gt;"",SUMIFS(deployment!$G$4:$G$502, deployment!$D$4:$D$502,"="&amp;A324, deployment!$D$4:$D$502,"&lt;&gt;"&amp;""),"")</f>
        <v/>
      </c>
      <c r="I324" s="95" t="str">
        <f>IF(A324&lt;&gt;"",SUMIFS(deployment!$H$4:$H$502, deployment!$D$4:$D$502,"="&amp;A324, deployment!$D$4:$D$502,"&lt;&gt;"&amp;""),"")</f>
        <v/>
      </c>
      <c r="J324" s="96" t="str">
        <f>IF(A324&lt;&gt;"",SUMIFS(deployment!$I$4:$I$502, deployment!$D$4:$D$502,"="&amp;A324, deployment!$D$4:$D$502,"&lt;&gt;"&amp;""),"")</f>
        <v/>
      </c>
      <c r="K324" s="112" t="str">
        <f>IF(A324&lt;&gt;"",SUMIFS(deployment!$J$4:$J$502, deployment!$D$4:$D$502,"="&amp;A324, deployment!$D$4:$D$502,"&lt;&gt;"&amp;""),"")</f>
        <v/>
      </c>
      <c r="L324" s="112" t="str">
        <f>IF(A324&lt;&gt;"",SUMIFS(deployment!$K$4:$K$502, deployment!$D$4:$D$502,"="&amp;A324, deployment!$D$4:$D$502,"&lt;&gt;"&amp;""),"")</f>
        <v/>
      </c>
      <c r="M324" s="97" t="str">
        <f>IF(A324&lt;&gt;"",SUMIFS(deployment!$L$4:$L$502, deployment!$D$4:$D$502,"="&amp;A324, deployment!$D$4:$D$502,"&lt;&gt;"&amp;""),"")</f>
        <v/>
      </c>
      <c r="N324" s="97" t="str">
        <f>IF(A324&lt;&gt;"",SUMIFS(deployment!$M$4:$M$502, deployment!$D$4:$D$502,"="&amp;A324, deployment!$D$4:$D$502,"&lt;&gt;"&amp;""),"")</f>
        <v/>
      </c>
      <c r="O324" s="127" t="str">
        <f t="shared" si="59"/>
        <v/>
      </c>
      <c r="P324" s="104"/>
      <c r="Q324" s="99" t="str">
        <f t="shared" ref="Q324:Q387" si="60">IF(A324&lt;&gt;"",(D324-P324)/D324,"")</f>
        <v/>
      </c>
      <c r="R324" s="100" t="str">
        <f t="shared" ref="R324:R387" si="61">IF(A324&lt;&gt;"",G324/(P324*B324),"")</f>
        <v/>
      </c>
      <c r="S324" s="100" t="str">
        <f t="shared" ref="S324:S387" si="62">IF(A324&lt;&gt;"",H324/(P324*C324),"")</f>
        <v/>
      </c>
      <c r="T324" s="101" t="str">
        <f t="shared" ref="T324:T387" si="63">IF(A324&lt;&gt;"",I324/(P324*B324),"")</f>
        <v/>
      </c>
      <c r="U324" s="101" t="str">
        <f t="shared" ref="U324:U387" si="64">IF(A324&lt;&gt;"",J324/(P324*C324),"")</f>
        <v/>
      </c>
      <c r="V324" s="128" t="str">
        <f t="shared" ref="V324:V387" si="65">IF(A324&lt;&gt;"",K324/(P324*B324),"")</f>
        <v/>
      </c>
      <c r="W324" s="128" t="str">
        <f t="shared" ref="W324:W387" si="66">IF(A324&lt;&gt;"",L324/(P324*C324),"")</f>
        <v/>
      </c>
      <c r="X324" s="101" t="str">
        <f t="shared" ref="X324:X387" si="67">IF(A324&lt;&gt;"",M324/(P324*B324),"")</f>
        <v/>
      </c>
      <c r="Y324" s="101" t="str">
        <f t="shared" ref="Y324:Y387" si="68">IF(A324&lt;&gt;"",N324/(P324*C324),"")</f>
        <v/>
      </c>
      <c r="Z324" s="102" t="str">
        <f t="shared" ref="Z324:Z387" si="69">IF(A324&lt;&gt;"",(D324*E324)/P324,"")</f>
        <v/>
      </c>
      <c r="AA324" s="103" t="str">
        <f t="shared" ref="AA324:AA387" si="70">IF(A324&lt;&gt;"",(D324*F324)/P324,"")</f>
        <v/>
      </c>
      <c r="AB324" s="142" t="str">
        <f>IF(A324&lt;&gt;"", SUMIFS(node!$J$2:$J$500, node!$C$2:$C$500,"="&amp;A324)/P324, "")</f>
        <v/>
      </c>
      <c r="AC324" s="134" t="str">
        <f>IF(A324&lt;&gt;"", SUMIFS(node!$K$2:$K$500, node!$C$2:$C$500,"="&amp;A324)/P324, "")</f>
        <v/>
      </c>
      <c r="AD324" s="135" t="str">
        <f>IF(A324&lt;&gt;"", SUMIFS(node!$L$2:$L$500, node!$C$2:$C$500,"="&amp;A324), "")</f>
        <v/>
      </c>
      <c r="AE324" s="145" t="str">
        <f>IF(A324&lt;&gt;"", SUMIFS(node!$M$2:$M$500, node!$C$2:$C$500,"="&amp;A324), "")</f>
        <v/>
      </c>
    </row>
    <row r="325" spans="1:31" ht="15.75" customHeight="1" x14ac:dyDescent="0.25">
      <c r="A325" s="119" t="str">
        <f>IF(ISNONTEXT(node_raw[[#This Row],[Column2]]), "", node_raw[[#This Row],[Column2]])</f>
        <v/>
      </c>
      <c r="B325" s="116" t="str">
        <f>IF(A325&lt;&gt;"", VLOOKUP(A325, node!$C$2:$D$500, 2, FALSE), "")</f>
        <v/>
      </c>
      <c r="C325" s="117" t="str">
        <f>IF(A325&lt;&gt;"", VLOOKUP(A325, node!$C$2:$E$500, 3, FALSE), "")</f>
        <v/>
      </c>
      <c r="D325" s="118" t="str">
        <f>IF(A325&lt;&gt;"",COUNTIFS(node!$C$2:$C$500,"="&amp;A325, node!$C$2:$C$500,"&lt;&gt;"&amp;""),"")</f>
        <v/>
      </c>
      <c r="E325" s="122" t="str">
        <f>IF(A325&lt;&gt;"",SUMIFS(node!$F$2:$F$500, node!$C$2:$C$500,"="&amp;A325, node!$C$2:$C$500,"&lt;&gt;"&amp;"")/(B325*D325),"")</f>
        <v/>
      </c>
      <c r="F325" s="124" t="str">
        <f>IF(A325&lt;&gt;"",SUMIFS(node!$H$2:$H$500, node!$C$2:$C$500,"="&amp;A325, node!$C$2:$C$500,"&lt;&gt;"&amp;"")/(C325*D325),"")</f>
        <v/>
      </c>
      <c r="G325" s="93" t="str">
        <f>IF(A325&lt;&gt;"",SUMIFS(deployment!$F$4:$F$502, deployment!$D$4:$D$502,"="&amp;A325, deployment!$D$4:$D$502,"&lt;&gt;"&amp;""),"")</f>
        <v/>
      </c>
      <c r="H325" s="94" t="str">
        <f>IF(A325&lt;&gt;"",SUMIFS(deployment!$G$4:$G$502, deployment!$D$4:$D$502,"="&amp;A325, deployment!$D$4:$D$502,"&lt;&gt;"&amp;""),"")</f>
        <v/>
      </c>
      <c r="I325" s="95" t="str">
        <f>IF(A325&lt;&gt;"",SUMIFS(deployment!$H$4:$H$502, deployment!$D$4:$D$502,"="&amp;A325, deployment!$D$4:$D$502,"&lt;&gt;"&amp;""),"")</f>
        <v/>
      </c>
      <c r="J325" s="96" t="str">
        <f>IF(A325&lt;&gt;"",SUMIFS(deployment!$I$4:$I$502, deployment!$D$4:$D$502,"="&amp;A325, deployment!$D$4:$D$502,"&lt;&gt;"&amp;""),"")</f>
        <v/>
      </c>
      <c r="K325" s="112" t="str">
        <f>IF(A325&lt;&gt;"",SUMIFS(deployment!$J$4:$J$502, deployment!$D$4:$D$502,"="&amp;A325, deployment!$D$4:$D$502,"&lt;&gt;"&amp;""),"")</f>
        <v/>
      </c>
      <c r="L325" s="112" t="str">
        <f>IF(A325&lt;&gt;"",SUMIFS(deployment!$K$4:$K$502, deployment!$D$4:$D$502,"="&amp;A325, deployment!$D$4:$D$502,"&lt;&gt;"&amp;""),"")</f>
        <v/>
      </c>
      <c r="M325" s="97" t="str">
        <f>IF(A325&lt;&gt;"",SUMIFS(deployment!$L$4:$L$502, deployment!$D$4:$D$502,"="&amp;A325, deployment!$D$4:$D$502,"&lt;&gt;"&amp;""),"")</f>
        <v/>
      </c>
      <c r="N325" s="97" t="str">
        <f>IF(A325&lt;&gt;"",SUMIFS(deployment!$M$4:$M$502, deployment!$D$4:$D$502,"="&amp;A325, deployment!$D$4:$D$502,"&lt;&gt;"&amp;""),"")</f>
        <v/>
      </c>
      <c r="O325" s="127" t="str">
        <f t="shared" ref="O325:O388" si="71">IF(A325&lt;&gt;"",MAX(ROUNDUP(K325/(B325*$B$2), 0), ROUNDUP(L325/(C325*$C$2), 0), ROUNDUP(M325/(B325*$B$2), 0), ROUNDUP(N325/(C325*$C$2), 0), 1),"")</f>
        <v/>
      </c>
      <c r="P325" s="104"/>
      <c r="Q325" s="99" t="str">
        <f t="shared" si="60"/>
        <v/>
      </c>
      <c r="R325" s="100" t="str">
        <f t="shared" si="61"/>
        <v/>
      </c>
      <c r="S325" s="100" t="str">
        <f t="shared" si="62"/>
        <v/>
      </c>
      <c r="T325" s="101" t="str">
        <f t="shared" si="63"/>
        <v/>
      </c>
      <c r="U325" s="101" t="str">
        <f t="shared" si="64"/>
        <v/>
      </c>
      <c r="V325" s="128" t="str">
        <f t="shared" si="65"/>
        <v/>
      </c>
      <c r="W325" s="128" t="str">
        <f t="shared" si="66"/>
        <v/>
      </c>
      <c r="X325" s="101" t="str">
        <f t="shared" si="67"/>
        <v/>
      </c>
      <c r="Y325" s="101" t="str">
        <f t="shared" si="68"/>
        <v/>
      </c>
      <c r="Z325" s="102" t="str">
        <f t="shared" si="69"/>
        <v/>
      </c>
      <c r="AA325" s="103" t="str">
        <f t="shared" si="70"/>
        <v/>
      </c>
      <c r="AB325" s="142" t="str">
        <f>IF(A325&lt;&gt;"", SUMIFS(node!$J$2:$J$500, node!$C$2:$C$500,"="&amp;A325)/P325, "")</f>
        <v/>
      </c>
      <c r="AC325" s="134" t="str">
        <f>IF(A325&lt;&gt;"", SUMIFS(node!$K$2:$K$500, node!$C$2:$C$500,"="&amp;A325)/P325, "")</f>
        <v/>
      </c>
      <c r="AD325" s="135" t="str">
        <f>IF(A325&lt;&gt;"", SUMIFS(node!$L$2:$L$500, node!$C$2:$C$500,"="&amp;A325), "")</f>
        <v/>
      </c>
      <c r="AE325" s="145" t="str">
        <f>IF(A325&lt;&gt;"", SUMIFS(node!$M$2:$M$500, node!$C$2:$C$500,"="&amp;A325), "")</f>
        <v/>
      </c>
    </row>
    <row r="326" spans="1:31" ht="15.75" customHeight="1" x14ac:dyDescent="0.25">
      <c r="A326" s="119" t="str">
        <f>IF(ISNONTEXT(node_raw[[#This Row],[Column2]]), "", node_raw[[#This Row],[Column2]])</f>
        <v/>
      </c>
      <c r="B326" s="116" t="str">
        <f>IF(A326&lt;&gt;"", VLOOKUP(A326, node!$C$2:$D$500, 2, FALSE), "")</f>
        <v/>
      </c>
      <c r="C326" s="117" t="str">
        <f>IF(A326&lt;&gt;"", VLOOKUP(A326, node!$C$2:$E$500, 3, FALSE), "")</f>
        <v/>
      </c>
      <c r="D326" s="118" t="str">
        <f>IF(A326&lt;&gt;"",COUNTIFS(node!$C$2:$C$500,"="&amp;A326, node!$C$2:$C$500,"&lt;&gt;"&amp;""),"")</f>
        <v/>
      </c>
      <c r="E326" s="122" t="str">
        <f>IF(A326&lt;&gt;"",SUMIFS(node!$F$2:$F$500, node!$C$2:$C$500,"="&amp;A326, node!$C$2:$C$500,"&lt;&gt;"&amp;"")/(B326*D326),"")</f>
        <v/>
      </c>
      <c r="F326" s="124" t="str">
        <f>IF(A326&lt;&gt;"",SUMIFS(node!$H$2:$H$500, node!$C$2:$C$500,"="&amp;A326, node!$C$2:$C$500,"&lt;&gt;"&amp;"")/(C326*D326),"")</f>
        <v/>
      </c>
      <c r="G326" s="93" t="str">
        <f>IF(A326&lt;&gt;"",SUMIFS(deployment!$F$4:$F$502, deployment!$D$4:$D$502,"="&amp;A326, deployment!$D$4:$D$502,"&lt;&gt;"&amp;""),"")</f>
        <v/>
      </c>
      <c r="H326" s="94" t="str">
        <f>IF(A326&lt;&gt;"",SUMIFS(deployment!$G$4:$G$502, deployment!$D$4:$D$502,"="&amp;A326, deployment!$D$4:$D$502,"&lt;&gt;"&amp;""),"")</f>
        <v/>
      </c>
      <c r="I326" s="95" t="str">
        <f>IF(A326&lt;&gt;"",SUMIFS(deployment!$H$4:$H$502, deployment!$D$4:$D$502,"="&amp;A326, deployment!$D$4:$D$502,"&lt;&gt;"&amp;""),"")</f>
        <v/>
      </c>
      <c r="J326" s="96" t="str">
        <f>IF(A326&lt;&gt;"",SUMIFS(deployment!$I$4:$I$502, deployment!$D$4:$D$502,"="&amp;A326, deployment!$D$4:$D$502,"&lt;&gt;"&amp;""),"")</f>
        <v/>
      </c>
      <c r="K326" s="112" t="str">
        <f>IF(A326&lt;&gt;"",SUMIFS(deployment!$J$4:$J$502, deployment!$D$4:$D$502,"="&amp;A326, deployment!$D$4:$D$502,"&lt;&gt;"&amp;""),"")</f>
        <v/>
      </c>
      <c r="L326" s="112" t="str">
        <f>IF(A326&lt;&gt;"",SUMIFS(deployment!$K$4:$K$502, deployment!$D$4:$D$502,"="&amp;A326, deployment!$D$4:$D$502,"&lt;&gt;"&amp;""),"")</f>
        <v/>
      </c>
      <c r="M326" s="97" t="str">
        <f>IF(A326&lt;&gt;"",SUMIFS(deployment!$L$4:$L$502, deployment!$D$4:$D$502,"="&amp;A326, deployment!$D$4:$D$502,"&lt;&gt;"&amp;""),"")</f>
        <v/>
      </c>
      <c r="N326" s="97" t="str">
        <f>IF(A326&lt;&gt;"",SUMIFS(deployment!$M$4:$M$502, deployment!$D$4:$D$502,"="&amp;A326, deployment!$D$4:$D$502,"&lt;&gt;"&amp;""),"")</f>
        <v/>
      </c>
      <c r="O326" s="127" t="str">
        <f t="shared" si="71"/>
        <v/>
      </c>
      <c r="P326" s="104"/>
      <c r="Q326" s="99" t="str">
        <f t="shared" si="60"/>
        <v/>
      </c>
      <c r="R326" s="100" t="str">
        <f t="shared" si="61"/>
        <v/>
      </c>
      <c r="S326" s="100" t="str">
        <f t="shared" si="62"/>
        <v/>
      </c>
      <c r="T326" s="101" t="str">
        <f t="shared" si="63"/>
        <v/>
      </c>
      <c r="U326" s="101" t="str">
        <f t="shared" si="64"/>
        <v/>
      </c>
      <c r="V326" s="128" t="str">
        <f t="shared" si="65"/>
        <v/>
      </c>
      <c r="W326" s="128" t="str">
        <f t="shared" si="66"/>
        <v/>
      </c>
      <c r="X326" s="101" t="str">
        <f t="shared" si="67"/>
        <v/>
      </c>
      <c r="Y326" s="101" t="str">
        <f t="shared" si="68"/>
        <v/>
      </c>
      <c r="Z326" s="102" t="str">
        <f t="shared" si="69"/>
        <v/>
      </c>
      <c r="AA326" s="103" t="str">
        <f t="shared" si="70"/>
        <v/>
      </c>
      <c r="AB326" s="142" t="str">
        <f>IF(A326&lt;&gt;"", SUMIFS(node!$J$2:$J$500, node!$C$2:$C$500,"="&amp;A326)/P326, "")</f>
        <v/>
      </c>
      <c r="AC326" s="134" t="str">
        <f>IF(A326&lt;&gt;"", SUMIFS(node!$K$2:$K$500, node!$C$2:$C$500,"="&amp;A326)/P326, "")</f>
        <v/>
      </c>
      <c r="AD326" s="135" t="str">
        <f>IF(A326&lt;&gt;"", SUMIFS(node!$L$2:$L$500, node!$C$2:$C$500,"="&amp;A326), "")</f>
        <v/>
      </c>
      <c r="AE326" s="145" t="str">
        <f>IF(A326&lt;&gt;"", SUMIFS(node!$M$2:$M$500, node!$C$2:$C$500,"="&amp;A326), "")</f>
        <v/>
      </c>
    </row>
    <row r="327" spans="1:31" ht="15.75" customHeight="1" x14ac:dyDescent="0.25">
      <c r="A327" s="119" t="str">
        <f>IF(ISNONTEXT(node_raw[[#This Row],[Column2]]), "", node_raw[[#This Row],[Column2]])</f>
        <v/>
      </c>
      <c r="B327" s="116" t="str">
        <f>IF(A327&lt;&gt;"", VLOOKUP(A327, node!$C$2:$D$500, 2, FALSE), "")</f>
        <v/>
      </c>
      <c r="C327" s="117" t="str">
        <f>IF(A327&lt;&gt;"", VLOOKUP(A327, node!$C$2:$E$500, 3, FALSE), "")</f>
        <v/>
      </c>
      <c r="D327" s="118" t="str">
        <f>IF(A327&lt;&gt;"",COUNTIFS(node!$C$2:$C$500,"="&amp;A327, node!$C$2:$C$500,"&lt;&gt;"&amp;""),"")</f>
        <v/>
      </c>
      <c r="E327" s="122" t="str">
        <f>IF(A327&lt;&gt;"",SUMIFS(node!$F$2:$F$500, node!$C$2:$C$500,"="&amp;A327, node!$C$2:$C$500,"&lt;&gt;"&amp;"")/(B327*D327),"")</f>
        <v/>
      </c>
      <c r="F327" s="124" t="str">
        <f>IF(A327&lt;&gt;"",SUMIFS(node!$H$2:$H$500, node!$C$2:$C$500,"="&amp;A327, node!$C$2:$C$500,"&lt;&gt;"&amp;"")/(C327*D327),"")</f>
        <v/>
      </c>
      <c r="G327" s="93" t="str">
        <f>IF(A327&lt;&gt;"",SUMIFS(deployment!$F$4:$F$502, deployment!$D$4:$D$502,"="&amp;A327, deployment!$D$4:$D$502,"&lt;&gt;"&amp;""),"")</f>
        <v/>
      </c>
      <c r="H327" s="94" t="str">
        <f>IF(A327&lt;&gt;"",SUMIFS(deployment!$G$4:$G$502, deployment!$D$4:$D$502,"="&amp;A327, deployment!$D$4:$D$502,"&lt;&gt;"&amp;""),"")</f>
        <v/>
      </c>
      <c r="I327" s="95" t="str">
        <f>IF(A327&lt;&gt;"",SUMIFS(deployment!$H$4:$H$502, deployment!$D$4:$D$502,"="&amp;A327, deployment!$D$4:$D$502,"&lt;&gt;"&amp;""),"")</f>
        <v/>
      </c>
      <c r="J327" s="96" t="str">
        <f>IF(A327&lt;&gt;"",SUMIFS(deployment!$I$4:$I$502, deployment!$D$4:$D$502,"="&amp;A327, deployment!$D$4:$D$502,"&lt;&gt;"&amp;""),"")</f>
        <v/>
      </c>
      <c r="K327" s="112" t="str">
        <f>IF(A327&lt;&gt;"",SUMIFS(deployment!$J$4:$J$502, deployment!$D$4:$D$502,"="&amp;A327, deployment!$D$4:$D$502,"&lt;&gt;"&amp;""),"")</f>
        <v/>
      </c>
      <c r="L327" s="112" t="str">
        <f>IF(A327&lt;&gt;"",SUMIFS(deployment!$K$4:$K$502, deployment!$D$4:$D$502,"="&amp;A327, deployment!$D$4:$D$502,"&lt;&gt;"&amp;""),"")</f>
        <v/>
      </c>
      <c r="M327" s="97" t="str">
        <f>IF(A327&lt;&gt;"",SUMIFS(deployment!$L$4:$L$502, deployment!$D$4:$D$502,"="&amp;A327, deployment!$D$4:$D$502,"&lt;&gt;"&amp;""),"")</f>
        <v/>
      </c>
      <c r="N327" s="97" t="str">
        <f>IF(A327&lt;&gt;"",SUMIFS(deployment!$M$4:$M$502, deployment!$D$4:$D$502,"="&amp;A327, deployment!$D$4:$D$502,"&lt;&gt;"&amp;""),"")</f>
        <v/>
      </c>
      <c r="O327" s="127" t="str">
        <f t="shared" si="71"/>
        <v/>
      </c>
      <c r="P327" s="104"/>
      <c r="Q327" s="99" t="str">
        <f t="shared" si="60"/>
        <v/>
      </c>
      <c r="R327" s="100" t="str">
        <f t="shared" si="61"/>
        <v/>
      </c>
      <c r="S327" s="100" t="str">
        <f t="shared" si="62"/>
        <v/>
      </c>
      <c r="T327" s="101" t="str">
        <f t="shared" si="63"/>
        <v/>
      </c>
      <c r="U327" s="101" t="str">
        <f t="shared" si="64"/>
        <v/>
      </c>
      <c r="V327" s="128" t="str">
        <f t="shared" si="65"/>
        <v/>
      </c>
      <c r="W327" s="128" t="str">
        <f t="shared" si="66"/>
        <v/>
      </c>
      <c r="X327" s="101" t="str">
        <f t="shared" si="67"/>
        <v/>
      </c>
      <c r="Y327" s="101" t="str">
        <f t="shared" si="68"/>
        <v/>
      </c>
      <c r="Z327" s="102" t="str">
        <f t="shared" si="69"/>
        <v/>
      </c>
      <c r="AA327" s="103" t="str">
        <f t="shared" si="70"/>
        <v/>
      </c>
      <c r="AB327" s="142" t="str">
        <f>IF(A327&lt;&gt;"", SUMIFS(node!$J$2:$J$500, node!$C$2:$C$500,"="&amp;A327)/P327, "")</f>
        <v/>
      </c>
      <c r="AC327" s="134" t="str">
        <f>IF(A327&lt;&gt;"", SUMIFS(node!$K$2:$K$500, node!$C$2:$C$500,"="&amp;A327)/P327, "")</f>
        <v/>
      </c>
      <c r="AD327" s="135" t="str">
        <f>IF(A327&lt;&gt;"", SUMIFS(node!$L$2:$L$500, node!$C$2:$C$500,"="&amp;A327), "")</f>
        <v/>
      </c>
      <c r="AE327" s="145" t="str">
        <f>IF(A327&lt;&gt;"", SUMIFS(node!$M$2:$M$500, node!$C$2:$C$500,"="&amp;A327), "")</f>
        <v/>
      </c>
    </row>
    <row r="328" spans="1:31" ht="15.75" customHeight="1" x14ac:dyDescent="0.25">
      <c r="A328" s="119" t="str">
        <f>IF(ISNONTEXT(node_raw[[#This Row],[Column2]]), "", node_raw[[#This Row],[Column2]])</f>
        <v/>
      </c>
      <c r="B328" s="116" t="str">
        <f>IF(A328&lt;&gt;"", VLOOKUP(A328, node!$C$2:$D$500, 2, FALSE), "")</f>
        <v/>
      </c>
      <c r="C328" s="117" t="str">
        <f>IF(A328&lt;&gt;"", VLOOKUP(A328, node!$C$2:$E$500, 3, FALSE), "")</f>
        <v/>
      </c>
      <c r="D328" s="118" t="str">
        <f>IF(A328&lt;&gt;"",COUNTIFS(node!$C$2:$C$500,"="&amp;A328, node!$C$2:$C$500,"&lt;&gt;"&amp;""),"")</f>
        <v/>
      </c>
      <c r="E328" s="122" t="str">
        <f>IF(A328&lt;&gt;"",SUMIFS(node!$F$2:$F$500, node!$C$2:$C$500,"="&amp;A328, node!$C$2:$C$500,"&lt;&gt;"&amp;"")/(B328*D328),"")</f>
        <v/>
      </c>
      <c r="F328" s="124" t="str">
        <f>IF(A328&lt;&gt;"",SUMIFS(node!$H$2:$H$500, node!$C$2:$C$500,"="&amp;A328, node!$C$2:$C$500,"&lt;&gt;"&amp;"")/(C328*D328),"")</f>
        <v/>
      </c>
      <c r="G328" s="93" t="str">
        <f>IF(A328&lt;&gt;"",SUMIFS(deployment!$F$4:$F$502, deployment!$D$4:$D$502,"="&amp;A328, deployment!$D$4:$D$502,"&lt;&gt;"&amp;""),"")</f>
        <v/>
      </c>
      <c r="H328" s="94" t="str">
        <f>IF(A328&lt;&gt;"",SUMIFS(deployment!$G$4:$G$502, deployment!$D$4:$D$502,"="&amp;A328, deployment!$D$4:$D$502,"&lt;&gt;"&amp;""),"")</f>
        <v/>
      </c>
      <c r="I328" s="95" t="str">
        <f>IF(A328&lt;&gt;"",SUMIFS(deployment!$H$4:$H$502, deployment!$D$4:$D$502,"="&amp;A328, deployment!$D$4:$D$502,"&lt;&gt;"&amp;""),"")</f>
        <v/>
      </c>
      <c r="J328" s="96" t="str">
        <f>IF(A328&lt;&gt;"",SUMIFS(deployment!$I$4:$I$502, deployment!$D$4:$D$502,"="&amp;A328, deployment!$D$4:$D$502,"&lt;&gt;"&amp;""),"")</f>
        <v/>
      </c>
      <c r="K328" s="112" t="str">
        <f>IF(A328&lt;&gt;"",SUMIFS(deployment!$J$4:$J$502, deployment!$D$4:$D$502,"="&amp;A328, deployment!$D$4:$D$502,"&lt;&gt;"&amp;""),"")</f>
        <v/>
      </c>
      <c r="L328" s="112" t="str">
        <f>IF(A328&lt;&gt;"",SUMIFS(deployment!$K$4:$K$502, deployment!$D$4:$D$502,"="&amp;A328, deployment!$D$4:$D$502,"&lt;&gt;"&amp;""),"")</f>
        <v/>
      </c>
      <c r="M328" s="97" t="str">
        <f>IF(A328&lt;&gt;"",SUMIFS(deployment!$L$4:$L$502, deployment!$D$4:$D$502,"="&amp;A328, deployment!$D$4:$D$502,"&lt;&gt;"&amp;""),"")</f>
        <v/>
      </c>
      <c r="N328" s="97" t="str">
        <f>IF(A328&lt;&gt;"",SUMIFS(deployment!$M$4:$M$502, deployment!$D$4:$D$502,"="&amp;A328, deployment!$D$4:$D$502,"&lt;&gt;"&amp;""),"")</f>
        <v/>
      </c>
      <c r="O328" s="127" t="str">
        <f t="shared" si="71"/>
        <v/>
      </c>
      <c r="P328" s="104"/>
      <c r="Q328" s="99" t="str">
        <f t="shared" si="60"/>
        <v/>
      </c>
      <c r="R328" s="100" t="str">
        <f t="shared" si="61"/>
        <v/>
      </c>
      <c r="S328" s="100" t="str">
        <f t="shared" si="62"/>
        <v/>
      </c>
      <c r="T328" s="101" t="str">
        <f t="shared" si="63"/>
        <v/>
      </c>
      <c r="U328" s="101" t="str">
        <f t="shared" si="64"/>
        <v/>
      </c>
      <c r="V328" s="128" t="str">
        <f t="shared" si="65"/>
        <v/>
      </c>
      <c r="W328" s="128" t="str">
        <f t="shared" si="66"/>
        <v/>
      </c>
      <c r="X328" s="101" t="str">
        <f t="shared" si="67"/>
        <v/>
      </c>
      <c r="Y328" s="101" t="str">
        <f t="shared" si="68"/>
        <v/>
      </c>
      <c r="Z328" s="102" t="str">
        <f t="shared" si="69"/>
        <v/>
      </c>
      <c r="AA328" s="103" t="str">
        <f t="shared" si="70"/>
        <v/>
      </c>
      <c r="AB328" s="142" t="str">
        <f>IF(A328&lt;&gt;"", SUMIFS(node!$J$2:$J$500, node!$C$2:$C$500,"="&amp;A328)/P328, "")</f>
        <v/>
      </c>
      <c r="AC328" s="134" t="str">
        <f>IF(A328&lt;&gt;"", SUMIFS(node!$K$2:$K$500, node!$C$2:$C$500,"="&amp;A328)/P328, "")</f>
        <v/>
      </c>
      <c r="AD328" s="135" t="str">
        <f>IF(A328&lt;&gt;"", SUMIFS(node!$L$2:$L$500, node!$C$2:$C$500,"="&amp;A328), "")</f>
        <v/>
      </c>
      <c r="AE328" s="145" t="str">
        <f>IF(A328&lt;&gt;"", SUMIFS(node!$M$2:$M$500, node!$C$2:$C$500,"="&amp;A328), "")</f>
        <v/>
      </c>
    </row>
    <row r="329" spans="1:31" ht="15.75" customHeight="1" x14ac:dyDescent="0.25">
      <c r="A329" s="119" t="str">
        <f>IF(ISNONTEXT(node_raw[[#This Row],[Column2]]), "", node_raw[[#This Row],[Column2]])</f>
        <v/>
      </c>
      <c r="B329" s="116" t="str">
        <f>IF(A329&lt;&gt;"", VLOOKUP(A329, node!$C$2:$D$500, 2, FALSE), "")</f>
        <v/>
      </c>
      <c r="C329" s="117" t="str">
        <f>IF(A329&lt;&gt;"", VLOOKUP(A329, node!$C$2:$E$500, 3, FALSE), "")</f>
        <v/>
      </c>
      <c r="D329" s="118" t="str">
        <f>IF(A329&lt;&gt;"",COUNTIFS(node!$C$2:$C$500,"="&amp;A329, node!$C$2:$C$500,"&lt;&gt;"&amp;""),"")</f>
        <v/>
      </c>
      <c r="E329" s="122" t="str">
        <f>IF(A329&lt;&gt;"",SUMIFS(node!$F$2:$F$500, node!$C$2:$C$500,"="&amp;A329, node!$C$2:$C$500,"&lt;&gt;"&amp;"")/(B329*D329),"")</f>
        <v/>
      </c>
      <c r="F329" s="124" t="str">
        <f>IF(A329&lt;&gt;"",SUMIFS(node!$H$2:$H$500, node!$C$2:$C$500,"="&amp;A329, node!$C$2:$C$500,"&lt;&gt;"&amp;"")/(C329*D329),"")</f>
        <v/>
      </c>
      <c r="G329" s="93" t="str">
        <f>IF(A329&lt;&gt;"",SUMIFS(deployment!$F$4:$F$502, deployment!$D$4:$D$502,"="&amp;A329, deployment!$D$4:$D$502,"&lt;&gt;"&amp;""),"")</f>
        <v/>
      </c>
      <c r="H329" s="94" t="str">
        <f>IF(A329&lt;&gt;"",SUMIFS(deployment!$G$4:$G$502, deployment!$D$4:$D$502,"="&amp;A329, deployment!$D$4:$D$502,"&lt;&gt;"&amp;""),"")</f>
        <v/>
      </c>
      <c r="I329" s="95" t="str">
        <f>IF(A329&lt;&gt;"",SUMIFS(deployment!$H$4:$H$502, deployment!$D$4:$D$502,"="&amp;A329, deployment!$D$4:$D$502,"&lt;&gt;"&amp;""),"")</f>
        <v/>
      </c>
      <c r="J329" s="96" t="str">
        <f>IF(A329&lt;&gt;"",SUMIFS(deployment!$I$4:$I$502, deployment!$D$4:$D$502,"="&amp;A329, deployment!$D$4:$D$502,"&lt;&gt;"&amp;""),"")</f>
        <v/>
      </c>
      <c r="K329" s="112" t="str">
        <f>IF(A329&lt;&gt;"",SUMIFS(deployment!$J$4:$J$502, deployment!$D$4:$D$502,"="&amp;A329, deployment!$D$4:$D$502,"&lt;&gt;"&amp;""),"")</f>
        <v/>
      </c>
      <c r="L329" s="112" t="str">
        <f>IF(A329&lt;&gt;"",SUMIFS(deployment!$K$4:$K$502, deployment!$D$4:$D$502,"="&amp;A329, deployment!$D$4:$D$502,"&lt;&gt;"&amp;""),"")</f>
        <v/>
      </c>
      <c r="M329" s="97" t="str">
        <f>IF(A329&lt;&gt;"",SUMIFS(deployment!$L$4:$L$502, deployment!$D$4:$D$502,"="&amp;A329, deployment!$D$4:$D$502,"&lt;&gt;"&amp;""),"")</f>
        <v/>
      </c>
      <c r="N329" s="97" t="str">
        <f>IF(A329&lt;&gt;"",SUMIFS(deployment!$M$4:$M$502, deployment!$D$4:$D$502,"="&amp;A329, deployment!$D$4:$D$502,"&lt;&gt;"&amp;""),"")</f>
        <v/>
      </c>
      <c r="O329" s="127" t="str">
        <f t="shared" si="71"/>
        <v/>
      </c>
      <c r="P329" s="104"/>
      <c r="Q329" s="99" t="str">
        <f t="shared" si="60"/>
        <v/>
      </c>
      <c r="R329" s="100" t="str">
        <f t="shared" si="61"/>
        <v/>
      </c>
      <c r="S329" s="100" t="str">
        <f t="shared" si="62"/>
        <v/>
      </c>
      <c r="T329" s="101" t="str">
        <f t="shared" si="63"/>
        <v/>
      </c>
      <c r="U329" s="101" t="str">
        <f t="shared" si="64"/>
        <v/>
      </c>
      <c r="V329" s="128" t="str">
        <f t="shared" si="65"/>
        <v/>
      </c>
      <c r="W329" s="128" t="str">
        <f t="shared" si="66"/>
        <v/>
      </c>
      <c r="X329" s="101" t="str">
        <f t="shared" si="67"/>
        <v/>
      </c>
      <c r="Y329" s="101" t="str">
        <f t="shared" si="68"/>
        <v/>
      </c>
      <c r="Z329" s="102" t="str">
        <f t="shared" si="69"/>
        <v/>
      </c>
      <c r="AA329" s="103" t="str">
        <f t="shared" si="70"/>
        <v/>
      </c>
      <c r="AB329" s="142" t="str">
        <f>IF(A329&lt;&gt;"", SUMIFS(node!$J$2:$J$500, node!$C$2:$C$500,"="&amp;A329)/P329, "")</f>
        <v/>
      </c>
      <c r="AC329" s="134" t="str">
        <f>IF(A329&lt;&gt;"", SUMIFS(node!$K$2:$K$500, node!$C$2:$C$500,"="&amp;A329)/P329, "")</f>
        <v/>
      </c>
      <c r="AD329" s="135" t="str">
        <f>IF(A329&lt;&gt;"", SUMIFS(node!$L$2:$L$500, node!$C$2:$C$500,"="&amp;A329), "")</f>
        <v/>
      </c>
      <c r="AE329" s="145" t="str">
        <f>IF(A329&lt;&gt;"", SUMIFS(node!$M$2:$M$500, node!$C$2:$C$500,"="&amp;A329), "")</f>
        <v/>
      </c>
    </row>
    <row r="330" spans="1:31" ht="15.75" customHeight="1" x14ac:dyDescent="0.25">
      <c r="A330" s="119" t="str">
        <f>IF(ISNONTEXT(node_raw[[#This Row],[Column2]]), "", node_raw[[#This Row],[Column2]])</f>
        <v/>
      </c>
      <c r="B330" s="116" t="str">
        <f>IF(A330&lt;&gt;"", VLOOKUP(A330, node!$C$2:$D$500, 2, FALSE), "")</f>
        <v/>
      </c>
      <c r="C330" s="117" t="str">
        <f>IF(A330&lt;&gt;"", VLOOKUP(A330, node!$C$2:$E$500, 3, FALSE), "")</f>
        <v/>
      </c>
      <c r="D330" s="118" t="str">
        <f>IF(A330&lt;&gt;"",COUNTIFS(node!$C$2:$C$500,"="&amp;A330, node!$C$2:$C$500,"&lt;&gt;"&amp;""),"")</f>
        <v/>
      </c>
      <c r="E330" s="122" t="str">
        <f>IF(A330&lt;&gt;"",SUMIFS(node!$F$2:$F$500, node!$C$2:$C$500,"="&amp;A330, node!$C$2:$C$500,"&lt;&gt;"&amp;"")/(B330*D330),"")</f>
        <v/>
      </c>
      <c r="F330" s="124" t="str">
        <f>IF(A330&lt;&gt;"",SUMIFS(node!$H$2:$H$500, node!$C$2:$C$500,"="&amp;A330, node!$C$2:$C$500,"&lt;&gt;"&amp;"")/(C330*D330),"")</f>
        <v/>
      </c>
      <c r="G330" s="93" t="str">
        <f>IF(A330&lt;&gt;"",SUMIFS(deployment!$F$4:$F$502, deployment!$D$4:$D$502,"="&amp;A330, deployment!$D$4:$D$502,"&lt;&gt;"&amp;""),"")</f>
        <v/>
      </c>
      <c r="H330" s="94" t="str">
        <f>IF(A330&lt;&gt;"",SUMIFS(deployment!$G$4:$G$502, deployment!$D$4:$D$502,"="&amp;A330, deployment!$D$4:$D$502,"&lt;&gt;"&amp;""),"")</f>
        <v/>
      </c>
      <c r="I330" s="95" t="str">
        <f>IF(A330&lt;&gt;"",SUMIFS(deployment!$H$4:$H$502, deployment!$D$4:$D$502,"="&amp;A330, deployment!$D$4:$D$502,"&lt;&gt;"&amp;""),"")</f>
        <v/>
      </c>
      <c r="J330" s="96" t="str">
        <f>IF(A330&lt;&gt;"",SUMIFS(deployment!$I$4:$I$502, deployment!$D$4:$D$502,"="&amp;A330, deployment!$D$4:$D$502,"&lt;&gt;"&amp;""),"")</f>
        <v/>
      </c>
      <c r="K330" s="112" t="str">
        <f>IF(A330&lt;&gt;"",SUMIFS(deployment!$J$4:$J$502, deployment!$D$4:$D$502,"="&amp;A330, deployment!$D$4:$D$502,"&lt;&gt;"&amp;""),"")</f>
        <v/>
      </c>
      <c r="L330" s="112" t="str">
        <f>IF(A330&lt;&gt;"",SUMIFS(deployment!$K$4:$K$502, deployment!$D$4:$D$502,"="&amp;A330, deployment!$D$4:$D$502,"&lt;&gt;"&amp;""),"")</f>
        <v/>
      </c>
      <c r="M330" s="97" t="str">
        <f>IF(A330&lt;&gt;"",SUMIFS(deployment!$L$4:$L$502, deployment!$D$4:$D$502,"="&amp;A330, deployment!$D$4:$D$502,"&lt;&gt;"&amp;""),"")</f>
        <v/>
      </c>
      <c r="N330" s="97" t="str">
        <f>IF(A330&lt;&gt;"",SUMIFS(deployment!$M$4:$M$502, deployment!$D$4:$D$502,"="&amp;A330, deployment!$D$4:$D$502,"&lt;&gt;"&amp;""),"")</f>
        <v/>
      </c>
      <c r="O330" s="127" t="str">
        <f t="shared" si="71"/>
        <v/>
      </c>
      <c r="P330" s="104"/>
      <c r="Q330" s="99" t="str">
        <f t="shared" si="60"/>
        <v/>
      </c>
      <c r="R330" s="100" t="str">
        <f t="shared" si="61"/>
        <v/>
      </c>
      <c r="S330" s="100" t="str">
        <f t="shared" si="62"/>
        <v/>
      </c>
      <c r="T330" s="101" t="str">
        <f t="shared" si="63"/>
        <v/>
      </c>
      <c r="U330" s="101" t="str">
        <f t="shared" si="64"/>
        <v/>
      </c>
      <c r="V330" s="128" t="str">
        <f t="shared" si="65"/>
        <v/>
      </c>
      <c r="W330" s="128" t="str">
        <f t="shared" si="66"/>
        <v/>
      </c>
      <c r="X330" s="101" t="str">
        <f t="shared" si="67"/>
        <v/>
      </c>
      <c r="Y330" s="101" t="str">
        <f t="shared" si="68"/>
        <v/>
      </c>
      <c r="Z330" s="102" t="str">
        <f t="shared" si="69"/>
        <v/>
      </c>
      <c r="AA330" s="103" t="str">
        <f t="shared" si="70"/>
        <v/>
      </c>
      <c r="AB330" s="142" t="str">
        <f>IF(A330&lt;&gt;"", SUMIFS(node!$J$2:$J$500, node!$C$2:$C$500,"="&amp;A330)/P330, "")</f>
        <v/>
      </c>
      <c r="AC330" s="134" t="str">
        <f>IF(A330&lt;&gt;"", SUMIFS(node!$K$2:$K$500, node!$C$2:$C$500,"="&amp;A330)/P330, "")</f>
        <v/>
      </c>
      <c r="AD330" s="135" t="str">
        <f>IF(A330&lt;&gt;"", SUMIFS(node!$L$2:$L$500, node!$C$2:$C$500,"="&amp;A330), "")</f>
        <v/>
      </c>
      <c r="AE330" s="145" t="str">
        <f>IF(A330&lt;&gt;"", SUMIFS(node!$M$2:$M$500, node!$C$2:$C$500,"="&amp;A330), "")</f>
        <v/>
      </c>
    </row>
    <row r="331" spans="1:31" ht="15.75" customHeight="1" x14ac:dyDescent="0.25">
      <c r="A331" s="119" t="str">
        <f>IF(ISNONTEXT(node_raw[[#This Row],[Column2]]), "", node_raw[[#This Row],[Column2]])</f>
        <v/>
      </c>
      <c r="B331" s="116" t="str">
        <f>IF(A331&lt;&gt;"", VLOOKUP(A331, node!$C$2:$D$500, 2, FALSE), "")</f>
        <v/>
      </c>
      <c r="C331" s="117" t="str">
        <f>IF(A331&lt;&gt;"", VLOOKUP(A331, node!$C$2:$E$500, 3, FALSE), "")</f>
        <v/>
      </c>
      <c r="D331" s="118" t="str">
        <f>IF(A331&lt;&gt;"",COUNTIFS(node!$C$2:$C$500,"="&amp;A331, node!$C$2:$C$500,"&lt;&gt;"&amp;""),"")</f>
        <v/>
      </c>
      <c r="E331" s="122" t="str">
        <f>IF(A331&lt;&gt;"",SUMIFS(node!$F$2:$F$500, node!$C$2:$C$500,"="&amp;A331, node!$C$2:$C$500,"&lt;&gt;"&amp;"")/(B331*D331),"")</f>
        <v/>
      </c>
      <c r="F331" s="124" t="str">
        <f>IF(A331&lt;&gt;"",SUMIFS(node!$H$2:$H$500, node!$C$2:$C$500,"="&amp;A331, node!$C$2:$C$500,"&lt;&gt;"&amp;"")/(C331*D331),"")</f>
        <v/>
      </c>
      <c r="G331" s="93" t="str">
        <f>IF(A331&lt;&gt;"",SUMIFS(deployment!$F$4:$F$502, deployment!$D$4:$D$502,"="&amp;A331, deployment!$D$4:$D$502,"&lt;&gt;"&amp;""),"")</f>
        <v/>
      </c>
      <c r="H331" s="94" t="str">
        <f>IF(A331&lt;&gt;"",SUMIFS(deployment!$G$4:$G$502, deployment!$D$4:$D$502,"="&amp;A331, deployment!$D$4:$D$502,"&lt;&gt;"&amp;""),"")</f>
        <v/>
      </c>
      <c r="I331" s="95" t="str">
        <f>IF(A331&lt;&gt;"",SUMIFS(deployment!$H$4:$H$502, deployment!$D$4:$D$502,"="&amp;A331, deployment!$D$4:$D$502,"&lt;&gt;"&amp;""),"")</f>
        <v/>
      </c>
      <c r="J331" s="96" t="str">
        <f>IF(A331&lt;&gt;"",SUMIFS(deployment!$I$4:$I$502, deployment!$D$4:$D$502,"="&amp;A331, deployment!$D$4:$D$502,"&lt;&gt;"&amp;""),"")</f>
        <v/>
      </c>
      <c r="K331" s="112" t="str">
        <f>IF(A331&lt;&gt;"",SUMIFS(deployment!$J$4:$J$502, deployment!$D$4:$D$502,"="&amp;A331, deployment!$D$4:$D$502,"&lt;&gt;"&amp;""),"")</f>
        <v/>
      </c>
      <c r="L331" s="112" t="str">
        <f>IF(A331&lt;&gt;"",SUMIFS(deployment!$K$4:$K$502, deployment!$D$4:$D$502,"="&amp;A331, deployment!$D$4:$D$502,"&lt;&gt;"&amp;""),"")</f>
        <v/>
      </c>
      <c r="M331" s="97" t="str">
        <f>IF(A331&lt;&gt;"",SUMIFS(deployment!$L$4:$L$502, deployment!$D$4:$D$502,"="&amp;A331, deployment!$D$4:$D$502,"&lt;&gt;"&amp;""),"")</f>
        <v/>
      </c>
      <c r="N331" s="97" t="str">
        <f>IF(A331&lt;&gt;"",SUMIFS(deployment!$M$4:$M$502, deployment!$D$4:$D$502,"="&amp;A331, deployment!$D$4:$D$502,"&lt;&gt;"&amp;""),"")</f>
        <v/>
      </c>
      <c r="O331" s="127" t="str">
        <f t="shared" si="71"/>
        <v/>
      </c>
      <c r="P331" s="104"/>
      <c r="Q331" s="99" t="str">
        <f t="shared" si="60"/>
        <v/>
      </c>
      <c r="R331" s="100" t="str">
        <f t="shared" si="61"/>
        <v/>
      </c>
      <c r="S331" s="100" t="str">
        <f t="shared" si="62"/>
        <v/>
      </c>
      <c r="T331" s="101" t="str">
        <f t="shared" si="63"/>
        <v/>
      </c>
      <c r="U331" s="101" t="str">
        <f t="shared" si="64"/>
        <v/>
      </c>
      <c r="V331" s="128" t="str">
        <f t="shared" si="65"/>
        <v/>
      </c>
      <c r="W331" s="128" t="str">
        <f t="shared" si="66"/>
        <v/>
      </c>
      <c r="X331" s="101" t="str">
        <f t="shared" si="67"/>
        <v/>
      </c>
      <c r="Y331" s="101" t="str">
        <f t="shared" si="68"/>
        <v/>
      </c>
      <c r="Z331" s="102" t="str">
        <f t="shared" si="69"/>
        <v/>
      </c>
      <c r="AA331" s="103" t="str">
        <f t="shared" si="70"/>
        <v/>
      </c>
      <c r="AB331" s="142" t="str">
        <f>IF(A331&lt;&gt;"", SUMIFS(node!$J$2:$J$500, node!$C$2:$C$500,"="&amp;A331)/P331, "")</f>
        <v/>
      </c>
      <c r="AC331" s="134" t="str">
        <f>IF(A331&lt;&gt;"", SUMIFS(node!$K$2:$K$500, node!$C$2:$C$500,"="&amp;A331)/P331, "")</f>
        <v/>
      </c>
      <c r="AD331" s="135" t="str">
        <f>IF(A331&lt;&gt;"", SUMIFS(node!$L$2:$L$500, node!$C$2:$C$500,"="&amp;A331), "")</f>
        <v/>
      </c>
      <c r="AE331" s="145" t="str">
        <f>IF(A331&lt;&gt;"", SUMIFS(node!$M$2:$M$500, node!$C$2:$C$500,"="&amp;A331), "")</f>
        <v/>
      </c>
    </row>
    <row r="332" spans="1:31" ht="15.75" customHeight="1" x14ac:dyDescent="0.25">
      <c r="A332" s="119" t="str">
        <f>IF(ISNONTEXT(node_raw[[#This Row],[Column2]]), "", node_raw[[#This Row],[Column2]])</f>
        <v/>
      </c>
      <c r="B332" s="116" t="str">
        <f>IF(A332&lt;&gt;"", VLOOKUP(A332, node!$C$2:$D$500, 2, FALSE), "")</f>
        <v/>
      </c>
      <c r="C332" s="117" t="str">
        <f>IF(A332&lt;&gt;"", VLOOKUP(A332, node!$C$2:$E$500, 3, FALSE), "")</f>
        <v/>
      </c>
      <c r="D332" s="118" t="str">
        <f>IF(A332&lt;&gt;"",COUNTIFS(node!$C$2:$C$500,"="&amp;A332, node!$C$2:$C$500,"&lt;&gt;"&amp;""),"")</f>
        <v/>
      </c>
      <c r="E332" s="122" t="str">
        <f>IF(A332&lt;&gt;"",SUMIFS(node!$F$2:$F$500, node!$C$2:$C$500,"="&amp;A332, node!$C$2:$C$500,"&lt;&gt;"&amp;"")/(B332*D332),"")</f>
        <v/>
      </c>
      <c r="F332" s="124" t="str">
        <f>IF(A332&lt;&gt;"",SUMIFS(node!$H$2:$H$500, node!$C$2:$C$500,"="&amp;A332, node!$C$2:$C$500,"&lt;&gt;"&amp;"")/(C332*D332),"")</f>
        <v/>
      </c>
      <c r="G332" s="93" t="str">
        <f>IF(A332&lt;&gt;"",SUMIFS(deployment!$F$4:$F$502, deployment!$D$4:$D$502,"="&amp;A332, deployment!$D$4:$D$502,"&lt;&gt;"&amp;""),"")</f>
        <v/>
      </c>
      <c r="H332" s="94" t="str">
        <f>IF(A332&lt;&gt;"",SUMIFS(deployment!$G$4:$G$502, deployment!$D$4:$D$502,"="&amp;A332, deployment!$D$4:$D$502,"&lt;&gt;"&amp;""),"")</f>
        <v/>
      </c>
      <c r="I332" s="95" t="str">
        <f>IF(A332&lt;&gt;"",SUMIFS(deployment!$H$4:$H$502, deployment!$D$4:$D$502,"="&amp;A332, deployment!$D$4:$D$502,"&lt;&gt;"&amp;""),"")</f>
        <v/>
      </c>
      <c r="J332" s="96" t="str">
        <f>IF(A332&lt;&gt;"",SUMIFS(deployment!$I$4:$I$502, deployment!$D$4:$D$502,"="&amp;A332, deployment!$D$4:$D$502,"&lt;&gt;"&amp;""),"")</f>
        <v/>
      </c>
      <c r="K332" s="112" t="str">
        <f>IF(A332&lt;&gt;"",SUMIFS(deployment!$J$4:$J$502, deployment!$D$4:$D$502,"="&amp;A332, deployment!$D$4:$D$502,"&lt;&gt;"&amp;""),"")</f>
        <v/>
      </c>
      <c r="L332" s="112" t="str">
        <f>IF(A332&lt;&gt;"",SUMIFS(deployment!$K$4:$K$502, deployment!$D$4:$D$502,"="&amp;A332, deployment!$D$4:$D$502,"&lt;&gt;"&amp;""),"")</f>
        <v/>
      </c>
      <c r="M332" s="97" t="str">
        <f>IF(A332&lt;&gt;"",SUMIFS(deployment!$L$4:$L$502, deployment!$D$4:$D$502,"="&amp;A332, deployment!$D$4:$D$502,"&lt;&gt;"&amp;""),"")</f>
        <v/>
      </c>
      <c r="N332" s="97" t="str">
        <f>IF(A332&lt;&gt;"",SUMIFS(deployment!$M$4:$M$502, deployment!$D$4:$D$502,"="&amp;A332, deployment!$D$4:$D$502,"&lt;&gt;"&amp;""),"")</f>
        <v/>
      </c>
      <c r="O332" s="127" t="str">
        <f t="shared" si="71"/>
        <v/>
      </c>
      <c r="P332" s="104"/>
      <c r="Q332" s="99" t="str">
        <f t="shared" si="60"/>
        <v/>
      </c>
      <c r="R332" s="100" t="str">
        <f t="shared" si="61"/>
        <v/>
      </c>
      <c r="S332" s="100" t="str">
        <f t="shared" si="62"/>
        <v/>
      </c>
      <c r="T332" s="101" t="str">
        <f t="shared" si="63"/>
        <v/>
      </c>
      <c r="U332" s="101" t="str">
        <f t="shared" si="64"/>
        <v/>
      </c>
      <c r="V332" s="128" t="str">
        <f t="shared" si="65"/>
        <v/>
      </c>
      <c r="W332" s="128" t="str">
        <f t="shared" si="66"/>
        <v/>
      </c>
      <c r="X332" s="101" t="str">
        <f t="shared" si="67"/>
        <v/>
      </c>
      <c r="Y332" s="101" t="str">
        <f t="shared" si="68"/>
        <v/>
      </c>
      <c r="Z332" s="102" t="str">
        <f t="shared" si="69"/>
        <v/>
      </c>
      <c r="AA332" s="103" t="str">
        <f t="shared" si="70"/>
        <v/>
      </c>
      <c r="AB332" s="142" t="str">
        <f>IF(A332&lt;&gt;"", SUMIFS(node!$J$2:$J$500, node!$C$2:$C$500,"="&amp;A332)/P332, "")</f>
        <v/>
      </c>
      <c r="AC332" s="134" t="str">
        <f>IF(A332&lt;&gt;"", SUMIFS(node!$K$2:$K$500, node!$C$2:$C$500,"="&amp;A332)/P332, "")</f>
        <v/>
      </c>
      <c r="AD332" s="135" t="str">
        <f>IF(A332&lt;&gt;"", SUMIFS(node!$L$2:$L$500, node!$C$2:$C$500,"="&amp;A332), "")</f>
        <v/>
      </c>
      <c r="AE332" s="145" t="str">
        <f>IF(A332&lt;&gt;"", SUMIFS(node!$M$2:$M$500, node!$C$2:$C$500,"="&amp;A332), "")</f>
        <v/>
      </c>
    </row>
    <row r="333" spans="1:31" ht="15.75" customHeight="1" x14ac:dyDescent="0.25">
      <c r="A333" s="119" t="str">
        <f>IF(ISNONTEXT(node_raw[[#This Row],[Column2]]), "", node_raw[[#This Row],[Column2]])</f>
        <v/>
      </c>
      <c r="B333" s="116" t="str">
        <f>IF(A333&lt;&gt;"", VLOOKUP(A333, node!$C$2:$D$500, 2, FALSE), "")</f>
        <v/>
      </c>
      <c r="C333" s="117" t="str">
        <f>IF(A333&lt;&gt;"", VLOOKUP(A333, node!$C$2:$E$500, 3, FALSE), "")</f>
        <v/>
      </c>
      <c r="D333" s="118" t="str">
        <f>IF(A333&lt;&gt;"",COUNTIFS(node!$C$2:$C$500,"="&amp;A333, node!$C$2:$C$500,"&lt;&gt;"&amp;""),"")</f>
        <v/>
      </c>
      <c r="E333" s="122" t="str">
        <f>IF(A333&lt;&gt;"",SUMIFS(node!$F$2:$F$500, node!$C$2:$C$500,"="&amp;A333, node!$C$2:$C$500,"&lt;&gt;"&amp;"")/(B333*D333),"")</f>
        <v/>
      </c>
      <c r="F333" s="124" t="str">
        <f>IF(A333&lt;&gt;"",SUMIFS(node!$H$2:$H$500, node!$C$2:$C$500,"="&amp;A333, node!$C$2:$C$500,"&lt;&gt;"&amp;"")/(C333*D333),"")</f>
        <v/>
      </c>
      <c r="G333" s="93" t="str">
        <f>IF(A333&lt;&gt;"",SUMIFS(deployment!$F$4:$F$502, deployment!$D$4:$D$502,"="&amp;A333, deployment!$D$4:$D$502,"&lt;&gt;"&amp;""),"")</f>
        <v/>
      </c>
      <c r="H333" s="94" t="str">
        <f>IF(A333&lt;&gt;"",SUMIFS(deployment!$G$4:$G$502, deployment!$D$4:$D$502,"="&amp;A333, deployment!$D$4:$D$502,"&lt;&gt;"&amp;""),"")</f>
        <v/>
      </c>
      <c r="I333" s="95" t="str">
        <f>IF(A333&lt;&gt;"",SUMIFS(deployment!$H$4:$H$502, deployment!$D$4:$D$502,"="&amp;A333, deployment!$D$4:$D$502,"&lt;&gt;"&amp;""),"")</f>
        <v/>
      </c>
      <c r="J333" s="96" t="str">
        <f>IF(A333&lt;&gt;"",SUMIFS(deployment!$I$4:$I$502, deployment!$D$4:$D$502,"="&amp;A333, deployment!$D$4:$D$502,"&lt;&gt;"&amp;""),"")</f>
        <v/>
      </c>
      <c r="K333" s="112" t="str">
        <f>IF(A333&lt;&gt;"",SUMIFS(deployment!$J$4:$J$502, deployment!$D$4:$D$502,"="&amp;A333, deployment!$D$4:$D$502,"&lt;&gt;"&amp;""),"")</f>
        <v/>
      </c>
      <c r="L333" s="112" t="str">
        <f>IF(A333&lt;&gt;"",SUMIFS(deployment!$K$4:$K$502, deployment!$D$4:$D$502,"="&amp;A333, deployment!$D$4:$D$502,"&lt;&gt;"&amp;""),"")</f>
        <v/>
      </c>
      <c r="M333" s="97" t="str">
        <f>IF(A333&lt;&gt;"",SUMIFS(deployment!$L$4:$L$502, deployment!$D$4:$D$502,"="&amp;A333, deployment!$D$4:$D$502,"&lt;&gt;"&amp;""),"")</f>
        <v/>
      </c>
      <c r="N333" s="97" t="str">
        <f>IF(A333&lt;&gt;"",SUMIFS(deployment!$M$4:$M$502, deployment!$D$4:$D$502,"="&amp;A333, deployment!$D$4:$D$502,"&lt;&gt;"&amp;""),"")</f>
        <v/>
      </c>
      <c r="O333" s="127" t="str">
        <f t="shared" si="71"/>
        <v/>
      </c>
      <c r="P333" s="104"/>
      <c r="Q333" s="99" t="str">
        <f t="shared" si="60"/>
        <v/>
      </c>
      <c r="R333" s="100" t="str">
        <f t="shared" si="61"/>
        <v/>
      </c>
      <c r="S333" s="100" t="str">
        <f t="shared" si="62"/>
        <v/>
      </c>
      <c r="T333" s="101" t="str">
        <f t="shared" si="63"/>
        <v/>
      </c>
      <c r="U333" s="101" t="str">
        <f t="shared" si="64"/>
        <v/>
      </c>
      <c r="V333" s="128" t="str">
        <f t="shared" si="65"/>
        <v/>
      </c>
      <c r="W333" s="128" t="str">
        <f t="shared" si="66"/>
        <v/>
      </c>
      <c r="X333" s="101" t="str">
        <f t="shared" si="67"/>
        <v/>
      </c>
      <c r="Y333" s="101" t="str">
        <f t="shared" si="68"/>
        <v/>
      </c>
      <c r="Z333" s="102" t="str">
        <f t="shared" si="69"/>
        <v/>
      </c>
      <c r="AA333" s="103" t="str">
        <f t="shared" si="70"/>
        <v/>
      </c>
      <c r="AB333" s="142" t="str">
        <f>IF(A333&lt;&gt;"", SUMIFS(node!$J$2:$J$500, node!$C$2:$C$500,"="&amp;A333)/P333, "")</f>
        <v/>
      </c>
      <c r="AC333" s="134" t="str">
        <f>IF(A333&lt;&gt;"", SUMIFS(node!$K$2:$K$500, node!$C$2:$C$500,"="&amp;A333)/P333, "")</f>
        <v/>
      </c>
      <c r="AD333" s="135" t="str">
        <f>IF(A333&lt;&gt;"", SUMIFS(node!$L$2:$L$500, node!$C$2:$C$500,"="&amp;A333), "")</f>
        <v/>
      </c>
      <c r="AE333" s="145" t="str">
        <f>IF(A333&lt;&gt;"", SUMIFS(node!$M$2:$M$500, node!$C$2:$C$500,"="&amp;A333), "")</f>
        <v/>
      </c>
    </row>
    <row r="334" spans="1:31" ht="15.75" customHeight="1" x14ac:dyDescent="0.25">
      <c r="A334" s="119" t="str">
        <f>IF(ISNONTEXT(node_raw[[#This Row],[Column2]]), "", node_raw[[#This Row],[Column2]])</f>
        <v/>
      </c>
      <c r="B334" s="116" t="str">
        <f>IF(A334&lt;&gt;"", VLOOKUP(A334, node!$C$2:$D$500, 2, FALSE), "")</f>
        <v/>
      </c>
      <c r="C334" s="117" t="str">
        <f>IF(A334&lt;&gt;"", VLOOKUP(A334, node!$C$2:$E$500, 3, FALSE), "")</f>
        <v/>
      </c>
      <c r="D334" s="118" t="str">
        <f>IF(A334&lt;&gt;"",COUNTIFS(node!$C$2:$C$500,"="&amp;A334, node!$C$2:$C$500,"&lt;&gt;"&amp;""),"")</f>
        <v/>
      </c>
      <c r="E334" s="122" t="str">
        <f>IF(A334&lt;&gt;"",SUMIFS(node!$F$2:$F$500, node!$C$2:$C$500,"="&amp;A334, node!$C$2:$C$500,"&lt;&gt;"&amp;"")/(B334*D334),"")</f>
        <v/>
      </c>
      <c r="F334" s="124" t="str">
        <f>IF(A334&lt;&gt;"",SUMIFS(node!$H$2:$H$500, node!$C$2:$C$500,"="&amp;A334, node!$C$2:$C$500,"&lt;&gt;"&amp;"")/(C334*D334),"")</f>
        <v/>
      </c>
      <c r="G334" s="93" t="str">
        <f>IF(A334&lt;&gt;"",SUMIFS(deployment!$F$4:$F$502, deployment!$D$4:$D$502,"="&amp;A334, deployment!$D$4:$D$502,"&lt;&gt;"&amp;""),"")</f>
        <v/>
      </c>
      <c r="H334" s="94" t="str">
        <f>IF(A334&lt;&gt;"",SUMIFS(deployment!$G$4:$G$502, deployment!$D$4:$D$502,"="&amp;A334, deployment!$D$4:$D$502,"&lt;&gt;"&amp;""),"")</f>
        <v/>
      </c>
      <c r="I334" s="95" t="str">
        <f>IF(A334&lt;&gt;"",SUMIFS(deployment!$H$4:$H$502, deployment!$D$4:$D$502,"="&amp;A334, deployment!$D$4:$D$502,"&lt;&gt;"&amp;""),"")</f>
        <v/>
      </c>
      <c r="J334" s="96" t="str">
        <f>IF(A334&lt;&gt;"",SUMIFS(deployment!$I$4:$I$502, deployment!$D$4:$D$502,"="&amp;A334, deployment!$D$4:$D$502,"&lt;&gt;"&amp;""),"")</f>
        <v/>
      </c>
      <c r="K334" s="112" t="str">
        <f>IF(A334&lt;&gt;"",SUMIFS(deployment!$J$4:$J$502, deployment!$D$4:$D$502,"="&amp;A334, deployment!$D$4:$D$502,"&lt;&gt;"&amp;""),"")</f>
        <v/>
      </c>
      <c r="L334" s="112" t="str">
        <f>IF(A334&lt;&gt;"",SUMIFS(deployment!$K$4:$K$502, deployment!$D$4:$D$502,"="&amp;A334, deployment!$D$4:$D$502,"&lt;&gt;"&amp;""),"")</f>
        <v/>
      </c>
      <c r="M334" s="97" t="str">
        <f>IF(A334&lt;&gt;"",SUMIFS(deployment!$L$4:$L$502, deployment!$D$4:$D$502,"="&amp;A334, deployment!$D$4:$D$502,"&lt;&gt;"&amp;""),"")</f>
        <v/>
      </c>
      <c r="N334" s="97" t="str">
        <f>IF(A334&lt;&gt;"",SUMIFS(deployment!$M$4:$M$502, deployment!$D$4:$D$502,"="&amp;A334, deployment!$D$4:$D$502,"&lt;&gt;"&amp;""),"")</f>
        <v/>
      </c>
      <c r="O334" s="127" t="str">
        <f t="shared" si="71"/>
        <v/>
      </c>
      <c r="P334" s="104"/>
      <c r="Q334" s="99" t="str">
        <f t="shared" si="60"/>
        <v/>
      </c>
      <c r="R334" s="100" t="str">
        <f t="shared" si="61"/>
        <v/>
      </c>
      <c r="S334" s="100" t="str">
        <f t="shared" si="62"/>
        <v/>
      </c>
      <c r="T334" s="101" t="str">
        <f t="shared" si="63"/>
        <v/>
      </c>
      <c r="U334" s="101" t="str">
        <f t="shared" si="64"/>
        <v/>
      </c>
      <c r="V334" s="128" t="str">
        <f t="shared" si="65"/>
        <v/>
      </c>
      <c r="W334" s="128" t="str">
        <f t="shared" si="66"/>
        <v/>
      </c>
      <c r="X334" s="101" t="str">
        <f t="shared" si="67"/>
        <v/>
      </c>
      <c r="Y334" s="101" t="str">
        <f t="shared" si="68"/>
        <v/>
      </c>
      <c r="Z334" s="102" t="str">
        <f t="shared" si="69"/>
        <v/>
      </c>
      <c r="AA334" s="103" t="str">
        <f t="shared" si="70"/>
        <v/>
      </c>
      <c r="AB334" s="142" t="str">
        <f>IF(A334&lt;&gt;"", SUMIFS(node!$J$2:$J$500, node!$C$2:$C$500,"="&amp;A334)/P334, "")</f>
        <v/>
      </c>
      <c r="AC334" s="134" t="str">
        <f>IF(A334&lt;&gt;"", SUMIFS(node!$K$2:$K$500, node!$C$2:$C$500,"="&amp;A334)/P334, "")</f>
        <v/>
      </c>
      <c r="AD334" s="135" t="str">
        <f>IF(A334&lt;&gt;"", SUMIFS(node!$L$2:$L$500, node!$C$2:$C$500,"="&amp;A334), "")</f>
        <v/>
      </c>
      <c r="AE334" s="145" t="str">
        <f>IF(A334&lt;&gt;"", SUMIFS(node!$M$2:$M$500, node!$C$2:$C$500,"="&amp;A334), "")</f>
        <v/>
      </c>
    </row>
    <row r="335" spans="1:31" ht="15.75" customHeight="1" x14ac:dyDescent="0.25">
      <c r="A335" s="119" t="str">
        <f>IF(ISNONTEXT(node_raw[[#This Row],[Column2]]), "", node_raw[[#This Row],[Column2]])</f>
        <v/>
      </c>
      <c r="B335" s="116" t="str">
        <f>IF(A335&lt;&gt;"", VLOOKUP(A335, node!$C$2:$D$500, 2, FALSE), "")</f>
        <v/>
      </c>
      <c r="C335" s="117" t="str">
        <f>IF(A335&lt;&gt;"", VLOOKUP(A335, node!$C$2:$E$500, 3, FALSE), "")</f>
        <v/>
      </c>
      <c r="D335" s="118" t="str">
        <f>IF(A335&lt;&gt;"",COUNTIFS(node!$C$2:$C$500,"="&amp;A335, node!$C$2:$C$500,"&lt;&gt;"&amp;""),"")</f>
        <v/>
      </c>
      <c r="E335" s="122" t="str">
        <f>IF(A335&lt;&gt;"",SUMIFS(node!$F$2:$F$500, node!$C$2:$C$500,"="&amp;A335, node!$C$2:$C$500,"&lt;&gt;"&amp;"")/(B335*D335),"")</f>
        <v/>
      </c>
      <c r="F335" s="124" t="str">
        <f>IF(A335&lt;&gt;"",SUMIFS(node!$H$2:$H$500, node!$C$2:$C$500,"="&amp;A335, node!$C$2:$C$500,"&lt;&gt;"&amp;"")/(C335*D335),"")</f>
        <v/>
      </c>
      <c r="G335" s="93" t="str">
        <f>IF(A335&lt;&gt;"",SUMIFS(deployment!$F$4:$F$502, deployment!$D$4:$D$502,"="&amp;A335, deployment!$D$4:$D$502,"&lt;&gt;"&amp;""),"")</f>
        <v/>
      </c>
      <c r="H335" s="94" t="str">
        <f>IF(A335&lt;&gt;"",SUMIFS(deployment!$G$4:$G$502, deployment!$D$4:$D$502,"="&amp;A335, deployment!$D$4:$D$502,"&lt;&gt;"&amp;""),"")</f>
        <v/>
      </c>
      <c r="I335" s="95" t="str">
        <f>IF(A335&lt;&gt;"",SUMIFS(deployment!$H$4:$H$502, deployment!$D$4:$D$502,"="&amp;A335, deployment!$D$4:$D$502,"&lt;&gt;"&amp;""),"")</f>
        <v/>
      </c>
      <c r="J335" s="96" t="str">
        <f>IF(A335&lt;&gt;"",SUMIFS(deployment!$I$4:$I$502, deployment!$D$4:$D$502,"="&amp;A335, deployment!$D$4:$D$502,"&lt;&gt;"&amp;""),"")</f>
        <v/>
      </c>
      <c r="K335" s="112" t="str">
        <f>IF(A335&lt;&gt;"",SUMIFS(deployment!$J$4:$J$502, deployment!$D$4:$D$502,"="&amp;A335, deployment!$D$4:$D$502,"&lt;&gt;"&amp;""),"")</f>
        <v/>
      </c>
      <c r="L335" s="112" t="str">
        <f>IF(A335&lt;&gt;"",SUMIFS(deployment!$K$4:$K$502, deployment!$D$4:$D$502,"="&amp;A335, deployment!$D$4:$D$502,"&lt;&gt;"&amp;""),"")</f>
        <v/>
      </c>
      <c r="M335" s="97" t="str">
        <f>IF(A335&lt;&gt;"",SUMIFS(deployment!$L$4:$L$502, deployment!$D$4:$D$502,"="&amp;A335, deployment!$D$4:$D$502,"&lt;&gt;"&amp;""),"")</f>
        <v/>
      </c>
      <c r="N335" s="97" t="str">
        <f>IF(A335&lt;&gt;"",SUMIFS(deployment!$M$4:$M$502, deployment!$D$4:$D$502,"="&amp;A335, deployment!$D$4:$D$502,"&lt;&gt;"&amp;""),"")</f>
        <v/>
      </c>
      <c r="O335" s="127" t="str">
        <f t="shared" si="71"/>
        <v/>
      </c>
      <c r="P335" s="104"/>
      <c r="Q335" s="99" t="str">
        <f t="shared" si="60"/>
        <v/>
      </c>
      <c r="R335" s="100" t="str">
        <f t="shared" si="61"/>
        <v/>
      </c>
      <c r="S335" s="100" t="str">
        <f t="shared" si="62"/>
        <v/>
      </c>
      <c r="T335" s="101" t="str">
        <f t="shared" si="63"/>
        <v/>
      </c>
      <c r="U335" s="101" t="str">
        <f t="shared" si="64"/>
        <v/>
      </c>
      <c r="V335" s="128" t="str">
        <f t="shared" si="65"/>
        <v/>
      </c>
      <c r="W335" s="128" t="str">
        <f t="shared" si="66"/>
        <v/>
      </c>
      <c r="X335" s="101" t="str">
        <f t="shared" si="67"/>
        <v/>
      </c>
      <c r="Y335" s="101" t="str">
        <f t="shared" si="68"/>
        <v/>
      </c>
      <c r="Z335" s="102" t="str">
        <f t="shared" si="69"/>
        <v/>
      </c>
      <c r="AA335" s="103" t="str">
        <f t="shared" si="70"/>
        <v/>
      </c>
      <c r="AB335" s="142" t="str">
        <f>IF(A335&lt;&gt;"", SUMIFS(node!$J$2:$J$500, node!$C$2:$C$500,"="&amp;A335)/P335, "")</f>
        <v/>
      </c>
      <c r="AC335" s="134" t="str">
        <f>IF(A335&lt;&gt;"", SUMIFS(node!$K$2:$K$500, node!$C$2:$C$500,"="&amp;A335)/P335, "")</f>
        <v/>
      </c>
      <c r="AD335" s="135" t="str">
        <f>IF(A335&lt;&gt;"", SUMIFS(node!$L$2:$L$500, node!$C$2:$C$500,"="&amp;A335), "")</f>
        <v/>
      </c>
      <c r="AE335" s="145" t="str">
        <f>IF(A335&lt;&gt;"", SUMIFS(node!$M$2:$M$500, node!$C$2:$C$500,"="&amp;A335), "")</f>
        <v/>
      </c>
    </row>
    <row r="336" spans="1:31" ht="15.75" customHeight="1" x14ac:dyDescent="0.25">
      <c r="A336" s="119" t="str">
        <f>IF(ISNONTEXT(node_raw[[#This Row],[Column2]]), "", node_raw[[#This Row],[Column2]])</f>
        <v/>
      </c>
      <c r="B336" s="116" t="str">
        <f>IF(A336&lt;&gt;"", VLOOKUP(A336, node!$C$2:$D$500, 2, FALSE), "")</f>
        <v/>
      </c>
      <c r="C336" s="117" t="str">
        <f>IF(A336&lt;&gt;"", VLOOKUP(A336, node!$C$2:$E$500, 3, FALSE), "")</f>
        <v/>
      </c>
      <c r="D336" s="118" t="str">
        <f>IF(A336&lt;&gt;"",COUNTIFS(node!$C$2:$C$500,"="&amp;A336, node!$C$2:$C$500,"&lt;&gt;"&amp;""),"")</f>
        <v/>
      </c>
      <c r="E336" s="122" t="str">
        <f>IF(A336&lt;&gt;"",SUMIFS(node!$F$2:$F$500, node!$C$2:$C$500,"="&amp;A336, node!$C$2:$C$500,"&lt;&gt;"&amp;"")/(B336*D336),"")</f>
        <v/>
      </c>
      <c r="F336" s="124" t="str">
        <f>IF(A336&lt;&gt;"",SUMIFS(node!$H$2:$H$500, node!$C$2:$C$500,"="&amp;A336, node!$C$2:$C$500,"&lt;&gt;"&amp;"")/(C336*D336),"")</f>
        <v/>
      </c>
      <c r="G336" s="93" t="str">
        <f>IF(A336&lt;&gt;"",SUMIFS(deployment!$F$4:$F$502, deployment!$D$4:$D$502,"="&amp;A336, deployment!$D$4:$D$502,"&lt;&gt;"&amp;""),"")</f>
        <v/>
      </c>
      <c r="H336" s="94" t="str">
        <f>IF(A336&lt;&gt;"",SUMIFS(deployment!$G$4:$G$502, deployment!$D$4:$D$502,"="&amp;A336, deployment!$D$4:$D$502,"&lt;&gt;"&amp;""),"")</f>
        <v/>
      </c>
      <c r="I336" s="95" t="str">
        <f>IF(A336&lt;&gt;"",SUMIFS(deployment!$H$4:$H$502, deployment!$D$4:$D$502,"="&amp;A336, deployment!$D$4:$D$502,"&lt;&gt;"&amp;""),"")</f>
        <v/>
      </c>
      <c r="J336" s="96" t="str">
        <f>IF(A336&lt;&gt;"",SUMIFS(deployment!$I$4:$I$502, deployment!$D$4:$D$502,"="&amp;A336, deployment!$D$4:$D$502,"&lt;&gt;"&amp;""),"")</f>
        <v/>
      </c>
      <c r="K336" s="112" t="str">
        <f>IF(A336&lt;&gt;"",SUMIFS(deployment!$J$4:$J$502, deployment!$D$4:$D$502,"="&amp;A336, deployment!$D$4:$D$502,"&lt;&gt;"&amp;""),"")</f>
        <v/>
      </c>
      <c r="L336" s="112" t="str">
        <f>IF(A336&lt;&gt;"",SUMIFS(deployment!$K$4:$K$502, deployment!$D$4:$D$502,"="&amp;A336, deployment!$D$4:$D$502,"&lt;&gt;"&amp;""),"")</f>
        <v/>
      </c>
      <c r="M336" s="97" t="str">
        <f>IF(A336&lt;&gt;"",SUMIFS(deployment!$L$4:$L$502, deployment!$D$4:$D$502,"="&amp;A336, deployment!$D$4:$D$502,"&lt;&gt;"&amp;""),"")</f>
        <v/>
      </c>
      <c r="N336" s="97" t="str">
        <f>IF(A336&lt;&gt;"",SUMIFS(deployment!$M$4:$M$502, deployment!$D$4:$D$502,"="&amp;A336, deployment!$D$4:$D$502,"&lt;&gt;"&amp;""),"")</f>
        <v/>
      </c>
      <c r="O336" s="127" t="str">
        <f t="shared" si="71"/>
        <v/>
      </c>
      <c r="P336" s="104"/>
      <c r="Q336" s="99" t="str">
        <f t="shared" si="60"/>
        <v/>
      </c>
      <c r="R336" s="100" t="str">
        <f t="shared" si="61"/>
        <v/>
      </c>
      <c r="S336" s="100" t="str">
        <f t="shared" si="62"/>
        <v/>
      </c>
      <c r="T336" s="101" t="str">
        <f t="shared" si="63"/>
        <v/>
      </c>
      <c r="U336" s="101" t="str">
        <f t="shared" si="64"/>
        <v/>
      </c>
      <c r="V336" s="128" t="str">
        <f t="shared" si="65"/>
        <v/>
      </c>
      <c r="W336" s="128" t="str">
        <f t="shared" si="66"/>
        <v/>
      </c>
      <c r="X336" s="101" t="str">
        <f t="shared" si="67"/>
        <v/>
      </c>
      <c r="Y336" s="101" t="str">
        <f t="shared" si="68"/>
        <v/>
      </c>
      <c r="Z336" s="102" t="str">
        <f t="shared" si="69"/>
        <v/>
      </c>
      <c r="AA336" s="103" t="str">
        <f t="shared" si="70"/>
        <v/>
      </c>
      <c r="AB336" s="142" t="str">
        <f>IF(A336&lt;&gt;"", SUMIFS(node!$J$2:$J$500, node!$C$2:$C$500,"="&amp;A336)/P336, "")</f>
        <v/>
      </c>
      <c r="AC336" s="134" t="str">
        <f>IF(A336&lt;&gt;"", SUMIFS(node!$K$2:$K$500, node!$C$2:$C$500,"="&amp;A336)/P336, "")</f>
        <v/>
      </c>
      <c r="AD336" s="135" t="str">
        <f>IF(A336&lt;&gt;"", SUMIFS(node!$L$2:$L$500, node!$C$2:$C$500,"="&amp;A336), "")</f>
        <v/>
      </c>
      <c r="AE336" s="145" t="str">
        <f>IF(A336&lt;&gt;"", SUMIFS(node!$M$2:$M$500, node!$C$2:$C$500,"="&amp;A336), "")</f>
        <v/>
      </c>
    </row>
    <row r="337" spans="1:31" ht="15.75" customHeight="1" x14ac:dyDescent="0.25">
      <c r="A337" s="119" t="str">
        <f>IF(ISNONTEXT(node_raw[[#This Row],[Column2]]), "", node_raw[[#This Row],[Column2]])</f>
        <v/>
      </c>
      <c r="B337" s="116" t="str">
        <f>IF(A337&lt;&gt;"", VLOOKUP(A337, node!$C$2:$D$500, 2, FALSE), "")</f>
        <v/>
      </c>
      <c r="C337" s="117" t="str">
        <f>IF(A337&lt;&gt;"", VLOOKUP(A337, node!$C$2:$E$500, 3, FALSE), "")</f>
        <v/>
      </c>
      <c r="D337" s="118" t="str">
        <f>IF(A337&lt;&gt;"",COUNTIFS(node!$C$2:$C$500,"="&amp;A337, node!$C$2:$C$500,"&lt;&gt;"&amp;""),"")</f>
        <v/>
      </c>
      <c r="E337" s="122" t="str">
        <f>IF(A337&lt;&gt;"",SUMIFS(node!$F$2:$F$500, node!$C$2:$C$500,"="&amp;A337, node!$C$2:$C$500,"&lt;&gt;"&amp;"")/(B337*D337),"")</f>
        <v/>
      </c>
      <c r="F337" s="124" t="str">
        <f>IF(A337&lt;&gt;"",SUMIFS(node!$H$2:$H$500, node!$C$2:$C$500,"="&amp;A337, node!$C$2:$C$500,"&lt;&gt;"&amp;"")/(C337*D337),"")</f>
        <v/>
      </c>
      <c r="G337" s="93" t="str">
        <f>IF(A337&lt;&gt;"",SUMIFS(deployment!$F$4:$F$502, deployment!$D$4:$D$502,"="&amp;A337, deployment!$D$4:$D$502,"&lt;&gt;"&amp;""),"")</f>
        <v/>
      </c>
      <c r="H337" s="94" t="str">
        <f>IF(A337&lt;&gt;"",SUMIFS(deployment!$G$4:$G$502, deployment!$D$4:$D$502,"="&amp;A337, deployment!$D$4:$D$502,"&lt;&gt;"&amp;""),"")</f>
        <v/>
      </c>
      <c r="I337" s="95" t="str">
        <f>IF(A337&lt;&gt;"",SUMIFS(deployment!$H$4:$H$502, deployment!$D$4:$D$502,"="&amp;A337, deployment!$D$4:$D$502,"&lt;&gt;"&amp;""),"")</f>
        <v/>
      </c>
      <c r="J337" s="96" t="str">
        <f>IF(A337&lt;&gt;"",SUMIFS(deployment!$I$4:$I$502, deployment!$D$4:$D$502,"="&amp;A337, deployment!$D$4:$D$502,"&lt;&gt;"&amp;""),"")</f>
        <v/>
      </c>
      <c r="K337" s="112" t="str">
        <f>IF(A337&lt;&gt;"",SUMIFS(deployment!$J$4:$J$502, deployment!$D$4:$D$502,"="&amp;A337, deployment!$D$4:$D$502,"&lt;&gt;"&amp;""),"")</f>
        <v/>
      </c>
      <c r="L337" s="112" t="str">
        <f>IF(A337&lt;&gt;"",SUMIFS(deployment!$K$4:$K$502, deployment!$D$4:$D$502,"="&amp;A337, deployment!$D$4:$D$502,"&lt;&gt;"&amp;""),"")</f>
        <v/>
      </c>
      <c r="M337" s="97" t="str">
        <f>IF(A337&lt;&gt;"",SUMIFS(deployment!$L$4:$L$502, deployment!$D$4:$D$502,"="&amp;A337, deployment!$D$4:$D$502,"&lt;&gt;"&amp;""),"")</f>
        <v/>
      </c>
      <c r="N337" s="97" t="str">
        <f>IF(A337&lt;&gt;"",SUMIFS(deployment!$M$4:$M$502, deployment!$D$4:$D$502,"="&amp;A337, deployment!$D$4:$D$502,"&lt;&gt;"&amp;""),"")</f>
        <v/>
      </c>
      <c r="O337" s="127" t="str">
        <f t="shared" si="71"/>
        <v/>
      </c>
      <c r="P337" s="104"/>
      <c r="Q337" s="99" t="str">
        <f t="shared" si="60"/>
        <v/>
      </c>
      <c r="R337" s="100" t="str">
        <f t="shared" si="61"/>
        <v/>
      </c>
      <c r="S337" s="100" t="str">
        <f t="shared" si="62"/>
        <v/>
      </c>
      <c r="T337" s="101" t="str">
        <f t="shared" si="63"/>
        <v/>
      </c>
      <c r="U337" s="101" t="str">
        <f t="shared" si="64"/>
        <v/>
      </c>
      <c r="V337" s="128" t="str">
        <f t="shared" si="65"/>
        <v/>
      </c>
      <c r="W337" s="128" t="str">
        <f t="shared" si="66"/>
        <v/>
      </c>
      <c r="X337" s="101" t="str">
        <f t="shared" si="67"/>
        <v/>
      </c>
      <c r="Y337" s="101" t="str">
        <f t="shared" si="68"/>
        <v/>
      </c>
      <c r="Z337" s="102" t="str">
        <f t="shared" si="69"/>
        <v/>
      </c>
      <c r="AA337" s="103" t="str">
        <f t="shared" si="70"/>
        <v/>
      </c>
      <c r="AB337" s="142" t="str">
        <f>IF(A337&lt;&gt;"", SUMIFS(node!$J$2:$J$500, node!$C$2:$C$500,"="&amp;A337)/P337, "")</f>
        <v/>
      </c>
      <c r="AC337" s="134" t="str">
        <f>IF(A337&lt;&gt;"", SUMIFS(node!$K$2:$K$500, node!$C$2:$C$500,"="&amp;A337)/P337, "")</f>
        <v/>
      </c>
      <c r="AD337" s="135" t="str">
        <f>IF(A337&lt;&gt;"", SUMIFS(node!$L$2:$L$500, node!$C$2:$C$500,"="&amp;A337), "")</f>
        <v/>
      </c>
      <c r="AE337" s="145" t="str">
        <f>IF(A337&lt;&gt;"", SUMIFS(node!$M$2:$M$500, node!$C$2:$C$500,"="&amp;A337), "")</f>
        <v/>
      </c>
    </row>
    <row r="338" spans="1:31" ht="15.75" customHeight="1" x14ac:dyDescent="0.25">
      <c r="A338" s="119" t="str">
        <f>IF(ISNONTEXT(node_raw[[#This Row],[Column2]]), "", node_raw[[#This Row],[Column2]])</f>
        <v/>
      </c>
      <c r="B338" s="116" t="str">
        <f>IF(A338&lt;&gt;"", VLOOKUP(A338, node!$C$2:$D$500, 2, FALSE), "")</f>
        <v/>
      </c>
      <c r="C338" s="117" t="str">
        <f>IF(A338&lt;&gt;"", VLOOKUP(A338, node!$C$2:$E$500, 3, FALSE), "")</f>
        <v/>
      </c>
      <c r="D338" s="118" t="str">
        <f>IF(A338&lt;&gt;"",COUNTIFS(node!$C$2:$C$500,"="&amp;A338, node!$C$2:$C$500,"&lt;&gt;"&amp;""),"")</f>
        <v/>
      </c>
      <c r="E338" s="122" t="str">
        <f>IF(A338&lt;&gt;"",SUMIFS(node!$F$2:$F$500, node!$C$2:$C$500,"="&amp;A338, node!$C$2:$C$500,"&lt;&gt;"&amp;"")/(B338*D338),"")</f>
        <v/>
      </c>
      <c r="F338" s="124" t="str">
        <f>IF(A338&lt;&gt;"",SUMIFS(node!$H$2:$H$500, node!$C$2:$C$500,"="&amp;A338, node!$C$2:$C$500,"&lt;&gt;"&amp;"")/(C338*D338),"")</f>
        <v/>
      </c>
      <c r="G338" s="93" t="str">
        <f>IF(A338&lt;&gt;"",SUMIFS(deployment!$F$4:$F$502, deployment!$D$4:$D$502,"="&amp;A338, deployment!$D$4:$D$502,"&lt;&gt;"&amp;""),"")</f>
        <v/>
      </c>
      <c r="H338" s="94" t="str">
        <f>IF(A338&lt;&gt;"",SUMIFS(deployment!$G$4:$G$502, deployment!$D$4:$D$502,"="&amp;A338, deployment!$D$4:$D$502,"&lt;&gt;"&amp;""),"")</f>
        <v/>
      </c>
      <c r="I338" s="95" t="str">
        <f>IF(A338&lt;&gt;"",SUMIFS(deployment!$H$4:$H$502, deployment!$D$4:$D$502,"="&amp;A338, deployment!$D$4:$D$502,"&lt;&gt;"&amp;""),"")</f>
        <v/>
      </c>
      <c r="J338" s="96" t="str">
        <f>IF(A338&lt;&gt;"",SUMIFS(deployment!$I$4:$I$502, deployment!$D$4:$D$502,"="&amp;A338, deployment!$D$4:$D$502,"&lt;&gt;"&amp;""),"")</f>
        <v/>
      </c>
      <c r="K338" s="112" t="str">
        <f>IF(A338&lt;&gt;"",SUMIFS(deployment!$J$4:$J$502, deployment!$D$4:$D$502,"="&amp;A338, deployment!$D$4:$D$502,"&lt;&gt;"&amp;""),"")</f>
        <v/>
      </c>
      <c r="L338" s="112" t="str">
        <f>IF(A338&lt;&gt;"",SUMIFS(deployment!$K$4:$K$502, deployment!$D$4:$D$502,"="&amp;A338, deployment!$D$4:$D$502,"&lt;&gt;"&amp;""),"")</f>
        <v/>
      </c>
      <c r="M338" s="97" t="str">
        <f>IF(A338&lt;&gt;"",SUMIFS(deployment!$L$4:$L$502, deployment!$D$4:$D$502,"="&amp;A338, deployment!$D$4:$D$502,"&lt;&gt;"&amp;""),"")</f>
        <v/>
      </c>
      <c r="N338" s="97" t="str">
        <f>IF(A338&lt;&gt;"",SUMIFS(deployment!$M$4:$M$502, deployment!$D$4:$D$502,"="&amp;A338, deployment!$D$4:$D$502,"&lt;&gt;"&amp;""),"")</f>
        <v/>
      </c>
      <c r="O338" s="127" t="str">
        <f t="shared" si="71"/>
        <v/>
      </c>
      <c r="P338" s="104"/>
      <c r="Q338" s="99" t="str">
        <f t="shared" si="60"/>
        <v/>
      </c>
      <c r="R338" s="100" t="str">
        <f t="shared" si="61"/>
        <v/>
      </c>
      <c r="S338" s="100" t="str">
        <f t="shared" si="62"/>
        <v/>
      </c>
      <c r="T338" s="101" t="str">
        <f t="shared" si="63"/>
        <v/>
      </c>
      <c r="U338" s="101" t="str">
        <f t="shared" si="64"/>
        <v/>
      </c>
      <c r="V338" s="128" t="str">
        <f t="shared" si="65"/>
        <v/>
      </c>
      <c r="W338" s="128" t="str">
        <f t="shared" si="66"/>
        <v/>
      </c>
      <c r="X338" s="101" t="str">
        <f t="shared" si="67"/>
        <v/>
      </c>
      <c r="Y338" s="101" t="str">
        <f t="shared" si="68"/>
        <v/>
      </c>
      <c r="Z338" s="102" t="str">
        <f t="shared" si="69"/>
        <v/>
      </c>
      <c r="AA338" s="103" t="str">
        <f t="shared" si="70"/>
        <v/>
      </c>
      <c r="AB338" s="142" t="str">
        <f>IF(A338&lt;&gt;"", SUMIFS(node!$J$2:$J$500, node!$C$2:$C$500,"="&amp;A338)/P338, "")</f>
        <v/>
      </c>
      <c r="AC338" s="134" t="str">
        <f>IF(A338&lt;&gt;"", SUMIFS(node!$K$2:$K$500, node!$C$2:$C$500,"="&amp;A338)/P338, "")</f>
        <v/>
      </c>
      <c r="AD338" s="135" t="str">
        <f>IF(A338&lt;&gt;"", SUMIFS(node!$L$2:$L$500, node!$C$2:$C$500,"="&amp;A338), "")</f>
        <v/>
      </c>
      <c r="AE338" s="145" t="str">
        <f>IF(A338&lt;&gt;"", SUMIFS(node!$M$2:$M$500, node!$C$2:$C$500,"="&amp;A338), "")</f>
        <v/>
      </c>
    </row>
    <row r="339" spans="1:31" ht="15.75" customHeight="1" x14ac:dyDescent="0.25">
      <c r="A339" s="119" t="str">
        <f>IF(ISNONTEXT(node_raw[[#This Row],[Column2]]), "", node_raw[[#This Row],[Column2]])</f>
        <v/>
      </c>
      <c r="B339" s="116" t="str">
        <f>IF(A339&lt;&gt;"", VLOOKUP(A339, node!$C$2:$D$500, 2, FALSE), "")</f>
        <v/>
      </c>
      <c r="C339" s="117" t="str">
        <f>IF(A339&lt;&gt;"", VLOOKUP(A339, node!$C$2:$E$500, 3, FALSE), "")</f>
        <v/>
      </c>
      <c r="D339" s="118" t="str">
        <f>IF(A339&lt;&gt;"",COUNTIFS(node!$C$2:$C$500,"="&amp;A339, node!$C$2:$C$500,"&lt;&gt;"&amp;""),"")</f>
        <v/>
      </c>
      <c r="E339" s="122" t="str">
        <f>IF(A339&lt;&gt;"",SUMIFS(node!$F$2:$F$500, node!$C$2:$C$500,"="&amp;A339, node!$C$2:$C$500,"&lt;&gt;"&amp;"")/(B339*D339),"")</f>
        <v/>
      </c>
      <c r="F339" s="124" t="str">
        <f>IF(A339&lt;&gt;"",SUMIFS(node!$H$2:$H$500, node!$C$2:$C$500,"="&amp;A339, node!$C$2:$C$500,"&lt;&gt;"&amp;"")/(C339*D339),"")</f>
        <v/>
      </c>
      <c r="G339" s="93" t="str">
        <f>IF(A339&lt;&gt;"",SUMIFS(deployment!$F$4:$F$502, deployment!$D$4:$D$502,"="&amp;A339, deployment!$D$4:$D$502,"&lt;&gt;"&amp;""),"")</f>
        <v/>
      </c>
      <c r="H339" s="94" t="str">
        <f>IF(A339&lt;&gt;"",SUMIFS(deployment!$G$4:$G$502, deployment!$D$4:$D$502,"="&amp;A339, deployment!$D$4:$D$502,"&lt;&gt;"&amp;""),"")</f>
        <v/>
      </c>
      <c r="I339" s="95" t="str">
        <f>IF(A339&lt;&gt;"",SUMIFS(deployment!$H$4:$H$502, deployment!$D$4:$D$502,"="&amp;A339, deployment!$D$4:$D$502,"&lt;&gt;"&amp;""),"")</f>
        <v/>
      </c>
      <c r="J339" s="96" t="str">
        <f>IF(A339&lt;&gt;"",SUMIFS(deployment!$I$4:$I$502, deployment!$D$4:$D$502,"="&amp;A339, deployment!$D$4:$D$502,"&lt;&gt;"&amp;""),"")</f>
        <v/>
      </c>
      <c r="K339" s="112" t="str">
        <f>IF(A339&lt;&gt;"",SUMIFS(deployment!$J$4:$J$502, deployment!$D$4:$D$502,"="&amp;A339, deployment!$D$4:$D$502,"&lt;&gt;"&amp;""),"")</f>
        <v/>
      </c>
      <c r="L339" s="112" t="str">
        <f>IF(A339&lt;&gt;"",SUMIFS(deployment!$K$4:$K$502, deployment!$D$4:$D$502,"="&amp;A339, deployment!$D$4:$D$502,"&lt;&gt;"&amp;""),"")</f>
        <v/>
      </c>
      <c r="M339" s="97" t="str">
        <f>IF(A339&lt;&gt;"",SUMIFS(deployment!$L$4:$L$502, deployment!$D$4:$D$502,"="&amp;A339, deployment!$D$4:$D$502,"&lt;&gt;"&amp;""),"")</f>
        <v/>
      </c>
      <c r="N339" s="97" t="str">
        <f>IF(A339&lt;&gt;"",SUMIFS(deployment!$M$4:$M$502, deployment!$D$4:$D$502,"="&amp;A339, deployment!$D$4:$D$502,"&lt;&gt;"&amp;""),"")</f>
        <v/>
      </c>
      <c r="O339" s="127" t="str">
        <f t="shared" si="71"/>
        <v/>
      </c>
      <c r="P339" s="104"/>
      <c r="Q339" s="99" t="str">
        <f t="shared" si="60"/>
        <v/>
      </c>
      <c r="R339" s="100" t="str">
        <f t="shared" si="61"/>
        <v/>
      </c>
      <c r="S339" s="100" t="str">
        <f t="shared" si="62"/>
        <v/>
      </c>
      <c r="T339" s="101" t="str">
        <f t="shared" si="63"/>
        <v/>
      </c>
      <c r="U339" s="101" t="str">
        <f t="shared" si="64"/>
        <v/>
      </c>
      <c r="V339" s="128" t="str">
        <f t="shared" si="65"/>
        <v/>
      </c>
      <c r="W339" s="128" t="str">
        <f t="shared" si="66"/>
        <v/>
      </c>
      <c r="X339" s="101" t="str">
        <f t="shared" si="67"/>
        <v/>
      </c>
      <c r="Y339" s="101" t="str">
        <f t="shared" si="68"/>
        <v/>
      </c>
      <c r="Z339" s="102" t="str">
        <f t="shared" si="69"/>
        <v/>
      </c>
      <c r="AA339" s="103" t="str">
        <f t="shared" si="70"/>
        <v/>
      </c>
      <c r="AB339" s="142" t="str">
        <f>IF(A339&lt;&gt;"", SUMIFS(node!$J$2:$J$500, node!$C$2:$C$500,"="&amp;A339)/P339, "")</f>
        <v/>
      </c>
      <c r="AC339" s="134" t="str">
        <f>IF(A339&lt;&gt;"", SUMIFS(node!$K$2:$K$500, node!$C$2:$C$500,"="&amp;A339)/P339, "")</f>
        <v/>
      </c>
      <c r="AD339" s="135" t="str">
        <f>IF(A339&lt;&gt;"", SUMIFS(node!$L$2:$L$500, node!$C$2:$C$500,"="&amp;A339), "")</f>
        <v/>
      </c>
      <c r="AE339" s="145" t="str">
        <f>IF(A339&lt;&gt;"", SUMIFS(node!$M$2:$M$500, node!$C$2:$C$500,"="&amp;A339), "")</f>
        <v/>
      </c>
    </row>
    <row r="340" spans="1:31" ht="15.75" customHeight="1" x14ac:dyDescent="0.25">
      <c r="A340" s="119" t="str">
        <f>IF(ISNONTEXT(node_raw[[#This Row],[Column2]]), "", node_raw[[#This Row],[Column2]])</f>
        <v/>
      </c>
      <c r="B340" s="116" t="str">
        <f>IF(A340&lt;&gt;"", VLOOKUP(A340, node!$C$2:$D$500, 2, FALSE), "")</f>
        <v/>
      </c>
      <c r="C340" s="117" t="str">
        <f>IF(A340&lt;&gt;"", VLOOKUP(A340, node!$C$2:$E$500, 3, FALSE), "")</f>
        <v/>
      </c>
      <c r="D340" s="118" t="str">
        <f>IF(A340&lt;&gt;"",COUNTIFS(node!$C$2:$C$500,"="&amp;A340, node!$C$2:$C$500,"&lt;&gt;"&amp;""),"")</f>
        <v/>
      </c>
      <c r="E340" s="122" t="str">
        <f>IF(A340&lt;&gt;"",SUMIFS(node!$F$2:$F$500, node!$C$2:$C$500,"="&amp;A340, node!$C$2:$C$500,"&lt;&gt;"&amp;"")/(B340*D340),"")</f>
        <v/>
      </c>
      <c r="F340" s="124" t="str">
        <f>IF(A340&lt;&gt;"",SUMIFS(node!$H$2:$H$500, node!$C$2:$C$500,"="&amp;A340, node!$C$2:$C$500,"&lt;&gt;"&amp;"")/(C340*D340),"")</f>
        <v/>
      </c>
      <c r="G340" s="93" t="str">
        <f>IF(A340&lt;&gt;"",SUMIFS(deployment!$F$4:$F$502, deployment!$D$4:$D$502,"="&amp;A340, deployment!$D$4:$D$502,"&lt;&gt;"&amp;""),"")</f>
        <v/>
      </c>
      <c r="H340" s="94" t="str">
        <f>IF(A340&lt;&gt;"",SUMIFS(deployment!$G$4:$G$502, deployment!$D$4:$D$502,"="&amp;A340, deployment!$D$4:$D$502,"&lt;&gt;"&amp;""),"")</f>
        <v/>
      </c>
      <c r="I340" s="95" t="str">
        <f>IF(A340&lt;&gt;"",SUMIFS(deployment!$H$4:$H$502, deployment!$D$4:$D$502,"="&amp;A340, deployment!$D$4:$D$502,"&lt;&gt;"&amp;""),"")</f>
        <v/>
      </c>
      <c r="J340" s="96" t="str">
        <f>IF(A340&lt;&gt;"",SUMIFS(deployment!$I$4:$I$502, deployment!$D$4:$D$502,"="&amp;A340, deployment!$D$4:$D$502,"&lt;&gt;"&amp;""),"")</f>
        <v/>
      </c>
      <c r="K340" s="112" t="str">
        <f>IF(A340&lt;&gt;"",SUMIFS(deployment!$J$4:$J$502, deployment!$D$4:$D$502,"="&amp;A340, deployment!$D$4:$D$502,"&lt;&gt;"&amp;""),"")</f>
        <v/>
      </c>
      <c r="L340" s="112" t="str">
        <f>IF(A340&lt;&gt;"",SUMIFS(deployment!$K$4:$K$502, deployment!$D$4:$D$502,"="&amp;A340, deployment!$D$4:$D$502,"&lt;&gt;"&amp;""),"")</f>
        <v/>
      </c>
      <c r="M340" s="97" t="str">
        <f>IF(A340&lt;&gt;"",SUMIFS(deployment!$L$4:$L$502, deployment!$D$4:$D$502,"="&amp;A340, deployment!$D$4:$D$502,"&lt;&gt;"&amp;""),"")</f>
        <v/>
      </c>
      <c r="N340" s="97" t="str">
        <f>IF(A340&lt;&gt;"",SUMIFS(deployment!$M$4:$M$502, deployment!$D$4:$D$502,"="&amp;A340, deployment!$D$4:$D$502,"&lt;&gt;"&amp;""),"")</f>
        <v/>
      </c>
      <c r="O340" s="127" t="str">
        <f t="shared" si="71"/>
        <v/>
      </c>
      <c r="P340" s="104"/>
      <c r="Q340" s="99" t="str">
        <f t="shared" si="60"/>
        <v/>
      </c>
      <c r="R340" s="100" t="str">
        <f t="shared" si="61"/>
        <v/>
      </c>
      <c r="S340" s="100" t="str">
        <f t="shared" si="62"/>
        <v/>
      </c>
      <c r="T340" s="101" t="str">
        <f t="shared" si="63"/>
        <v/>
      </c>
      <c r="U340" s="101" t="str">
        <f t="shared" si="64"/>
        <v/>
      </c>
      <c r="V340" s="128" t="str">
        <f t="shared" si="65"/>
        <v/>
      </c>
      <c r="W340" s="128" t="str">
        <f t="shared" si="66"/>
        <v/>
      </c>
      <c r="X340" s="101" t="str">
        <f t="shared" si="67"/>
        <v/>
      </c>
      <c r="Y340" s="101" t="str">
        <f t="shared" si="68"/>
        <v/>
      </c>
      <c r="Z340" s="102" t="str">
        <f t="shared" si="69"/>
        <v/>
      </c>
      <c r="AA340" s="103" t="str">
        <f t="shared" si="70"/>
        <v/>
      </c>
      <c r="AB340" s="142" t="str">
        <f>IF(A340&lt;&gt;"", SUMIFS(node!$J$2:$J$500, node!$C$2:$C$500,"="&amp;A340)/P340, "")</f>
        <v/>
      </c>
      <c r="AC340" s="134" t="str">
        <f>IF(A340&lt;&gt;"", SUMIFS(node!$K$2:$K$500, node!$C$2:$C$500,"="&amp;A340)/P340, "")</f>
        <v/>
      </c>
      <c r="AD340" s="135" t="str">
        <f>IF(A340&lt;&gt;"", SUMIFS(node!$L$2:$L$500, node!$C$2:$C$500,"="&amp;A340), "")</f>
        <v/>
      </c>
      <c r="AE340" s="145" t="str">
        <f>IF(A340&lt;&gt;"", SUMIFS(node!$M$2:$M$500, node!$C$2:$C$500,"="&amp;A340), "")</f>
        <v/>
      </c>
    </row>
    <row r="341" spans="1:31" ht="15.75" customHeight="1" x14ac:dyDescent="0.25">
      <c r="A341" s="119" t="str">
        <f>IF(ISNONTEXT(node_raw[[#This Row],[Column2]]), "", node_raw[[#This Row],[Column2]])</f>
        <v/>
      </c>
      <c r="B341" s="116" t="str">
        <f>IF(A341&lt;&gt;"", VLOOKUP(A341, node!$C$2:$D$500, 2, FALSE), "")</f>
        <v/>
      </c>
      <c r="C341" s="117" t="str">
        <f>IF(A341&lt;&gt;"", VLOOKUP(A341, node!$C$2:$E$500, 3, FALSE), "")</f>
        <v/>
      </c>
      <c r="D341" s="118" t="str">
        <f>IF(A341&lt;&gt;"",COUNTIFS(node!$C$2:$C$500,"="&amp;A341, node!$C$2:$C$500,"&lt;&gt;"&amp;""),"")</f>
        <v/>
      </c>
      <c r="E341" s="122" t="str">
        <f>IF(A341&lt;&gt;"",SUMIFS(node!$F$2:$F$500, node!$C$2:$C$500,"="&amp;A341, node!$C$2:$C$500,"&lt;&gt;"&amp;"")/(B341*D341),"")</f>
        <v/>
      </c>
      <c r="F341" s="124" t="str">
        <f>IF(A341&lt;&gt;"",SUMIFS(node!$H$2:$H$500, node!$C$2:$C$500,"="&amp;A341, node!$C$2:$C$500,"&lt;&gt;"&amp;"")/(C341*D341),"")</f>
        <v/>
      </c>
      <c r="G341" s="93" t="str">
        <f>IF(A341&lt;&gt;"",SUMIFS(deployment!$F$4:$F$502, deployment!$D$4:$D$502,"="&amp;A341, deployment!$D$4:$D$502,"&lt;&gt;"&amp;""),"")</f>
        <v/>
      </c>
      <c r="H341" s="94" t="str">
        <f>IF(A341&lt;&gt;"",SUMIFS(deployment!$G$4:$G$502, deployment!$D$4:$D$502,"="&amp;A341, deployment!$D$4:$D$502,"&lt;&gt;"&amp;""),"")</f>
        <v/>
      </c>
      <c r="I341" s="95" t="str">
        <f>IF(A341&lt;&gt;"",SUMIFS(deployment!$H$4:$H$502, deployment!$D$4:$D$502,"="&amp;A341, deployment!$D$4:$D$502,"&lt;&gt;"&amp;""),"")</f>
        <v/>
      </c>
      <c r="J341" s="96" t="str">
        <f>IF(A341&lt;&gt;"",SUMIFS(deployment!$I$4:$I$502, deployment!$D$4:$D$502,"="&amp;A341, deployment!$D$4:$D$502,"&lt;&gt;"&amp;""),"")</f>
        <v/>
      </c>
      <c r="K341" s="112" t="str">
        <f>IF(A341&lt;&gt;"",SUMIFS(deployment!$J$4:$J$502, deployment!$D$4:$D$502,"="&amp;A341, deployment!$D$4:$D$502,"&lt;&gt;"&amp;""),"")</f>
        <v/>
      </c>
      <c r="L341" s="112" t="str">
        <f>IF(A341&lt;&gt;"",SUMIFS(deployment!$K$4:$K$502, deployment!$D$4:$D$502,"="&amp;A341, deployment!$D$4:$D$502,"&lt;&gt;"&amp;""),"")</f>
        <v/>
      </c>
      <c r="M341" s="97" t="str">
        <f>IF(A341&lt;&gt;"",SUMIFS(deployment!$L$4:$L$502, deployment!$D$4:$D$502,"="&amp;A341, deployment!$D$4:$D$502,"&lt;&gt;"&amp;""),"")</f>
        <v/>
      </c>
      <c r="N341" s="97" t="str">
        <f>IF(A341&lt;&gt;"",SUMIFS(deployment!$M$4:$M$502, deployment!$D$4:$D$502,"="&amp;A341, deployment!$D$4:$D$502,"&lt;&gt;"&amp;""),"")</f>
        <v/>
      </c>
      <c r="O341" s="127" t="str">
        <f t="shared" si="71"/>
        <v/>
      </c>
      <c r="P341" s="104"/>
      <c r="Q341" s="99" t="str">
        <f t="shared" si="60"/>
        <v/>
      </c>
      <c r="R341" s="100" t="str">
        <f t="shared" si="61"/>
        <v/>
      </c>
      <c r="S341" s="100" t="str">
        <f t="shared" si="62"/>
        <v/>
      </c>
      <c r="T341" s="101" t="str">
        <f t="shared" si="63"/>
        <v/>
      </c>
      <c r="U341" s="101" t="str">
        <f t="shared" si="64"/>
        <v/>
      </c>
      <c r="V341" s="128" t="str">
        <f t="shared" si="65"/>
        <v/>
      </c>
      <c r="W341" s="128" t="str">
        <f t="shared" si="66"/>
        <v/>
      </c>
      <c r="X341" s="101" t="str">
        <f t="shared" si="67"/>
        <v/>
      </c>
      <c r="Y341" s="101" t="str">
        <f t="shared" si="68"/>
        <v/>
      </c>
      <c r="Z341" s="102" t="str">
        <f t="shared" si="69"/>
        <v/>
      </c>
      <c r="AA341" s="103" t="str">
        <f t="shared" si="70"/>
        <v/>
      </c>
      <c r="AB341" s="142" t="str">
        <f>IF(A341&lt;&gt;"", SUMIFS(node!$J$2:$J$500, node!$C$2:$C$500,"="&amp;A341)/P341, "")</f>
        <v/>
      </c>
      <c r="AC341" s="134" t="str">
        <f>IF(A341&lt;&gt;"", SUMIFS(node!$K$2:$K$500, node!$C$2:$C$500,"="&amp;A341)/P341, "")</f>
        <v/>
      </c>
      <c r="AD341" s="135" t="str">
        <f>IF(A341&lt;&gt;"", SUMIFS(node!$L$2:$L$500, node!$C$2:$C$500,"="&amp;A341), "")</f>
        <v/>
      </c>
      <c r="AE341" s="145" t="str">
        <f>IF(A341&lt;&gt;"", SUMIFS(node!$M$2:$M$500, node!$C$2:$C$500,"="&amp;A341), "")</f>
        <v/>
      </c>
    </row>
    <row r="342" spans="1:31" ht="15.75" customHeight="1" x14ac:dyDescent="0.25">
      <c r="A342" s="119" t="str">
        <f>IF(ISNONTEXT(node_raw[[#This Row],[Column2]]), "", node_raw[[#This Row],[Column2]])</f>
        <v/>
      </c>
      <c r="B342" s="116" t="str">
        <f>IF(A342&lt;&gt;"", VLOOKUP(A342, node!$C$2:$D$500, 2, FALSE), "")</f>
        <v/>
      </c>
      <c r="C342" s="117" t="str">
        <f>IF(A342&lt;&gt;"", VLOOKUP(A342, node!$C$2:$E$500, 3, FALSE), "")</f>
        <v/>
      </c>
      <c r="D342" s="118" t="str">
        <f>IF(A342&lt;&gt;"",COUNTIFS(node!$C$2:$C$500,"="&amp;A342, node!$C$2:$C$500,"&lt;&gt;"&amp;""),"")</f>
        <v/>
      </c>
      <c r="E342" s="122" t="str">
        <f>IF(A342&lt;&gt;"",SUMIFS(node!$F$2:$F$500, node!$C$2:$C$500,"="&amp;A342, node!$C$2:$C$500,"&lt;&gt;"&amp;"")/(B342*D342),"")</f>
        <v/>
      </c>
      <c r="F342" s="124" t="str">
        <f>IF(A342&lt;&gt;"",SUMIFS(node!$H$2:$H$500, node!$C$2:$C$500,"="&amp;A342, node!$C$2:$C$500,"&lt;&gt;"&amp;"")/(C342*D342),"")</f>
        <v/>
      </c>
      <c r="G342" s="93" t="str">
        <f>IF(A342&lt;&gt;"",SUMIFS(deployment!$F$4:$F$502, deployment!$D$4:$D$502,"="&amp;A342, deployment!$D$4:$D$502,"&lt;&gt;"&amp;""),"")</f>
        <v/>
      </c>
      <c r="H342" s="94" t="str">
        <f>IF(A342&lt;&gt;"",SUMIFS(deployment!$G$4:$G$502, deployment!$D$4:$D$502,"="&amp;A342, deployment!$D$4:$D$502,"&lt;&gt;"&amp;""),"")</f>
        <v/>
      </c>
      <c r="I342" s="95" t="str">
        <f>IF(A342&lt;&gt;"",SUMIFS(deployment!$H$4:$H$502, deployment!$D$4:$D$502,"="&amp;A342, deployment!$D$4:$D$502,"&lt;&gt;"&amp;""),"")</f>
        <v/>
      </c>
      <c r="J342" s="96" t="str">
        <f>IF(A342&lt;&gt;"",SUMIFS(deployment!$I$4:$I$502, deployment!$D$4:$D$502,"="&amp;A342, deployment!$D$4:$D$502,"&lt;&gt;"&amp;""),"")</f>
        <v/>
      </c>
      <c r="K342" s="112" t="str">
        <f>IF(A342&lt;&gt;"",SUMIFS(deployment!$J$4:$J$502, deployment!$D$4:$D$502,"="&amp;A342, deployment!$D$4:$D$502,"&lt;&gt;"&amp;""),"")</f>
        <v/>
      </c>
      <c r="L342" s="112" t="str">
        <f>IF(A342&lt;&gt;"",SUMIFS(deployment!$K$4:$K$502, deployment!$D$4:$D$502,"="&amp;A342, deployment!$D$4:$D$502,"&lt;&gt;"&amp;""),"")</f>
        <v/>
      </c>
      <c r="M342" s="97" t="str">
        <f>IF(A342&lt;&gt;"",SUMIFS(deployment!$L$4:$L$502, deployment!$D$4:$D$502,"="&amp;A342, deployment!$D$4:$D$502,"&lt;&gt;"&amp;""),"")</f>
        <v/>
      </c>
      <c r="N342" s="97" t="str">
        <f>IF(A342&lt;&gt;"",SUMIFS(deployment!$M$4:$M$502, deployment!$D$4:$D$502,"="&amp;A342, deployment!$D$4:$D$502,"&lt;&gt;"&amp;""),"")</f>
        <v/>
      </c>
      <c r="O342" s="127" t="str">
        <f t="shared" si="71"/>
        <v/>
      </c>
      <c r="P342" s="104"/>
      <c r="Q342" s="99" t="str">
        <f t="shared" si="60"/>
        <v/>
      </c>
      <c r="R342" s="100" t="str">
        <f t="shared" si="61"/>
        <v/>
      </c>
      <c r="S342" s="100" t="str">
        <f t="shared" si="62"/>
        <v/>
      </c>
      <c r="T342" s="101" t="str">
        <f t="shared" si="63"/>
        <v/>
      </c>
      <c r="U342" s="101" t="str">
        <f t="shared" si="64"/>
        <v/>
      </c>
      <c r="V342" s="128" t="str">
        <f t="shared" si="65"/>
        <v/>
      </c>
      <c r="W342" s="128" t="str">
        <f t="shared" si="66"/>
        <v/>
      </c>
      <c r="X342" s="101" t="str">
        <f t="shared" si="67"/>
        <v/>
      </c>
      <c r="Y342" s="101" t="str">
        <f t="shared" si="68"/>
        <v/>
      </c>
      <c r="Z342" s="102" t="str">
        <f t="shared" si="69"/>
        <v/>
      </c>
      <c r="AA342" s="103" t="str">
        <f t="shared" si="70"/>
        <v/>
      </c>
      <c r="AB342" s="142" t="str">
        <f>IF(A342&lt;&gt;"", SUMIFS(node!$J$2:$J$500, node!$C$2:$C$500,"="&amp;A342)/P342, "")</f>
        <v/>
      </c>
      <c r="AC342" s="134" t="str">
        <f>IF(A342&lt;&gt;"", SUMIFS(node!$K$2:$K$500, node!$C$2:$C$500,"="&amp;A342)/P342, "")</f>
        <v/>
      </c>
      <c r="AD342" s="135" t="str">
        <f>IF(A342&lt;&gt;"", SUMIFS(node!$L$2:$L$500, node!$C$2:$C$500,"="&amp;A342), "")</f>
        <v/>
      </c>
      <c r="AE342" s="145" t="str">
        <f>IF(A342&lt;&gt;"", SUMIFS(node!$M$2:$M$500, node!$C$2:$C$500,"="&amp;A342), "")</f>
        <v/>
      </c>
    </row>
    <row r="343" spans="1:31" ht="15.75" customHeight="1" x14ac:dyDescent="0.25">
      <c r="A343" s="119" t="str">
        <f>IF(ISNONTEXT(node_raw[[#This Row],[Column2]]), "", node_raw[[#This Row],[Column2]])</f>
        <v/>
      </c>
      <c r="B343" s="116" t="str">
        <f>IF(A343&lt;&gt;"", VLOOKUP(A343, node!$C$2:$D$500, 2, FALSE), "")</f>
        <v/>
      </c>
      <c r="C343" s="117" t="str">
        <f>IF(A343&lt;&gt;"", VLOOKUP(A343, node!$C$2:$E$500, 3, FALSE), "")</f>
        <v/>
      </c>
      <c r="D343" s="118" t="str">
        <f>IF(A343&lt;&gt;"",COUNTIFS(node!$C$2:$C$500,"="&amp;A343, node!$C$2:$C$500,"&lt;&gt;"&amp;""),"")</f>
        <v/>
      </c>
      <c r="E343" s="122" t="str">
        <f>IF(A343&lt;&gt;"",SUMIFS(node!$F$2:$F$500, node!$C$2:$C$500,"="&amp;A343, node!$C$2:$C$500,"&lt;&gt;"&amp;"")/(B343*D343),"")</f>
        <v/>
      </c>
      <c r="F343" s="124" t="str">
        <f>IF(A343&lt;&gt;"",SUMIFS(node!$H$2:$H$500, node!$C$2:$C$500,"="&amp;A343, node!$C$2:$C$500,"&lt;&gt;"&amp;"")/(C343*D343),"")</f>
        <v/>
      </c>
      <c r="G343" s="93" t="str">
        <f>IF(A343&lt;&gt;"",SUMIFS(deployment!$F$4:$F$502, deployment!$D$4:$D$502,"="&amp;A343, deployment!$D$4:$D$502,"&lt;&gt;"&amp;""),"")</f>
        <v/>
      </c>
      <c r="H343" s="94" t="str">
        <f>IF(A343&lt;&gt;"",SUMIFS(deployment!$G$4:$G$502, deployment!$D$4:$D$502,"="&amp;A343, deployment!$D$4:$D$502,"&lt;&gt;"&amp;""),"")</f>
        <v/>
      </c>
      <c r="I343" s="95" t="str">
        <f>IF(A343&lt;&gt;"",SUMIFS(deployment!$H$4:$H$502, deployment!$D$4:$D$502,"="&amp;A343, deployment!$D$4:$D$502,"&lt;&gt;"&amp;""),"")</f>
        <v/>
      </c>
      <c r="J343" s="96" t="str">
        <f>IF(A343&lt;&gt;"",SUMIFS(deployment!$I$4:$I$502, deployment!$D$4:$D$502,"="&amp;A343, deployment!$D$4:$D$502,"&lt;&gt;"&amp;""),"")</f>
        <v/>
      </c>
      <c r="K343" s="112" t="str">
        <f>IF(A343&lt;&gt;"",SUMIFS(deployment!$J$4:$J$502, deployment!$D$4:$D$502,"="&amp;A343, deployment!$D$4:$D$502,"&lt;&gt;"&amp;""),"")</f>
        <v/>
      </c>
      <c r="L343" s="112" t="str">
        <f>IF(A343&lt;&gt;"",SUMIFS(deployment!$K$4:$K$502, deployment!$D$4:$D$502,"="&amp;A343, deployment!$D$4:$D$502,"&lt;&gt;"&amp;""),"")</f>
        <v/>
      </c>
      <c r="M343" s="97" t="str">
        <f>IF(A343&lt;&gt;"",SUMIFS(deployment!$L$4:$L$502, deployment!$D$4:$D$502,"="&amp;A343, deployment!$D$4:$D$502,"&lt;&gt;"&amp;""),"")</f>
        <v/>
      </c>
      <c r="N343" s="97" t="str">
        <f>IF(A343&lt;&gt;"",SUMIFS(deployment!$M$4:$M$502, deployment!$D$4:$D$502,"="&amp;A343, deployment!$D$4:$D$502,"&lt;&gt;"&amp;""),"")</f>
        <v/>
      </c>
      <c r="O343" s="127" t="str">
        <f t="shared" si="71"/>
        <v/>
      </c>
      <c r="P343" s="104"/>
      <c r="Q343" s="99" t="str">
        <f t="shared" si="60"/>
        <v/>
      </c>
      <c r="R343" s="100" t="str">
        <f t="shared" si="61"/>
        <v/>
      </c>
      <c r="S343" s="100" t="str">
        <f t="shared" si="62"/>
        <v/>
      </c>
      <c r="T343" s="101" t="str">
        <f t="shared" si="63"/>
        <v/>
      </c>
      <c r="U343" s="101" t="str">
        <f t="shared" si="64"/>
        <v/>
      </c>
      <c r="V343" s="128" t="str">
        <f t="shared" si="65"/>
        <v/>
      </c>
      <c r="W343" s="128" t="str">
        <f t="shared" si="66"/>
        <v/>
      </c>
      <c r="X343" s="101" t="str">
        <f t="shared" si="67"/>
        <v/>
      </c>
      <c r="Y343" s="101" t="str">
        <f t="shared" si="68"/>
        <v/>
      </c>
      <c r="Z343" s="102" t="str">
        <f t="shared" si="69"/>
        <v/>
      </c>
      <c r="AA343" s="103" t="str">
        <f t="shared" si="70"/>
        <v/>
      </c>
      <c r="AB343" s="142" t="str">
        <f>IF(A343&lt;&gt;"", SUMIFS(node!$J$2:$J$500, node!$C$2:$C$500,"="&amp;A343)/P343, "")</f>
        <v/>
      </c>
      <c r="AC343" s="134" t="str">
        <f>IF(A343&lt;&gt;"", SUMIFS(node!$K$2:$K$500, node!$C$2:$C$500,"="&amp;A343)/P343, "")</f>
        <v/>
      </c>
      <c r="AD343" s="135" t="str">
        <f>IF(A343&lt;&gt;"", SUMIFS(node!$L$2:$L$500, node!$C$2:$C$500,"="&amp;A343), "")</f>
        <v/>
      </c>
      <c r="AE343" s="145" t="str">
        <f>IF(A343&lt;&gt;"", SUMIFS(node!$M$2:$M$500, node!$C$2:$C$500,"="&amp;A343), "")</f>
        <v/>
      </c>
    </row>
    <row r="344" spans="1:31" ht="15.75" customHeight="1" x14ac:dyDescent="0.25">
      <c r="A344" s="119" t="str">
        <f>IF(ISNONTEXT(node_raw[[#This Row],[Column2]]), "", node_raw[[#This Row],[Column2]])</f>
        <v/>
      </c>
      <c r="B344" s="116" t="str">
        <f>IF(A344&lt;&gt;"", VLOOKUP(A344, node!$C$2:$D$500, 2, FALSE), "")</f>
        <v/>
      </c>
      <c r="C344" s="117" t="str">
        <f>IF(A344&lt;&gt;"", VLOOKUP(A344, node!$C$2:$E$500, 3, FALSE), "")</f>
        <v/>
      </c>
      <c r="D344" s="118" t="str">
        <f>IF(A344&lt;&gt;"",COUNTIFS(node!$C$2:$C$500,"="&amp;A344, node!$C$2:$C$500,"&lt;&gt;"&amp;""),"")</f>
        <v/>
      </c>
      <c r="E344" s="122" t="str">
        <f>IF(A344&lt;&gt;"",SUMIFS(node!$F$2:$F$500, node!$C$2:$C$500,"="&amp;A344, node!$C$2:$C$500,"&lt;&gt;"&amp;"")/(B344*D344),"")</f>
        <v/>
      </c>
      <c r="F344" s="124" t="str">
        <f>IF(A344&lt;&gt;"",SUMIFS(node!$H$2:$H$500, node!$C$2:$C$500,"="&amp;A344, node!$C$2:$C$500,"&lt;&gt;"&amp;"")/(C344*D344),"")</f>
        <v/>
      </c>
      <c r="G344" s="93" t="str">
        <f>IF(A344&lt;&gt;"",SUMIFS(deployment!$F$4:$F$502, deployment!$D$4:$D$502,"="&amp;A344, deployment!$D$4:$D$502,"&lt;&gt;"&amp;""),"")</f>
        <v/>
      </c>
      <c r="H344" s="94" t="str">
        <f>IF(A344&lt;&gt;"",SUMIFS(deployment!$G$4:$G$502, deployment!$D$4:$D$502,"="&amp;A344, deployment!$D$4:$D$502,"&lt;&gt;"&amp;""),"")</f>
        <v/>
      </c>
      <c r="I344" s="95" t="str">
        <f>IF(A344&lt;&gt;"",SUMIFS(deployment!$H$4:$H$502, deployment!$D$4:$D$502,"="&amp;A344, deployment!$D$4:$D$502,"&lt;&gt;"&amp;""),"")</f>
        <v/>
      </c>
      <c r="J344" s="96" t="str">
        <f>IF(A344&lt;&gt;"",SUMIFS(deployment!$I$4:$I$502, deployment!$D$4:$D$502,"="&amp;A344, deployment!$D$4:$D$502,"&lt;&gt;"&amp;""),"")</f>
        <v/>
      </c>
      <c r="K344" s="112" t="str">
        <f>IF(A344&lt;&gt;"",SUMIFS(deployment!$J$4:$J$502, deployment!$D$4:$D$502,"="&amp;A344, deployment!$D$4:$D$502,"&lt;&gt;"&amp;""),"")</f>
        <v/>
      </c>
      <c r="L344" s="112" t="str">
        <f>IF(A344&lt;&gt;"",SUMIFS(deployment!$K$4:$K$502, deployment!$D$4:$D$502,"="&amp;A344, deployment!$D$4:$D$502,"&lt;&gt;"&amp;""),"")</f>
        <v/>
      </c>
      <c r="M344" s="97" t="str">
        <f>IF(A344&lt;&gt;"",SUMIFS(deployment!$L$4:$L$502, deployment!$D$4:$D$502,"="&amp;A344, deployment!$D$4:$D$502,"&lt;&gt;"&amp;""),"")</f>
        <v/>
      </c>
      <c r="N344" s="97" t="str">
        <f>IF(A344&lt;&gt;"",SUMIFS(deployment!$M$4:$M$502, deployment!$D$4:$D$502,"="&amp;A344, deployment!$D$4:$D$502,"&lt;&gt;"&amp;""),"")</f>
        <v/>
      </c>
      <c r="O344" s="127" t="str">
        <f t="shared" si="71"/>
        <v/>
      </c>
      <c r="P344" s="104"/>
      <c r="Q344" s="99" t="str">
        <f t="shared" si="60"/>
        <v/>
      </c>
      <c r="R344" s="100" t="str">
        <f t="shared" si="61"/>
        <v/>
      </c>
      <c r="S344" s="100" t="str">
        <f t="shared" si="62"/>
        <v/>
      </c>
      <c r="T344" s="101" t="str">
        <f t="shared" si="63"/>
        <v/>
      </c>
      <c r="U344" s="101" t="str">
        <f t="shared" si="64"/>
        <v/>
      </c>
      <c r="V344" s="128" t="str">
        <f t="shared" si="65"/>
        <v/>
      </c>
      <c r="W344" s="128" t="str">
        <f t="shared" si="66"/>
        <v/>
      </c>
      <c r="X344" s="101" t="str">
        <f t="shared" si="67"/>
        <v/>
      </c>
      <c r="Y344" s="101" t="str">
        <f t="shared" si="68"/>
        <v/>
      </c>
      <c r="Z344" s="102" t="str">
        <f t="shared" si="69"/>
        <v/>
      </c>
      <c r="AA344" s="103" t="str">
        <f t="shared" si="70"/>
        <v/>
      </c>
      <c r="AB344" s="142" t="str">
        <f>IF(A344&lt;&gt;"", SUMIFS(node!$J$2:$J$500, node!$C$2:$C$500,"="&amp;A344)/P344, "")</f>
        <v/>
      </c>
      <c r="AC344" s="134" t="str">
        <f>IF(A344&lt;&gt;"", SUMIFS(node!$K$2:$K$500, node!$C$2:$C$500,"="&amp;A344)/P344, "")</f>
        <v/>
      </c>
      <c r="AD344" s="135" t="str">
        <f>IF(A344&lt;&gt;"", SUMIFS(node!$L$2:$L$500, node!$C$2:$C$500,"="&amp;A344), "")</f>
        <v/>
      </c>
      <c r="AE344" s="145" t="str">
        <f>IF(A344&lt;&gt;"", SUMIFS(node!$M$2:$M$500, node!$C$2:$C$500,"="&amp;A344), "")</f>
        <v/>
      </c>
    </row>
    <row r="345" spans="1:31" ht="15.75" customHeight="1" x14ac:dyDescent="0.25">
      <c r="A345" s="119" t="str">
        <f>IF(ISNONTEXT(node_raw[[#This Row],[Column2]]), "", node_raw[[#This Row],[Column2]])</f>
        <v/>
      </c>
      <c r="B345" s="116" t="str">
        <f>IF(A345&lt;&gt;"", VLOOKUP(A345, node!$C$2:$D$500, 2, FALSE), "")</f>
        <v/>
      </c>
      <c r="C345" s="117" t="str">
        <f>IF(A345&lt;&gt;"", VLOOKUP(A345, node!$C$2:$E$500, 3, FALSE), "")</f>
        <v/>
      </c>
      <c r="D345" s="118" t="str">
        <f>IF(A345&lt;&gt;"",COUNTIFS(node!$C$2:$C$500,"="&amp;A345, node!$C$2:$C$500,"&lt;&gt;"&amp;""),"")</f>
        <v/>
      </c>
      <c r="E345" s="122" t="str">
        <f>IF(A345&lt;&gt;"",SUMIFS(node!$F$2:$F$500, node!$C$2:$C$500,"="&amp;A345, node!$C$2:$C$500,"&lt;&gt;"&amp;"")/(B345*D345),"")</f>
        <v/>
      </c>
      <c r="F345" s="124" t="str">
        <f>IF(A345&lt;&gt;"",SUMIFS(node!$H$2:$H$500, node!$C$2:$C$500,"="&amp;A345, node!$C$2:$C$500,"&lt;&gt;"&amp;"")/(C345*D345),"")</f>
        <v/>
      </c>
      <c r="G345" s="93" t="str">
        <f>IF(A345&lt;&gt;"",SUMIFS(deployment!$F$4:$F$502, deployment!$D$4:$D$502,"="&amp;A345, deployment!$D$4:$D$502,"&lt;&gt;"&amp;""),"")</f>
        <v/>
      </c>
      <c r="H345" s="94" t="str">
        <f>IF(A345&lt;&gt;"",SUMIFS(deployment!$G$4:$G$502, deployment!$D$4:$D$502,"="&amp;A345, deployment!$D$4:$D$502,"&lt;&gt;"&amp;""),"")</f>
        <v/>
      </c>
      <c r="I345" s="95" t="str">
        <f>IF(A345&lt;&gt;"",SUMIFS(deployment!$H$4:$H$502, deployment!$D$4:$D$502,"="&amp;A345, deployment!$D$4:$D$502,"&lt;&gt;"&amp;""),"")</f>
        <v/>
      </c>
      <c r="J345" s="96" t="str">
        <f>IF(A345&lt;&gt;"",SUMIFS(deployment!$I$4:$I$502, deployment!$D$4:$D$502,"="&amp;A345, deployment!$D$4:$D$502,"&lt;&gt;"&amp;""),"")</f>
        <v/>
      </c>
      <c r="K345" s="112" t="str">
        <f>IF(A345&lt;&gt;"",SUMIFS(deployment!$J$4:$J$502, deployment!$D$4:$D$502,"="&amp;A345, deployment!$D$4:$D$502,"&lt;&gt;"&amp;""),"")</f>
        <v/>
      </c>
      <c r="L345" s="112" t="str">
        <f>IF(A345&lt;&gt;"",SUMIFS(deployment!$K$4:$K$502, deployment!$D$4:$D$502,"="&amp;A345, deployment!$D$4:$D$502,"&lt;&gt;"&amp;""),"")</f>
        <v/>
      </c>
      <c r="M345" s="97" t="str">
        <f>IF(A345&lt;&gt;"",SUMIFS(deployment!$L$4:$L$502, deployment!$D$4:$D$502,"="&amp;A345, deployment!$D$4:$D$502,"&lt;&gt;"&amp;""),"")</f>
        <v/>
      </c>
      <c r="N345" s="97" t="str">
        <f>IF(A345&lt;&gt;"",SUMIFS(deployment!$M$4:$M$502, deployment!$D$4:$D$502,"="&amp;A345, deployment!$D$4:$D$502,"&lt;&gt;"&amp;""),"")</f>
        <v/>
      </c>
      <c r="O345" s="127" t="str">
        <f t="shared" si="71"/>
        <v/>
      </c>
      <c r="P345" s="104"/>
      <c r="Q345" s="99" t="str">
        <f t="shared" si="60"/>
        <v/>
      </c>
      <c r="R345" s="100" t="str">
        <f t="shared" si="61"/>
        <v/>
      </c>
      <c r="S345" s="100" t="str">
        <f t="shared" si="62"/>
        <v/>
      </c>
      <c r="T345" s="101" t="str">
        <f t="shared" si="63"/>
        <v/>
      </c>
      <c r="U345" s="101" t="str">
        <f t="shared" si="64"/>
        <v/>
      </c>
      <c r="V345" s="128" t="str">
        <f t="shared" si="65"/>
        <v/>
      </c>
      <c r="W345" s="128" t="str">
        <f t="shared" si="66"/>
        <v/>
      </c>
      <c r="X345" s="101" t="str">
        <f t="shared" si="67"/>
        <v/>
      </c>
      <c r="Y345" s="101" t="str">
        <f t="shared" si="68"/>
        <v/>
      </c>
      <c r="Z345" s="102" t="str">
        <f t="shared" si="69"/>
        <v/>
      </c>
      <c r="AA345" s="103" t="str">
        <f t="shared" si="70"/>
        <v/>
      </c>
      <c r="AB345" s="142" t="str">
        <f>IF(A345&lt;&gt;"", SUMIFS(node!$J$2:$J$500, node!$C$2:$C$500,"="&amp;A345)/P345, "")</f>
        <v/>
      </c>
      <c r="AC345" s="134" t="str">
        <f>IF(A345&lt;&gt;"", SUMIFS(node!$K$2:$K$500, node!$C$2:$C$500,"="&amp;A345)/P345, "")</f>
        <v/>
      </c>
      <c r="AD345" s="135" t="str">
        <f>IF(A345&lt;&gt;"", SUMIFS(node!$L$2:$L$500, node!$C$2:$C$500,"="&amp;A345), "")</f>
        <v/>
      </c>
      <c r="AE345" s="145" t="str">
        <f>IF(A345&lt;&gt;"", SUMIFS(node!$M$2:$M$500, node!$C$2:$C$500,"="&amp;A345), "")</f>
        <v/>
      </c>
    </row>
    <row r="346" spans="1:31" ht="15.75" customHeight="1" x14ac:dyDescent="0.25">
      <c r="A346" s="119" t="str">
        <f>IF(ISNONTEXT(node_raw[[#This Row],[Column2]]), "", node_raw[[#This Row],[Column2]])</f>
        <v/>
      </c>
      <c r="B346" s="116" t="str">
        <f>IF(A346&lt;&gt;"", VLOOKUP(A346, node!$C$2:$D$500, 2, FALSE), "")</f>
        <v/>
      </c>
      <c r="C346" s="117" t="str">
        <f>IF(A346&lt;&gt;"", VLOOKUP(A346, node!$C$2:$E$500, 3, FALSE), "")</f>
        <v/>
      </c>
      <c r="D346" s="118" t="str">
        <f>IF(A346&lt;&gt;"",COUNTIFS(node!$C$2:$C$500,"="&amp;A346, node!$C$2:$C$500,"&lt;&gt;"&amp;""),"")</f>
        <v/>
      </c>
      <c r="E346" s="122" t="str">
        <f>IF(A346&lt;&gt;"",SUMIFS(node!$F$2:$F$500, node!$C$2:$C$500,"="&amp;A346, node!$C$2:$C$500,"&lt;&gt;"&amp;"")/(B346*D346),"")</f>
        <v/>
      </c>
      <c r="F346" s="124" t="str">
        <f>IF(A346&lt;&gt;"",SUMIFS(node!$H$2:$H$500, node!$C$2:$C$500,"="&amp;A346, node!$C$2:$C$500,"&lt;&gt;"&amp;"")/(C346*D346),"")</f>
        <v/>
      </c>
      <c r="G346" s="93" t="str">
        <f>IF(A346&lt;&gt;"",SUMIFS(deployment!$F$4:$F$502, deployment!$D$4:$D$502,"="&amp;A346, deployment!$D$4:$D$502,"&lt;&gt;"&amp;""),"")</f>
        <v/>
      </c>
      <c r="H346" s="94" t="str">
        <f>IF(A346&lt;&gt;"",SUMIFS(deployment!$G$4:$G$502, deployment!$D$4:$D$502,"="&amp;A346, deployment!$D$4:$D$502,"&lt;&gt;"&amp;""),"")</f>
        <v/>
      </c>
      <c r="I346" s="95" t="str">
        <f>IF(A346&lt;&gt;"",SUMIFS(deployment!$H$4:$H$502, deployment!$D$4:$D$502,"="&amp;A346, deployment!$D$4:$D$502,"&lt;&gt;"&amp;""),"")</f>
        <v/>
      </c>
      <c r="J346" s="96" t="str">
        <f>IF(A346&lt;&gt;"",SUMIFS(deployment!$I$4:$I$502, deployment!$D$4:$D$502,"="&amp;A346, deployment!$D$4:$D$502,"&lt;&gt;"&amp;""),"")</f>
        <v/>
      </c>
      <c r="K346" s="112" t="str">
        <f>IF(A346&lt;&gt;"",SUMIFS(deployment!$J$4:$J$502, deployment!$D$4:$D$502,"="&amp;A346, deployment!$D$4:$D$502,"&lt;&gt;"&amp;""),"")</f>
        <v/>
      </c>
      <c r="L346" s="112" t="str">
        <f>IF(A346&lt;&gt;"",SUMIFS(deployment!$K$4:$K$502, deployment!$D$4:$D$502,"="&amp;A346, deployment!$D$4:$D$502,"&lt;&gt;"&amp;""),"")</f>
        <v/>
      </c>
      <c r="M346" s="97" t="str">
        <f>IF(A346&lt;&gt;"",SUMIFS(deployment!$L$4:$L$502, deployment!$D$4:$D$502,"="&amp;A346, deployment!$D$4:$D$502,"&lt;&gt;"&amp;""),"")</f>
        <v/>
      </c>
      <c r="N346" s="97" t="str">
        <f>IF(A346&lt;&gt;"",SUMIFS(deployment!$M$4:$M$502, deployment!$D$4:$D$502,"="&amp;A346, deployment!$D$4:$D$502,"&lt;&gt;"&amp;""),"")</f>
        <v/>
      </c>
      <c r="O346" s="127" t="str">
        <f t="shared" si="71"/>
        <v/>
      </c>
      <c r="P346" s="104"/>
      <c r="Q346" s="99" t="str">
        <f t="shared" si="60"/>
        <v/>
      </c>
      <c r="R346" s="100" t="str">
        <f t="shared" si="61"/>
        <v/>
      </c>
      <c r="S346" s="100" t="str">
        <f t="shared" si="62"/>
        <v/>
      </c>
      <c r="T346" s="101" t="str">
        <f t="shared" si="63"/>
        <v/>
      </c>
      <c r="U346" s="101" t="str">
        <f t="shared" si="64"/>
        <v/>
      </c>
      <c r="V346" s="128" t="str">
        <f t="shared" si="65"/>
        <v/>
      </c>
      <c r="W346" s="128" t="str">
        <f t="shared" si="66"/>
        <v/>
      </c>
      <c r="X346" s="101" t="str">
        <f t="shared" si="67"/>
        <v/>
      </c>
      <c r="Y346" s="101" t="str">
        <f t="shared" si="68"/>
        <v/>
      </c>
      <c r="Z346" s="102" t="str">
        <f t="shared" si="69"/>
        <v/>
      </c>
      <c r="AA346" s="103" t="str">
        <f t="shared" si="70"/>
        <v/>
      </c>
      <c r="AB346" s="142" t="str">
        <f>IF(A346&lt;&gt;"", SUMIFS(node!$J$2:$J$500, node!$C$2:$C$500,"="&amp;A346)/P346, "")</f>
        <v/>
      </c>
      <c r="AC346" s="134" t="str">
        <f>IF(A346&lt;&gt;"", SUMIFS(node!$K$2:$K$500, node!$C$2:$C$500,"="&amp;A346)/P346, "")</f>
        <v/>
      </c>
      <c r="AD346" s="135" t="str">
        <f>IF(A346&lt;&gt;"", SUMIFS(node!$L$2:$L$500, node!$C$2:$C$500,"="&amp;A346), "")</f>
        <v/>
      </c>
      <c r="AE346" s="145" t="str">
        <f>IF(A346&lt;&gt;"", SUMIFS(node!$M$2:$M$500, node!$C$2:$C$500,"="&amp;A346), "")</f>
        <v/>
      </c>
    </row>
    <row r="347" spans="1:31" ht="15.75" customHeight="1" x14ac:dyDescent="0.25">
      <c r="A347" s="119" t="str">
        <f>IF(ISNONTEXT(node_raw[[#This Row],[Column2]]), "", node_raw[[#This Row],[Column2]])</f>
        <v/>
      </c>
      <c r="B347" s="116" t="str">
        <f>IF(A347&lt;&gt;"", VLOOKUP(A347, node!$C$2:$D$500, 2, FALSE), "")</f>
        <v/>
      </c>
      <c r="C347" s="117" t="str">
        <f>IF(A347&lt;&gt;"", VLOOKUP(A347, node!$C$2:$E$500, 3, FALSE), "")</f>
        <v/>
      </c>
      <c r="D347" s="118" t="str">
        <f>IF(A347&lt;&gt;"",COUNTIFS(node!$C$2:$C$500,"="&amp;A347, node!$C$2:$C$500,"&lt;&gt;"&amp;""),"")</f>
        <v/>
      </c>
      <c r="E347" s="122" t="str">
        <f>IF(A347&lt;&gt;"",SUMIFS(node!$F$2:$F$500, node!$C$2:$C$500,"="&amp;A347, node!$C$2:$C$500,"&lt;&gt;"&amp;"")/(B347*D347),"")</f>
        <v/>
      </c>
      <c r="F347" s="124" t="str">
        <f>IF(A347&lt;&gt;"",SUMIFS(node!$H$2:$H$500, node!$C$2:$C$500,"="&amp;A347, node!$C$2:$C$500,"&lt;&gt;"&amp;"")/(C347*D347),"")</f>
        <v/>
      </c>
      <c r="G347" s="93" t="str">
        <f>IF(A347&lt;&gt;"",SUMIFS(deployment!$F$4:$F$502, deployment!$D$4:$D$502,"="&amp;A347, deployment!$D$4:$D$502,"&lt;&gt;"&amp;""),"")</f>
        <v/>
      </c>
      <c r="H347" s="94" t="str">
        <f>IF(A347&lt;&gt;"",SUMIFS(deployment!$G$4:$G$502, deployment!$D$4:$D$502,"="&amp;A347, deployment!$D$4:$D$502,"&lt;&gt;"&amp;""),"")</f>
        <v/>
      </c>
      <c r="I347" s="95" t="str">
        <f>IF(A347&lt;&gt;"",SUMIFS(deployment!$H$4:$H$502, deployment!$D$4:$D$502,"="&amp;A347, deployment!$D$4:$D$502,"&lt;&gt;"&amp;""),"")</f>
        <v/>
      </c>
      <c r="J347" s="96" t="str">
        <f>IF(A347&lt;&gt;"",SUMIFS(deployment!$I$4:$I$502, deployment!$D$4:$D$502,"="&amp;A347, deployment!$D$4:$D$502,"&lt;&gt;"&amp;""),"")</f>
        <v/>
      </c>
      <c r="K347" s="112" t="str">
        <f>IF(A347&lt;&gt;"",SUMIFS(deployment!$J$4:$J$502, deployment!$D$4:$D$502,"="&amp;A347, deployment!$D$4:$D$502,"&lt;&gt;"&amp;""),"")</f>
        <v/>
      </c>
      <c r="L347" s="112" t="str">
        <f>IF(A347&lt;&gt;"",SUMIFS(deployment!$K$4:$K$502, deployment!$D$4:$D$502,"="&amp;A347, deployment!$D$4:$D$502,"&lt;&gt;"&amp;""),"")</f>
        <v/>
      </c>
      <c r="M347" s="97" t="str">
        <f>IF(A347&lt;&gt;"",SUMIFS(deployment!$L$4:$L$502, deployment!$D$4:$D$502,"="&amp;A347, deployment!$D$4:$D$502,"&lt;&gt;"&amp;""),"")</f>
        <v/>
      </c>
      <c r="N347" s="97" t="str">
        <f>IF(A347&lt;&gt;"",SUMIFS(deployment!$M$4:$M$502, deployment!$D$4:$D$502,"="&amp;A347, deployment!$D$4:$D$502,"&lt;&gt;"&amp;""),"")</f>
        <v/>
      </c>
      <c r="O347" s="127" t="str">
        <f t="shared" si="71"/>
        <v/>
      </c>
      <c r="P347" s="104"/>
      <c r="Q347" s="99" t="str">
        <f t="shared" si="60"/>
        <v/>
      </c>
      <c r="R347" s="100" t="str">
        <f t="shared" si="61"/>
        <v/>
      </c>
      <c r="S347" s="100" t="str">
        <f t="shared" si="62"/>
        <v/>
      </c>
      <c r="T347" s="101" t="str">
        <f t="shared" si="63"/>
        <v/>
      </c>
      <c r="U347" s="101" t="str">
        <f t="shared" si="64"/>
        <v/>
      </c>
      <c r="V347" s="128" t="str">
        <f t="shared" si="65"/>
        <v/>
      </c>
      <c r="W347" s="128" t="str">
        <f t="shared" si="66"/>
        <v/>
      </c>
      <c r="X347" s="101" t="str">
        <f t="shared" si="67"/>
        <v/>
      </c>
      <c r="Y347" s="101" t="str">
        <f t="shared" si="68"/>
        <v/>
      </c>
      <c r="Z347" s="102" t="str">
        <f t="shared" si="69"/>
        <v/>
      </c>
      <c r="AA347" s="103" t="str">
        <f t="shared" si="70"/>
        <v/>
      </c>
      <c r="AB347" s="142" t="str">
        <f>IF(A347&lt;&gt;"", SUMIFS(node!$J$2:$J$500, node!$C$2:$C$500,"="&amp;A347)/P347, "")</f>
        <v/>
      </c>
      <c r="AC347" s="134" t="str">
        <f>IF(A347&lt;&gt;"", SUMIFS(node!$K$2:$K$500, node!$C$2:$C$500,"="&amp;A347)/P347, "")</f>
        <v/>
      </c>
      <c r="AD347" s="135" t="str">
        <f>IF(A347&lt;&gt;"", SUMIFS(node!$L$2:$L$500, node!$C$2:$C$500,"="&amp;A347), "")</f>
        <v/>
      </c>
      <c r="AE347" s="145" t="str">
        <f>IF(A347&lt;&gt;"", SUMIFS(node!$M$2:$M$500, node!$C$2:$C$500,"="&amp;A347), "")</f>
        <v/>
      </c>
    </row>
    <row r="348" spans="1:31" ht="15.75" customHeight="1" x14ac:dyDescent="0.25">
      <c r="A348" s="119" t="str">
        <f>IF(ISNONTEXT(node_raw[[#This Row],[Column2]]), "", node_raw[[#This Row],[Column2]])</f>
        <v/>
      </c>
      <c r="B348" s="116" t="str">
        <f>IF(A348&lt;&gt;"", VLOOKUP(A348, node!$C$2:$D$500, 2, FALSE), "")</f>
        <v/>
      </c>
      <c r="C348" s="117" t="str">
        <f>IF(A348&lt;&gt;"", VLOOKUP(A348, node!$C$2:$E$500, 3, FALSE), "")</f>
        <v/>
      </c>
      <c r="D348" s="118" t="str">
        <f>IF(A348&lt;&gt;"",COUNTIFS(node!$C$2:$C$500,"="&amp;A348, node!$C$2:$C$500,"&lt;&gt;"&amp;""),"")</f>
        <v/>
      </c>
      <c r="E348" s="122" t="str">
        <f>IF(A348&lt;&gt;"",SUMIFS(node!$F$2:$F$500, node!$C$2:$C$500,"="&amp;A348, node!$C$2:$C$500,"&lt;&gt;"&amp;"")/(B348*D348),"")</f>
        <v/>
      </c>
      <c r="F348" s="124" t="str">
        <f>IF(A348&lt;&gt;"",SUMIFS(node!$H$2:$H$500, node!$C$2:$C$500,"="&amp;A348, node!$C$2:$C$500,"&lt;&gt;"&amp;"")/(C348*D348),"")</f>
        <v/>
      </c>
      <c r="G348" s="93" t="str">
        <f>IF(A348&lt;&gt;"",SUMIFS(deployment!$F$4:$F$502, deployment!$D$4:$D$502,"="&amp;A348, deployment!$D$4:$D$502,"&lt;&gt;"&amp;""),"")</f>
        <v/>
      </c>
      <c r="H348" s="94" t="str">
        <f>IF(A348&lt;&gt;"",SUMIFS(deployment!$G$4:$G$502, deployment!$D$4:$D$502,"="&amp;A348, deployment!$D$4:$D$502,"&lt;&gt;"&amp;""),"")</f>
        <v/>
      </c>
      <c r="I348" s="95" t="str">
        <f>IF(A348&lt;&gt;"",SUMIFS(deployment!$H$4:$H$502, deployment!$D$4:$D$502,"="&amp;A348, deployment!$D$4:$D$502,"&lt;&gt;"&amp;""),"")</f>
        <v/>
      </c>
      <c r="J348" s="96" t="str">
        <f>IF(A348&lt;&gt;"",SUMIFS(deployment!$I$4:$I$502, deployment!$D$4:$D$502,"="&amp;A348, deployment!$D$4:$D$502,"&lt;&gt;"&amp;""),"")</f>
        <v/>
      </c>
      <c r="K348" s="112" t="str">
        <f>IF(A348&lt;&gt;"",SUMIFS(deployment!$J$4:$J$502, deployment!$D$4:$D$502,"="&amp;A348, deployment!$D$4:$D$502,"&lt;&gt;"&amp;""),"")</f>
        <v/>
      </c>
      <c r="L348" s="112" t="str">
        <f>IF(A348&lt;&gt;"",SUMIFS(deployment!$K$4:$K$502, deployment!$D$4:$D$502,"="&amp;A348, deployment!$D$4:$D$502,"&lt;&gt;"&amp;""),"")</f>
        <v/>
      </c>
      <c r="M348" s="97" t="str">
        <f>IF(A348&lt;&gt;"",SUMIFS(deployment!$L$4:$L$502, deployment!$D$4:$D$502,"="&amp;A348, deployment!$D$4:$D$502,"&lt;&gt;"&amp;""),"")</f>
        <v/>
      </c>
      <c r="N348" s="97" t="str">
        <f>IF(A348&lt;&gt;"",SUMIFS(deployment!$M$4:$M$502, deployment!$D$4:$D$502,"="&amp;A348, deployment!$D$4:$D$502,"&lt;&gt;"&amp;""),"")</f>
        <v/>
      </c>
      <c r="O348" s="127" t="str">
        <f t="shared" si="71"/>
        <v/>
      </c>
      <c r="P348" s="104"/>
      <c r="Q348" s="99" t="str">
        <f t="shared" si="60"/>
        <v/>
      </c>
      <c r="R348" s="100" t="str">
        <f t="shared" si="61"/>
        <v/>
      </c>
      <c r="S348" s="100" t="str">
        <f t="shared" si="62"/>
        <v/>
      </c>
      <c r="T348" s="101" t="str">
        <f t="shared" si="63"/>
        <v/>
      </c>
      <c r="U348" s="101" t="str">
        <f t="shared" si="64"/>
        <v/>
      </c>
      <c r="V348" s="128" t="str">
        <f t="shared" si="65"/>
        <v/>
      </c>
      <c r="W348" s="128" t="str">
        <f t="shared" si="66"/>
        <v/>
      </c>
      <c r="X348" s="101" t="str">
        <f t="shared" si="67"/>
        <v/>
      </c>
      <c r="Y348" s="101" t="str">
        <f t="shared" si="68"/>
        <v/>
      </c>
      <c r="Z348" s="102" t="str">
        <f t="shared" si="69"/>
        <v/>
      </c>
      <c r="AA348" s="103" t="str">
        <f t="shared" si="70"/>
        <v/>
      </c>
      <c r="AB348" s="142" t="str">
        <f>IF(A348&lt;&gt;"", SUMIFS(node!$J$2:$J$500, node!$C$2:$C$500,"="&amp;A348)/P348, "")</f>
        <v/>
      </c>
      <c r="AC348" s="134" t="str">
        <f>IF(A348&lt;&gt;"", SUMIFS(node!$K$2:$K$500, node!$C$2:$C$500,"="&amp;A348)/P348, "")</f>
        <v/>
      </c>
      <c r="AD348" s="135" t="str">
        <f>IF(A348&lt;&gt;"", SUMIFS(node!$L$2:$L$500, node!$C$2:$C$500,"="&amp;A348), "")</f>
        <v/>
      </c>
      <c r="AE348" s="145" t="str">
        <f>IF(A348&lt;&gt;"", SUMIFS(node!$M$2:$M$500, node!$C$2:$C$500,"="&amp;A348), "")</f>
        <v/>
      </c>
    </row>
    <row r="349" spans="1:31" ht="15.75" customHeight="1" x14ac:dyDescent="0.25">
      <c r="A349" s="119" t="str">
        <f>IF(ISNONTEXT(node_raw[[#This Row],[Column2]]), "", node_raw[[#This Row],[Column2]])</f>
        <v/>
      </c>
      <c r="B349" s="116" t="str">
        <f>IF(A349&lt;&gt;"", VLOOKUP(A349, node!$C$2:$D$500, 2, FALSE), "")</f>
        <v/>
      </c>
      <c r="C349" s="117" t="str">
        <f>IF(A349&lt;&gt;"", VLOOKUP(A349, node!$C$2:$E$500, 3, FALSE), "")</f>
        <v/>
      </c>
      <c r="D349" s="118" t="str">
        <f>IF(A349&lt;&gt;"",COUNTIFS(node!$C$2:$C$500,"="&amp;A349, node!$C$2:$C$500,"&lt;&gt;"&amp;""),"")</f>
        <v/>
      </c>
      <c r="E349" s="122" t="str">
        <f>IF(A349&lt;&gt;"",SUMIFS(node!$F$2:$F$500, node!$C$2:$C$500,"="&amp;A349, node!$C$2:$C$500,"&lt;&gt;"&amp;"")/(B349*D349),"")</f>
        <v/>
      </c>
      <c r="F349" s="124" t="str">
        <f>IF(A349&lt;&gt;"",SUMIFS(node!$H$2:$H$500, node!$C$2:$C$500,"="&amp;A349, node!$C$2:$C$500,"&lt;&gt;"&amp;"")/(C349*D349),"")</f>
        <v/>
      </c>
      <c r="G349" s="93" t="str">
        <f>IF(A349&lt;&gt;"",SUMIFS(deployment!$F$4:$F$502, deployment!$D$4:$D$502,"="&amp;A349, deployment!$D$4:$D$502,"&lt;&gt;"&amp;""),"")</f>
        <v/>
      </c>
      <c r="H349" s="94" t="str">
        <f>IF(A349&lt;&gt;"",SUMIFS(deployment!$G$4:$G$502, deployment!$D$4:$D$502,"="&amp;A349, deployment!$D$4:$D$502,"&lt;&gt;"&amp;""),"")</f>
        <v/>
      </c>
      <c r="I349" s="95" t="str">
        <f>IF(A349&lt;&gt;"",SUMIFS(deployment!$H$4:$H$502, deployment!$D$4:$D$502,"="&amp;A349, deployment!$D$4:$D$502,"&lt;&gt;"&amp;""),"")</f>
        <v/>
      </c>
      <c r="J349" s="96" t="str">
        <f>IF(A349&lt;&gt;"",SUMIFS(deployment!$I$4:$I$502, deployment!$D$4:$D$502,"="&amp;A349, deployment!$D$4:$D$502,"&lt;&gt;"&amp;""),"")</f>
        <v/>
      </c>
      <c r="K349" s="112" t="str">
        <f>IF(A349&lt;&gt;"",SUMIFS(deployment!$J$4:$J$502, deployment!$D$4:$D$502,"="&amp;A349, deployment!$D$4:$D$502,"&lt;&gt;"&amp;""),"")</f>
        <v/>
      </c>
      <c r="L349" s="112" t="str">
        <f>IF(A349&lt;&gt;"",SUMIFS(deployment!$K$4:$K$502, deployment!$D$4:$D$502,"="&amp;A349, deployment!$D$4:$D$502,"&lt;&gt;"&amp;""),"")</f>
        <v/>
      </c>
      <c r="M349" s="97" t="str">
        <f>IF(A349&lt;&gt;"",SUMIFS(deployment!$L$4:$L$502, deployment!$D$4:$D$502,"="&amp;A349, deployment!$D$4:$D$502,"&lt;&gt;"&amp;""),"")</f>
        <v/>
      </c>
      <c r="N349" s="97" t="str">
        <f>IF(A349&lt;&gt;"",SUMIFS(deployment!$M$4:$M$502, deployment!$D$4:$D$502,"="&amp;A349, deployment!$D$4:$D$502,"&lt;&gt;"&amp;""),"")</f>
        <v/>
      </c>
      <c r="O349" s="127" t="str">
        <f t="shared" si="71"/>
        <v/>
      </c>
      <c r="P349" s="104"/>
      <c r="Q349" s="99" t="str">
        <f t="shared" si="60"/>
        <v/>
      </c>
      <c r="R349" s="100" t="str">
        <f t="shared" si="61"/>
        <v/>
      </c>
      <c r="S349" s="100" t="str">
        <f t="shared" si="62"/>
        <v/>
      </c>
      <c r="T349" s="101" t="str">
        <f t="shared" si="63"/>
        <v/>
      </c>
      <c r="U349" s="101" t="str">
        <f t="shared" si="64"/>
        <v/>
      </c>
      <c r="V349" s="128" t="str">
        <f t="shared" si="65"/>
        <v/>
      </c>
      <c r="W349" s="128" t="str">
        <f t="shared" si="66"/>
        <v/>
      </c>
      <c r="X349" s="101" t="str">
        <f t="shared" si="67"/>
        <v/>
      </c>
      <c r="Y349" s="101" t="str">
        <f t="shared" si="68"/>
        <v/>
      </c>
      <c r="Z349" s="102" t="str">
        <f t="shared" si="69"/>
        <v/>
      </c>
      <c r="AA349" s="103" t="str">
        <f t="shared" si="70"/>
        <v/>
      </c>
      <c r="AB349" s="142" t="str">
        <f>IF(A349&lt;&gt;"", SUMIFS(node!$J$2:$J$500, node!$C$2:$C$500,"="&amp;A349)/P349, "")</f>
        <v/>
      </c>
      <c r="AC349" s="134" t="str">
        <f>IF(A349&lt;&gt;"", SUMIFS(node!$K$2:$K$500, node!$C$2:$C$500,"="&amp;A349)/P349, "")</f>
        <v/>
      </c>
      <c r="AD349" s="135" t="str">
        <f>IF(A349&lt;&gt;"", SUMIFS(node!$L$2:$L$500, node!$C$2:$C$500,"="&amp;A349), "")</f>
        <v/>
      </c>
      <c r="AE349" s="145" t="str">
        <f>IF(A349&lt;&gt;"", SUMIFS(node!$M$2:$M$500, node!$C$2:$C$500,"="&amp;A349), "")</f>
        <v/>
      </c>
    </row>
    <row r="350" spans="1:31" ht="15.75" customHeight="1" x14ac:dyDescent="0.25">
      <c r="A350" s="119" t="str">
        <f>IF(ISNONTEXT(node_raw[[#This Row],[Column2]]), "", node_raw[[#This Row],[Column2]])</f>
        <v/>
      </c>
      <c r="B350" s="116" t="str">
        <f>IF(A350&lt;&gt;"", VLOOKUP(A350, node!$C$2:$D$500, 2, FALSE), "")</f>
        <v/>
      </c>
      <c r="C350" s="117" t="str">
        <f>IF(A350&lt;&gt;"", VLOOKUP(A350, node!$C$2:$E$500, 3, FALSE), "")</f>
        <v/>
      </c>
      <c r="D350" s="118" t="str">
        <f>IF(A350&lt;&gt;"",COUNTIFS(node!$C$2:$C$500,"="&amp;A350, node!$C$2:$C$500,"&lt;&gt;"&amp;""),"")</f>
        <v/>
      </c>
      <c r="E350" s="122" t="str">
        <f>IF(A350&lt;&gt;"",SUMIFS(node!$F$2:$F$500, node!$C$2:$C$500,"="&amp;A350, node!$C$2:$C$500,"&lt;&gt;"&amp;"")/(B350*D350),"")</f>
        <v/>
      </c>
      <c r="F350" s="124" t="str">
        <f>IF(A350&lt;&gt;"",SUMIFS(node!$H$2:$H$500, node!$C$2:$C$500,"="&amp;A350, node!$C$2:$C$500,"&lt;&gt;"&amp;"")/(C350*D350),"")</f>
        <v/>
      </c>
      <c r="G350" s="93" t="str">
        <f>IF(A350&lt;&gt;"",SUMIFS(deployment!$F$4:$F$502, deployment!$D$4:$D$502,"="&amp;A350, deployment!$D$4:$D$502,"&lt;&gt;"&amp;""),"")</f>
        <v/>
      </c>
      <c r="H350" s="94" t="str">
        <f>IF(A350&lt;&gt;"",SUMIFS(deployment!$G$4:$G$502, deployment!$D$4:$D$502,"="&amp;A350, deployment!$D$4:$D$502,"&lt;&gt;"&amp;""),"")</f>
        <v/>
      </c>
      <c r="I350" s="95" t="str">
        <f>IF(A350&lt;&gt;"",SUMIFS(deployment!$H$4:$H$502, deployment!$D$4:$D$502,"="&amp;A350, deployment!$D$4:$D$502,"&lt;&gt;"&amp;""),"")</f>
        <v/>
      </c>
      <c r="J350" s="96" t="str">
        <f>IF(A350&lt;&gt;"",SUMIFS(deployment!$I$4:$I$502, deployment!$D$4:$D$502,"="&amp;A350, deployment!$D$4:$D$502,"&lt;&gt;"&amp;""),"")</f>
        <v/>
      </c>
      <c r="K350" s="112" t="str">
        <f>IF(A350&lt;&gt;"",SUMIFS(deployment!$J$4:$J$502, deployment!$D$4:$D$502,"="&amp;A350, deployment!$D$4:$D$502,"&lt;&gt;"&amp;""),"")</f>
        <v/>
      </c>
      <c r="L350" s="112" t="str">
        <f>IF(A350&lt;&gt;"",SUMIFS(deployment!$K$4:$K$502, deployment!$D$4:$D$502,"="&amp;A350, deployment!$D$4:$D$502,"&lt;&gt;"&amp;""),"")</f>
        <v/>
      </c>
      <c r="M350" s="97" t="str">
        <f>IF(A350&lt;&gt;"",SUMIFS(deployment!$L$4:$L$502, deployment!$D$4:$D$502,"="&amp;A350, deployment!$D$4:$D$502,"&lt;&gt;"&amp;""),"")</f>
        <v/>
      </c>
      <c r="N350" s="97" t="str">
        <f>IF(A350&lt;&gt;"",SUMIFS(deployment!$M$4:$M$502, deployment!$D$4:$D$502,"="&amp;A350, deployment!$D$4:$D$502,"&lt;&gt;"&amp;""),"")</f>
        <v/>
      </c>
      <c r="O350" s="127" t="str">
        <f t="shared" si="71"/>
        <v/>
      </c>
      <c r="P350" s="104"/>
      <c r="Q350" s="99" t="str">
        <f t="shared" si="60"/>
        <v/>
      </c>
      <c r="R350" s="100" t="str">
        <f t="shared" si="61"/>
        <v/>
      </c>
      <c r="S350" s="100" t="str">
        <f t="shared" si="62"/>
        <v/>
      </c>
      <c r="T350" s="101" t="str">
        <f t="shared" si="63"/>
        <v/>
      </c>
      <c r="U350" s="101" t="str">
        <f t="shared" si="64"/>
        <v/>
      </c>
      <c r="V350" s="128" t="str">
        <f t="shared" si="65"/>
        <v/>
      </c>
      <c r="W350" s="128" t="str">
        <f t="shared" si="66"/>
        <v/>
      </c>
      <c r="X350" s="101" t="str">
        <f t="shared" si="67"/>
        <v/>
      </c>
      <c r="Y350" s="101" t="str">
        <f t="shared" si="68"/>
        <v/>
      </c>
      <c r="Z350" s="102" t="str">
        <f t="shared" si="69"/>
        <v/>
      </c>
      <c r="AA350" s="103" t="str">
        <f t="shared" si="70"/>
        <v/>
      </c>
      <c r="AB350" s="142" t="str">
        <f>IF(A350&lt;&gt;"", SUMIFS(node!$J$2:$J$500, node!$C$2:$C$500,"="&amp;A350)/P350, "")</f>
        <v/>
      </c>
      <c r="AC350" s="134" t="str">
        <f>IF(A350&lt;&gt;"", SUMIFS(node!$K$2:$K$500, node!$C$2:$C$500,"="&amp;A350)/P350, "")</f>
        <v/>
      </c>
      <c r="AD350" s="135" t="str">
        <f>IF(A350&lt;&gt;"", SUMIFS(node!$L$2:$L$500, node!$C$2:$C$500,"="&amp;A350), "")</f>
        <v/>
      </c>
      <c r="AE350" s="145" t="str">
        <f>IF(A350&lt;&gt;"", SUMIFS(node!$M$2:$M$500, node!$C$2:$C$500,"="&amp;A350), "")</f>
        <v/>
      </c>
    </row>
    <row r="351" spans="1:31" ht="15.75" customHeight="1" x14ac:dyDescent="0.25">
      <c r="A351" s="119" t="str">
        <f>IF(ISNONTEXT(node_raw[[#This Row],[Column2]]), "", node_raw[[#This Row],[Column2]])</f>
        <v/>
      </c>
      <c r="B351" s="116" t="str">
        <f>IF(A351&lt;&gt;"", VLOOKUP(A351, node!$C$2:$D$500, 2, FALSE), "")</f>
        <v/>
      </c>
      <c r="C351" s="117" t="str">
        <f>IF(A351&lt;&gt;"", VLOOKUP(A351, node!$C$2:$E$500, 3, FALSE), "")</f>
        <v/>
      </c>
      <c r="D351" s="118" t="str">
        <f>IF(A351&lt;&gt;"",COUNTIFS(node!$C$2:$C$500,"="&amp;A351, node!$C$2:$C$500,"&lt;&gt;"&amp;""),"")</f>
        <v/>
      </c>
      <c r="E351" s="122" t="str">
        <f>IF(A351&lt;&gt;"",SUMIFS(node!$F$2:$F$500, node!$C$2:$C$500,"="&amp;A351, node!$C$2:$C$500,"&lt;&gt;"&amp;"")/(B351*D351),"")</f>
        <v/>
      </c>
      <c r="F351" s="124" t="str">
        <f>IF(A351&lt;&gt;"",SUMIFS(node!$H$2:$H$500, node!$C$2:$C$500,"="&amp;A351, node!$C$2:$C$500,"&lt;&gt;"&amp;"")/(C351*D351),"")</f>
        <v/>
      </c>
      <c r="G351" s="93" t="str">
        <f>IF(A351&lt;&gt;"",SUMIFS(deployment!$F$4:$F$502, deployment!$D$4:$D$502,"="&amp;A351, deployment!$D$4:$D$502,"&lt;&gt;"&amp;""),"")</f>
        <v/>
      </c>
      <c r="H351" s="94" t="str">
        <f>IF(A351&lt;&gt;"",SUMIFS(deployment!$G$4:$G$502, deployment!$D$4:$D$502,"="&amp;A351, deployment!$D$4:$D$502,"&lt;&gt;"&amp;""),"")</f>
        <v/>
      </c>
      <c r="I351" s="95" t="str">
        <f>IF(A351&lt;&gt;"",SUMIFS(deployment!$H$4:$H$502, deployment!$D$4:$D$502,"="&amp;A351, deployment!$D$4:$D$502,"&lt;&gt;"&amp;""),"")</f>
        <v/>
      </c>
      <c r="J351" s="96" t="str">
        <f>IF(A351&lt;&gt;"",SUMIFS(deployment!$I$4:$I$502, deployment!$D$4:$D$502,"="&amp;A351, deployment!$D$4:$D$502,"&lt;&gt;"&amp;""),"")</f>
        <v/>
      </c>
      <c r="K351" s="112" t="str">
        <f>IF(A351&lt;&gt;"",SUMIFS(deployment!$J$4:$J$502, deployment!$D$4:$D$502,"="&amp;A351, deployment!$D$4:$D$502,"&lt;&gt;"&amp;""),"")</f>
        <v/>
      </c>
      <c r="L351" s="112" t="str">
        <f>IF(A351&lt;&gt;"",SUMIFS(deployment!$K$4:$K$502, deployment!$D$4:$D$502,"="&amp;A351, deployment!$D$4:$D$502,"&lt;&gt;"&amp;""),"")</f>
        <v/>
      </c>
      <c r="M351" s="97" t="str">
        <f>IF(A351&lt;&gt;"",SUMIFS(deployment!$L$4:$L$502, deployment!$D$4:$D$502,"="&amp;A351, deployment!$D$4:$D$502,"&lt;&gt;"&amp;""),"")</f>
        <v/>
      </c>
      <c r="N351" s="97" t="str">
        <f>IF(A351&lt;&gt;"",SUMIFS(deployment!$M$4:$M$502, deployment!$D$4:$D$502,"="&amp;A351, deployment!$D$4:$D$502,"&lt;&gt;"&amp;""),"")</f>
        <v/>
      </c>
      <c r="O351" s="127" t="str">
        <f t="shared" si="71"/>
        <v/>
      </c>
      <c r="P351" s="104"/>
      <c r="Q351" s="99" t="str">
        <f t="shared" si="60"/>
        <v/>
      </c>
      <c r="R351" s="100" t="str">
        <f t="shared" si="61"/>
        <v/>
      </c>
      <c r="S351" s="100" t="str">
        <f t="shared" si="62"/>
        <v/>
      </c>
      <c r="T351" s="101" t="str">
        <f t="shared" si="63"/>
        <v/>
      </c>
      <c r="U351" s="101" t="str">
        <f t="shared" si="64"/>
        <v/>
      </c>
      <c r="V351" s="128" t="str">
        <f t="shared" si="65"/>
        <v/>
      </c>
      <c r="W351" s="128" t="str">
        <f t="shared" si="66"/>
        <v/>
      </c>
      <c r="X351" s="101" t="str">
        <f t="shared" si="67"/>
        <v/>
      </c>
      <c r="Y351" s="101" t="str">
        <f t="shared" si="68"/>
        <v/>
      </c>
      <c r="Z351" s="102" t="str">
        <f t="shared" si="69"/>
        <v/>
      </c>
      <c r="AA351" s="103" t="str">
        <f t="shared" si="70"/>
        <v/>
      </c>
      <c r="AB351" s="142" t="str">
        <f>IF(A351&lt;&gt;"", SUMIFS(node!$J$2:$J$500, node!$C$2:$C$500,"="&amp;A351)/P351, "")</f>
        <v/>
      </c>
      <c r="AC351" s="134" t="str">
        <f>IF(A351&lt;&gt;"", SUMIFS(node!$K$2:$K$500, node!$C$2:$C$500,"="&amp;A351)/P351, "")</f>
        <v/>
      </c>
      <c r="AD351" s="135" t="str">
        <f>IF(A351&lt;&gt;"", SUMIFS(node!$L$2:$L$500, node!$C$2:$C$500,"="&amp;A351), "")</f>
        <v/>
      </c>
      <c r="AE351" s="145" t="str">
        <f>IF(A351&lt;&gt;"", SUMIFS(node!$M$2:$M$500, node!$C$2:$C$500,"="&amp;A351), "")</f>
        <v/>
      </c>
    </row>
    <row r="352" spans="1:31" ht="15.75" customHeight="1" x14ac:dyDescent="0.25">
      <c r="A352" s="119" t="str">
        <f>IF(ISNONTEXT(node_raw[[#This Row],[Column2]]), "", node_raw[[#This Row],[Column2]])</f>
        <v/>
      </c>
      <c r="B352" s="116" t="str">
        <f>IF(A352&lt;&gt;"", VLOOKUP(A352, node!$C$2:$D$500, 2, FALSE), "")</f>
        <v/>
      </c>
      <c r="C352" s="117" t="str">
        <f>IF(A352&lt;&gt;"", VLOOKUP(A352, node!$C$2:$E$500, 3, FALSE), "")</f>
        <v/>
      </c>
      <c r="D352" s="118" t="str">
        <f>IF(A352&lt;&gt;"",COUNTIFS(node!$C$2:$C$500,"="&amp;A352, node!$C$2:$C$500,"&lt;&gt;"&amp;""),"")</f>
        <v/>
      </c>
      <c r="E352" s="122" t="str">
        <f>IF(A352&lt;&gt;"",SUMIFS(node!$F$2:$F$500, node!$C$2:$C$500,"="&amp;A352, node!$C$2:$C$500,"&lt;&gt;"&amp;"")/(B352*D352),"")</f>
        <v/>
      </c>
      <c r="F352" s="124" t="str">
        <f>IF(A352&lt;&gt;"",SUMIFS(node!$H$2:$H$500, node!$C$2:$C$500,"="&amp;A352, node!$C$2:$C$500,"&lt;&gt;"&amp;"")/(C352*D352),"")</f>
        <v/>
      </c>
      <c r="G352" s="93" t="str">
        <f>IF(A352&lt;&gt;"",SUMIFS(deployment!$F$4:$F$502, deployment!$D$4:$D$502,"="&amp;A352, deployment!$D$4:$D$502,"&lt;&gt;"&amp;""),"")</f>
        <v/>
      </c>
      <c r="H352" s="94" t="str">
        <f>IF(A352&lt;&gt;"",SUMIFS(deployment!$G$4:$G$502, deployment!$D$4:$D$502,"="&amp;A352, deployment!$D$4:$D$502,"&lt;&gt;"&amp;""),"")</f>
        <v/>
      </c>
      <c r="I352" s="95" t="str">
        <f>IF(A352&lt;&gt;"",SUMIFS(deployment!$H$4:$H$502, deployment!$D$4:$D$502,"="&amp;A352, deployment!$D$4:$D$502,"&lt;&gt;"&amp;""),"")</f>
        <v/>
      </c>
      <c r="J352" s="96" t="str">
        <f>IF(A352&lt;&gt;"",SUMIFS(deployment!$I$4:$I$502, deployment!$D$4:$D$502,"="&amp;A352, deployment!$D$4:$D$502,"&lt;&gt;"&amp;""),"")</f>
        <v/>
      </c>
      <c r="K352" s="112" t="str">
        <f>IF(A352&lt;&gt;"",SUMIFS(deployment!$J$4:$J$502, deployment!$D$4:$D$502,"="&amp;A352, deployment!$D$4:$D$502,"&lt;&gt;"&amp;""),"")</f>
        <v/>
      </c>
      <c r="L352" s="112" t="str">
        <f>IF(A352&lt;&gt;"",SUMIFS(deployment!$K$4:$K$502, deployment!$D$4:$D$502,"="&amp;A352, deployment!$D$4:$D$502,"&lt;&gt;"&amp;""),"")</f>
        <v/>
      </c>
      <c r="M352" s="97" t="str">
        <f>IF(A352&lt;&gt;"",SUMIFS(deployment!$L$4:$L$502, deployment!$D$4:$D$502,"="&amp;A352, deployment!$D$4:$D$502,"&lt;&gt;"&amp;""),"")</f>
        <v/>
      </c>
      <c r="N352" s="97" t="str">
        <f>IF(A352&lt;&gt;"",SUMIFS(deployment!$M$4:$M$502, deployment!$D$4:$D$502,"="&amp;A352, deployment!$D$4:$D$502,"&lt;&gt;"&amp;""),"")</f>
        <v/>
      </c>
      <c r="O352" s="127" t="str">
        <f t="shared" si="71"/>
        <v/>
      </c>
      <c r="P352" s="104"/>
      <c r="Q352" s="99" t="str">
        <f t="shared" si="60"/>
        <v/>
      </c>
      <c r="R352" s="100" t="str">
        <f t="shared" si="61"/>
        <v/>
      </c>
      <c r="S352" s="100" t="str">
        <f t="shared" si="62"/>
        <v/>
      </c>
      <c r="T352" s="101" t="str">
        <f t="shared" si="63"/>
        <v/>
      </c>
      <c r="U352" s="101" t="str">
        <f t="shared" si="64"/>
        <v/>
      </c>
      <c r="V352" s="128" t="str">
        <f t="shared" si="65"/>
        <v/>
      </c>
      <c r="W352" s="128" t="str">
        <f t="shared" si="66"/>
        <v/>
      </c>
      <c r="X352" s="101" t="str">
        <f t="shared" si="67"/>
        <v/>
      </c>
      <c r="Y352" s="101" t="str">
        <f t="shared" si="68"/>
        <v/>
      </c>
      <c r="Z352" s="102" t="str">
        <f t="shared" si="69"/>
        <v/>
      </c>
      <c r="AA352" s="103" t="str">
        <f t="shared" si="70"/>
        <v/>
      </c>
      <c r="AB352" s="142" t="str">
        <f>IF(A352&lt;&gt;"", SUMIFS(node!$J$2:$J$500, node!$C$2:$C$500,"="&amp;A352)/P352, "")</f>
        <v/>
      </c>
      <c r="AC352" s="134" t="str">
        <f>IF(A352&lt;&gt;"", SUMIFS(node!$K$2:$K$500, node!$C$2:$C$500,"="&amp;A352)/P352, "")</f>
        <v/>
      </c>
      <c r="AD352" s="135" t="str">
        <f>IF(A352&lt;&gt;"", SUMIFS(node!$L$2:$L$500, node!$C$2:$C$500,"="&amp;A352), "")</f>
        <v/>
      </c>
      <c r="AE352" s="145" t="str">
        <f>IF(A352&lt;&gt;"", SUMIFS(node!$M$2:$M$500, node!$C$2:$C$500,"="&amp;A352), "")</f>
        <v/>
      </c>
    </row>
    <row r="353" spans="1:31" ht="15.75" customHeight="1" x14ac:dyDescent="0.25">
      <c r="A353" s="119" t="str">
        <f>IF(ISNONTEXT(node_raw[[#This Row],[Column2]]), "", node_raw[[#This Row],[Column2]])</f>
        <v/>
      </c>
      <c r="B353" s="116" t="str">
        <f>IF(A353&lt;&gt;"", VLOOKUP(A353, node!$C$2:$D$500, 2, FALSE), "")</f>
        <v/>
      </c>
      <c r="C353" s="117" t="str">
        <f>IF(A353&lt;&gt;"", VLOOKUP(A353, node!$C$2:$E$500, 3, FALSE), "")</f>
        <v/>
      </c>
      <c r="D353" s="118" t="str">
        <f>IF(A353&lt;&gt;"",COUNTIFS(node!$C$2:$C$500,"="&amp;A353, node!$C$2:$C$500,"&lt;&gt;"&amp;""),"")</f>
        <v/>
      </c>
      <c r="E353" s="122" t="str">
        <f>IF(A353&lt;&gt;"",SUMIFS(node!$F$2:$F$500, node!$C$2:$C$500,"="&amp;A353, node!$C$2:$C$500,"&lt;&gt;"&amp;"")/(B353*D353),"")</f>
        <v/>
      </c>
      <c r="F353" s="124" t="str">
        <f>IF(A353&lt;&gt;"",SUMIFS(node!$H$2:$H$500, node!$C$2:$C$500,"="&amp;A353, node!$C$2:$C$500,"&lt;&gt;"&amp;"")/(C353*D353),"")</f>
        <v/>
      </c>
      <c r="G353" s="93" t="str">
        <f>IF(A353&lt;&gt;"",SUMIFS(deployment!$F$4:$F$502, deployment!$D$4:$D$502,"="&amp;A353, deployment!$D$4:$D$502,"&lt;&gt;"&amp;""),"")</f>
        <v/>
      </c>
      <c r="H353" s="94" t="str">
        <f>IF(A353&lt;&gt;"",SUMIFS(deployment!$G$4:$G$502, deployment!$D$4:$D$502,"="&amp;A353, deployment!$D$4:$D$502,"&lt;&gt;"&amp;""),"")</f>
        <v/>
      </c>
      <c r="I353" s="95" t="str">
        <f>IF(A353&lt;&gt;"",SUMIFS(deployment!$H$4:$H$502, deployment!$D$4:$D$502,"="&amp;A353, deployment!$D$4:$D$502,"&lt;&gt;"&amp;""),"")</f>
        <v/>
      </c>
      <c r="J353" s="96" t="str">
        <f>IF(A353&lt;&gt;"",SUMIFS(deployment!$I$4:$I$502, deployment!$D$4:$D$502,"="&amp;A353, deployment!$D$4:$D$502,"&lt;&gt;"&amp;""),"")</f>
        <v/>
      </c>
      <c r="K353" s="112" t="str">
        <f>IF(A353&lt;&gt;"",SUMIFS(deployment!$J$4:$J$502, deployment!$D$4:$D$502,"="&amp;A353, deployment!$D$4:$D$502,"&lt;&gt;"&amp;""),"")</f>
        <v/>
      </c>
      <c r="L353" s="112" t="str">
        <f>IF(A353&lt;&gt;"",SUMIFS(deployment!$K$4:$K$502, deployment!$D$4:$D$502,"="&amp;A353, deployment!$D$4:$D$502,"&lt;&gt;"&amp;""),"")</f>
        <v/>
      </c>
      <c r="M353" s="97" t="str">
        <f>IF(A353&lt;&gt;"",SUMIFS(deployment!$L$4:$L$502, deployment!$D$4:$D$502,"="&amp;A353, deployment!$D$4:$D$502,"&lt;&gt;"&amp;""),"")</f>
        <v/>
      </c>
      <c r="N353" s="97" t="str">
        <f>IF(A353&lt;&gt;"",SUMIFS(deployment!$M$4:$M$502, deployment!$D$4:$D$502,"="&amp;A353, deployment!$D$4:$D$502,"&lt;&gt;"&amp;""),"")</f>
        <v/>
      </c>
      <c r="O353" s="127" t="str">
        <f t="shared" si="71"/>
        <v/>
      </c>
      <c r="P353" s="104"/>
      <c r="Q353" s="99" t="str">
        <f t="shared" si="60"/>
        <v/>
      </c>
      <c r="R353" s="100" t="str">
        <f t="shared" si="61"/>
        <v/>
      </c>
      <c r="S353" s="100" t="str">
        <f t="shared" si="62"/>
        <v/>
      </c>
      <c r="T353" s="101" t="str">
        <f t="shared" si="63"/>
        <v/>
      </c>
      <c r="U353" s="101" t="str">
        <f t="shared" si="64"/>
        <v/>
      </c>
      <c r="V353" s="128" t="str">
        <f t="shared" si="65"/>
        <v/>
      </c>
      <c r="W353" s="128" t="str">
        <f t="shared" si="66"/>
        <v/>
      </c>
      <c r="X353" s="101" t="str">
        <f t="shared" si="67"/>
        <v/>
      </c>
      <c r="Y353" s="101" t="str">
        <f t="shared" si="68"/>
        <v/>
      </c>
      <c r="Z353" s="102" t="str">
        <f t="shared" si="69"/>
        <v/>
      </c>
      <c r="AA353" s="103" t="str">
        <f t="shared" si="70"/>
        <v/>
      </c>
      <c r="AB353" s="142" t="str">
        <f>IF(A353&lt;&gt;"", SUMIFS(node!$J$2:$J$500, node!$C$2:$C$500,"="&amp;A353)/P353, "")</f>
        <v/>
      </c>
      <c r="AC353" s="134" t="str">
        <f>IF(A353&lt;&gt;"", SUMIFS(node!$K$2:$K$500, node!$C$2:$C$500,"="&amp;A353)/P353, "")</f>
        <v/>
      </c>
      <c r="AD353" s="135" t="str">
        <f>IF(A353&lt;&gt;"", SUMIFS(node!$L$2:$L$500, node!$C$2:$C$500,"="&amp;A353), "")</f>
        <v/>
      </c>
      <c r="AE353" s="145" t="str">
        <f>IF(A353&lt;&gt;"", SUMIFS(node!$M$2:$M$500, node!$C$2:$C$500,"="&amp;A353), "")</f>
        <v/>
      </c>
    </row>
    <row r="354" spans="1:31" ht="15.75" customHeight="1" x14ac:dyDescent="0.25">
      <c r="A354" s="119" t="str">
        <f>IF(ISNONTEXT(node_raw[[#This Row],[Column2]]), "", node_raw[[#This Row],[Column2]])</f>
        <v/>
      </c>
      <c r="B354" s="116" t="str">
        <f>IF(A354&lt;&gt;"", VLOOKUP(A354, node!$C$2:$D$500, 2, FALSE), "")</f>
        <v/>
      </c>
      <c r="C354" s="117" t="str">
        <f>IF(A354&lt;&gt;"", VLOOKUP(A354, node!$C$2:$E$500, 3, FALSE), "")</f>
        <v/>
      </c>
      <c r="D354" s="118" t="str">
        <f>IF(A354&lt;&gt;"",COUNTIFS(node!$C$2:$C$500,"="&amp;A354, node!$C$2:$C$500,"&lt;&gt;"&amp;""),"")</f>
        <v/>
      </c>
      <c r="E354" s="122" t="str">
        <f>IF(A354&lt;&gt;"",SUMIFS(node!$F$2:$F$500, node!$C$2:$C$500,"="&amp;A354, node!$C$2:$C$500,"&lt;&gt;"&amp;"")/(B354*D354),"")</f>
        <v/>
      </c>
      <c r="F354" s="124" t="str">
        <f>IF(A354&lt;&gt;"",SUMIFS(node!$H$2:$H$500, node!$C$2:$C$500,"="&amp;A354, node!$C$2:$C$500,"&lt;&gt;"&amp;"")/(C354*D354),"")</f>
        <v/>
      </c>
      <c r="G354" s="93" t="str">
        <f>IF(A354&lt;&gt;"",SUMIFS(deployment!$F$4:$F$502, deployment!$D$4:$D$502,"="&amp;A354, deployment!$D$4:$D$502,"&lt;&gt;"&amp;""),"")</f>
        <v/>
      </c>
      <c r="H354" s="94" t="str">
        <f>IF(A354&lt;&gt;"",SUMIFS(deployment!$G$4:$G$502, deployment!$D$4:$D$502,"="&amp;A354, deployment!$D$4:$D$502,"&lt;&gt;"&amp;""),"")</f>
        <v/>
      </c>
      <c r="I354" s="95" t="str">
        <f>IF(A354&lt;&gt;"",SUMIFS(deployment!$H$4:$H$502, deployment!$D$4:$D$502,"="&amp;A354, deployment!$D$4:$D$502,"&lt;&gt;"&amp;""),"")</f>
        <v/>
      </c>
      <c r="J354" s="96" t="str">
        <f>IF(A354&lt;&gt;"",SUMIFS(deployment!$I$4:$I$502, deployment!$D$4:$D$502,"="&amp;A354, deployment!$D$4:$D$502,"&lt;&gt;"&amp;""),"")</f>
        <v/>
      </c>
      <c r="K354" s="112" t="str">
        <f>IF(A354&lt;&gt;"",SUMIFS(deployment!$J$4:$J$502, deployment!$D$4:$D$502,"="&amp;A354, deployment!$D$4:$D$502,"&lt;&gt;"&amp;""),"")</f>
        <v/>
      </c>
      <c r="L354" s="112" t="str">
        <f>IF(A354&lt;&gt;"",SUMIFS(deployment!$K$4:$K$502, deployment!$D$4:$D$502,"="&amp;A354, deployment!$D$4:$D$502,"&lt;&gt;"&amp;""),"")</f>
        <v/>
      </c>
      <c r="M354" s="97" t="str">
        <f>IF(A354&lt;&gt;"",SUMIFS(deployment!$L$4:$L$502, deployment!$D$4:$D$502,"="&amp;A354, deployment!$D$4:$D$502,"&lt;&gt;"&amp;""),"")</f>
        <v/>
      </c>
      <c r="N354" s="97" t="str">
        <f>IF(A354&lt;&gt;"",SUMIFS(deployment!$M$4:$M$502, deployment!$D$4:$D$502,"="&amp;A354, deployment!$D$4:$D$502,"&lt;&gt;"&amp;""),"")</f>
        <v/>
      </c>
      <c r="O354" s="127" t="str">
        <f t="shared" si="71"/>
        <v/>
      </c>
      <c r="P354" s="104"/>
      <c r="Q354" s="99" t="str">
        <f t="shared" si="60"/>
        <v/>
      </c>
      <c r="R354" s="100" t="str">
        <f t="shared" si="61"/>
        <v/>
      </c>
      <c r="S354" s="100" t="str">
        <f t="shared" si="62"/>
        <v/>
      </c>
      <c r="T354" s="101" t="str">
        <f t="shared" si="63"/>
        <v/>
      </c>
      <c r="U354" s="101" t="str">
        <f t="shared" si="64"/>
        <v/>
      </c>
      <c r="V354" s="128" t="str">
        <f t="shared" si="65"/>
        <v/>
      </c>
      <c r="W354" s="128" t="str">
        <f t="shared" si="66"/>
        <v/>
      </c>
      <c r="X354" s="101" t="str">
        <f t="shared" si="67"/>
        <v/>
      </c>
      <c r="Y354" s="101" t="str">
        <f t="shared" si="68"/>
        <v/>
      </c>
      <c r="Z354" s="102" t="str">
        <f t="shared" si="69"/>
        <v/>
      </c>
      <c r="AA354" s="103" t="str">
        <f t="shared" si="70"/>
        <v/>
      </c>
      <c r="AB354" s="142" t="str">
        <f>IF(A354&lt;&gt;"", SUMIFS(node!$J$2:$J$500, node!$C$2:$C$500,"="&amp;A354)/P354, "")</f>
        <v/>
      </c>
      <c r="AC354" s="134" t="str">
        <f>IF(A354&lt;&gt;"", SUMIFS(node!$K$2:$K$500, node!$C$2:$C$500,"="&amp;A354)/P354, "")</f>
        <v/>
      </c>
      <c r="AD354" s="135" t="str">
        <f>IF(A354&lt;&gt;"", SUMIFS(node!$L$2:$L$500, node!$C$2:$C$500,"="&amp;A354), "")</f>
        <v/>
      </c>
      <c r="AE354" s="145" t="str">
        <f>IF(A354&lt;&gt;"", SUMIFS(node!$M$2:$M$500, node!$C$2:$C$500,"="&amp;A354), "")</f>
        <v/>
      </c>
    </row>
    <row r="355" spans="1:31" ht="15.75" customHeight="1" x14ac:dyDescent="0.25">
      <c r="A355" s="119" t="str">
        <f>IF(ISNONTEXT(node_raw[[#This Row],[Column2]]), "", node_raw[[#This Row],[Column2]])</f>
        <v/>
      </c>
      <c r="B355" s="116" t="str">
        <f>IF(A355&lt;&gt;"", VLOOKUP(A355, node!$C$2:$D$500, 2, FALSE), "")</f>
        <v/>
      </c>
      <c r="C355" s="117" t="str">
        <f>IF(A355&lt;&gt;"", VLOOKUP(A355, node!$C$2:$E$500, 3, FALSE), "")</f>
        <v/>
      </c>
      <c r="D355" s="118" t="str">
        <f>IF(A355&lt;&gt;"",COUNTIFS(node!$C$2:$C$500,"="&amp;A355, node!$C$2:$C$500,"&lt;&gt;"&amp;""),"")</f>
        <v/>
      </c>
      <c r="E355" s="122" t="str">
        <f>IF(A355&lt;&gt;"",SUMIFS(node!$F$2:$F$500, node!$C$2:$C$500,"="&amp;A355, node!$C$2:$C$500,"&lt;&gt;"&amp;"")/(B355*D355),"")</f>
        <v/>
      </c>
      <c r="F355" s="124" t="str">
        <f>IF(A355&lt;&gt;"",SUMIFS(node!$H$2:$H$500, node!$C$2:$C$500,"="&amp;A355, node!$C$2:$C$500,"&lt;&gt;"&amp;"")/(C355*D355),"")</f>
        <v/>
      </c>
      <c r="G355" s="93" t="str">
        <f>IF(A355&lt;&gt;"",SUMIFS(deployment!$F$4:$F$502, deployment!$D$4:$D$502,"="&amp;A355, deployment!$D$4:$D$502,"&lt;&gt;"&amp;""),"")</f>
        <v/>
      </c>
      <c r="H355" s="94" t="str">
        <f>IF(A355&lt;&gt;"",SUMIFS(deployment!$G$4:$G$502, deployment!$D$4:$D$502,"="&amp;A355, deployment!$D$4:$D$502,"&lt;&gt;"&amp;""),"")</f>
        <v/>
      </c>
      <c r="I355" s="95" t="str">
        <f>IF(A355&lt;&gt;"",SUMIFS(deployment!$H$4:$H$502, deployment!$D$4:$D$502,"="&amp;A355, deployment!$D$4:$D$502,"&lt;&gt;"&amp;""),"")</f>
        <v/>
      </c>
      <c r="J355" s="96" t="str">
        <f>IF(A355&lt;&gt;"",SUMIFS(deployment!$I$4:$I$502, deployment!$D$4:$D$502,"="&amp;A355, deployment!$D$4:$D$502,"&lt;&gt;"&amp;""),"")</f>
        <v/>
      </c>
      <c r="K355" s="112" t="str">
        <f>IF(A355&lt;&gt;"",SUMIFS(deployment!$J$4:$J$502, deployment!$D$4:$D$502,"="&amp;A355, deployment!$D$4:$D$502,"&lt;&gt;"&amp;""),"")</f>
        <v/>
      </c>
      <c r="L355" s="112" t="str">
        <f>IF(A355&lt;&gt;"",SUMIFS(deployment!$K$4:$K$502, deployment!$D$4:$D$502,"="&amp;A355, deployment!$D$4:$D$502,"&lt;&gt;"&amp;""),"")</f>
        <v/>
      </c>
      <c r="M355" s="97" t="str">
        <f>IF(A355&lt;&gt;"",SUMIFS(deployment!$L$4:$L$502, deployment!$D$4:$D$502,"="&amp;A355, deployment!$D$4:$D$502,"&lt;&gt;"&amp;""),"")</f>
        <v/>
      </c>
      <c r="N355" s="97" t="str">
        <f>IF(A355&lt;&gt;"",SUMIFS(deployment!$M$4:$M$502, deployment!$D$4:$D$502,"="&amp;A355, deployment!$D$4:$D$502,"&lt;&gt;"&amp;""),"")</f>
        <v/>
      </c>
      <c r="O355" s="127" t="str">
        <f t="shared" si="71"/>
        <v/>
      </c>
      <c r="P355" s="104"/>
      <c r="Q355" s="99" t="str">
        <f t="shared" si="60"/>
        <v/>
      </c>
      <c r="R355" s="100" t="str">
        <f t="shared" si="61"/>
        <v/>
      </c>
      <c r="S355" s="100" t="str">
        <f t="shared" si="62"/>
        <v/>
      </c>
      <c r="T355" s="101" t="str">
        <f t="shared" si="63"/>
        <v/>
      </c>
      <c r="U355" s="101" t="str">
        <f t="shared" si="64"/>
        <v/>
      </c>
      <c r="V355" s="128" t="str">
        <f t="shared" si="65"/>
        <v/>
      </c>
      <c r="W355" s="128" t="str">
        <f t="shared" si="66"/>
        <v/>
      </c>
      <c r="X355" s="101" t="str">
        <f t="shared" si="67"/>
        <v/>
      </c>
      <c r="Y355" s="101" t="str">
        <f t="shared" si="68"/>
        <v/>
      </c>
      <c r="Z355" s="102" t="str">
        <f t="shared" si="69"/>
        <v/>
      </c>
      <c r="AA355" s="103" t="str">
        <f t="shared" si="70"/>
        <v/>
      </c>
      <c r="AB355" s="142" t="str">
        <f>IF(A355&lt;&gt;"", SUMIFS(node!$J$2:$J$500, node!$C$2:$C$500,"="&amp;A355)/P355, "")</f>
        <v/>
      </c>
      <c r="AC355" s="134" t="str">
        <f>IF(A355&lt;&gt;"", SUMIFS(node!$K$2:$K$500, node!$C$2:$C$500,"="&amp;A355)/P355, "")</f>
        <v/>
      </c>
      <c r="AD355" s="135" t="str">
        <f>IF(A355&lt;&gt;"", SUMIFS(node!$L$2:$L$500, node!$C$2:$C$500,"="&amp;A355), "")</f>
        <v/>
      </c>
      <c r="AE355" s="145" t="str">
        <f>IF(A355&lt;&gt;"", SUMIFS(node!$M$2:$M$500, node!$C$2:$C$500,"="&amp;A355), "")</f>
        <v/>
      </c>
    </row>
    <row r="356" spans="1:31" ht="15.75" customHeight="1" x14ac:dyDescent="0.25">
      <c r="A356" s="119" t="str">
        <f>IF(ISNONTEXT(node_raw[[#This Row],[Column2]]), "", node_raw[[#This Row],[Column2]])</f>
        <v/>
      </c>
      <c r="B356" s="116" t="str">
        <f>IF(A356&lt;&gt;"", VLOOKUP(A356, node!$C$2:$D$500, 2, FALSE), "")</f>
        <v/>
      </c>
      <c r="C356" s="117" t="str">
        <f>IF(A356&lt;&gt;"", VLOOKUP(A356, node!$C$2:$E$500, 3, FALSE), "")</f>
        <v/>
      </c>
      <c r="D356" s="118" t="str">
        <f>IF(A356&lt;&gt;"",COUNTIFS(node!$C$2:$C$500,"="&amp;A356, node!$C$2:$C$500,"&lt;&gt;"&amp;""),"")</f>
        <v/>
      </c>
      <c r="E356" s="122" t="str">
        <f>IF(A356&lt;&gt;"",SUMIFS(node!$F$2:$F$500, node!$C$2:$C$500,"="&amp;A356, node!$C$2:$C$500,"&lt;&gt;"&amp;"")/(B356*D356),"")</f>
        <v/>
      </c>
      <c r="F356" s="124" t="str">
        <f>IF(A356&lt;&gt;"",SUMIFS(node!$H$2:$H$500, node!$C$2:$C$500,"="&amp;A356, node!$C$2:$C$500,"&lt;&gt;"&amp;"")/(C356*D356),"")</f>
        <v/>
      </c>
      <c r="G356" s="93" t="str">
        <f>IF(A356&lt;&gt;"",SUMIFS(deployment!$F$4:$F$502, deployment!$D$4:$D$502,"="&amp;A356, deployment!$D$4:$D$502,"&lt;&gt;"&amp;""),"")</f>
        <v/>
      </c>
      <c r="H356" s="94" t="str">
        <f>IF(A356&lt;&gt;"",SUMIFS(deployment!$G$4:$G$502, deployment!$D$4:$D$502,"="&amp;A356, deployment!$D$4:$D$502,"&lt;&gt;"&amp;""),"")</f>
        <v/>
      </c>
      <c r="I356" s="95" t="str">
        <f>IF(A356&lt;&gt;"",SUMIFS(deployment!$H$4:$H$502, deployment!$D$4:$D$502,"="&amp;A356, deployment!$D$4:$D$502,"&lt;&gt;"&amp;""),"")</f>
        <v/>
      </c>
      <c r="J356" s="96" t="str">
        <f>IF(A356&lt;&gt;"",SUMIFS(deployment!$I$4:$I$502, deployment!$D$4:$D$502,"="&amp;A356, deployment!$D$4:$D$502,"&lt;&gt;"&amp;""),"")</f>
        <v/>
      </c>
      <c r="K356" s="112" t="str">
        <f>IF(A356&lt;&gt;"",SUMIFS(deployment!$J$4:$J$502, deployment!$D$4:$D$502,"="&amp;A356, deployment!$D$4:$D$502,"&lt;&gt;"&amp;""),"")</f>
        <v/>
      </c>
      <c r="L356" s="112" t="str">
        <f>IF(A356&lt;&gt;"",SUMIFS(deployment!$K$4:$K$502, deployment!$D$4:$D$502,"="&amp;A356, deployment!$D$4:$D$502,"&lt;&gt;"&amp;""),"")</f>
        <v/>
      </c>
      <c r="M356" s="97" t="str">
        <f>IF(A356&lt;&gt;"",SUMIFS(deployment!$L$4:$L$502, deployment!$D$4:$D$502,"="&amp;A356, deployment!$D$4:$D$502,"&lt;&gt;"&amp;""),"")</f>
        <v/>
      </c>
      <c r="N356" s="97" t="str">
        <f>IF(A356&lt;&gt;"",SUMIFS(deployment!$M$4:$M$502, deployment!$D$4:$D$502,"="&amp;A356, deployment!$D$4:$D$502,"&lt;&gt;"&amp;""),"")</f>
        <v/>
      </c>
      <c r="O356" s="127" t="str">
        <f t="shared" si="71"/>
        <v/>
      </c>
      <c r="P356" s="104"/>
      <c r="Q356" s="99" t="str">
        <f t="shared" si="60"/>
        <v/>
      </c>
      <c r="R356" s="100" t="str">
        <f t="shared" si="61"/>
        <v/>
      </c>
      <c r="S356" s="100" t="str">
        <f t="shared" si="62"/>
        <v/>
      </c>
      <c r="T356" s="101" t="str">
        <f t="shared" si="63"/>
        <v/>
      </c>
      <c r="U356" s="101" t="str">
        <f t="shared" si="64"/>
        <v/>
      </c>
      <c r="V356" s="128" t="str">
        <f t="shared" si="65"/>
        <v/>
      </c>
      <c r="W356" s="128" t="str">
        <f t="shared" si="66"/>
        <v/>
      </c>
      <c r="X356" s="101" t="str">
        <f t="shared" si="67"/>
        <v/>
      </c>
      <c r="Y356" s="101" t="str">
        <f t="shared" si="68"/>
        <v/>
      </c>
      <c r="Z356" s="102" t="str">
        <f t="shared" si="69"/>
        <v/>
      </c>
      <c r="AA356" s="103" t="str">
        <f t="shared" si="70"/>
        <v/>
      </c>
      <c r="AB356" s="142" t="str">
        <f>IF(A356&lt;&gt;"", SUMIFS(node!$J$2:$J$500, node!$C$2:$C$500,"="&amp;A356)/P356, "")</f>
        <v/>
      </c>
      <c r="AC356" s="134" t="str">
        <f>IF(A356&lt;&gt;"", SUMIFS(node!$K$2:$K$500, node!$C$2:$C$500,"="&amp;A356)/P356, "")</f>
        <v/>
      </c>
      <c r="AD356" s="135" t="str">
        <f>IF(A356&lt;&gt;"", SUMIFS(node!$L$2:$L$500, node!$C$2:$C$500,"="&amp;A356), "")</f>
        <v/>
      </c>
      <c r="AE356" s="145" t="str">
        <f>IF(A356&lt;&gt;"", SUMIFS(node!$M$2:$M$500, node!$C$2:$C$500,"="&amp;A356), "")</f>
        <v/>
      </c>
    </row>
    <row r="357" spans="1:31" ht="15.75" customHeight="1" x14ac:dyDescent="0.25">
      <c r="A357" s="119" t="str">
        <f>IF(ISNONTEXT(node_raw[[#This Row],[Column2]]), "", node_raw[[#This Row],[Column2]])</f>
        <v/>
      </c>
      <c r="B357" s="116" t="str">
        <f>IF(A357&lt;&gt;"", VLOOKUP(A357, node!$C$2:$D$500, 2, FALSE), "")</f>
        <v/>
      </c>
      <c r="C357" s="117" t="str">
        <f>IF(A357&lt;&gt;"", VLOOKUP(A357, node!$C$2:$E$500, 3, FALSE), "")</f>
        <v/>
      </c>
      <c r="D357" s="118" t="str">
        <f>IF(A357&lt;&gt;"",COUNTIFS(node!$C$2:$C$500,"="&amp;A357, node!$C$2:$C$500,"&lt;&gt;"&amp;""),"")</f>
        <v/>
      </c>
      <c r="E357" s="122" t="str">
        <f>IF(A357&lt;&gt;"",SUMIFS(node!$F$2:$F$500, node!$C$2:$C$500,"="&amp;A357, node!$C$2:$C$500,"&lt;&gt;"&amp;"")/(B357*D357),"")</f>
        <v/>
      </c>
      <c r="F357" s="124" t="str">
        <f>IF(A357&lt;&gt;"",SUMIFS(node!$H$2:$H$500, node!$C$2:$C$500,"="&amp;A357, node!$C$2:$C$500,"&lt;&gt;"&amp;"")/(C357*D357),"")</f>
        <v/>
      </c>
      <c r="G357" s="93" t="str">
        <f>IF(A357&lt;&gt;"",SUMIFS(deployment!$F$4:$F$502, deployment!$D$4:$D$502,"="&amp;A357, deployment!$D$4:$D$502,"&lt;&gt;"&amp;""),"")</f>
        <v/>
      </c>
      <c r="H357" s="94" t="str">
        <f>IF(A357&lt;&gt;"",SUMIFS(deployment!$G$4:$G$502, deployment!$D$4:$D$502,"="&amp;A357, deployment!$D$4:$D$502,"&lt;&gt;"&amp;""),"")</f>
        <v/>
      </c>
      <c r="I357" s="95" t="str">
        <f>IF(A357&lt;&gt;"",SUMIFS(deployment!$H$4:$H$502, deployment!$D$4:$D$502,"="&amp;A357, deployment!$D$4:$D$502,"&lt;&gt;"&amp;""),"")</f>
        <v/>
      </c>
      <c r="J357" s="96" t="str">
        <f>IF(A357&lt;&gt;"",SUMIFS(deployment!$I$4:$I$502, deployment!$D$4:$D$502,"="&amp;A357, deployment!$D$4:$D$502,"&lt;&gt;"&amp;""),"")</f>
        <v/>
      </c>
      <c r="K357" s="112" t="str">
        <f>IF(A357&lt;&gt;"",SUMIFS(deployment!$J$4:$J$502, deployment!$D$4:$D$502,"="&amp;A357, deployment!$D$4:$D$502,"&lt;&gt;"&amp;""),"")</f>
        <v/>
      </c>
      <c r="L357" s="112" t="str">
        <f>IF(A357&lt;&gt;"",SUMIFS(deployment!$K$4:$K$502, deployment!$D$4:$D$502,"="&amp;A357, deployment!$D$4:$D$502,"&lt;&gt;"&amp;""),"")</f>
        <v/>
      </c>
      <c r="M357" s="97" t="str">
        <f>IF(A357&lt;&gt;"",SUMIFS(deployment!$L$4:$L$502, deployment!$D$4:$D$502,"="&amp;A357, deployment!$D$4:$D$502,"&lt;&gt;"&amp;""),"")</f>
        <v/>
      </c>
      <c r="N357" s="97" t="str">
        <f>IF(A357&lt;&gt;"",SUMIFS(deployment!$M$4:$M$502, deployment!$D$4:$D$502,"="&amp;A357, deployment!$D$4:$D$502,"&lt;&gt;"&amp;""),"")</f>
        <v/>
      </c>
      <c r="O357" s="127" t="str">
        <f t="shared" si="71"/>
        <v/>
      </c>
      <c r="P357" s="104"/>
      <c r="Q357" s="99" t="str">
        <f t="shared" si="60"/>
        <v/>
      </c>
      <c r="R357" s="100" t="str">
        <f t="shared" si="61"/>
        <v/>
      </c>
      <c r="S357" s="100" t="str">
        <f t="shared" si="62"/>
        <v/>
      </c>
      <c r="T357" s="101" t="str">
        <f t="shared" si="63"/>
        <v/>
      </c>
      <c r="U357" s="101" t="str">
        <f t="shared" si="64"/>
        <v/>
      </c>
      <c r="V357" s="128" t="str">
        <f t="shared" si="65"/>
        <v/>
      </c>
      <c r="W357" s="128" t="str">
        <f t="shared" si="66"/>
        <v/>
      </c>
      <c r="X357" s="101" t="str">
        <f t="shared" si="67"/>
        <v/>
      </c>
      <c r="Y357" s="101" t="str">
        <f t="shared" si="68"/>
        <v/>
      </c>
      <c r="Z357" s="102" t="str">
        <f t="shared" si="69"/>
        <v/>
      </c>
      <c r="AA357" s="103" t="str">
        <f t="shared" si="70"/>
        <v/>
      </c>
      <c r="AB357" s="142" t="str">
        <f>IF(A357&lt;&gt;"", SUMIFS(node!$J$2:$J$500, node!$C$2:$C$500,"="&amp;A357)/P357, "")</f>
        <v/>
      </c>
      <c r="AC357" s="134" t="str">
        <f>IF(A357&lt;&gt;"", SUMIFS(node!$K$2:$K$500, node!$C$2:$C$500,"="&amp;A357)/P357, "")</f>
        <v/>
      </c>
      <c r="AD357" s="135" t="str">
        <f>IF(A357&lt;&gt;"", SUMIFS(node!$L$2:$L$500, node!$C$2:$C$500,"="&amp;A357), "")</f>
        <v/>
      </c>
      <c r="AE357" s="145" t="str">
        <f>IF(A357&lt;&gt;"", SUMIFS(node!$M$2:$M$500, node!$C$2:$C$500,"="&amp;A357), "")</f>
        <v/>
      </c>
    </row>
    <row r="358" spans="1:31" ht="15.75" customHeight="1" x14ac:dyDescent="0.25">
      <c r="A358" s="119" t="str">
        <f>IF(ISNONTEXT(node_raw[[#This Row],[Column2]]), "", node_raw[[#This Row],[Column2]])</f>
        <v/>
      </c>
      <c r="B358" s="116" t="str">
        <f>IF(A358&lt;&gt;"", VLOOKUP(A358, node!$C$2:$D$500, 2, FALSE), "")</f>
        <v/>
      </c>
      <c r="C358" s="117" t="str">
        <f>IF(A358&lt;&gt;"", VLOOKUP(A358, node!$C$2:$E$500, 3, FALSE), "")</f>
        <v/>
      </c>
      <c r="D358" s="118" t="str">
        <f>IF(A358&lt;&gt;"",COUNTIFS(node!$C$2:$C$500,"="&amp;A358, node!$C$2:$C$500,"&lt;&gt;"&amp;""),"")</f>
        <v/>
      </c>
      <c r="E358" s="122" t="str">
        <f>IF(A358&lt;&gt;"",SUMIFS(node!$F$2:$F$500, node!$C$2:$C$500,"="&amp;A358, node!$C$2:$C$500,"&lt;&gt;"&amp;"")/(B358*D358),"")</f>
        <v/>
      </c>
      <c r="F358" s="124" t="str">
        <f>IF(A358&lt;&gt;"",SUMIFS(node!$H$2:$H$500, node!$C$2:$C$500,"="&amp;A358, node!$C$2:$C$500,"&lt;&gt;"&amp;"")/(C358*D358),"")</f>
        <v/>
      </c>
      <c r="G358" s="93" t="str">
        <f>IF(A358&lt;&gt;"",SUMIFS(deployment!$F$4:$F$502, deployment!$D$4:$D$502,"="&amp;A358, deployment!$D$4:$D$502,"&lt;&gt;"&amp;""),"")</f>
        <v/>
      </c>
      <c r="H358" s="94" t="str">
        <f>IF(A358&lt;&gt;"",SUMIFS(deployment!$G$4:$G$502, deployment!$D$4:$D$502,"="&amp;A358, deployment!$D$4:$D$502,"&lt;&gt;"&amp;""),"")</f>
        <v/>
      </c>
      <c r="I358" s="95" t="str">
        <f>IF(A358&lt;&gt;"",SUMIFS(deployment!$H$4:$H$502, deployment!$D$4:$D$502,"="&amp;A358, deployment!$D$4:$D$502,"&lt;&gt;"&amp;""),"")</f>
        <v/>
      </c>
      <c r="J358" s="96" t="str">
        <f>IF(A358&lt;&gt;"",SUMIFS(deployment!$I$4:$I$502, deployment!$D$4:$D$502,"="&amp;A358, deployment!$D$4:$D$502,"&lt;&gt;"&amp;""),"")</f>
        <v/>
      </c>
      <c r="K358" s="112" t="str">
        <f>IF(A358&lt;&gt;"",SUMIFS(deployment!$J$4:$J$502, deployment!$D$4:$D$502,"="&amp;A358, deployment!$D$4:$D$502,"&lt;&gt;"&amp;""),"")</f>
        <v/>
      </c>
      <c r="L358" s="112" t="str">
        <f>IF(A358&lt;&gt;"",SUMIFS(deployment!$K$4:$K$502, deployment!$D$4:$D$502,"="&amp;A358, deployment!$D$4:$D$502,"&lt;&gt;"&amp;""),"")</f>
        <v/>
      </c>
      <c r="M358" s="97" t="str">
        <f>IF(A358&lt;&gt;"",SUMIFS(deployment!$L$4:$L$502, deployment!$D$4:$D$502,"="&amp;A358, deployment!$D$4:$D$502,"&lt;&gt;"&amp;""),"")</f>
        <v/>
      </c>
      <c r="N358" s="97" t="str">
        <f>IF(A358&lt;&gt;"",SUMIFS(deployment!$M$4:$M$502, deployment!$D$4:$D$502,"="&amp;A358, deployment!$D$4:$D$502,"&lt;&gt;"&amp;""),"")</f>
        <v/>
      </c>
      <c r="O358" s="127" t="str">
        <f t="shared" si="71"/>
        <v/>
      </c>
      <c r="P358" s="104"/>
      <c r="Q358" s="99" t="str">
        <f t="shared" si="60"/>
        <v/>
      </c>
      <c r="R358" s="100" t="str">
        <f t="shared" si="61"/>
        <v/>
      </c>
      <c r="S358" s="100" t="str">
        <f t="shared" si="62"/>
        <v/>
      </c>
      <c r="T358" s="101" t="str">
        <f t="shared" si="63"/>
        <v/>
      </c>
      <c r="U358" s="101" t="str">
        <f t="shared" si="64"/>
        <v/>
      </c>
      <c r="V358" s="128" t="str">
        <f t="shared" si="65"/>
        <v/>
      </c>
      <c r="W358" s="128" t="str">
        <f t="shared" si="66"/>
        <v/>
      </c>
      <c r="X358" s="101" t="str">
        <f t="shared" si="67"/>
        <v/>
      </c>
      <c r="Y358" s="101" t="str">
        <f t="shared" si="68"/>
        <v/>
      </c>
      <c r="Z358" s="102" t="str">
        <f t="shared" si="69"/>
        <v/>
      </c>
      <c r="AA358" s="103" t="str">
        <f t="shared" si="70"/>
        <v/>
      </c>
      <c r="AB358" s="142" t="str">
        <f>IF(A358&lt;&gt;"", SUMIFS(node!$J$2:$J$500, node!$C$2:$C$500,"="&amp;A358)/P358, "")</f>
        <v/>
      </c>
      <c r="AC358" s="134" t="str">
        <f>IF(A358&lt;&gt;"", SUMIFS(node!$K$2:$K$500, node!$C$2:$C$500,"="&amp;A358)/P358, "")</f>
        <v/>
      </c>
      <c r="AD358" s="135" t="str">
        <f>IF(A358&lt;&gt;"", SUMIFS(node!$L$2:$L$500, node!$C$2:$C$500,"="&amp;A358), "")</f>
        <v/>
      </c>
      <c r="AE358" s="145" t="str">
        <f>IF(A358&lt;&gt;"", SUMIFS(node!$M$2:$M$500, node!$C$2:$C$500,"="&amp;A358), "")</f>
        <v/>
      </c>
    </row>
    <row r="359" spans="1:31" ht="15.75" customHeight="1" x14ac:dyDescent="0.25">
      <c r="A359" s="119" t="str">
        <f>IF(ISNONTEXT(node_raw[[#This Row],[Column2]]), "", node_raw[[#This Row],[Column2]])</f>
        <v/>
      </c>
      <c r="B359" s="116" t="str">
        <f>IF(A359&lt;&gt;"", VLOOKUP(A359, node!$C$2:$D$500, 2, FALSE), "")</f>
        <v/>
      </c>
      <c r="C359" s="117" t="str">
        <f>IF(A359&lt;&gt;"", VLOOKUP(A359, node!$C$2:$E$500, 3, FALSE), "")</f>
        <v/>
      </c>
      <c r="D359" s="118" t="str">
        <f>IF(A359&lt;&gt;"",COUNTIFS(node!$C$2:$C$500,"="&amp;A359, node!$C$2:$C$500,"&lt;&gt;"&amp;""),"")</f>
        <v/>
      </c>
      <c r="E359" s="122" t="str">
        <f>IF(A359&lt;&gt;"",SUMIFS(node!$F$2:$F$500, node!$C$2:$C$500,"="&amp;A359, node!$C$2:$C$500,"&lt;&gt;"&amp;"")/(B359*D359),"")</f>
        <v/>
      </c>
      <c r="F359" s="124" t="str">
        <f>IF(A359&lt;&gt;"",SUMIFS(node!$H$2:$H$500, node!$C$2:$C$500,"="&amp;A359, node!$C$2:$C$500,"&lt;&gt;"&amp;"")/(C359*D359),"")</f>
        <v/>
      </c>
      <c r="G359" s="93" t="str">
        <f>IF(A359&lt;&gt;"",SUMIFS(deployment!$F$4:$F$502, deployment!$D$4:$D$502,"="&amp;A359, deployment!$D$4:$D$502,"&lt;&gt;"&amp;""),"")</f>
        <v/>
      </c>
      <c r="H359" s="94" t="str">
        <f>IF(A359&lt;&gt;"",SUMIFS(deployment!$G$4:$G$502, deployment!$D$4:$D$502,"="&amp;A359, deployment!$D$4:$D$502,"&lt;&gt;"&amp;""),"")</f>
        <v/>
      </c>
      <c r="I359" s="95" t="str">
        <f>IF(A359&lt;&gt;"",SUMIFS(deployment!$H$4:$H$502, deployment!$D$4:$D$502,"="&amp;A359, deployment!$D$4:$D$502,"&lt;&gt;"&amp;""),"")</f>
        <v/>
      </c>
      <c r="J359" s="96" t="str">
        <f>IF(A359&lt;&gt;"",SUMIFS(deployment!$I$4:$I$502, deployment!$D$4:$D$502,"="&amp;A359, deployment!$D$4:$D$502,"&lt;&gt;"&amp;""),"")</f>
        <v/>
      </c>
      <c r="K359" s="112" t="str">
        <f>IF(A359&lt;&gt;"",SUMIFS(deployment!$J$4:$J$502, deployment!$D$4:$D$502,"="&amp;A359, deployment!$D$4:$D$502,"&lt;&gt;"&amp;""),"")</f>
        <v/>
      </c>
      <c r="L359" s="112" t="str">
        <f>IF(A359&lt;&gt;"",SUMIFS(deployment!$K$4:$K$502, deployment!$D$4:$D$502,"="&amp;A359, deployment!$D$4:$D$502,"&lt;&gt;"&amp;""),"")</f>
        <v/>
      </c>
      <c r="M359" s="97" t="str">
        <f>IF(A359&lt;&gt;"",SUMIFS(deployment!$L$4:$L$502, deployment!$D$4:$D$502,"="&amp;A359, deployment!$D$4:$D$502,"&lt;&gt;"&amp;""),"")</f>
        <v/>
      </c>
      <c r="N359" s="97" t="str">
        <f>IF(A359&lt;&gt;"",SUMIFS(deployment!$M$4:$M$502, deployment!$D$4:$D$502,"="&amp;A359, deployment!$D$4:$D$502,"&lt;&gt;"&amp;""),"")</f>
        <v/>
      </c>
      <c r="O359" s="127" t="str">
        <f t="shared" si="71"/>
        <v/>
      </c>
      <c r="P359" s="104"/>
      <c r="Q359" s="99" t="str">
        <f t="shared" si="60"/>
        <v/>
      </c>
      <c r="R359" s="100" t="str">
        <f t="shared" si="61"/>
        <v/>
      </c>
      <c r="S359" s="100" t="str">
        <f t="shared" si="62"/>
        <v/>
      </c>
      <c r="T359" s="101" t="str">
        <f t="shared" si="63"/>
        <v/>
      </c>
      <c r="U359" s="101" t="str">
        <f t="shared" si="64"/>
        <v/>
      </c>
      <c r="V359" s="128" t="str">
        <f t="shared" si="65"/>
        <v/>
      </c>
      <c r="W359" s="128" t="str">
        <f t="shared" si="66"/>
        <v/>
      </c>
      <c r="X359" s="101" t="str">
        <f t="shared" si="67"/>
        <v/>
      </c>
      <c r="Y359" s="101" t="str">
        <f t="shared" si="68"/>
        <v/>
      </c>
      <c r="Z359" s="102" t="str">
        <f t="shared" si="69"/>
        <v/>
      </c>
      <c r="AA359" s="103" t="str">
        <f t="shared" si="70"/>
        <v/>
      </c>
      <c r="AB359" s="142" t="str">
        <f>IF(A359&lt;&gt;"", SUMIFS(node!$J$2:$J$500, node!$C$2:$C$500,"="&amp;A359)/P359, "")</f>
        <v/>
      </c>
      <c r="AC359" s="134" t="str">
        <f>IF(A359&lt;&gt;"", SUMIFS(node!$K$2:$K$500, node!$C$2:$C$500,"="&amp;A359)/P359, "")</f>
        <v/>
      </c>
      <c r="AD359" s="135" t="str">
        <f>IF(A359&lt;&gt;"", SUMIFS(node!$L$2:$L$500, node!$C$2:$C$500,"="&amp;A359), "")</f>
        <v/>
      </c>
      <c r="AE359" s="145" t="str">
        <f>IF(A359&lt;&gt;"", SUMIFS(node!$M$2:$M$500, node!$C$2:$C$500,"="&amp;A359), "")</f>
        <v/>
      </c>
    </row>
    <row r="360" spans="1:31" ht="15.75" customHeight="1" x14ac:dyDescent="0.25">
      <c r="A360" s="119" t="str">
        <f>IF(ISNONTEXT(node_raw[[#This Row],[Column2]]), "", node_raw[[#This Row],[Column2]])</f>
        <v/>
      </c>
      <c r="B360" s="116" t="str">
        <f>IF(A360&lt;&gt;"", VLOOKUP(A360, node!$C$2:$D$500, 2, FALSE), "")</f>
        <v/>
      </c>
      <c r="C360" s="117" t="str">
        <f>IF(A360&lt;&gt;"", VLOOKUP(A360, node!$C$2:$E$500, 3, FALSE), "")</f>
        <v/>
      </c>
      <c r="D360" s="118" t="str">
        <f>IF(A360&lt;&gt;"",COUNTIFS(node!$C$2:$C$500,"="&amp;A360, node!$C$2:$C$500,"&lt;&gt;"&amp;""),"")</f>
        <v/>
      </c>
      <c r="E360" s="122" t="str">
        <f>IF(A360&lt;&gt;"",SUMIFS(node!$F$2:$F$500, node!$C$2:$C$500,"="&amp;A360, node!$C$2:$C$500,"&lt;&gt;"&amp;"")/(B360*D360),"")</f>
        <v/>
      </c>
      <c r="F360" s="124" t="str">
        <f>IF(A360&lt;&gt;"",SUMIFS(node!$H$2:$H$500, node!$C$2:$C$500,"="&amp;A360, node!$C$2:$C$500,"&lt;&gt;"&amp;"")/(C360*D360),"")</f>
        <v/>
      </c>
      <c r="G360" s="93" t="str">
        <f>IF(A360&lt;&gt;"",SUMIFS(deployment!$F$4:$F$502, deployment!$D$4:$D$502,"="&amp;A360, deployment!$D$4:$D$502,"&lt;&gt;"&amp;""),"")</f>
        <v/>
      </c>
      <c r="H360" s="94" t="str">
        <f>IF(A360&lt;&gt;"",SUMIFS(deployment!$G$4:$G$502, deployment!$D$4:$D$502,"="&amp;A360, deployment!$D$4:$D$502,"&lt;&gt;"&amp;""),"")</f>
        <v/>
      </c>
      <c r="I360" s="95" t="str">
        <f>IF(A360&lt;&gt;"",SUMIFS(deployment!$H$4:$H$502, deployment!$D$4:$D$502,"="&amp;A360, deployment!$D$4:$D$502,"&lt;&gt;"&amp;""),"")</f>
        <v/>
      </c>
      <c r="J360" s="96" t="str">
        <f>IF(A360&lt;&gt;"",SUMIFS(deployment!$I$4:$I$502, deployment!$D$4:$D$502,"="&amp;A360, deployment!$D$4:$D$502,"&lt;&gt;"&amp;""),"")</f>
        <v/>
      </c>
      <c r="K360" s="112" t="str">
        <f>IF(A360&lt;&gt;"",SUMIFS(deployment!$J$4:$J$502, deployment!$D$4:$D$502,"="&amp;A360, deployment!$D$4:$D$502,"&lt;&gt;"&amp;""),"")</f>
        <v/>
      </c>
      <c r="L360" s="112" t="str">
        <f>IF(A360&lt;&gt;"",SUMIFS(deployment!$K$4:$K$502, deployment!$D$4:$D$502,"="&amp;A360, deployment!$D$4:$D$502,"&lt;&gt;"&amp;""),"")</f>
        <v/>
      </c>
      <c r="M360" s="97" t="str">
        <f>IF(A360&lt;&gt;"",SUMIFS(deployment!$L$4:$L$502, deployment!$D$4:$D$502,"="&amp;A360, deployment!$D$4:$D$502,"&lt;&gt;"&amp;""),"")</f>
        <v/>
      </c>
      <c r="N360" s="97" t="str">
        <f>IF(A360&lt;&gt;"",SUMIFS(deployment!$M$4:$M$502, deployment!$D$4:$D$502,"="&amp;A360, deployment!$D$4:$D$502,"&lt;&gt;"&amp;""),"")</f>
        <v/>
      </c>
      <c r="O360" s="127" t="str">
        <f t="shared" si="71"/>
        <v/>
      </c>
      <c r="P360" s="104"/>
      <c r="Q360" s="99" t="str">
        <f t="shared" si="60"/>
        <v/>
      </c>
      <c r="R360" s="100" t="str">
        <f t="shared" si="61"/>
        <v/>
      </c>
      <c r="S360" s="100" t="str">
        <f t="shared" si="62"/>
        <v/>
      </c>
      <c r="T360" s="101" t="str">
        <f t="shared" si="63"/>
        <v/>
      </c>
      <c r="U360" s="101" t="str">
        <f t="shared" si="64"/>
        <v/>
      </c>
      <c r="V360" s="128" t="str">
        <f t="shared" si="65"/>
        <v/>
      </c>
      <c r="W360" s="128" t="str">
        <f t="shared" si="66"/>
        <v/>
      </c>
      <c r="X360" s="101" t="str">
        <f t="shared" si="67"/>
        <v/>
      </c>
      <c r="Y360" s="101" t="str">
        <f t="shared" si="68"/>
        <v/>
      </c>
      <c r="Z360" s="102" t="str">
        <f t="shared" si="69"/>
        <v/>
      </c>
      <c r="AA360" s="103" t="str">
        <f t="shared" si="70"/>
        <v/>
      </c>
      <c r="AB360" s="142" t="str">
        <f>IF(A360&lt;&gt;"", SUMIFS(node!$J$2:$J$500, node!$C$2:$C$500,"="&amp;A360)/P360, "")</f>
        <v/>
      </c>
      <c r="AC360" s="134" t="str">
        <f>IF(A360&lt;&gt;"", SUMIFS(node!$K$2:$K$500, node!$C$2:$C$500,"="&amp;A360)/P360, "")</f>
        <v/>
      </c>
      <c r="AD360" s="135" t="str">
        <f>IF(A360&lt;&gt;"", SUMIFS(node!$L$2:$L$500, node!$C$2:$C$500,"="&amp;A360), "")</f>
        <v/>
      </c>
      <c r="AE360" s="145" t="str">
        <f>IF(A360&lt;&gt;"", SUMIFS(node!$M$2:$M$500, node!$C$2:$C$500,"="&amp;A360), "")</f>
        <v/>
      </c>
    </row>
    <row r="361" spans="1:31" ht="15.75" customHeight="1" x14ac:dyDescent="0.25">
      <c r="A361" s="119" t="str">
        <f>IF(ISNONTEXT(node_raw[[#This Row],[Column2]]), "", node_raw[[#This Row],[Column2]])</f>
        <v/>
      </c>
      <c r="B361" s="116" t="str">
        <f>IF(A361&lt;&gt;"", VLOOKUP(A361, node!$C$2:$D$500, 2, FALSE), "")</f>
        <v/>
      </c>
      <c r="C361" s="117" t="str">
        <f>IF(A361&lt;&gt;"", VLOOKUP(A361, node!$C$2:$E$500, 3, FALSE), "")</f>
        <v/>
      </c>
      <c r="D361" s="118" t="str">
        <f>IF(A361&lt;&gt;"",COUNTIFS(node!$C$2:$C$500,"="&amp;A361, node!$C$2:$C$500,"&lt;&gt;"&amp;""),"")</f>
        <v/>
      </c>
      <c r="E361" s="122" t="str">
        <f>IF(A361&lt;&gt;"",SUMIFS(node!$F$2:$F$500, node!$C$2:$C$500,"="&amp;A361, node!$C$2:$C$500,"&lt;&gt;"&amp;"")/(B361*D361),"")</f>
        <v/>
      </c>
      <c r="F361" s="124" t="str">
        <f>IF(A361&lt;&gt;"",SUMIFS(node!$H$2:$H$500, node!$C$2:$C$500,"="&amp;A361, node!$C$2:$C$500,"&lt;&gt;"&amp;"")/(C361*D361),"")</f>
        <v/>
      </c>
      <c r="G361" s="93" t="str">
        <f>IF(A361&lt;&gt;"",SUMIFS(deployment!$F$4:$F$502, deployment!$D$4:$D$502,"="&amp;A361, deployment!$D$4:$D$502,"&lt;&gt;"&amp;""),"")</f>
        <v/>
      </c>
      <c r="H361" s="94" t="str">
        <f>IF(A361&lt;&gt;"",SUMIFS(deployment!$G$4:$G$502, deployment!$D$4:$D$502,"="&amp;A361, deployment!$D$4:$D$502,"&lt;&gt;"&amp;""),"")</f>
        <v/>
      </c>
      <c r="I361" s="95" t="str">
        <f>IF(A361&lt;&gt;"",SUMIFS(deployment!$H$4:$H$502, deployment!$D$4:$D$502,"="&amp;A361, deployment!$D$4:$D$502,"&lt;&gt;"&amp;""),"")</f>
        <v/>
      </c>
      <c r="J361" s="96" t="str">
        <f>IF(A361&lt;&gt;"",SUMIFS(deployment!$I$4:$I$502, deployment!$D$4:$D$502,"="&amp;A361, deployment!$D$4:$D$502,"&lt;&gt;"&amp;""),"")</f>
        <v/>
      </c>
      <c r="K361" s="112" t="str">
        <f>IF(A361&lt;&gt;"",SUMIFS(deployment!$J$4:$J$502, deployment!$D$4:$D$502,"="&amp;A361, deployment!$D$4:$D$502,"&lt;&gt;"&amp;""),"")</f>
        <v/>
      </c>
      <c r="L361" s="112" t="str">
        <f>IF(A361&lt;&gt;"",SUMIFS(deployment!$K$4:$K$502, deployment!$D$4:$D$502,"="&amp;A361, deployment!$D$4:$D$502,"&lt;&gt;"&amp;""),"")</f>
        <v/>
      </c>
      <c r="M361" s="97" t="str">
        <f>IF(A361&lt;&gt;"",SUMIFS(deployment!$L$4:$L$502, deployment!$D$4:$D$502,"="&amp;A361, deployment!$D$4:$D$502,"&lt;&gt;"&amp;""),"")</f>
        <v/>
      </c>
      <c r="N361" s="97" t="str">
        <f>IF(A361&lt;&gt;"",SUMIFS(deployment!$M$4:$M$502, deployment!$D$4:$D$502,"="&amp;A361, deployment!$D$4:$D$502,"&lt;&gt;"&amp;""),"")</f>
        <v/>
      </c>
      <c r="O361" s="127" t="str">
        <f t="shared" si="71"/>
        <v/>
      </c>
      <c r="P361" s="104"/>
      <c r="Q361" s="99" t="str">
        <f t="shared" si="60"/>
        <v/>
      </c>
      <c r="R361" s="100" t="str">
        <f t="shared" si="61"/>
        <v/>
      </c>
      <c r="S361" s="100" t="str">
        <f t="shared" si="62"/>
        <v/>
      </c>
      <c r="T361" s="101" t="str">
        <f t="shared" si="63"/>
        <v/>
      </c>
      <c r="U361" s="101" t="str">
        <f t="shared" si="64"/>
        <v/>
      </c>
      <c r="V361" s="128" t="str">
        <f t="shared" si="65"/>
        <v/>
      </c>
      <c r="W361" s="128" t="str">
        <f t="shared" si="66"/>
        <v/>
      </c>
      <c r="X361" s="101" t="str">
        <f t="shared" si="67"/>
        <v/>
      </c>
      <c r="Y361" s="101" t="str">
        <f t="shared" si="68"/>
        <v/>
      </c>
      <c r="Z361" s="102" t="str">
        <f t="shared" si="69"/>
        <v/>
      </c>
      <c r="AA361" s="103" t="str">
        <f t="shared" si="70"/>
        <v/>
      </c>
      <c r="AB361" s="142" t="str">
        <f>IF(A361&lt;&gt;"", SUMIFS(node!$J$2:$J$500, node!$C$2:$C$500,"="&amp;A361)/P361, "")</f>
        <v/>
      </c>
      <c r="AC361" s="134" t="str">
        <f>IF(A361&lt;&gt;"", SUMIFS(node!$K$2:$K$500, node!$C$2:$C$500,"="&amp;A361)/P361, "")</f>
        <v/>
      </c>
      <c r="AD361" s="135" t="str">
        <f>IF(A361&lt;&gt;"", SUMIFS(node!$L$2:$L$500, node!$C$2:$C$500,"="&amp;A361), "")</f>
        <v/>
      </c>
      <c r="AE361" s="145" t="str">
        <f>IF(A361&lt;&gt;"", SUMIFS(node!$M$2:$M$500, node!$C$2:$C$500,"="&amp;A361), "")</f>
        <v/>
      </c>
    </row>
    <row r="362" spans="1:31" ht="15.75" customHeight="1" x14ac:dyDescent="0.25">
      <c r="A362" s="119" t="str">
        <f>IF(ISNONTEXT(node_raw[[#This Row],[Column2]]), "", node_raw[[#This Row],[Column2]])</f>
        <v/>
      </c>
      <c r="B362" s="116" t="str">
        <f>IF(A362&lt;&gt;"", VLOOKUP(A362, node!$C$2:$D$500, 2, FALSE), "")</f>
        <v/>
      </c>
      <c r="C362" s="117" t="str">
        <f>IF(A362&lt;&gt;"", VLOOKUP(A362, node!$C$2:$E$500, 3, FALSE), "")</f>
        <v/>
      </c>
      <c r="D362" s="118" t="str">
        <f>IF(A362&lt;&gt;"",COUNTIFS(node!$C$2:$C$500,"="&amp;A362, node!$C$2:$C$500,"&lt;&gt;"&amp;""),"")</f>
        <v/>
      </c>
      <c r="E362" s="122" t="str">
        <f>IF(A362&lt;&gt;"",SUMIFS(node!$F$2:$F$500, node!$C$2:$C$500,"="&amp;A362, node!$C$2:$C$500,"&lt;&gt;"&amp;"")/(B362*D362),"")</f>
        <v/>
      </c>
      <c r="F362" s="124" t="str">
        <f>IF(A362&lt;&gt;"",SUMIFS(node!$H$2:$H$500, node!$C$2:$C$500,"="&amp;A362, node!$C$2:$C$500,"&lt;&gt;"&amp;"")/(C362*D362),"")</f>
        <v/>
      </c>
      <c r="G362" s="93" t="str">
        <f>IF(A362&lt;&gt;"",SUMIFS(deployment!$F$4:$F$502, deployment!$D$4:$D$502,"="&amp;A362, deployment!$D$4:$D$502,"&lt;&gt;"&amp;""),"")</f>
        <v/>
      </c>
      <c r="H362" s="94" t="str">
        <f>IF(A362&lt;&gt;"",SUMIFS(deployment!$G$4:$G$502, deployment!$D$4:$D$502,"="&amp;A362, deployment!$D$4:$D$502,"&lt;&gt;"&amp;""),"")</f>
        <v/>
      </c>
      <c r="I362" s="95" t="str">
        <f>IF(A362&lt;&gt;"",SUMIFS(deployment!$H$4:$H$502, deployment!$D$4:$D$502,"="&amp;A362, deployment!$D$4:$D$502,"&lt;&gt;"&amp;""),"")</f>
        <v/>
      </c>
      <c r="J362" s="96" t="str">
        <f>IF(A362&lt;&gt;"",SUMIFS(deployment!$I$4:$I$502, deployment!$D$4:$D$502,"="&amp;A362, deployment!$D$4:$D$502,"&lt;&gt;"&amp;""),"")</f>
        <v/>
      </c>
      <c r="K362" s="112" t="str">
        <f>IF(A362&lt;&gt;"",SUMIFS(deployment!$J$4:$J$502, deployment!$D$4:$D$502,"="&amp;A362, deployment!$D$4:$D$502,"&lt;&gt;"&amp;""),"")</f>
        <v/>
      </c>
      <c r="L362" s="112" t="str">
        <f>IF(A362&lt;&gt;"",SUMIFS(deployment!$K$4:$K$502, deployment!$D$4:$D$502,"="&amp;A362, deployment!$D$4:$D$502,"&lt;&gt;"&amp;""),"")</f>
        <v/>
      </c>
      <c r="M362" s="97" t="str">
        <f>IF(A362&lt;&gt;"",SUMIFS(deployment!$L$4:$L$502, deployment!$D$4:$D$502,"="&amp;A362, deployment!$D$4:$D$502,"&lt;&gt;"&amp;""),"")</f>
        <v/>
      </c>
      <c r="N362" s="97" t="str">
        <f>IF(A362&lt;&gt;"",SUMIFS(deployment!$M$4:$M$502, deployment!$D$4:$D$502,"="&amp;A362, deployment!$D$4:$D$502,"&lt;&gt;"&amp;""),"")</f>
        <v/>
      </c>
      <c r="O362" s="127" t="str">
        <f t="shared" si="71"/>
        <v/>
      </c>
      <c r="P362" s="104"/>
      <c r="Q362" s="99" t="str">
        <f t="shared" si="60"/>
        <v/>
      </c>
      <c r="R362" s="100" t="str">
        <f t="shared" si="61"/>
        <v/>
      </c>
      <c r="S362" s="100" t="str">
        <f t="shared" si="62"/>
        <v/>
      </c>
      <c r="T362" s="101" t="str">
        <f t="shared" si="63"/>
        <v/>
      </c>
      <c r="U362" s="101" t="str">
        <f t="shared" si="64"/>
        <v/>
      </c>
      <c r="V362" s="128" t="str">
        <f t="shared" si="65"/>
        <v/>
      </c>
      <c r="W362" s="128" t="str">
        <f t="shared" si="66"/>
        <v/>
      </c>
      <c r="X362" s="101" t="str">
        <f t="shared" si="67"/>
        <v/>
      </c>
      <c r="Y362" s="101" t="str">
        <f t="shared" si="68"/>
        <v/>
      </c>
      <c r="Z362" s="102" t="str">
        <f t="shared" si="69"/>
        <v/>
      </c>
      <c r="AA362" s="103" t="str">
        <f t="shared" si="70"/>
        <v/>
      </c>
      <c r="AB362" s="142" t="str">
        <f>IF(A362&lt;&gt;"", SUMIFS(node!$J$2:$J$500, node!$C$2:$C$500,"="&amp;A362)/P362, "")</f>
        <v/>
      </c>
      <c r="AC362" s="134" t="str">
        <f>IF(A362&lt;&gt;"", SUMIFS(node!$K$2:$K$500, node!$C$2:$C$500,"="&amp;A362)/P362, "")</f>
        <v/>
      </c>
      <c r="AD362" s="135" t="str">
        <f>IF(A362&lt;&gt;"", SUMIFS(node!$L$2:$L$500, node!$C$2:$C$500,"="&amp;A362), "")</f>
        <v/>
      </c>
      <c r="AE362" s="145" t="str">
        <f>IF(A362&lt;&gt;"", SUMIFS(node!$M$2:$M$500, node!$C$2:$C$500,"="&amp;A362), "")</f>
        <v/>
      </c>
    </row>
    <row r="363" spans="1:31" ht="15.75" customHeight="1" x14ac:dyDescent="0.25">
      <c r="A363" s="119" t="str">
        <f>IF(ISNONTEXT(node_raw[[#This Row],[Column2]]), "", node_raw[[#This Row],[Column2]])</f>
        <v/>
      </c>
      <c r="B363" s="116" t="str">
        <f>IF(A363&lt;&gt;"", VLOOKUP(A363, node!$C$2:$D$500, 2, FALSE), "")</f>
        <v/>
      </c>
      <c r="C363" s="117" t="str">
        <f>IF(A363&lt;&gt;"", VLOOKUP(A363, node!$C$2:$E$500, 3, FALSE), "")</f>
        <v/>
      </c>
      <c r="D363" s="118" t="str">
        <f>IF(A363&lt;&gt;"",COUNTIFS(node!$C$2:$C$500,"="&amp;A363, node!$C$2:$C$500,"&lt;&gt;"&amp;""),"")</f>
        <v/>
      </c>
      <c r="E363" s="122" t="str">
        <f>IF(A363&lt;&gt;"",SUMIFS(node!$F$2:$F$500, node!$C$2:$C$500,"="&amp;A363, node!$C$2:$C$500,"&lt;&gt;"&amp;"")/(B363*D363),"")</f>
        <v/>
      </c>
      <c r="F363" s="124" t="str">
        <f>IF(A363&lt;&gt;"",SUMIFS(node!$H$2:$H$500, node!$C$2:$C$500,"="&amp;A363, node!$C$2:$C$500,"&lt;&gt;"&amp;"")/(C363*D363),"")</f>
        <v/>
      </c>
      <c r="G363" s="93" t="str">
        <f>IF(A363&lt;&gt;"",SUMIFS(deployment!$F$4:$F$502, deployment!$D$4:$D$502,"="&amp;A363, deployment!$D$4:$D$502,"&lt;&gt;"&amp;""),"")</f>
        <v/>
      </c>
      <c r="H363" s="94" t="str">
        <f>IF(A363&lt;&gt;"",SUMIFS(deployment!$G$4:$G$502, deployment!$D$4:$D$502,"="&amp;A363, deployment!$D$4:$D$502,"&lt;&gt;"&amp;""),"")</f>
        <v/>
      </c>
      <c r="I363" s="95" t="str">
        <f>IF(A363&lt;&gt;"",SUMIFS(deployment!$H$4:$H$502, deployment!$D$4:$D$502,"="&amp;A363, deployment!$D$4:$D$502,"&lt;&gt;"&amp;""),"")</f>
        <v/>
      </c>
      <c r="J363" s="96" t="str">
        <f>IF(A363&lt;&gt;"",SUMIFS(deployment!$I$4:$I$502, deployment!$D$4:$D$502,"="&amp;A363, deployment!$D$4:$D$502,"&lt;&gt;"&amp;""),"")</f>
        <v/>
      </c>
      <c r="K363" s="112" t="str">
        <f>IF(A363&lt;&gt;"",SUMIFS(deployment!$J$4:$J$502, deployment!$D$4:$D$502,"="&amp;A363, deployment!$D$4:$D$502,"&lt;&gt;"&amp;""),"")</f>
        <v/>
      </c>
      <c r="L363" s="112" t="str">
        <f>IF(A363&lt;&gt;"",SUMIFS(deployment!$K$4:$K$502, deployment!$D$4:$D$502,"="&amp;A363, deployment!$D$4:$D$502,"&lt;&gt;"&amp;""),"")</f>
        <v/>
      </c>
      <c r="M363" s="97" t="str">
        <f>IF(A363&lt;&gt;"",SUMIFS(deployment!$L$4:$L$502, deployment!$D$4:$D$502,"="&amp;A363, deployment!$D$4:$D$502,"&lt;&gt;"&amp;""),"")</f>
        <v/>
      </c>
      <c r="N363" s="97" t="str">
        <f>IF(A363&lt;&gt;"",SUMIFS(deployment!$M$4:$M$502, deployment!$D$4:$D$502,"="&amp;A363, deployment!$D$4:$D$502,"&lt;&gt;"&amp;""),"")</f>
        <v/>
      </c>
      <c r="O363" s="127" t="str">
        <f t="shared" si="71"/>
        <v/>
      </c>
      <c r="P363" s="104"/>
      <c r="Q363" s="99" t="str">
        <f t="shared" si="60"/>
        <v/>
      </c>
      <c r="R363" s="100" t="str">
        <f t="shared" si="61"/>
        <v/>
      </c>
      <c r="S363" s="100" t="str">
        <f t="shared" si="62"/>
        <v/>
      </c>
      <c r="T363" s="101" t="str">
        <f t="shared" si="63"/>
        <v/>
      </c>
      <c r="U363" s="101" t="str">
        <f t="shared" si="64"/>
        <v/>
      </c>
      <c r="V363" s="128" t="str">
        <f t="shared" si="65"/>
        <v/>
      </c>
      <c r="W363" s="128" t="str">
        <f t="shared" si="66"/>
        <v/>
      </c>
      <c r="X363" s="101" t="str">
        <f t="shared" si="67"/>
        <v/>
      </c>
      <c r="Y363" s="101" t="str">
        <f t="shared" si="68"/>
        <v/>
      </c>
      <c r="Z363" s="102" t="str">
        <f t="shared" si="69"/>
        <v/>
      </c>
      <c r="AA363" s="103" t="str">
        <f t="shared" si="70"/>
        <v/>
      </c>
      <c r="AB363" s="142" t="str">
        <f>IF(A363&lt;&gt;"", SUMIFS(node!$J$2:$J$500, node!$C$2:$C$500,"="&amp;A363)/P363, "")</f>
        <v/>
      </c>
      <c r="AC363" s="134" t="str">
        <f>IF(A363&lt;&gt;"", SUMIFS(node!$K$2:$K$500, node!$C$2:$C$500,"="&amp;A363)/P363, "")</f>
        <v/>
      </c>
      <c r="AD363" s="135" t="str">
        <f>IF(A363&lt;&gt;"", SUMIFS(node!$L$2:$L$500, node!$C$2:$C$500,"="&amp;A363), "")</f>
        <v/>
      </c>
      <c r="AE363" s="145" t="str">
        <f>IF(A363&lt;&gt;"", SUMIFS(node!$M$2:$M$500, node!$C$2:$C$500,"="&amp;A363), "")</f>
        <v/>
      </c>
    </row>
    <row r="364" spans="1:31" ht="15.75" customHeight="1" x14ac:dyDescent="0.25">
      <c r="A364" s="119" t="str">
        <f>IF(ISNONTEXT(node_raw[[#This Row],[Column2]]), "", node_raw[[#This Row],[Column2]])</f>
        <v/>
      </c>
      <c r="B364" s="116" t="str">
        <f>IF(A364&lt;&gt;"", VLOOKUP(A364, node!$C$2:$D$500, 2, FALSE), "")</f>
        <v/>
      </c>
      <c r="C364" s="117" t="str">
        <f>IF(A364&lt;&gt;"", VLOOKUP(A364, node!$C$2:$E$500, 3, FALSE), "")</f>
        <v/>
      </c>
      <c r="D364" s="118" t="str">
        <f>IF(A364&lt;&gt;"",COUNTIFS(node!$C$2:$C$500,"="&amp;A364, node!$C$2:$C$500,"&lt;&gt;"&amp;""),"")</f>
        <v/>
      </c>
      <c r="E364" s="122" t="str">
        <f>IF(A364&lt;&gt;"",SUMIFS(node!$F$2:$F$500, node!$C$2:$C$500,"="&amp;A364, node!$C$2:$C$500,"&lt;&gt;"&amp;"")/(B364*D364),"")</f>
        <v/>
      </c>
      <c r="F364" s="124" t="str">
        <f>IF(A364&lt;&gt;"",SUMIFS(node!$H$2:$H$500, node!$C$2:$C$500,"="&amp;A364, node!$C$2:$C$500,"&lt;&gt;"&amp;"")/(C364*D364),"")</f>
        <v/>
      </c>
      <c r="G364" s="93" t="str">
        <f>IF(A364&lt;&gt;"",SUMIFS(deployment!$F$4:$F$502, deployment!$D$4:$D$502,"="&amp;A364, deployment!$D$4:$D$502,"&lt;&gt;"&amp;""),"")</f>
        <v/>
      </c>
      <c r="H364" s="94" t="str">
        <f>IF(A364&lt;&gt;"",SUMIFS(deployment!$G$4:$G$502, deployment!$D$4:$D$502,"="&amp;A364, deployment!$D$4:$D$502,"&lt;&gt;"&amp;""),"")</f>
        <v/>
      </c>
      <c r="I364" s="95" t="str">
        <f>IF(A364&lt;&gt;"",SUMIFS(deployment!$H$4:$H$502, deployment!$D$4:$D$502,"="&amp;A364, deployment!$D$4:$D$502,"&lt;&gt;"&amp;""),"")</f>
        <v/>
      </c>
      <c r="J364" s="96" t="str">
        <f>IF(A364&lt;&gt;"",SUMIFS(deployment!$I$4:$I$502, deployment!$D$4:$D$502,"="&amp;A364, deployment!$D$4:$D$502,"&lt;&gt;"&amp;""),"")</f>
        <v/>
      </c>
      <c r="K364" s="112" t="str">
        <f>IF(A364&lt;&gt;"",SUMIFS(deployment!$J$4:$J$502, deployment!$D$4:$D$502,"="&amp;A364, deployment!$D$4:$D$502,"&lt;&gt;"&amp;""),"")</f>
        <v/>
      </c>
      <c r="L364" s="112" t="str">
        <f>IF(A364&lt;&gt;"",SUMIFS(deployment!$K$4:$K$502, deployment!$D$4:$D$502,"="&amp;A364, deployment!$D$4:$D$502,"&lt;&gt;"&amp;""),"")</f>
        <v/>
      </c>
      <c r="M364" s="97" t="str">
        <f>IF(A364&lt;&gt;"",SUMIFS(deployment!$L$4:$L$502, deployment!$D$4:$D$502,"="&amp;A364, deployment!$D$4:$D$502,"&lt;&gt;"&amp;""),"")</f>
        <v/>
      </c>
      <c r="N364" s="97" t="str">
        <f>IF(A364&lt;&gt;"",SUMIFS(deployment!$M$4:$M$502, deployment!$D$4:$D$502,"="&amp;A364, deployment!$D$4:$D$502,"&lt;&gt;"&amp;""),"")</f>
        <v/>
      </c>
      <c r="O364" s="127" t="str">
        <f t="shared" si="71"/>
        <v/>
      </c>
      <c r="P364" s="104"/>
      <c r="Q364" s="99" t="str">
        <f t="shared" si="60"/>
        <v/>
      </c>
      <c r="R364" s="100" t="str">
        <f t="shared" si="61"/>
        <v/>
      </c>
      <c r="S364" s="100" t="str">
        <f t="shared" si="62"/>
        <v/>
      </c>
      <c r="T364" s="101" t="str">
        <f t="shared" si="63"/>
        <v/>
      </c>
      <c r="U364" s="101" t="str">
        <f t="shared" si="64"/>
        <v/>
      </c>
      <c r="V364" s="128" t="str">
        <f t="shared" si="65"/>
        <v/>
      </c>
      <c r="W364" s="128" t="str">
        <f t="shared" si="66"/>
        <v/>
      </c>
      <c r="X364" s="101" t="str">
        <f t="shared" si="67"/>
        <v/>
      </c>
      <c r="Y364" s="101" t="str">
        <f t="shared" si="68"/>
        <v/>
      </c>
      <c r="Z364" s="102" t="str">
        <f t="shared" si="69"/>
        <v/>
      </c>
      <c r="AA364" s="103" t="str">
        <f t="shared" si="70"/>
        <v/>
      </c>
      <c r="AB364" s="142" t="str">
        <f>IF(A364&lt;&gt;"", SUMIFS(node!$J$2:$J$500, node!$C$2:$C$500,"="&amp;A364)/P364, "")</f>
        <v/>
      </c>
      <c r="AC364" s="134" t="str">
        <f>IF(A364&lt;&gt;"", SUMIFS(node!$K$2:$K$500, node!$C$2:$C$500,"="&amp;A364)/P364, "")</f>
        <v/>
      </c>
      <c r="AD364" s="135" t="str">
        <f>IF(A364&lt;&gt;"", SUMIFS(node!$L$2:$L$500, node!$C$2:$C$500,"="&amp;A364), "")</f>
        <v/>
      </c>
      <c r="AE364" s="145" t="str">
        <f>IF(A364&lt;&gt;"", SUMIFS(node!$M$2:$M$500, node!$C$2:$C$500,"="&amp;A364), "")</f>
        <v/>
      </c>
    </row>
    <row r="365" spans="1:31" ht="15.75" customHeight="1" x14ac:dyDescent="0.25">
      <c r="A365" s="119" t="str">
        <f>IF(ISNONTEXT(node_raw[[#This Row],[Column2]]), "", node_raw[[#This Row],[Column2]])</f>
        <v/>
      </c>
      <c r="B365" s="116" t="str">
        <f>IF(A365&lt;&gt;"", VLOOKUP(A365, node!$C$2:$D$500, 2, FALSE), "")</f>
        <v/>
      </c>
      <c r="C365" s="117" t="str">
        <f>IF(A365&lt;&gt;"", VLOOKUP(A365, node!$C$2:$E$500, 3, FALSE), "")</f>
        <v/>
      </c>
      <c r="D365" s="118" t="str">
        <f>IF(A365&lt;&gt;"",COUNTIFS(node!$C$2:$C$500,"="&amp;A365, node!$C$2:$C$500,"&lt;&gt;"&amp;""),"")</f>
        <v/>
      </c>
      <c r="E365" s="122" t="str">
        <f>IF(A365&lt;&gt;"",SUMIFS(node!$F$2:$F$500, node!$C$2:$C$500,"="&amp;A365, node!$C$2:$C$500,"&lt;&gt;"&amp;"")/(B365*D365),"")</f>
        <v/>
      </c>
      <c r="F365" s="124" t="str">
        <f>IF(A365&lt;&gt;"",SUMIFS(node!$H$2:$H$500, node!$C$2:$C$500,"="&amp;A365, node!$C$2:$C$500,"&lt;&gt;"&amp;"")/(C365*D365),"")</f>
        <v/>
      </c>
      <c r="G365" s="93" t="str">
        <f>IF(A365&lt;&gt;"",SUMIFS(deployment!$F$4:$F$502, deployment!$D$4:$D$502,"="&amp;A365, deployment!$D$4:$D$502,"&lt;&gt;"&amp;""),"")</f>
        <v/>
      </c>
      <c r="H365" s="94" t="str">
        <f>IF(A365&lt;&gt;"",SUMIFS(deployment!$G$4:$G$502, deployment!$D$4:$D$502,"="&amp;A365, deployment!$D$4:$D$502,"&lt;&gt;"&amp;""),"")</f>
        <v/>
      </c>
      <c r="I365" s="95" t="str">
        <f>IF(A365&lt;&gt;"",SUMIFS(deployment!$H$4:$H$502, deployment!$D$4:$D$502,"="&amp;A365, deployment!$D$4:$D$502,"&lt;&gt;"&amp;""),"")</f>
        <v/>
      </c>
      <c r="J365" s="96" t="str">
        <f>IF(A365&lt;&gt;"",SUMIFS(deployment!$I$4:$I$502, deployment!$D$4:$D$502,"="&amp;A365, deployment!$D$4:$D$502,"&lt;&gt;"&amp;""),"")</f>
        <v/>
      </c>
      <c r="K365" s="112" t="str">
        <f>IF(A365&lt;&gt;"",SUMIFS(deployment!$J$4:$J$502, deployment!$D$4:$D$502,"="&amp;A365, deployment!$D$4:$D$502,"&lt;&gt;"&amp;""),"")</f>
        <v/>
      </c>
      <c r="L365" s="112" t="str">
        <f>IF(A365&lt;&gt;"",SUMIFS(deployment!$K$4:$K$502, deployment!$D$4:$D$502,"="&amp;A365, deployment!$D$4:$D$502,"&lt;&gt;"&amp;""),"")</f>
        <v/>
      </c>
      <c r="M365" s="97" t="str">
        <f>IF(A365&lt;&gt;"",SUMIFS(deployment!$L$4:$L$502, deployment!$D$4:$D$502,"="&amp;A365, deployment!$D$4:$D$502,"&lt;&gt;"&amp;""),"")</f>
        <v/>
      </c>
      <c r="N365" s="97" t="str">
        <f>IF(A365&lt;&gt;"",SUMIFS(deployment!$M$4:$M$502, deployment!$D$4:$D$502,"="&amp;A365, deployment!$D$4:$D$502,"&lt;&gt;"&amp;""),"")</f>
        <v/>
      </c>
      <c r="O365" s="127" t="str">
        <f t="shared" si="71"/>
        <v/>
      </c>
      <c r="P365" s="104"/>
      <c r="Q365" s="99" t="str">
        <f t="shared" si="60"/>
        <v/>
      </c>
      <c r="R365" s="100" t="str">
        <f t="shared" si="61"/>
        <v/>
      </c>
      <c r="S365" s="100" t="str">
        <f t="shared" si="62"/>
        <v/>
      </c>
      <c r="T365" s="101" t="str">
        <f t="shared" si="63"/>
        <v/>
      </c>
      <c r="U365" s="101" t="str">
        <f t="shared" si="64"/>
        <v/>
      </c>
      <c r="V365" s="128" t="str">
        <f t="shared" si="65"/>
        <v/>
      </c>
      <c r="W365" s="128" t="str">
        <f t="shared" si="66"/>
        <v/>
      </c>
      <c r="X365" s="101" t="str">
        <f t="shared" si="67"/>
        <v/>
      </c>
      <c r="Y365" s="101" t="str">
        <f t="shared" si="68"/>
        <v/>
      </c>
      <c r="Z365" s="102" t="str">
        <f t="shared" si="69"/>
        <v/>
      </c>
      <c r="AA365" s="103" t="str">
        <f t="shared" si="70"/>
        <v/>
      </c>
      <c r="AB365" s="142" t="str">
        <f>IF(A365&lt;&gt;"", SUMIFS(node!$J$2:$J$500, node!$C$2:$C$500,"="&amp;A365)/P365, "")</f>
        <v/>
      </c>
      <c r="AC365" s="134" t="str">
        <f>IF(A365&lt;&gt;"", SUMIFS(node!$K$2:$K$500, node!$C$2:$C$500,"="&amp;A365)/P365, "")</f>
        <v/>
      </c>
      <c r="AD365" s="135" t="str">
        <f>IF(A365&lt;&gt;"", SUMIFS(node!$L$2:$L$500, node!$C$2:$C$500,"="&amp;A365), "")</f>
        <v/>
      </c>
      <c r="AE365" s="145" t="str">
        <f>IF(A365&lt;&gt;"", SUMIFS(node!$M$2:$M$500, node!$C$2:$C$500,"="&amp;A365), "")</f>
        <v/>
      </c>
    </row>
    <row r="366" spans="1:31" ht="15.75" customHeight="1" x14ac:dyDescent="0.25">
      <c r="A366" s="119" t="str">
        <f>IF(ISNONTEXT(node_raw[[#This Row],[Column2]]), "", node_raw[[#This Row],[Column2]])</f>
        <v/>
      </c>
      <c r="B366" s="116" t="str">
        <f>IF(A366&lt;&gt;"", VLOOKUP(A366, node!$C$2:$D$500, 2, FALSE), "")</f>
        <v/>
      </c>
      <c r="C366" s="117" t="str">
        <f>IF(A366&lt;&gt;"", VLOOKUP(A366, node!$C$2:$E$500, 3, FALSE), "")</f>
        <v/>
      </c>
      <c r="D366" s="118" t="str">
        <f>IF(A366&lt;&gt;"",COUNTIFS(node!$C$2:$C$500,"="&amp;A366, node!$C$2:$C$500,"&lt;&gt;"&amp;""),"")</f>
        <v/>
      </c>
      <c r="E366" s="122" t="str">
        <f>IF(A366&lt;&gt;"",SUMIFS(node!$F$2:$F$500, node!$C$2:$C$500,"="&amp;A366, node!$C$2:$C$500,"&lt;&gt;"&amp;"")/(B366*D366),"")</f>
        <v/>
      </c>
      <c r="F366" s="124" t="str">
        <f>IF(A366&lt;&gt;"",SUMIFS(node!$H$2:$H$500, node!$C$2:$C$500,"="&amp;A366, node!$C$2:$C$500,"&lt;&gt;"&amp;"")/(C366*D366),"")</f>
        <v/>
      </c>
      <c r="G366" s="93" t="str">
        <f>IF(A366&lt;&gt;"",SUMIFS(deployment!$F$4:$F$502, deployment!$D$4:$D$502,"="&amp;A366, deployment!$D$4:$D$502,"&lt;&gt;"&amp;""),"")</f>
        <v/>
      </c>
      <c r="H366" s="94" t="str">
        <f>IF(A366&lt;&gt;"",SUMIFS(deployment!$G$4:$G$502, deployment!$D$4:$D$502,"="&amp;A366, deployment!$D$4:$D$502,"&lt;&gt;"&amp;""),"")</f>
        <v/>
      </c>
      <c r="I366" s="95" t="str">
        <f>IF(A366&lt;&gt;"",SUMIFS(deployment!$H$4:$H$502, deployment!$D$4:$D$502,"="&amp;A366, deployment!$D$4:$D$502,"&lt;&gt;"&amp;""),"")</f>
        <v/>
      </c>
      <c r="J366" s="96" t="str">
        <f>IF(A366&lt;&gt;"",SUMIFS(deployment!$I$4:$I$502, deployment!$D$4:$D$502,"="&amp;A366, deployment!$D$4:$D$502,"&lt;&gt;"&amp;""),"")</f>
        <v/>
      </c>
      <c r="K366" s="112" t="str">
        <f>IF(A366&lt;&gt;"",SUMIFS(deployment!$J$4:$J$502, deployment!$D$4:$D$502,"="&amp;A366, deployment!$D$4:$D$502,"&lt;&gt;"&amp;""),"")</f>
        <v/>
      </c>
      <c r="L366" s="112" t="str">
        <f>IF(A366&lt;&gt;"",SUMIFS(deployment!$K$4:$K$502, deployment!$D$4:$D$502,"="&amp;A366, deployment!$D$4:$D$502,"&lt;&gt;"&amp;""),"")</f>
        <v/>
      </c>
      <c r="M366" s="97" t="str">
        <f>IF(A366&lt;&gt;"",SUMIFS(deployment!$L$4:$L$502, deployment!$D$4:$D$502,"="&amp;A366, deployment!$D$4:$D$502,"&lt;&gt;"&amp;""),"")</f>
        <v/>
      </c>
      <c r="N366" s="97" t="str">
        <f>IF(A366&lt;&gt;"",SUMIFS(deployment!$M$4:$M$502, deployment!$D$4:$D$502,"="&amp;A366, deployment!$D$4:$D$502,"&lt;&gt;"&amp;""),"")</f>
        <v/>
      </c>
      <c r="O366" s="127" t="str">
        <f t="shared" si="71"/>
        <v/>
      </c>
      <c r="P366" s="104"/>
      <c r="Q366" s="99" t="str">
        <f t="shared" si="60"/>
        <v/>
      </c>
      <c r="R366" s="100" t="str">
        <f t="shared" si="61"/>
        <v/>
      </c>
      <c r="S366" s="100" t="str">
        <f t="shared" si="62"/>
        <v/>
      </c>
      <c r="T366" s="101" t="str">
        <f t="shared" si="63"/>
        <v/>
      </c>
      <c r="U366" s="101" t="str">
        <f t="shared" si="64"/>
        <v/>
      </c>
      <c r="V366" s="128" t="str">
        <f t="shared" si="65"/>
        <v/>
      </c>
      <c r="W366" s="128" t="str">
        <f t="shared" si="66"/>
        <v/>
      </c>
      <c r="X366" s="101" t="str">
        <f t="shared" si="67"/>
        <v/>
      </c>
      <c r="Y366" s="101" t="str">
        <f t="shared" si="68"/>
        <v/>
      </c>
      <c r="Z366" s="102" t="str">
        <f t="shared" si="69"/>
        <v/>
      </c>
      <c r="AA366" s="103" t="str">
        <f t="shared" si="70"/>
        <v/>
      </c>
      <c r="AB366" s="142" t="str">
        <f>IF(A366&lt;&gt;"", SUMIFS(node!$J$2:$J$500, node!$C$2:$C$500,"="&amp;A366)/P366, "")</f>
        <v/>
      </c>
      <c r="AC366" s="134" t="str">
        <f>IF(A366&lt;&gt;"", SUMIFS(node!$K$2:$K$500, node!$C$2:$C$500,"="&amp;A366)/P366, "")</f>
        <v/>
      </c>
      <c r="AD366" s="135" t="str">
        <f>IF(A366&lt;&gt;"", SUMIFS(node!$L$2:$L$500, node!$C$2:$C$500,"="&amp;A366), "")</f>
        <v/>
      </c>
      <c r="AE366" s="145" t="str">
        <f>IF(A366&lt;&gt;"", SUMIFS(node!$M$2:$M$500, node!$C$2:$C$500,"="&amp;A366), "")</f>
        <v/>
      </c>
    </row>
    <row r="367" spans="1:31" ht="15.75" customHeight="1" x14ac:dyDescent="0.25">
      <c r="A367" s="119" t="str">
        <f>IF(ISNONTEXT(node_raw[[#This Row],[Column2]]), "", node_raw[[#This Row],[Column2]])</f>
        <v/>
      </c>
      <c r="B367" s="116" t="str">
        <f>IF(A367&lt;&gt;"", VLOOKUP(A367, node!$C$2:$D$500, 2, FALSE), "")</f>
        <v/>
      </c>
      <c r="C367" s="117" t="str">
        <f>IF(A367&lt;&gt;"", VLOOKUP(A367, node!$C$2:$E$500, 3, FALSE), "")</f>
        <v/>
      </c>
      <c r="D367" s="118" t="str">
        <f>IF(A367&lt;&gt;"",COUNTIFS(node!$C$2:$C$500,"="&amp;A367, node!$C$2:$C$500,"&lt;&gt;"&amp;""),"")</f>
        <v/>
      </c>
      <c r="E367" s="122" t="str">
        <f>IF(A367&lt;&gt;"",SUMIFS(node!$F$2:$F$500, node!$C$2:$C$500,"="&amp;A367, node!$C$2:$C$500,"&lt;&gt;"&amp;"")/(B367*D367),"")</f>
        <v/>
      </c>
      <c r="F367" s="124" t="str">
        <f>IF(A367&lt;&gt;"",SUMIFS(node!$H$2:$H$500, node!$C$2:$C$500,"="&amp;A367, node!$C$2:$C$500,"&lt;&gt;"&amp;"")/(C367*D367),"")</f>
        <v/>
      </c>
      <c r="G367" s="93" t="str">
        <f>IF(A367&lt;&gt;"",SUMIFS(deployment!$F$4:$F$502, deployment!$D$4:$D$502,"="&amp;A367, deployment!$D$4:$D$502,"&lt;&gt;"&amp;""),"")</f>
        <v/>
      </c>
      <c r="H367" s="94" t="str">
        <f>IF(A367&lt;&gt;"",SUMIFS(deployment!$G$4:$G$502, deployment!$D$4:$D$502,"="&amp;A367, deployment!$D$4:$D$502,"&lt;&gt;"&amp;""),"")</f>
        <v/>
      </c>
      <c r="I367" s="95" t="str">
        <f>IF(A367&lt;&gt;"",SUMIFS(deployment!$H$4:$H$502, deployment!$D$4:$D$502,"="&amp;A367, deployment!$D$4:$D$502,"&lt;&gt;"&amp;""),"")</f>
        <v/>
      </c>
      <c r="J367" s="96" t="str">
        <f>IF(A367&lt;&gt;"",SUMIFS(deployment!$I$4:$I$502, deployment!$D$4:$D$502,"="&amp;A367, deployment!$D$4:$D$502,"&lt;&gt;"&amp;""),"")</f>
        <v/>
      </c>
      <c r="K367" s="112" t="str">
        <f>IF(A367&lt;&gt;"",SUMIFS(deployment!$J$4:$J$502, deployment!$D$4:$D$502,"="&amp;A367, deployment!$D$4:$D$502,"&lt;&gt;"&amp;""),"")</f>
        <v/>
      </c>
      <c r="L367" s="112" t="str">
        <f>IF(A367&lt;&gt;"",SUMIFS(deployment!$K$4:$K$502, deployment!$D$4:$D$502,"="&amp;A367, deployment!$D$4:$D$502,"&lt;&gt;"&amp;""),"")</f>
        <v/>
      </c>
      <c r="M367" s="97" t="str">
        <f>IF(A367&lt;&gt;"",SUMIFS(deployment!$L$4:$L$502, deployment!$D$4:$D$502,"="&amp;A367, deployment!$D$4:$D$502,"&lt;&gt;"&amp;""),"")</f>
        <v/>
      </c>
      <c r="N367" s="97" t="str">
        <f>IF(A367&lt;&gt;"",SUMIFS(deployment!$M$4:$M$502, deployment!$D$4:$D$502,"="&amp;A367, deployment!$D$4:$D$502,"&lt;&gt;"&amp;""),"")</f>
        <v/>
      </c>
      <c r="O367" s="127" t="str">
        <f t="shared" si="71"/>
        <v/>
      </c>
      <c r="P367" s="104"/>
      <c r="Q367" s="99" t="str">
        <f t="shared" si="60"/>
        <v/>
      </c>
      <c r="R367" s="100" t="str">
        <f t="shared" si="61"/>
        <v/>
      </c>
      <c r="S367" s="100" t="str">
        <f t="shared" si="62"/>
        <v/>
      </c>
      <c r="T367" s="101" t="str">
        <f t="shared" si="63"/>
        <v/>
      </c>
      <c r="U367" s="101" t="str">
        <f t="shared" si="64"/>
        <v/>
      </c>
      <c r="V367" s="128" t="str">
        <f t="shared" si="65"/>
        <v/>
      </c>
      <c r="W367" s="128" t="str">
        <f t="shared" si="66"/>
        <v/>
      </c>
      <c r="X367" s="101" t="str">
        <f t="shared" si="67"/>
        <v/>
      </c>
      <c r="Y367" s="101" t="str">
        <f t="shared" si="68"/>
        <v/>
      </c>
      <c r="Z367" s="102" t="str">
        <f t="shared" si="69"/>
        <v/>
      </c>
      <c r="AA367" s="103" t="str">
        <f t="shared" si="70"/>
        <v/>
      </c>
      <c r="AB367" s="142" t="str">
        <f>IF(A367&lt;&gt;"", SUMIFS(node!$J$2:$J$500, node!$C$2:$C$500,"="&amp;A367)/P367, "")</f>
        <v/>
      </c>
      <c r="AC367" s="134" t="str">
        <f>IF(A367&lt;&gt;"", SUMIFS(node!$K$2:$K$500, node!$C$2:$C$500,"="&amp;A367)/P367, "")</f>
        <v/>
      </c>
      <c r="AD367" s="135" t="str">
        <f>IF(A367&lt;&gt;"", SUMIFS(node!$L$2:$L$500, node!$C$2:$C$500,"="&amp;A367), "")</f>
        <v/>
      </c>
      <c r="AE367" s="145" t="str">
        <f>IF(A367&lt;&gt;"", SUMIFS(node!$M$2:$M$500, node!$C$2:$C$500,"="&amp;A367), "")</f>
        <v/>
      </c>
    </row>
    <row r="368" spans="1:31" ht="15.75" customHeight="1" x14ac:dyDescent="0.25">
      <c r="A368" s="119" t="str">
        <f>IF(ISNONTEXT(node_raw[[#This Row],[Column2]]), "", node_raw[[#This Row],[Column2]])</f>
        <v/>
      </c>
      <c r="B368" s="116" t="str">
        <f>IF(A368&lt;&gt;"", VLOOKUP(A368, node!$C$2:$D$500, 2, FALSE), "")</f>
        <v/>
      </c>
      <c r="C368" s="117" t="str">
        <f>IF(A368&lt;&gt;"", VLOOKUP(A368, node!$C$2:$E$500, 3, FALSE), "")</f>
        <v/>
      </c>
      <c r="D368" s="118" t="str">
        <f>IF(A368&lt;&gt;"",COUNTIFS(node!$C$2:$C$500,"="&amp;A368, node!$C$2:$C$500,"&lt;&gt;"&amp;""),"")</f>
        <v/>
      </c>
      <c r="E368" s="122" t="str">
        <f>IF(A368&lt;&gt;"",SUMIFS(node!$F$2:$F$500, node!$C$2:$C$500,"="&amp;A368, node!$C$2:$C$500,"&lt;&gt;"&amp;"")/(B368*D368),"")</f>
        <v/>
      </c>
      <c r="F368" s="124" t="str">
        <f>IF(A368&lt;&gt;"",SUMIFS(node!$H$2:$H$500, node!$C$2:$C$500,"="&amp;A368, node!$C$2:$C$500,"&lt;&gt;"&amp;"")/(C368*D368),"")</f>
        <v/>
      </c>
      <c r="G368" s="93" t="str">
        <f>IF(A368&lt;&gt;"",SUMIFS(deployment!$F$4:$F$502, deployment!$D$4:$D$502,"="&amp;A368, deployment!$D$4:$D$502,"&lt;&gt;"&amp;""),"")</f>
        <v/>
      </c>
      <c r="H368" s="94" t="str">
        <f>IF(A368&lt;&gt;"",SUMIFS(deployment!$G$4:$G$502, deployment!$D$4:$D$502,"="&amp;A368, deployment!$D$4:$D$502,"&lt;&gt;"&amp;""),"")</f>
        <v/>
      </c>
      <c r="I368" s="95" t="str">
        <f>IF(A368&lt;&gt;"",SUMIFS(deployment!$H$4:$H$502, deployment!$D$4:$D$502,"="&amp;A368, deployment!$D$4:$D$502,"&lt;&gt;"&amp;""),"")</f>
        <v/>
      </c>
      <c r="J368" s="96" t="str">
        <f>IF(A368&lt;&gt;"",SUMIFS(deployment!$I$4:$I$502, deployment!$D$4:$D$502,"="&amp;A368, deployment!$D$4:$D$502,"&lt;&gt;"&amp;""),"")</f>
        <v/>
      </c>
      <c r="K368" s="112" t="str">
        <f>IF(A368&lt;&gt;"",SUMIFS(deployment!$J$4:$J$502, deployment!$D$4:$D$502,"="&amp;A368, deployment!$D$4:$D$502,"&lt;&gt;"&amp;""),"")</f>
        <v/>
      </c>
      <c r="L368" s="112" t="str">
        <f>IF(A368&lt;&gt;"",SUMIFS(deployment!$K$4:$K$502, deployment!$D$4:$D$502,"="&amp;A368, deployment!$D$4:$D$502,"&lt;&gt;"&amp;""),"")</f>
        <v/>
      </c>
      <c r="M368" s="97" t="str">
        <f>IF(A368&lt;&gt;"",SUMIFS(deployment!$L$4:$L$502, deployment!$D$4:$D$502,"="&amp;A368, deployment!$D$4:$D$502,"&lt;&gt;"&amp;""),"")</f>
        <v/>
      </c>
      <c r="N368" s="97" t="str">
        <f>IF(A368&lt;&gt;"",SUMIFS(deployment!$M$4:$M$502, deployment!$D$4:$D$502,"="&amp;A368, deployment!$D$4:$D$502,"&lt;&gt;"&amp;""),"")</f>
        <v/>
      </c>
      <c r="O368" s="127" t="str">
        <f t="shared" si="71"/>
        <v/>
      </c>
      <c r="P368" s="104"/>
      <c r="Q368" s="99" t="str">
        <f t="shared" si="60"/>
        <v/>
      </c>
      <c r="R368" s="100" t="str">
        <f t="shared" si="61"/>
        <v/>
      </c>
      <c r="S368" s="100" t="str">
        <f t="shared" si="62"/>
        <v/>
      </c>
      <c r="T368" s="101" t="str">
        <f t="shared" si="63"/>
        <v/>
      </c>
      <c r="U368" s="101" t="str">
        <f t="shared" si="64"/>
        <v/>
      </c>
      <c r="V368" s="128" t="str">
        <f t="shared" si="65"/>
        <v/>
      </c>
      <c r="W368" s="128" t="str">
        <f t="shared" si="66"/>
        <v/>
      </c>
      <c r="X368" s="101" t="str">
        <f t="shared" si="67"/>
        <v/>
      </c>
      <c r="Y368" s="101" t="str">
        <f t="shared" si="68"/>
        <v/>
      </c>
      <c r="Z368" s="102" t="str">
        <f t="shared" si="69"/>
        <v/>
      </c>
      <c r="AA368" s="103" t="str">
        <f t="shared" si="70"/>
        <v/>
      </c>
      <c r="AB368" s="142" t="str">
        <f>IF(A368&lt;&gt;"", SUMIFS(node!$J$2:$J$500, node!$C$2:$C$500,"="&amp;A368)/P368, "")</f>
        <v/>
      </c>
      <c r="AC368" s="134" t="str">
        <f>IF(A368&lt;&gt;"", SUMIFS(node!$K$2:$K$500, node!$C$2:$C$500,"="&amp;A368)/P368, "")</f>
        <v/>
      </c>
      <c r="AD368" s="135" t="str">
        <f>IF(A368&lt;&gt;"", SUMIFS(node!$L$2:$L$500, node!$C$2:$C$500,"="&amp;A368), "")</f>
        <v/>
      </c>
      <c r="AE368" s="145" t="str">
        <f>IF(A368&lt;&gt;"", SUMIFS(node!$M$2:$M$500, node!$C$2:$C$500,"="&amp;A368), "")</f>
        <v/>
      </c>
    </row>
    <row r="369" spans="1:31" ht="15.75" customHeight="1" x14ac:dyDescent="0.25">
      <c r="A369" s="119" t="str">
        <f>IF(ISNONTEXT(node_raw[[#This Row],[Column2]]), "", node_raw[[#This Row],[Column2]])</f>
        <v/>
      </c>
      <c r="B369" s="116" t="str">
        <f>IF(A369&lt;&gt;"", VLOOKUP(A369, node!$C$2:$D$500, 2, FALSE), "")</f>
        <v/>
      </c>
      <c r="C369" s="117" t="str">
        <f>IF(A369&lt;&gt;"", VLOOKUP(A369, node!$C$2:$E$500, 3, FALSE), "")</f>
        <v/>
      </c>
      <c r="D369" s="118" t="str">
        <f>IF(A369&lt;&gt;"",COUNTIFS(node!$C$2:$C$500,"="&amp;A369, node!$C$2:$C$500,"&lt;&gt;"&amp;""),"")</f>
        <v/>
      </c>
      <c r="E369" s="122" t="str">
        <f>IF(A369&lt;&gt;"",SUMIFS(node!$F$2:$F$500, node!$C$2:$C$500,"="&amp;A369, node!$C$2:$C$500,"&lt;&gt;"&amp;"")/(B369*D369),"")</f>
        <v/>
      </c>
      <c r="F369" s="124" t="str">
        <f>IF(A369&lt;&gt;"",SUMIFS(node!$H$2:$H$500, node!$C$2:$C$500,"="&amp;A369, node!$C$2:$C$500,"&lt;&gt;"&amp;"")/(C369*D369),"")</f>
        <v/>
      </c>
      <c r="G369" s="93" t="str">
        <f>IF(A369&lt;&gt;"",SUMIFS(deployment!$F$4:$F$502, deployment!$D$4:$D$502,"="&amp;A369, deployment!$D$4:$D$502,"&lt;&gt;"&amp;""),"")</f>
        <v/>
      </c>
      <c r="H369" s="94" t="str">
        <f>IF(A369&lt;&gt;"",SUMIFS(deployment!$G$4:$G$502, deployment!$D$4:$D$502,"="&amp;A369, deployment!$D$4:$D$502,"&lt;&gt;"&amp;""),"")</f>
        <v/>
      </c>
      <c r="I369" s="95" t="str">
        <f>IF(A369&lt;&gt;"",SUMIFS(deployment!$H$4:$H$502, deployment!$D$4:$D$502,"="&amp;A369, deployment!$D$4:$D$502,"&lt;&gt;"&amp;""),"")</f>
        <v/>
      </c>
      <c r="J369" s="96" t="str">
        <f>IF(A369&lt;&gt;"",SUMIFS(deployment!$I$4:$I$502, deployment!$D$4:$D$502,"="&amp;A369, deployment!$D$4:$D$502,"&lt;&gt;"&amp;""),"")</f>
        <v/>
      </c>
      <c r="K369" s="112" t="str">
        <f>IF(A369&lt;&gt;"",SUMIFS(deployment!$J$4:$J$502, deployment!$D$4:$D$502,"="&amp;A369, deployment!$D$4:$D$502,"&lt;&gt;"&amp;""),"")</f>
        <v/>
      </c>
      <c r="L369" s="112" t="str">
        <f>IF(A369&lt;&gt;"",SUMIFS(deployment!$K$4:$K$502, deployment!$D$4:$D$502,"="&amp;A369, deployment!$D$4:$D$502,"&lt;&gt;"&amp;""),"")</f>
        <v/>
      </c>
      <c r="M369" s="97" t="str">
        <f>IF(A369&lt;&gt;"",SUMIFS(deployment!$L$4:$L$502, deployment!$D$4:$D$502,"="&amp;A369, deployment!$D$4:$D$502,"&lt;&gt;"&amp;""),"")</f>
        <v/>
      </c>
      <c r="N369" s="97" t="str">
        <f>IF(A369&lt;&gt;"",SUMIFS(deployment!$M$4:$M$502, deployment!$D$4:$D$502,"="&amp;A369, deployment!$D$4:$D$502,"&lt;&gt;"&amp;""),"")</f>
        <v/>
      </c>
      <c r="O369" s="127" t="str">
        <f t="shared" si="71"/>
        <v/>
      </c>
      <c r="P369" s="104"/>
      <c r="Q369" s="99" t="str">
        <f t="shared" si="60"/>
        <v/>
      </c>
      <c r="R369" s="100" t="str">
        <f t="shared" si="61"/>
        <v/>
      </c>
      <c r="S369" s="100" t="str">
        <f t="shared" si="62"/>
        <v/>
      </c>
      <c r="T369" s="101" t="str">
        <f t="shared" si="63"/>
        <v/>
      </c>
      <c r="U369" s="101" t="str">
        <f t="shared" si="64"/>
        <v/>
      </c>
      <c r="V369" s="128" t="str">
        <f t="shared" si="65"/>
        <v/>
      </c>
      <c r="W369" s="128" t="str">
        <f t="shared" si="66"/>
        <v/>
      </c>
      <c r="X369" s="101" t="str">
        <f t="shared" si="67"/>
        <v/>
      </c>
      <c r="Y369" s="101" t="str">
        <f t="shared" si="68"/>
        <v/>
      </c>
      <c r="Z369" s="102" t="str">
        <f t="shared" si="69"/>
        <v/>
      </c>
      <c r="AA369" s="103" t="str">
        <f t="shared" si="70"/>
        <v/>
      </c>
      <c r="AB369" s="142" t="str">
        <f>IF(A369&lt;&gt;"", SUMIFS(node!$J$2:$J$500, node!$C$2:$C$500,"="&amp;A369)/P369, "")</f>
        <v/>
      </c>
      <c r="AC369" s="134" t="str">
        <f>IF(A369&lt;&gt;"", SUMIFS(node!$K$2:$K$500, node!$C$2:$C$500,"="&amp;A369)/P369, "")</f>
        <v/>
      </c>
      <c r="AD369" s="135" t="str">
        <f>IF(A369&lt;&gt;"", SUMIFS(node!$L$2:$L$500, node!$C$2:$C$500,"="&amp;A369), "")</f>
        <v/>
      </c>
      <c r="AE369" s="145" t="str">
        <f>IF(A369&lt;&gt;"", SUMIFS(node!$M$2:$M$500, node!$C$2:$C$500,"="&amp;A369), "")</f>
        <v/>
      </c>
    </row>
    <row r="370" spans="1:31" ht="15.75" customHeight="1" x14ac:dyDescent="0.25">
      <c r="A370" s="119" t="str">
        <f>IF(ISNONTEXT(node_raw[[#This Row],[Column2]]), "", node_raw[[#This Row],[Column2]])</f>
        <v/>
      </c>
      <c r="B370" s="116" t="str">
        <f>IF(A370&lt;&gt;"", VLOOKUP(A370, node!$C$2:$D$500, 2, FALSE), "")</f>
        <v/>
      </c>
      <c r="C370" s="117" t="str">
        <f>IF(A370&lt;&gt;"", VLOOKUP(A370, node!$C$2:$E$500, 3, FALSE), "")</f>
        <v/>
      </c>
      <c r="D370" s="118" t="str">
        <f>IF(A370&lt;&gt;"",COUNTIFS(node!$C$2:$C$500,"="&amp;A370, node!$C$2:$C$500,"&lt;&gt;"&amp;""),"")</f>
        <v/>
      </c>
      <c r="E370" s="122" t="str">
        <f>IF(A370&lt;&gt;"",SUMIFS(node!$F$2:$F$500, node!$C$2:$C$500,"="&amp;A370, node!$C$2:$C$500,"&lt;&gt;"&amp;"")/(B370*D370),"")</f>
        <v/>
      </c>
      <c r="F370" s="124" t="str">
        <f>IF(A370&lt;&gt;"",SUMIFS(node!$H$2:$H$500, node!$C$2:$C$500,"="&amp;A370, node!$C$2:$C$500,"&lt;&gt;"&amp;"")/(C370*D370),"")</f>
        <v/>
      </c>
      <c r="G370" s="93" t="str">
        <f>IF(A370&lt;&gt;"",SUMIFS(deployment!$F$4:$F$502, deployment!$D$4:$D$502,"="&amp;A370, deployment!$D$4:$D$502,"&lt;&gt;"&amp;""),"")</f>
        <v/>
      </c>
      <c r="H370" s="94" t="str">
        <f>IF(A370&lt;&gt;"",SUMIFS(deployment!$G$4:$G$502, deployment!$D$4:$D$502,"="&amp;A370, deployment!$D$4:$D$502,"&lt;&gt;"&amp;""),"")</f>
        <v/>
      </c>
      <c r="I370" s="95" t="str">
        <f>IF(A370&lt;&gt;"",SUMIFS(deployment!$H$4:$H$502, deployment!$D$4:$D$502,"="&amp;A370, deployment!$D$4:$D$502,"&lt;&gt;"&amp;""),"")</f>
        <v/>
      </c>
      <c r="J370" s="96" t="str">
        <f>IF(A370&lt;&gt;"",SUMIFS(deployment!$I$4:$I$502, deployment!$D$4:$D$502,"="&amp;A370, deployment!$D$4:$D$502,"&lt;&gt;"&amp;""),"")</f>
        <v/>
      </c>
      <c r="K370" s="112" t="str">
        <f>IF(A370&lt;&gt;"",SUMIFS(deployment!$J$4:$J$502, deployment!$D$4:$D$502,"="&amp;A370, deployment!$D$4:$D$502,"&lt;&gt;"&amp;""),"")</f>
        <v/>
      </c>
      <c r="L370" s="112" t="str">
        <f>IF(A370&lt;&gt;"",SUMIFS(deployment!$K$4:$K$502, deployment!$D$4:$D$502,"="&amp;A370, deployment!$D$4:$D$502,"&lt;&gt;"&amp;""),"")</f>
        <v/>
      </c>
      <c r="M370" s="97" t="str">
        <f>IF(A370&lt;&gt;"",SUMIFS(deployment!$L$4:$L$502, deployment!$D$4:$D$502,"="&amp;A370, deployment!$D$4:$D$502,"&lt;&gt;"&amp;""),"")</f>
        <v/>
      </c>
      <c r="N370" s="97" t="str">
        <f>IF(A370&lt;&gt;"",SUMIFS(deployment!$M$4:$M$502, deployment!$D$4:$D$502,"="&amp;A370, deployment!$D$4:$D$502,"&lt;&gt;"&amp;""),"")</f>
        <v/>
      </c>
      <c r="O370" s="127" t="str">
        <f t="shared" si="71"/>
        <v/>
      </c>
      <c r="P370" s="104"/>
      <c r="Q370" s="99" t="str">
        <f t="shared" si="60"/>
        <v/>
      </c>
      <c r="R370" s="100" t="str">
        <f t="shared" si="61"/>
        <v/>
      </c>
      <c r="S370" s="100" t="str">
        <f t="shared" si="62"/>
        <v/>
      </c>
      <c r="T370" s="101" t="str">
        <f t="shared" si="63"/>
        <v/>
      </c>
      <c r="U370" s="101" t="str">
        <f t="shared" si="64"/>
        <v/>
      </c>
      <c r="V370" s="128" t="str">
        <f t="shared" si="65"/>
        <v/>
      </c>
      <c r="W370" s="128" t="str">
        <f t="shared" si="66"/>
        <v/>
      </c>
      <c r="X370" s="101" t="str">
        <f t="shared" si="67"/>
        <v/>
      </c>
      <c r="Y370" s="101" t="str">
        <f t="shared" si="68"/>
        <v/>
      </c>
      <c r="Z370" s="102" t="str">
        <f t="shared" si="69"/>
        <v/>
      </c>
      <c r="AA370" s="103" t="str">
        <f t="shared" si="70"/>
        <v/>
      </c>
      <c r="AB370" s="142" t="str">
        <f>IF(A370&lt;&gt;"", SUMIFS(node!$J$2:$J$500, node!$C$2:$C$500,"="&amp;A370)/P370, "")</f>
        <v/>
      </c>
      <c r="AC370" s="134" t="str">
        <f>IF(A370&lt;&gt;"", SUMIFS(node!$K$2:$K$500, node!$C$2:$C$500,"="&amp;A370)/P370, "")</f>
        <v/>
      </c>
      <c r="AD370" s="135" t="str">
        <f>IF(A370&lt;&gt;"", SUMIFS(node!$L$2:$L$500, node!$C$2:$C$500,"="&amp;A370), "")</f>
        <v/>
      </c>
      <c r="AE370" s="145" t="str">
        <f>IF(A370&lt;&gt;"", SUMIFS(node!$M$2:$M$500, node!$C$2:$C$500,"="&amp;A370), "")</f>
        <v/>
      </c>
    </row>
    <row r="371" spans="1:31" ht="15.75" customHeight="1" x14ac:dyDescent="0.25">
      <c r="A371" s="119" t="str">
        <f>IF(ISNONTEXT(node_raw[[#This Row],[Column2]]), "", node_raw[[#This Row],[Column2]])</f>
        <v/>
      </c>
      <c r="B371" s="116" t="str">
        <f>IF(A371&lt;&gt;"", VLOOKUP(A371, node!$C$2:$D$500, 2, FALSE), "")</f>
        <v/>
      </c>
      <c r="C371" s="117" t="str">
        <f>IF(A371&lt;&gt;"", VLOOKUP(A371, node!$C$2:$E$500, 3, FALSE), "")</f>
        <v/>
      </c>
      <c r="D371" s="118" t="str">
        <f>IF(A371&lt;&gt;"",COUNTIFS(node!$C$2:$C$500,"="&amp;A371, node!$C$2:$C$500,"&lt;&gt;"&amp;""),"")</f>
        <v/>
      </c>
      <c r="E371" s="122" t="str">
        <f>IF(A371&lt;&gt;"",SUMIFS(node!$F$2:$F$500, node!$C$2:$C$500,"="&amp;A371, node!$C$2:$C$500,"&lt;&gt;"&amp;"")/(B371*D371),"")</f>
        <v/>
      </c>
      <c r="F371" s="124" t="str">
        <f>IF(A371&lt;&gt;"",SUMIFS(node!$H$2:$H$500, node!$C$2:$C$500,"="&amp;A371, node!$C$2:$C$500,"&lt;&gt;"&amp;"")/(C371*D371),"")</f>
        <v/>
      </c>
      <c r="G371" s="93" t="str">
        <f>IF(A371&lt;&gt;"",SUMIFS(deployment!$F$4:$F$502, deployment!$D$4:$D$502,"="&amp;A371, deployment!$D$4:$D$502,"&lt;&gt;"&amp;""),"")</f>
        <v/>
      </c>
      <c r="H371" s="94" t="str">
        <f>IF(A371&lt;&gt;"",SUMIFS(deployment!$G$4:$G$502, deployment!$D$4:$D$502,"="&amp;A371, deployment!$D$4:$D$502,"&lt;&gt;"&amp;""),"")</f>
        <v/>
      </c>
      <c r="I371" s="95" t="str">
        <f>IF(A371&lt;&gt;"",SUMIFS(deployment!$H$4:$H$502, deployment!$D$4:$D$502,"="&amp;A371, deployment!$D$4:$D$502,"&lt;&gt;"&amp;""),"")</f>
        <v/>
      </c>
      <c r="J371" s="96" t="str">
        <f>IF(A371&lt;&gt;"",SUMIFS(deployment!$I$4:$I$502, deployment!$D$4:$D$502,"="&amp;A371, deployment!$D$4:$D$502,"&lt;&gt;"&amp;""),"")</f>
        <v/>
      </c>
      <c r="K371" s="112" t="str">
        <f>IF(A371&lt;&gt;"",SUMIFS(deployment!$J$4:$J$502, deployment!$D$4:$D$502,"="&amp;A371, deployment!$D$4:$D$502,"&lt;&gt;"&amp;""),"")</f>
        <v/>
      </c>
      <c r="L371" s="112" t="str">
        <f>IF(A371&lt;&gt;"",SUMIFS(deployment!$K$4:$K$502, deployment!$D$4:$D$502,"="&amp;A371, deployment!$D$4:$D$502,"&lt;&gt;"&amp;""),"")</f>
        <v/>
      </c>
      <c r="M371" s="97" t="str">
        <f>IF(A371&lt;&gt;"",SUMIFS(deployment!$L$4:$L$502, deployment!$D$4:$D$502,"="&amp;A371, deployment!$D$4:$D$502,"&lt;&gt;"&amp;""),"")</f>
        <v/>
      </c>
      <c r="N371" s="97" t="str">
        <f>IF(A371&lt;&gt;"",SUMIFS(deployment!$M$4:$M$502, deployment!$D$4:$D$502,"="&amp;A371, deployment!$D$4:$D$502,"&lt;&gt;"&amp;""),"")</f>
        <v/>
      </c>
      <c r="O371" s="127" t="str">
        <f t="shared" si="71"/>
        <v/>
      </c>
      <c r="P371" s="104"/>
      <c r="Q371" s="99" t="str">
        <f t="shared" si="60"/>
        <v/>
      </c>
      <c r="R371" s="100" t="str">
        <f t="shared" si="61"/>
        <v/>
      </c>
      <c r="S371" s="100" t="str">
        <f t="shared" si="62"/>
        <v/>
      </c>
      <c r="T371" s="101" t="str">
        <f t="shared" si="63"/>
        <v/>
      </c>
      <c r="U371" s="101" t="str">
        <f t="shared" si="64"/>
        <v/>
      </c>
      <c r="V371" s="128" t="str">
        <f t="shared" si="65"/>
        <v/>
      </c>
      <c r="W371" s="128" t="str">
        <f t="shared" si="66"/>
        <v/>
      </c>
      <c r="X371" s="101" t="str">
        <f t="shared" si="67"/>
        <v/>
      </c>
      <c r="Y371" s="101" t="str">
        <f t="shared" si="68"/>
        <v/>
      </c>
      <c r="Z371" s="102" t="str">
        <f t="shared" si="69"/>
        <v/>
      </c>
      <c r="AA371" s="103" t="str">
        <f t="shared" si="70"/>
        <v/>
      </c>
      <c r="AB371" s="142" t="str">
        <f>IF(A371&lt;&gt;"", SUMIFS(node!$J$2:$J$500, node!$C$2:$C$500,"="&amp;A371)/P371, "")</f>
        <v/>
      </c>
      <c r="AC371" s="134" t="str">
        <f>IF(A371&lt;&gt;"", SUMIFS(node!$K$2:$K$500, node!$C$2:$C$500,"="&amp;A371)/P371, "")</f>
        <v/>
      </c>
      <c r="AD371" s="135" t="str">
        <f>IF(A371&lt;&gt;"", SUMIFS(node!$L$2:$L$500, node!$C$2:$C$500,"="&amp;A371), "")</f>
        <v/>
      </c>
      <c r="AE371" s="145" t="str">
        <f>IF(A371&lt;&gt;"", SUMIFS(node!$M$2:$M$500, node!$C$2:$C$500,"="&amp;A371), "")</f>
        <v/>
      </c>
    </row>
    <row r="372" spans="1:31" ht="15.75" customHeight="1" x14ac:dyDescent="0.25">
      <c r="A372" s="119" t="str">
        <f>IF(ISNONTEXT(node_raw[[#This Row],[Column2]]), "", node_raw[[#This Row],[Column2]])</f>
        <v/>
      </c>
      <c r="B372" s="116" t="str">
        <f>IF(A372&lt;&gt;"", VLOOKUP(A372, node!$C$2:$D$500, 2, FALSE), "")</f>
        <v/>
      </c>
      <c r="C372" s="117" t="str">
        <f>IF(A372&lt;&gt;"", VLOOKUP(A372, node!$C$2:$E$500, 3, FALSE), "")</f>
        <v/>
      </c>
      <c r="D372" s="118" t="str">
        <f>IF(A372&lt;&gt;"",COUNTIFS(node!$C$2:$C$500,"="&amp;A372, node!$C$2:$C$500,"&lt;&gt;"&amp;""),"")</f>
        <v/>
      </c>
      <c r="E372" s="122" t="str">
        <f>IF(A372&lt;&gt;"",SUMIFS(node!$F$2:$F$500, node!$C$2:$C$500,"="&amp;A372, node!$C$2:$C$500,"&lt;&gt;"&amp;"")/(B372*D372),"")</f>
        <v/>
      </c>
      <c r="F372" s="124" t="str">
        <f>IF(A372&lt;&gt;"",SUMIFS(node!$H$2:$H$500, node!$C$2:$C$500,"="&amp;A372, node!$C$2:$C$500,"&lt;&gt;"&amp;"")/(C372*D372),"")</f>
        <v/>
      </c>
      <c r="G372" s="93" t="str">
        <f>IF(A372&lt;&gt;"",SUMIFS(deployment!$F$4:$F$502, deployment!$D$4:$D$502,"="&amp;A372, deployment!$D$4:$D$502,"&lt;&gt;"&amp;""),"")</f>
        <v/>
      </c>
      <c r="H372" s="94" t="str">
        <f>IF(A372&lt;&gt;"",SUMIFS(deployment!$G$4:$G$502, deployment!$D$4:$D$502,"="&amp;A372, deployment!$D$4:$D$502,"&lt;&gt;"&amp;""),"")</f>
        <v/>
      </c>
      <c r="I372" s="95" t="str">
        <f>IF(A372&lt;&gt;"",SUMIFS(deployment!$H$4:$H$502, deployment!$D$4:$D$502,"="&amp;A372, deployment!$D$4:$D$502,"&lt;&gt;"&amp;""),"")</f>
        <v/>
      </c>
      <c r="J372" s="96" t="str">
        <f>IF(A372&lt;&gt;"",SUMIFS(deployment!$I$4:$I$502, deployment!$D$4:$D$502,"="&amp;A372, deployment!$D$4:$D$502,"&lt;&gt;"&amp;""),"")</f>
        <v/>
      </c>
      <c r="K372" s="112" t="str">
        <f>IF(A372&lt;&gt;"",SUMIFS(deployment!$J$4:$J$502, deployment!$D$4:$D$502,"="&amp;A372, deployment!$D$4:$D$502,"&lt;&gt;"&amp;""),"")</f>
        <v/>
      </c>
      <c r="L372" s="112" t="str">
        <f>IF(A372&lt;&gt;"",SUMIFS(deployment!$K$4:$K$502, deployment!$D$4:$D$502,"="&amp;A372, deployment!$D$4:$D$502,"&lt;&gt;"&amp;""),"")</f>
        <v/>
      </c>
      <c r="M372" s="97" t="str">
        <f>IF(A372&lt;&gt;"",SUMIFS(deployment!$L$4:$L$502, deployment!$D$4:$D$502,"="&amp;A372, deployment!$D$4:$D$502,"&lt;&gt;"&amp;""),"")</f>
        <v/>
      </c>
      <c r="N372" s="97" t="str">
        <f>IF(A372&lt;&gt;"",SUMIFS(deployment!$M$4:$M$502, deployment!$D$4:$D$502,"="&amp;A372, deployment!$D$4:$D$502,"&lt;&gt;"&amp;""),"")</f>
        <v/>
      </c>
      <c r="O372" s="127" t="str">
        <f t="shared" si="71"/>
        <v/>
      </c>
      <c r="P372" s="104"/>
      <c r="Q372" s="99" t="str">
        <f t="shared" si="60"/>
        <v/>
      </c>
      <c r="R372" s="100" t="str">
        <f t="shared" si="61"/>
        <v/>
      </c>
      <c r="S372" s="100" t="str">
        <f t="shared" si="62"/>
        <v/>
      </c>
      <c r="T372" s="101" t="str">
        <f t="shared" si="63"/>
        <v/>
      </c>
      <c r="U372" s="101" t="str">
        <f t="shared" si="64"/>
        <v/>
      </c>
      <c r="V372" s="128" t="str">
        <f t="shared" si="65"/>
        <v/>
      </c>
      <c r="W372" s="128" t="str">
        <f t="shared" si="66"/>
        <v/>
      </c>
      <c r="X372" s="101" t="str">
        <f t="shared" si="67"/>
        <v/>
      </c>
      <c r="Y372" s="101" t="str">
        <f t="shared" si="68"/>
        <v/>
      </c>
      <c r="Z372" s="102" t="str">
        <f t="shared" si="69"/>
        <v/>
      </c>
      <c r="AA372" s="103" t="str">
        <f t="shared" si="70"/>
        <v/>
      </c>
      <c r="AB372" s="142" t="str">
        <f>IF(A372&lt;&gt;"", SUMIFS(node!$J$2:$J$500, node!$C$2:$C$500,"="&amp;A372)/P372, "")</f>
        <v/>
      </c>
      <c r="AC372" s="134" t="str">
        <f>IF(A372&lt;&gt;"", SUMIFS(node!$K$2:$K$500, node!$C$2:$C$500,"="&amp;A372)/P372, "")</f>
        <v/>
      </c>
      <c r="AD372" s="135" t="str">
        <f>IF(A372&lt;&gt;"", SUMIFS(node!$L$2:$L$500, node!$C$2:$C$500,"="&amp;A372), "")</f>
        <v/>
      </c>
      <c r="AE372" s="145" t="str">
        <f>IF(A372&lt;&gt;"", SUMIFS(node!$M$2:$M$500, node!$C$2:$C$500,"="&amp;A372), "")</f>
        <v/>
      </c>
    </row>
    <row r="373" spans="1:31" ht="15.75" customHeight="1" x14ac:dyDescent="0.25">
      <c r="A373" s="119" t="str">
        <f>IF(ISNONTEXT(node_raw[[#This Row],[Column2]]), "", node_raw[[#This Row],[Column2]])</f>
        <v/>
      </c>
      <c r="B373" s="116" t="str">
        <f>IF(A373&lt;&gt;"", VLOOKUP(A373, node!$C$2:$D$500, 2, FALSE), "")</f>
        <v/>
      </c>
      <c r="C373" s="117" t="str">
        <f>IF(A373&lt;&gt;"", VLOOKUP(A373, node!$C$2:$E$500, 3, FALSE), "")</f>
        <v/>
      </c>
      <c r="D373" s="118" t="str">
        <f>IF(A373&lt;&gt;"",COUNTIFS(node!$C$2:$C$500,"="&amp;A373, node!$C$2:$C$500,"&lt;&gt;"&amp;""),"")</f>
        <v/>
      </c>
      <c r="E373" s="122" t="str">
        <f>IF(A373&lt;&gt;"",SUMIFS(node!$F$2:$F$500, node!$C$2:$C$500,"="&amp;A373, node!$C$2:$C$500,"&lt;&gt;"&amp;"")/(B373*D373),"")</f>
        <v/>
      </c>
      <c r="F373" s="124" t="str">
        <f>IF(A373&lt;&gt;"",SUMIFS(node!$H$2:$H$500, node!$C$2:$C$500,"="&amp;A373, node!$C$2:$C$500,"&lt;&gt;"&amp;"")/(C373*D373),"")</f>
        <v/>
      </c>
      <c r="G373" s="93" t="str">
        <f>IF(A373&lt;&gt;"",SUMIFS(deployment!$F$4:$F$502, deployment!$D$4:$D$502,"="&amp;A373, deployment!$D$4:$D$502,"&lt;&gt;"&amp;""),"")</f>
        <v/>
      </c>
      <c r="H373" s="94" t="str">
        <f>IF(A373&lt;&gt;"",SUMIFS(deployment!$G$4:$G$502, deployment!$D$4:$D$502,"="&amp;A373, deployment!$D$4:$D$502,"&lt;&gt;"&amp;""),"")</f>
        <v/>
      </c>
      <c r="I373" s="95" t="str">
        <f>IF(A373&lt;&gt;"",SUMIFS(deployment!$H$4:$H$502, deployment!$D$4:$D$502,"="&amp;A373, deployment!$D$4:$D$502,"&lt;&gt;"&amp;""),"")</f>
        <v/>
      </c>
      <c r="J373" s="96" t="str">
        <f>IF(A373&lt;&gt;"",SUMIFS(deployment!$I$4:$I$502, deployment!$D$4:$D$502,"="&amp;A373, deployment!$D$4:$D$502,"&lt;&gt;"&amp;""),"")</f>
        <v/>
      </c>
      <c r="K373" s="112" t="str">
        <f>IF(A373&lt;&gt;"",SUMIFS(deployment!$J$4:$J$502, deployment!$D$4:$D$502,"="&amp;A373, deployment!$D$4:$D$502,"&lt;&gt;"&amp;""),"")</f>
        <v/>
      </c>
      <c r="L373" s="112" t="str">
        <f>IF(A373&lt;&gt;"",SUMIFS(deployment!$K$4:$K$502, deployment!$D$4:$D$502,"="&amp;A373, deployment!$D$4:$D$502,"&lt;&gt;"&amp;""),"")</f>
        <v/>
      </c>
      <c r="M373" s="97" t="str">
        <f>IF(A373&lt;&gt;"",SUMIFS(deployment!$L$4:$L$502, deployment!$D$4:$D$502,"="&amp;A373, deployment!$D$4:$D$502,"&lt;&gt;"&amp;""),"")</f>
        <v/>
      </c>
      <c r="N373" s="97" t="str">
        <f>IF(A373&lt;&gt;"",SUMIFS(deployment!$M$4:$M$502, deployment!$D$4:$D$502,"="&amp;A373, deployment!$D$4:$D$502,"&lt;&gt;"&amp;""),"")</f>
        <v/>
      </c>
      <c r="O373" s="127" t="str">
        <f t="shared" si="71"/>
        <v/>
      </c>
      <c r="P373" s="104"/>
      <c r="Q373" s="99" t="str">
        <f t="shared" si="60"/>
        <v/>
      </c>
      <c r="R373" s="100" t="str">
        <f t="shared" si="61"/>
        <v/>
      </c>
      <c r="S373" s="100" t="str">
        <f t="shared" si="62"/>
        <v/>
      </c>
      <c r="T373" s="101" t="str">
        <f t="shared" si="63"/>
        <v/>
      </c>
      <c r="U373" s="101" t="str">
        <f t="shared" si="64"/>
        <v/>
      </c>
      <c r="V373" s="128" t="str">
        <f t="shared" si="65"/>
        <v/>
      </c>
      <c r="W373" s="128" t="str">
        <f t="shared" si="66"/>
        <v/>
      </c>
      <c r="X373" s="101" t="str">
        <f t="shared" si="67"/>
        <v/>
      </c>
      <c r="Y373" s="101" t="str">
        <f t="shared" si="68"/>
        <v/>
      </c>
      <c r="Z373" s="102" t="str">
        <f t="shared" si="69"/>
        <v/>
      </c>
      <c r="AA373" s="103" t="str">
        <f t="shared" si="70"/>
        <v/>
      </c>
      <c r="AB373" s="142" t="str">
        <f>IF(A373&lt;&gt;"", SUMIFS(node!$J$2:$J$500, node!$C$2:$C$500,"="&amp;A373)/P373, "")</f>
        <v/>
      </c>
      <c r="AC373" s="134" t="str">
        <f>IF(A373&lt;&gt;"", SUMIFS(node!$K$2:$K$500, node!$C$2:$C$500,"="&amp;A373)/P373, "")</f>
        <v/>
      </c>
      <c r="AD373" s="135" t="str">
        <f>IF(A373&lt;&gt;"", SUMIFS(node!$L$2:$L$500, node!$C$2:$C$500,"="&amp;A373), "")</f>
        <v/>
      </c>
      <c r="AE373" s="145" t="str">
        <f>IF(A373&lt;&gt;"", SUMIFS(node!$M$2:$M$500, node!$C$2:$C$500,"="&amp;A373), "")</f>
        <v/>
      </c>
    </row>
    <row r="374" spans="1:31" ht="15.75" customHeight="1" x14ac:dyDescent="0.25">
      <c r="A374" s="119" t="str">
        <f>IF(ISNONTEXT(node_raw[[#This Row],[Column2]]), "", node_raw[[#This Row],[Column2]])</f>
        <v/>
      </c>
      <c r="B374" s="116" t="str">
        <f>IF(A374&lt;&gt;"", VLOOKUP(A374, node!$C$2:$D$500, 2, FALSE), "")</f>
        <v/>
      </c>
      <c r="C374" s="117" t="str">
        <f>IF(A374&lt;&gt;"", VLOOKUP(A374, node!$C$2:$E$500, 3, FALSE), "")</f>
        <v/>
      </c>
      <c r="D374" s="118" t="str">
        <f>IF(A374&lt;&gt;"",COUNTIFS(node!$C$2:$C$500,"="&amp;A374, node!$C$2:$C$500,"&lt;&gt;"&amp;""),"")</f>
        <v/>
      </c>
      <c r="E374" s="122" t="str">
        <f>IF(A374&lt;&gt;"",SUMIFS(node!$F$2:$F$500, node!$C$2:$C$500,"="&amp;A374, node!$C$2:$C$500,"&lt;&gt;"&amp;"")/(B374*D374),"")</f>
        <v/>
      </c>
      <c r="F374" s="124" t="str">
        <f>IF(A374&lt;&gt;"",SUMIFS(node!$H$2:$H$500, node!$C$2:$C$500,"="&amp;A374, node!$C$2:$C$500,"&lt;&gt;"&amp;"")/(C374*D374),"")</f>
        <v/>
      </c>
      <c r="G374" s="93" t="str">
        <f>IF(A374&lt;&gt;"",SUMIFS(deployment!$F$4:$F$502, deployment!$D$4:$D$502,"="&amp;A374, deployment!$D$4:$D$502,"&lt;&gt;"&amp;""),"")</f>
        <v/>
      </c>
      <c r="H374" s="94" t="str">
        <f>IF(A374&lt;&gt;"",SUMIFS(deployment!$G$4:$G$502, deployment!$D$4:$D$502,"="&amp;A374, deployment!$D$4:$D$502,"&lt;&gt;"&amp;""),"")</f>
        <v/>
      </c>
      <c r="I374" s="95" t="str">
        <f>IF(A374&lt;&gt;"",SUMIFS(deployment!$H$4:$H$502, deployment!$D$4:$D$502,"="&amp;A374, deployment!$D$4:$D$502,"&lt;&gt;"&amp;""),"")</f>
        <v/>
      </c>
      <c r="J374" s="96" t="str">
        <f>IF(A374&lt;&gt;"",SUMIFS(deployment!$I$4:$I$502, deployment!$D$4:$D$502,"="&amp;A374, deployment!$D$4:$D$502,"&lt;&gt;"&amp;""),"")</f>
        <v/>
      </c>
      <c r="K374" s="112" t="str">
        <f>IF(A374&lt;&gt;"",SUMIFS(deployment!$J$4:$J$502, deployment!$D$4:$D$502,"="&amp;A374, deployment!$D$4:$D$502,"&lt;&gt;"&amp;""),"")</f>
        <v/>
      </c>
      <c r="L374" s="112" t="str">
        <f>IF(A374&lt;&gt;"",SUMIFS(deployment!$K$4:$K$502, deployment!$D$4:$D$502,"="&amp;A374, deployment!$D$4:$D$502,"&lt;&gt;"&amp;""),"")</f>
        <v/>
      </c>
      <c r="M374" s="97" t="str">
        <f>IF(A374&lt;&gt;"",SUMIFS(deployment!$L$4:$L$502, deployment!$D$4:$D$502,"="&amp;A374, deployment!$D$4:$D$502,"&lt;&gt;"&amp;""),"")</f>
        <v/>
      </c>
      <c r="N374" s="97" t="str">
        <f>IF(A374&lt;&gt;"",SUMIFS(deployment!$M$4:$M$502, deployment!$D$4:$D$502,"="&amp;A374, deployment!$D$4:$D$502,"&lt;&gt;"&amp;""),"")</f>
        <v/>
      </c>
      <c r="O374" s="127" t="str">
        <f t="shared" si="71"/>
        <v/>
      </c>
      <c r="P374" s="104"/>
      <c r="Q374" s="99" t="str">
        <f t="shared" si="60"/>
        <v/>
      </c>
      <c r="R374" s="100" t="str">
        <f t="shared" si="61"/>
        <v/>
      </c>
      <c r="S374" s="100" t="str">
        <f t="shared" si="62"/>
        <v/>
      </c>
      <c r="T374" s="101" t="str">
        <f t="shared" si="63"/>
        <v/>
      </c>
      <c r="U374" s="101" t="str">
        <f t="shared" si="64"/>
        <v/>
      </c>
      <c r="V374" s="128" t="str">
        <f t="shared" si="65"/>
        <v/>
      </c>
      <c r="W374" s="128" t="str">
        <f t="shared" si="66"/>
        <v/>
      </c>
      <c r="X374" s="101" t="str">
        <f t="shared" si="67"/>
        <v/>
      </c>
      <c r="Y374" s="101" t="str">
        <f t="shared" si="68"/>
        <v/>
      </c>
      <c r="Z374" s="102" t="str">
        <f t="shared" si="69"/>
        <v/>
      </c>
      <c r="AA374" s="103" t="str">
        <f t="shared" si="70"/>
        <v/>
      </c>
      <c r="AB374" s="142" t="str">
        <f>IF(A374&lt;&gt;"", SUMIFS(node!$J$2:$J$500, node!$C$2:$C$500,"="&amp;A374)/P374, "")</f>
        <v/>
      </c>
      <c r="AC374" s="134" t="str">
        <f>IF(A374&lt;&gt;"", SUMIFS(node!$K$2:$K$500, node!$C$2:$C$500,"="&amp;A374)/P374, "")</f>
        <v/>
      </c>
      <c r="AD374" s="135" t="str">
        <f>IF(A374&lt;&gt;"", SUMIFS(node!$L$2:$L$500, node!$C$2:$C$500,"="&amp;A374), "")</f>
        <v/>
      </c>
      <c r="AE374" s="145" t="str">
        <f>IF(A374&lt;&gt;"", SUMIFS(node!$M$2:$M$500, node!$C$2:$C$500,"="&amp;A374), "")</f>
        <v/>
      </c>
    </row>
    <row r="375" spans="1:31" ht="15.75" customHeight="1" x14ac:dyDescent="0.25">
      <c r="A375" s="119" t="str">
        <f>IF(ISNONTEXT(node_raw[[#This Row],[Column2]]), "", node_raw[[#This Row],[Column2]])</f>
        <v/>
      </c>
      <c r="B375" s="116" t="str">
        <f>IF(A375&lt;&gt;"", VLOOKUP(A375, node!$C$2:$D$500, 2, FALSE), "")</f>
        <v/>
      </c>
      <c r="C375" s="117" t="str">
        <f>IF(A375&lt;&gt;"", VLOOKUP(A375, node!$C$2:$E$500, 3, FALSE), "")</f>
        <v/>
      </c>
      <c r="D375" s="118" t="str">
        <f>IF(A375&lt;&gt;"",COUNTIFS(node!$C$2:$C$500,"="&amp;A375, node!$C$2:$C$500,"&lt;&gt;"&amp;""),"")</f>
        <v/>
      </c>
      <c r="E375" s="122" t="str">
        <f>IF(A375&lt;&gt;"",SUMIFS(node!$F$2:$F$500, node!$C$2:$C$500,"="&amp;A375, node!$C$2:$C$500,"&lt;&gt;"&amp;"")/(B375*D375),"")</f>
        <v/>
      </c>
      <c r="F375" s="124" t="str">
        <f>IF(A375&lt;&gt;"",SUMIFS(node!$H$2:$H$500, node!$C$2:$C$500,"="&amp;A375, node!$C$2:$C$500,"&lt;&gt;"&amp;"")/(C375*D375),"")</f>
        <v/>
      </c>
      <c r="G375" s="93" t="str">
        <f>IF(A375&lt;&gt;"",SUMIFS(deployment!$F$4:$F$502, deployment!$D$4:$D$502,"="&amp;A375, deployment!$D$4:$D$502,"&lt;&gt;"&amp;""),"")</f>
        <v/>
      </c>
      <c r="H375" s="94" t="str">
        <f>IF(A375&lt;&gt;"",SUMIFS(deployment!$G$4:$G$502, deployment!$D$4:$D$502,"="&amp;A375, deployment!$D$4:$D$502,"&lt;&gt;"&amp;""),"")</f>
        <v/>
      </c>
      <c r="I375" s="95" t="str">
        <f>IF(A375&lt;&gt;"",SUMIFS(deployment!$H$4:$H$502, deployment!$D$4:$D$502,"="&amp;A375, deployment!$D$4:$D$502,"&lt;&gt;"&amp;""),"")</f>
        <v/>
      </c>
      <c r="J375" s="96" t="str">
        <f>IF(A375&lt;&gt;"",SUMIFS(deployment!$I$4:$I$502, deployment!$D$4:$D$502,"="&amp;A375, deployment!$D$4:$D$502,"&lt;&gt;"&amp;""),"")</f>
        <v/>
      </c>
      <c r="K375" s="112" t="str">
        <f>IF(A375&lt;&gt;"",SUMIFS(deployment!$J$4:$J$502, deployment!$D$4:$D$502,"="&amp;A375, deployment!$D$4:$D$502,"&lt;&gt;"&amp;""),"")</f>
        <v/>
      </c>
      <c r="L375" s="112" t="str">
        <f>IF(A375&lt;&gt;"",SUMIFS(deployment!$K$4:$K$502, deployment!$D$4:$D$502,"="&amp;A375, deployment!$D$4:$D$502,"&lt;&gt;"&amp;""),"")</f>
        <v/>
      </c>
      <c r="M375" s="97" t="str">
        <f>IF(A375&lt;&gt;"",SUMIFS(deployment!$L$4:$L$502, deployment!$D$4:$D$502,"="&amp;A375, deployment!$D$4:$D$502,"&lt;&gt;"&amp;""),"")</f>
        <v/>
      </c>
      <c r="N375" s="97" t="str">
        <f>IF(A375&lt;&gt;"",SUMIFS(deployment!$M$4:$M$502, deployment!$D$4:$D$502,"="&amp;A375, deployment!$D$4:$D$502,"&lt;&gt;"&amp;""),"")</f>
        <v/>
      </c>
      <c r="O375" s="127" t="str">
        <f t="shared" si="71"/>
        <v/>
      </c>
      <c r="P375" s="104"/>
      <c r="Q375" s="99" t="str">
        <f t="shared" si="60"/>
        <v/>
      </c>
      <c r="R375" s="100" t="str">
        <f t="shared" si="61"/>
        <v/>
      </c>
      <c r="S375" s="100" t="str">
        <f t="shared" si="62"/>
        <v/>
      </c>
      <c r="T375" s="101" t="str">
        <f t="shared" si="63"/>
        <v/>
      </c>
      <c r="U375" s="101" t="str">
        <f t="shared" si="64"/>
        <v/>
      </c>
      <c r="V375" s="128" t="str">
        <f t="shared" si="65"/>
        <v/>
      </c>
      <c r="W375" s="128" t="str">
        <f t="shared" si="66"/>
        <v/>
      </c>
      <c r="X375" s="101" t="str">
        <f t="shared" si="67"/>
        <v/>
      </c>
      <c r="Y375" s="101" t="str">
        <f t="shared" si="68"/>
        <v/>
      </c>
      <c r="Z375" s="102" t="str">
        <f t="shared" si="69"/>
        <v/>
      </c>
      <c r="AA375" s="103" t="str">
        <f t="shared" si="70"/>
        <v/>
      </c>
      <c r="AB375" s="142" t="str">
        <f>IF(A375&lt;&gt;"", SUMIFS(node!$J$2:$J$500, node!$C$2:$C$500,"="&amp;A375)/P375, "")</f>
        <v/>
      </c>
      <c r="AC375" s="134" t="str">
        <f>IF(A375&lt;&gt;"", SUMIFS(node!$K$2:$K$500, node!$C$2:$C$500,"="&amp;A375)/P375, "")</f>
        <v/>
      </c>
      <c r="AD375" s="135" t="str">
        <f>IF(A375&lt;&gt;"", SUMIFS(node!$L$2:$L$500, node!$C$2:$C$500,"="&amp;A375), "")</f>
        <v/>
      </c>
      <c r="AE375" s="145" t="str">
        <f>IF(A375&lt;&gt;"", SUMIFS(node!$M$2:$M$500, node!$C$2:$C$500,"="&amp;A375), "")</f>
        <v/>
      </c>
    </row>
    <row r="376" spans="1:31" ht="15.75" customHeight="1" x14ac:dyDescent="0.25">
      <c r="A376" s="119" t="str">
        <f>IF(ISNONTEXT(node_raw[[#This Row],[Column2]]), "", node_raw[[#This Row],[Column2]])</f>
        <v/>
      </c>
      <c r="B376" s="116" t="str">
        <f>IF(A376&lt;&gt;"", VLOOKUP(A376, node!$C$2:$D$500, 2, FALSE), "")</f>
        <v/>
      </c>
      <c r="C376" s="117" t="str">
        <f>IF(A376&lt;&gt;"", VLOOKUP(A376, node!$C$2:$E$500, 3, FALSE), "")</f>
        <v/>
      </c>
      <c r="D376" s="118" t="str">
        <f>IF(A376&lt;&gt;"",COUNTIFS(node!$C$2:$C$500,"="&amp;A376, node!$C$2:$C$500,"&lt;&gt;"&amp;""),"")</f>
        <v/>
      </c>
      <c r="E376" s="122" t="str">
        <f>IF(A376&lt;&gt;"",SUMIFS(node!$F$2:$F$500, node!$C$2:$C$500,"="&amp;A376, node!$C$2:$C$500,"&lt;&gt;"&amp;"")/(B376*D376),"")</f>
        <v/>
      </c>
      <c r="F376" s="124" t="str">
        <f>IF(A376&lt;&gt;"",SUMIFS(node!$H$2:$H$500, node!$C$2:$C$500,"="&amp;A376, node!$C$2:$C$500,"&lt;&gt;"&amp;"")/(C376*D376),"")</f>
        <v/>
      </c>
      <c r="G376" s="93" t="str">
        <f>IF(A376&lt;&gt;"",SUMIFS(deployment!$F$4:$F$502, deployment!$D$4:$D$502,"="&amp;A376, deployment!$D$4:$D$502,"&lt;&gt;"&amp;""),"")</f>
        <v/>
      </c>
      <c r="H376" s="94" t="str">
        <f>IF(A376&lt;&gt;"",SUMIFS(deployment!$G$4:$G$502, deployment!$D$4:$D$502,"="&amp;A376, deployment!$D$4:$D$502,"&lt;&gt;"&amp;""),"")</f>
        <v/>
      </c>
      <c r="I376" s="95" t="str">
        <f>IF(A376&lt;&gt;"",SUMIFS(deployment!$H$4:$H$502, deployment!$D$4:$D$502,"="&amp;A376, deployment!$D$4:$D$502,"&lt;&gt;"&amp;""),"")</f>
        <v/>
      </c>
      <c r="J376" s="96" t="str">
        <f>IF(A376&lt;&gt;"",SUMIFS(deployment!$I$4:$I$502, deployment!$D$4:$D$502,"="&amp;A376, deployment!$D$4:$D$502,"&lt;&gt;"&amp;""),"")</f>
        <v/>
      </c>
      <c r="K376" s="112" t="str">
        <f>IF(A376&lt;&gt;"",SUMIFS(deployment!$J$4:$J$502, deployment!$D$4:$D$502,"="&amp;A376, deployment!$D$4:$D$502,"&lt;&gt;"&amp;""),"")</f>
        <v/>
      </c>
      <c r="L376" s="112" t="str">
        <f>IF(A376&lt;&gt;"",SUMIFS(deployment!$K$4:$K$502, deployment!$D$4:$D$502,"="&amp;A376, deployment!$D$4:$D$502,"&lt;&gt;"&amp;""),"")</f>
        <v/>
      </c>
      <c r="M376" s="97" t="str">
        <f>IF(A376&lt;&gt;"",SUMIFS(deployment!$L$4:$L$502, deployment!$D$4:$D$502,"="&amp;A376, deployment!$D$4:$D$502,"&lt;&gt;"&amp;""),"")</f>
        <v/>
      </c>
      <c r="N376" s="97" t="str">
        <f>IF(A376&lt;&gt;"",SUMIFS(deployment!$M$4:$M$502, deployment!$D$4:$D$502,"="&amp;A376, deployment!$D$4:$D$502,"&lt;&gt;"&amp;""),"")</f>
        <v/>
      </c>
      <c r="O376" s="127" t="str">
        <f t="shared" si="71"/>
        <v/>
      </c>
      <c r="P376" s="104"/>
      <c r="Q376" s="99" t="str">
        <f t="shared" si="60"/>
        <v/>
      </c>
      <c r="R376" s="100" t="str">
        <f t="shared" si="61"/>
        <v/>
      </c>
      <c r="S376" s="100" t="str">
        <f t="shared" si="62"/>
        <v/>
      </c>
      <c r="T376" s="101" t="str">
        <f t="shared" si="63"/>
        <v/>
      </c>
      <c r="U376" s="101" t="str">
        <f t="shared" si="64"/>
        <v/>
      </c>
      <c r="V376" s="128" t="str">
        <f t="shared" si="65"/>
        <v/>
      </c>
      <c r="W376" s="128" t="str">
        <f t="shared" si="66"/>
        <v/>
      </c>
      <c r="X376" s="101" t="str">
        <f t="shared" si="67"/>
        <v/>
      </c>
      <c r="Y376" s="101" t="str">
        <f t="shared" si="68"/>
        <v/>
      </c>
      <c r="Z376" s="102" t="str">
        <f t="shared" si="69"/>
        <v/>
      </c>
      <c r="AA376" s="103" t="str">
        <f t="shared" si="70"/>
        <v/>
      </c>
      <c r="AB376" s="142" t="str">
        <f>IF(A376&lt;&gt;"", SUMIFS(node!$J$2:$J$500, node!$C$2:$C$500,"="&amp;A376)/P376, "")</f>
        <v/>
      </c>
      <c r="AC376" s="134" t="str">
        <f>IF(A376&lt;&gt;"", SUMIFS(node!$K$2:$K$500, node!$C$2:$C$500,"="&amp;A376)/P376, "")</f>
        <v/>
      </c>
      <c r="AD376" s="135" t="str">
        <f>IF(A376&lt;&gt;"", SUMIFS(node!$L$2:$L$500, node!$C$2:$C$500,"="&amp;A376), "")</f>
        <v/>
      </c>
      <c r="AE376" s="145" t="str">
        <f>IF(A376&lt;&gt;"", SUMIFS(node!$M$2:$M$500, node!$C$2:$C$500,"="&amp;A376), "")</f>
        <v/>
      </c>
    </row>
    <row r="377" spans="1:31" ht="15.75" customHeight="1" x14ac:dyDescent="0.25">
      <c r="A377" s="119" t="str">
        <f>IF(ISNONTEXT(node_raw[[#This Row],[Column2]]), "", node_raw[[#This Row],[Column2]])</f>
        <v/>
      </c>
      <c r="B377" s="116" t="str">
        <f>IF(A377&lt;&gt;"", VLOOKUP(A377, node!$C$2:$D$500, 2, FALSE), "")</f>
        <v/>
      </c>
      <c r="C377" s="117" t="str">
        <f>IF(A377&lt;&gt;"", VLOOKUP(A377, node!$C$2:$E$500, 3, FALSE), "")</f>
        <v/>
      </c>
      <c r="D377" s="118" t="str">
        <f>IF(A377&lt;&gt;"",COUNTIFS(node!$C$2:$C$500,"="&amp;A377, node!$C$2:$C$500,"&lt;&gt;"&amp;""),"")</f>
        <v/>
      </c>
      <c r="E377" s="122" t="str">
        <f>IF(A377&lt;&gt;"",SUMIFS(node!$F$2:$F$500, node!$C$2:$C$500,"="&amp;A377, node!$C$2:$C$500,"&lt;&gt;"&amp;"")/(B377*D377),"")</f>
        <v/>
      </c>
      <c r="F377" s="124" t="str">
        <f>IF(A377&lt;&gt;"",SUMIFS(node!$H$2:$H$500, node!$C$2:$C$500,"="&amp;A377, node!$C$2:$C$500,"&lt;&gt;"&amp;"")/(C377*D377),"")</f>
        <v/>
      </c>
      <c r="G377" s="93" t="str">
        <f>IF(A377&lt;&gt;"",SUMIFS(deployment!$F$4:$F$502, deployment!$D$4:$D$502,"="&amp;A377, deployment!$D$4:$D$502,"&lt;&gt;"&amp;""),"")</f>
        <v/>
      </c>
      <c r="H377" s="94" t="str">
        <f>IF(A377&lt;&gt;"",SUMIFS(deployment!$G$4:$G$502, deployment!$D$4:$D$502,"="&amp;A377, deployment!$D$4:$D$502,"&lt;&gt;"&amp;""),"")</f>
        <v/>
      </c>
      <c r="I377" s="95" t="str">
        <f>IF(A377&lt;&gt;"",SUMIFS(deployment!$H$4:$H$502, deployment!$D$4:$D$502,"="&amp;A377, deployment!$D$4:$D$502,"&lt;&gt;"&amp;""),"")</f>
        <v/>
      </c>
      <c r="J377" s="96" t="str">
        <f>IF(A377&lt;&gt;"",SUMIFS(deployment!$I$4:$I$502, deployment!$D$4:$D$502,"="&amp;A377, deployment!$D$4:$D$502,"&lt;&gt;"&amp;""),"")</f>
        <v/>
      </c>
      <c r="K377" s="112" t="str">
        <f>IF(A377&lt;&gt;"",SUMIFS(deployment!$J$4:$J$502, deployment!$D$4:$D$502,"="&amp;A377, deployment!$D$4:$D$502,"&lt;&gt;"&amp;""),"")</f>
        <v/>
      </c>
      <c r="L377" s="112" t="str">
        <f>IF(A377&lt;&gt;"",SUMIFS(deployment!$K$4:$K$502, deployment!$D$4:$D$502,"="&amp;A377, deployment!$D$4:$D$502,"&lt;&gt;"&amp;""),"")</f>
        <v/>
      </c>
      <c r="M377" s="97" t="str">
        <f>IF(A377&lt;&gt;"",SUMIFS(deployment!$L$4:$L$502, deployment!$D$4:$D$502,"="&amp;A377, deployment!$D$4:$D$502,"&lt;&gt;"&amp;""),"")</f>
        <v/>
      </c>
      <c r="N377" s="97" t="str">
        <f>IF(A377&lt;&gt;"",SUMIFS(deployment!$M$4:$M$502, deployment!$D$4:$D$502,"="&amp;A377, deployment!$D$4:$D$502,"&lt;&gt;"&amp;""),"")</f>
        <v/>
      </c>
      <c r="O377" s="127" t="str">
        <f t="shared" si="71"/>
        <v/>
      </c>
      <c r="P377" s="104"/>
      <c r="Q377" s="99" t="str">
        <f t="shared" si="60"/>
        <v/>
      </c>
      <c r="R377" s="100" t="str">
        <f t="shared" si="61"/>
        <v/>
      </c>
      <c r="S377" s="100" t="str">
        <f t="shared" si="62"/>
        <v/>
      </c>
      <c r="T377" s="101" t="str">
        <f t="shared" si="63"/>
        <v/>
      </c>
      <c r="U377" s="101" t="str">
        <f t="shared" si="64"/>
        <v/>
      </c>
      <c r="V377" s="128" t="str">
        <f t="shared" si="65"/>
        <v/>
      </c>
      <c r="W377" s="128" t="str">
        <f t="shared" si="66"/>
        <v/>
      </c>
      <c r="X377" s="101" t="str">
        <f t="shared" si="67"/>
        <v/>
      </c>
      <c r="Y377" s="101" t="str">
        <f t="shared" si="68"/>
        <v/>
      </c>
      <c r="Z377" s="102" t="str">
        <f t="shared" si="69"/>
        <v/>
      </c>
      <c r="AA377" s="103" t="str">
        <f t="shared" si="70"/>
        <v/>
      </c>
      <c r="AB377" s="142" t="str">
        <f>IF(A377&lt;&gt;"", SUMIFS(node!$J$2:$J$500, node!$C$2:$C$500,"="&amp;A377)/P377, "")</f>
        <v/>
      </c>
      <c r="AC377" s="134" t="str">
        <f>IF(A377&lt;&gt;"", SUMIFS(node!$K$2:$K$500, node!$C$2:$C$500,"="&amp;A377)/P377, "")</f>
        <v/>
      </c>
      <c r="AD377" s="135" t="str">
        <f>IF(A377&lt;&gt;"", SUMIFS(node!$L$2:$L$500, node!$C$2:$C$500,"="&amp;A377), "")</f>
        <v/>
      </c>
      <c r="AE377" s="145" t="str">
        <f>IF(A377&lt;&gt;"", SUMIFS(node!$M$2:$M$500, node!$C$2:$C$500,"="&amp;A377), "")</f>
        <v/>
      </c>
    </row>
    <row r="378" spans="1:31" ht="15.75" customHeight="1" x14ac:dyDescent="0.25">
      <c r="A378" s="119" t="str">
        <f>IF(ISNONTEXT(node_raw[[#This Row],[Column2]]), "", node_raw[[#This Row],[Column2]])</f>
        <v/>
      </c>
      <c r="B378" s="116" t="str">
        <f>IF(A378&lt;&gt;"", VLOOKUP(A378, node!$C$2:$D$500, 2, FALSE), "")</f>
        <v/>
      </c>
      <c r="C378" s="117" t="str">
        <f>IF(A378&lt;&gt;"", VLOOKUP(A378, node!$C$2:$E$500, 3, FALSE), "")</f>
        <v/>
      </c>
      <c r="D378" s="118" t="str">
        <f>IF(A378&lt;&gt;"",COUNTIFS(node!$C$2:$C$500,"="&amp;A378, node!$C$2:$C$500,"&lt;&gt;"&amp;""),"")</f>
        <v/>
      </c>
      <c r="E378" s="122" t="str">
        <f>IF(A378&lt;&gt;"",SUMIFS(node!$F$2:$F$500, node!$C$2:$C$500,"="&amp;A378, node!$C$2:$C$500,"&lt;&gt;"&amp;"")/(B378*D378),"")</f>
        <v/>
      </c>
      <c r="F378" s="124" t="str">
        <f>IF(A378&lt;&gt;"",SUMIFS(node!$H$2:$H$500, node!$C$2:$C$500,"="&amp;A378, node!$C$2:$C$500,"&lt;&gt;"&amp;"")/(C378*D378),"")</f>
        <v/>
      </c>
      <c r="G378" s="93" t="str">
        <f>IF(A378&lt;&gt;"",SUMIFS(deployment!$F$4:$F$502, deployment!$D$4:$D$502,"="&amp;A378, deployment!$D$4:$D$502,"&lt;&gt;"&amp;""),"")</f>
        <v/>
      </c>
      <c r="H378" s="94" t="str">
        <f>IF(A378&lt;&gt;"",SUMIFS(deployment!$G$4:$G$502, deployment!$D$4:$D$502,"="&amp;A378, deployment!$D$4:$D$502,"&lt;&gt;"&amp;""),"")</f>
        <v/>
      </c>
      <c r="I378" s="95" t="str">
        <f>IF(A378&lt;&gt;"",SUMIFS(deployment!$H$4:$H$502, deployment!$D$4:$D$502,"="&amp;A378, deployment!$D$4:$D$502,"&lt;&gt;"&amp;""),"")</f>
        <v/>
      </c>
      <c r="J378" s="96" t="str">
        <f>IF(A378&lt;&gt;"",SUMIFS(deployment!$I$4:$I$502, deployment!$D$4:$D$502,"="&amp;A378, deployment!$D$4:$D$502,"&lt;&gt;"&amp;""),"")</f>
        <v/>
      </c>
      <c r="K378" s="112" t="str">
        <f>IF(A378&lt;&gt;"",SUMIFS(deployment!$J$4:$J$502, deployment!$D$4:$D$502,"="&amp;A378, deployment!$D$4:$D$502,"&lt;&gt;"&amp;""),"")</f>
        <v/>
      </c>
      <c r="L378" s="112" t="str">
        <f>IF(A378&lt;&gt;"",SUMIFS(deployment!$K$4:$K$502, deployment!$D$4:$D$502,"="&amp;A378, deployment!$D$4:$D$502,"&lt;&gt;"&amp;""),"")</f>
        <v/>
      </c>
      <c r="M378" s="97" t="str">
        <f>IF(A378&lt;&gt;"",SUMIFS(deployment!$L$4:$L$502, deployment!$D$4:$D$502,"="&amp;A378, deployment!$D$4:$D$502,"&lt;&gt;"&amp;""),"")</f>
        <v/>
      </c>
      <c r="N378" s="97" t="str">
        <f>IF(A378&lt;&gt;"",SUMIFS(deployment!$M$4:$M$502, deployment!$D$4:$D$502,"="&amp;A378, deployment!$D$4:$D$502,"&lt;&gt;"&amp;""),"")</f>
        <v/>
      </c>
      <c r="O378" s="127" t="str">
        <f t="shared" si="71"/>
        <v/>
      </c>
      <c r="P378" s="104"/>
      <c r="Q378" s="99" t="str">
        <f t="shared" si="60"/>
        <v/>
      </c>
      <c r="R378" s="100" t="str">
        <f t="shared" si="61"/>
        <v/>
      </c>
      <c r="S378" s="100" t="str">
        <f t="shared" si="62"/>
        <v/>
      </c>
      <c r="T378" s="101" t="str">
        <f t="shared" si="63"/>
        <v/>
      </c>
      <c r="U378" s="101" t="str">
        <f t="shared" si="64"/>
        <v/>
      </c>
      <c r="V378" s="128" t="str">
        <f t="shared" si="65"/>
        <v/>
      </c>
      <c r="W378" s="128" t="str">
        <f t="shared" si="66"/>
        <v/>
      </c>
      <c r="X378" s="101" t="str">
        <f t="shared" si="67"/>
        <v/>
      </c>
      <c r="Y378" s="101" t="str">
        <f t="shared" si="68"/>
        <v/>
      </c>
      <c r="Z378" s="102" t="str">
        <f t="shared" si="69"/>
        <v/>
      </c>
      <c r="AA378" s="103" t="str">
        <f t="shared" si="70"/>
        <v/>
      </c>
      <c r="AB378" s="142" t="str">
        <f>IF(A378&lt;&gt;"", SUMIFS(node!$J$2:$J$500, node!$C$2:$C$500,"="&amp;A378)/P378, "")</f>
        <v/>
      </c>
      <c r="AC378" s="134" t="str">
        <f>IF(A378&lt;&gt;"", SUMIFS(node!$K$2:$K$500, node!$C$2:$C$500,"="&amp;A378)/P378, "")</f>
        <v/>
      </c>
      <c r="AD378" s="135" t="str">
        <f>IF(A378&lt;&gt;"", SUMIFS(node!$L$2:$L$500, node!$C$2:$C$500,"="&amp;A378), "")</f>
        <v/>
      </c>
      <c r="AE378" s="145" t="str">
        <f>IF(A378&lt;&gt;"", SUMIFS(node!$M$2:$M$500, node!$C$2:$C$500,"="&amp;A378), "")</f>
        <v/>
      </c>
    </row>
    <row r="379" spans="1:31" ht="15.75" customHeight="1" x14ac:dyDescent="0.25">
      <c r="A379" s="119" t="str">
        <f>IF(ISNONTEXT(node_raw[[#This Row],[Column2]]), "", node_raw[[#This Row],[Column2]])</f>
        <v/>
      </c>
      <c r="B379" s="116" t="str">
        <f>IF(A379&lt;&gt;"", VLOOKUP(A379, node!$C$2:$D$500, 2, FALSE), "")</f>
        <v/>
      </c>
      <c r="C379" s="117" t="str">
        <f>IF(A379&lt;&gt;"", VLOOKUP(A379, node!$C$2:$E$500, 3, FALSE), "")</f>
        <v/>
      </c>
      <c r="D379" s="118" t="str">
        <f>IF(A379&lt;&gt;"",COUNTIFS(node!$C$2:$C$500,"="&amp;A379, node!$C$2:$C$500,"&lt;&gt;"&amp;""),"")</f>
        <v/>
      </c>
      <c r="E379" s="122" t="str">
        <f>IF(A379&lt;&gt;"",SUMIFS(node!$F$2:$F$500, node!$C$2:$C$500,"="&amp;A379, node!$C$2:$C$500,"&lt;&gt;"&amp;"")/(B379*D379),"")</f>
        <v/>
      </c>
      <c r="F379" s="124" t="str">
        <f>IF(A379&lt;&gt;"",SUMIFS(node!$H$2:$H$500, node!$C$2:$C$500,"="&amp;A379, node!$C$2:$C$500,"&lt;&gt;"&amp;"")/(C379*D379),"")</f>
        <v/>
      </c>
      <c r="G379" s="93" t="str">
        <f>IF(A379&lt;&gt;"",SUMIFS(deployment!$F$4:$F$502, deployment!$D$4:$D$502,"="&amp;A379, deployment!$D$4:$D$502,"&lt;&gt;"&amp;""),"")</f>
        <v/>
      </c>
      <c r="H379" s="94" t="str">
        <f>IF(A379&lt;&gt;"",SUMIFS(deployment!$G$4:$G$502, deployment!$D$4:$D$502,"="&amp;A379, deployment!$D$4:$D$502,"&lt;&gt;"&amp;""),"")</f>
        <v/>
      </c>
      <c r="I379" s="95" t="str">
        <f>IF(A379&lt;&gt;"",SUMIFS(deployment!$H$4:$H$502, deployment!$D$4:$D$502,"="&amp;A379, deployment!$D$4:$D$502,"&lt;&gt;"&amp;""),"")</f>
        <v/>
      </c>
      <c r="J379" s="96" t="str">
        <f>IF(A379&lt;&gt;"",SUMIFS(deployment!$I$4:$I$502, deployment!$D$4:$D$502,"="&amp;A379, deployment!$D$4:$D$502,"&lt;&gt;"&amp;""),"")</f>
        <v/>
      </c>
      <c r="K379" s="112" t="str">
        <f>IF(A379&lt;&gt;"",SUMIFS(deployment!$J$4:$J$502, deployment!$D$4:$D$502,"="&amp;A379, deployment!$D$4:$D$502,"&lt;&gt;"&amp;""),"")</f>
        <v/>
      </c>
      <c r="L379" s="112" t="str">
        <f>IF(A379&lt;&gt;"",SUMIFS(deployment!$K$4:$K$502, deployment!$D$4:$D$502,"="&amp;A379, deployment!$D$4:$D$502,"&lt;&gt;"&amp;""),"")</f>
        <v/>
      </c>
      <c r="M379" s="97" t="str">
        <f>IF(A379&lt;&gt;"",SUMIFS(deployment!$L$4:$L$502, deployment!$D$4:$D$502,"="&amp;A379, deployment!$D$4:$D$502,"&lt;&gt;"&amp;""),"")</f>
        <v/>
      </c>
      <c r="N379" s="97" t="str">
        <f>IF(A379&lt;&gt;"",SUMIFS(deployment!$M$4:$M$502, deployment!$D$4:$D$502,"="&amp;A379, deployment!$D$4:$D$502,"&lt;&gt;"&amp;""),"")</f>
        <v/>
      </c>
      <c r="O379" s="127" t="str">
        <f t="shared" si="71"/>
        <v/>
      </c>
      <c r="P379" s="104"/>
      <c r="Q379" s="99" t="str">
        <f t="shared" si="60"/>
        <v/>
      </c>
      <c r="R379" s="100" t="str">
        <f t="shared" si="61"/>
        <v/>
      </c>
      <c r="S379" s="100" t="str">
        <f t="shared" si="62"/>
        <v/>
      </c>
      <c r="T379" s="101" t="str">
        <f t="shared" si="63"/>
        <v/>
      </c>
      <c r="U379" s="101" t="str">
        <f t="shared" si="64"/>
        <v/>
      </c>
      <c r="V379" s="128" t="str">
        <f t="shared" si="65"/>
        <v/>
      </c>
      <c r="W379" s="128" t="str">
        <f t="shared" si="66"/>
        <v/>
      </c>
      <c r="X379" s="101" t="str">
        <f t="shared" si="67"/>
        <v/>
      </c>
      <c r="Y379" s="101" t="str">
        <f t="shared" si="68"/>
        <v/>
      </c>
      <c r="Z379" s="102" t="str">
        <f t="shared" si="69"/>
        <v/>
      </c>
      <c r="AA379" s="103" t="str">
        <f t="shared" si="70"/>
        <v/>
      </c>
      <c r="AB379" s="142" t="str">
        <f>IF(A379&lt;&gt;"", SUMIFS(node!$J$2:$J$500, node!$C$2:$C$500,"="&amp;A379)/P379, "")</f>
        <v/>
      </c>
      <c r="AC379" s="134" t="str">
        <f>IF(A379&lt;&gt;"", SUMIFS(node!$K$2:$K$500, node!$C$2:$C$500,"="&amp;A379)/P379, "")</f>
        <v/>
      </c>
      <c r="AD379" s="135" t="str">
        <f>IF(A379&lt;&gt;"", SUMIFS(node!$L$2:$L$500, node!$C$2:$C$500,"="&amp;A379), "")</f>
        <v/>
      </c>
      <c r="AE379" s="145" t="str">
        <f>IF(A379&lt;&gt;"", SUMIFS(node!$M$2:$M$500, node!$C$2:$C$500,"="&amp;A379), "")</f>
        <v/>
      </c>
    </row>
    <row r="380" spans="1:31" ht="15.75" customHeight="1" x14ac:dyDescent="0.25">
      <c r="A380" s="119" t="str">
        <f>IF(ISNONTEXT(node_raw[[#This Row],[Column2]]), "", node_raw[[#This Row],[Column2]])</f>
        <v/>
      </c>
      <c r="B380" s="116" t="str">
        <f>IF(A380&lt;&gt;"", VLOOKUP(A380, node!$C$2:$D$500, 2, FALSE), "")</f>
        <v/>
      </c>
      <c r="C380" s="117" t="str">
        <f>IF(A380&lt;&gt;"", VLOOKUP(A380, node!$C$2:$E$500, 3, FALSE), "")</f>
        <v/>
      </c>
      <c r="D380" s="118" t="str">
        <f>IF(A380&lt;&gt;"",COUNTIFS(node!$C$2:$C$500,"="&amp;A380, node!$C$2:$C$500,"&lt;&gt;"&amp;""),"")</f>
        <v/>
      </c>
      <c r="E380" s="122" t="str">
        <f>IF(A380&lt;&gt;"",SUMIFS(node!$F$2:$F$500, node!$C$2:$C$500,"="&amp;A380, node!$C$2:$C$500,"&lt;&gt;"&amp;"")/(B380*D380),"")</f>
        <v/>
      </c>
      <c r="F380" s="124" t="str">
        <f>IF(A380&lt;&gt;"",SUMIFS(node!$H$2:$H$500, node!$C$2:$C$500,"="&amp;A380, node!$C$2:$C$500,"&lt;&gt;"&amp;"")/(C380*D380),"")</f>
        <v/>
      </c>
      <c r="G380" s="93" t="str">
        <f>IF(A380&lt;&gt;"",SUMIFS(deployment!$F$4:$F$502, deployment!$D$4:$D$502,"="&amp;A380, deployment!$D$4:$D$502,"&lt;&gt;"&amp;""),"")</f>
        <v/>
      </c>
      <c r="H380" s="94" t="str">
        <f>IF(A380&lt;&gt;"",SUMIFS(deployment!$G$4:$G$502, deployment!$D$4:$D$502,"="&amp;A380, deployment!$D$4:$D$502,"&lt;&gt;"&amp;""),"")</f>
        <v/>
      </c>
      <c r="I380" s="95" t="str">
        <f>IF(A380&lt;&gt;"",SUMIFS(deployment!$H$4:$H$502, deployment!$D$4:$D$502,"="&amp;A380, deployment!$D$4:$D$502,"&lt;&gt;"&amp;""),"")</f>
        <v/>
      </c>
      <c r="J380" s="96" t="str">
        <f>IF(A380&lt;&gt;"",SUMIFS(deployment!$I$4:$I$502, deployment!$D$4:$D$502,"="&amp;A380, deployment!$D$4:$D$502,"&lt;&gt;"&amp;""),"")</f>
        <v/>
      </c>
      <c r="K380" s="112" t="str">
        <f>IF(A380&lt;&gt;"",SUMIFS(deployment!$J$4:$J$502, deployment!$D$4:$D$502,"="&amp;A380, deployment!$D$4:$D$502,"&lt;&gt;"&amp;""),"")</f>
        <v/>
      </c>
      <c r="L380" s="112" t="str">
        <f>IF(A380&lt;&gt;"",SUMIFS(deployment!$K$4:$K$502, deployment!$D$4:$D$502,"="&amp;A380, deployment!$D$4:$D$502,"&lt;&gt;"&amp;""),"")</f>
        <v/>
      </c>
      <c r="M380" s="97" t="str">
        <f>IF(A380&lt;&gt;"",SUMIFS(deployment!$L$4:$L$502, deployment!$D$4:$D$502,"="&amp;A380, deployment!$D$4:$D$502,"&lt;&gt;"&amp;""),"")</f>
        <v/>
      </c>
      <c r="N380" s="97" t="str">
        <f>IF(A380&lt;&gt;"",SUMIFS(deployment!$M$4:$M$502, deployment!$D$4:$D$502,"="&amp;A380, deployment!$D$4:$D$502,"&lt;&gt;"&amp;""),"")</f>
        <v/>
      </c>
      <c r="O380" s="127" t="str">
        <f t="shared" si="71"/>
        <v/>
      </c>
      <c r="P380" s="104"/>
      <c r="Q380" s="99" t="str">
        <f t="shared" si="60"/>
        <v/>
      </c>
      <c r="R380" s="100" t="str">
        <f t="shared" si="61"/>
        <v/>
      </c>
      <c r="S380" s="100" t="str">
        <f t="shared" si="62"/>
        <v/>
      </c>
      <c r="T380" s="101" t="str">
        <f t="shared" si="63"/>
        <v/>
      </c>
      <c r="U380" s="101" t="str">
        <f t="shared" si="64"/>
        <v/>
      </c>
      <c r="V380" s="128" t="str">
        <f t="shared" si="65"/>
        <v/>
      </c>
      <c r="W380" s="128" t="str">
        <f t="shared" si="66"/>
        <v/>
      </c>
      <c r="X380" s="101" t="str">
        <f t="shared" si="67"/>
        <v/>
      </c>
      <c r="Y380" s="101" t="str">
        <f t="shared" si="68"/>
        <v/>
      </c>
      <c r="Z380" s="102" t="str">
        <f t="shared" si="69"/>
        <v/>
      </c>
      <c r="AA380" s="103" t="str">
        <f t="shared" si="70"/>
        <v/>
      </c>
      <c r="AB380" s="142" t="str">
        <f>IF(A380&lt;&gt;"", SUMIFS(node!$J$2:$J$500, node!$C$2:$C$500,"="&amp;A380)/P380, "")</f>
        <v/>
      </c>
      <c r="AC380" s="134" t="str">
        <f>IF(A380&lt;&gt;"", SUMIFS(node!$K$2:$K$500, node!$C$2:$C$500,"="&amp;A380)/P380, "")</f>
        <v/>
      </c>
      <c r="AD380" s="135" t="str">
        <f>IF(A380&lt;&gt;"", SUMIFS(node!$L$2:$L$500, node!$C$2:$C$500,"="&amp;A380), "")</f>
        <v/>
      </c>
      <c r="AE380" s="145" t="str">
        <f>IF(A380&lt;&gt;"", SUMIFS(node!$M$2:$M$500, node!$C$2:$C$500,"="&amp;A380), "")</f>
        <v/>
      </c>
    </row>
    <row r="381" spans="1:31" ht="15.75" customHeight="1" x14ac:dyDescent="0.25">
      <c r="A381" s="119" t="str">
        <f>IF(ISNONTEXT(node_raw[[#This Row],[Column2]]), "", node_raw[[#This Row],[Column2]])</f>
        <v/>
      </c>
      <c r="B381" s="116" t="str">
        <f>IF(A381&lt;&gt;"", VLOOKUP(A381, node!$C$2:$D$500, 2, FALSE), "")</f>
        <v/>
      </c>
      <c r="C381" s="117" t="str">
        <f>IF(A381&lt;&gt;"", VLOOKUP(A381, node!$C$2:$E$500, 3, FALSE), "")</f>
        <v/>
      </c>
      <c r="D381" s="118" t="str">
        <f>IF(A381&lt;&gt;"",COUNTIFS(node!$C$2:$C$500,"="&amp;A381, node!$C$2:$C$500,"&lt;&gt;"&amp;""),"")</f>
        <v/>
      </c>
      <c r="E381" s="122" t="str">
        <f>IF(A381&lt;&gt;"",SUMIFS(node!$F$2:$F$500, node!$C$2:$C$500,"="&amp;A381, node!$C$2:$C$500,"&lt;&gt;"&amp;"")/(B381*D381),"")</f>
        <v/>
      </c>
      <c r="F381" s="124" t="str">
        <f>IF(A381&lt;&gt;"",SUMIFS(node!$H$2:$H$500, node!$C$2:$C$500,"="&amp;A381, node!$C$2:$C$500,"&lt;&gt;"&amp;"")/(C381*D381),"")</f>
        <v/>
      </c>
      <c r="G381" s="93" t="str">
        <f>IF(A381&lt;&gt;"",SUMIFS(deployment!$F$4:$F$502, deployment!$D$4:$D$502,"="&amp;A381, deployment!$D$4:$D$502,"&lt;&gt;"&amp;""),"")</f>
        <v/>
      </c>
      <c r="H381" s="94" t="str">
        <f>IF(A381&lt;&gt;"",SUMIFS(deployment!$G$4:$G$502, deployment!$D$4:$D$502,"="&amp;A381, deployment!$D$4:$D$502,"&lt;&gt;"&amp;""),"")</f>
        <v/>
      </c>
      <c r="I381" s="95" t="str">
        <f>IF(A381&lt;&gt;"",SUMIFS(deployment!$H$4:$H$502, deployment!$D$4:$D$502,"="&amp;A381, deployment!$D$4:$D$502,"&lt;&gt;"&amp;""),"")</f>
        <v/>
      </c>
      <c r="J381" s="96" t="str">
        <f>IF(A381&lt;&gt;"",SUMIFS(deployment!$I$4:$I$502, deployment!$D$4:$D$502,"="&amp;A381, deployment!$D$4:$D$502,"&lt;&gt;"&amp;""),"")</f>
        <v/>
      </c>
      <c r="K381" s="112" t="str">
        <f>IF(A381&lt;&gt;"",SUMIFS(deployment!$J$4:$J$502, deployment!$D$4:$D$502,"="&amp;A381, deployment!$D$4:$D$502,"&lt;&gt;"&amp;""),"")</f>
        <v/>
      </c>
      <c r="L381" s="112" t="str">
        <f>IF(A381&lt;&gt;"",SUMIFS(deployment!$K$4:$K$502, deployment!$D$4:$D$502,"="&amp;A381, deployment!$D$4:$D$502,"&lt;&gt;"&amp;""),"")</f>
        <v/>
      </c>
      <c r="M381" s="97" t="str">
        <f>IF(A381&lt;&gt;"",SUMIFS(deployment!$L$4:$L$502, deployment!$D$4:$D$502,"="&amp;A381, deployment!$D$4:$D$502,"&lt;&gt;"&amp;""),"")</f>
        <v/>
      </c>
      <c r="N381" s="97" t="str">
        <f>IF(A381&lt;&gt;"",SUMIFS(deployment!$M$4:$M$502, deployment!$D$4:$D$502,"="&amp;A381, deployment!$D$4:$D$502,"&lt;&gt;"&amp;""),"")</f>
        <v/>
      </c>
      <c r="O381" s="127" t="str">
        <f t="shared" si="71"/>
        <v/>
      </c>
      <c r="P381" s="104"/>
      <c r="Q381" s="99" t="str">
        <f t="shared" si="60"/>
        <v/>
      </c>
      <c r="R381" s="100" t="str">
        <f t="shared" si="61"/>
        <v/>
      </c>
      <c r="S381" s="100" t="str">
        <f t="shared" si="62"/>
        <v/>
      </c>
      <c r="T381" s="101" t="str">
        <f t="shared" si="63"/>
        <v/>
      </c>
      <c r="U381" s="101" t="str">
        <f t="shared" si="64"/>
        <v/>
      </c>
      <c r="V381" s="128" t="str">
        <f t="shared" si="65"/>
        <v/>
      </c>
      <c r="W381" s="128" t="str">
        <f t="shared" si="66"/>
        <v/>
      </c>
      <c r="X381" s="101" t="str">
        <f t="shared" si="67"/>
        <v/>
      </c>
      <c r="Y381" s="101" t="str">
        <f t="shared" si="68"/>
        <v/>
      </c>
      <c r="Z381" s="102" t="str">
        <f t="shared" si="69"/>
        <v/>
      </c>
      <c r="AA381" s="103" t="str">
        <f t="shared" si="70"/>
        <v/>
      </c>
      <c r="AB381" s="142" t="str">
        <f>IF(A381&lt;&gt;"", SUMIFS(node!$J$2:$J$500, node!$C$2:$C$500,"="&amp;A381)/P381, "")</f>
        <v/>
      </c>
      <c r="AC381" s="134" t="str">
        <f>IF(A381&lt;&gt;"", SUMIFS(node!$K$2:$K$500, node!$C$2:$C$500,"="&amp;A381)/P381, "")</f>
        <v/>
      </c>
      <c r="AD381" s="135" t="str">
        <f>IF(A381&lt;&gt;"", SUMIFS(node!$L$2:$L$500, node!$C$2:$C$500,"="&amp;A381), "")</f>
        <v/>
      </c>
      <c r="AE381" s="145" t="str">
        <f>IF(A381&lt;&gt;"", SUMIFS(node!$M$2:$M$500, node!$C$2:$C$500,"="&amp;A381), "")</f>
        <v/>
      </c>
    </row>
    <row r="382" spans="1:31" ht="15.75" customHeight="1" x14ac:dyDescent="0.25">
      <c r="A382" s="119" t="str">
        <f>IF(ISNONTEXT(node_raw[[#This Row],[Column2]]), "", node_raw[[#This Row],[Column2]])</f>
        <v/>
      </c>
      <c r="B382" s="116" t="str">
        <f>IF(A382&lt;&gt;"", VLOOKUP(A382, node!$C$2:$D$500, 2, FALSE), "")</f>
        <v/>
      </c>
      <c r="C382" s="117" t="str">
        <f>IF(A382&lt;&gt;"", VLOOKUP(A382, node!$C$2:$E$500, 3, FALSE), "")</f>
        <v/>
      </c>
      <c r="D382" s="118" t="str">
        <f>IF(A382&lt;&gt;"",COUNTIFS(node!$C$2:$C$500,"="&amp;A382, node!$C$2:$C$500,"&lt;&gt;"&amp;""),"")</f>
        <v/>
      </c>
      <c r="E382" s="122" t="str">
        <f>IF(A382&lt;&gt;"",SUMIFS(node!$F$2:$F$500, node!$C$2:$C$500,"="&amp;A382, node!$C$2:$C$500,"&lt;&gt;"&amp;"")/(B382*D382),"")</f>
        <v/>
      </c>
      <c r="F382" s="124" t="str">
        <f>IF(A382&lt;&gt;"",SUMIFS(node!$H$2:$H$500, node!$C$2:$C$500,"="&amp;A382, node!$C$2:$C$500,"&lt;&gt;"&amp;"")/(C382*D382),"")</f>
        <v/>
      </c>
      <c r="G382" s="93" t="str">
        <f>IF(A382&lt;&gt;"",SUMIFS(deployment!$F$4:$F$502, deployment!$D$4:$D$502,"="&amp;A382, deployment!$D$4:$D$502,"&lt;&gt;"&amp;""),"")</f>
        <v/>
      </c>
      <c r="H382" s="94" t="str">
        <f>IF(A382&lt;&gt;"",SUMIFS(deployment!$G$4:$G$502, deployment!$D$4:$D$502,"="&amp;A382, deployment!$D$4:$D$502,"&lt;&gt;"&amp;""),"")</f>
        <v/>
      </c>
      <c r="I382" s="95" t="str">
        <f>IF(A382&lt;&gt;"",SUMIFS(deployment!$H$4:$H$502, deployment!$D$4:$D$502,"="&amp;A382, deployment!$D$4:$D$502,"&lt;&gt;"&amp;""),"")</f>
        <v/>
      </c>
      <c r="J382" s="96" t="str">
        <f>IF(A382&lt;&gt;"",SUMIFS(deployment!$I$4:$I$502, deployment!$D$4:$D$502,"="&amp;A382, deployment!$D$4:$D$502,"&lt;&gt;"&amp;""),"")</f>
        <v/>
      </c>
      <c r="K382" s="112" t="str">
        <f>IF(A382&lt;&gt;"",SUMIFS(deployment!$J$4:$J$502, deployment!$D$4:$D$502,"="&amp;A382, deployment!$D$4:$D$502,"&lt;&gt;"&amp;""),"")</f>
        <v/>
      </c>
      <c r="L382" s="112" t="str">
        <f>IF(A382&lt;&gt;"",SUMIFS(deployment!$K$4:$K$502, deployment!$D$4:$D$502,"="&amp;A382, deployment!$D$4:$D$502,"&lt;&gt;"&amp;""),"")</f>
        <v/>
      </c>
      <c r="M382" s="97" t="str">
        <f>IF(A382&lt;&gt;"",SUMIFS(deployment!$L$4:$L$502, deployment!$D$4:$D$502,"="&amp;A382, deployment!$D$4:$D$502,"&lt;&gt;"&amp;""),"")</f>
        <v/>
      </c>
      <c r="N382" s="97" t="str">
        <f>IF(A382&lt;&gt;"",SUMIFS(deployment!$M$4:$M$502, deployment!$D$4:$D$502,"="&amp;A382, deployment!$D$4:$D$502,"&lt;&gt;"&amp;""),"")</f>
        <v/>
      </c>
      <c r="O382" s="127" t="str">
        <f t="shared" si="71"/>
        <v/>
      </c>
      <c r="P382" s="104"/>
      <c r="Q382" s="99" t="str">
        <f t="shared" si="60"/>
        <v/>
      </c>
      <c r="R382" s="100" t="str">
        <f t="shared" si="61"/>
        <v/>
      </c>
      <c r="S382" s="100" t="str">
        <f t="shared" si="62"/>
        <v/>
      </c>
      <c r="T382" s="101" t="str">
        <f t="shared" si="63"/>
        <v/>
      </c>
      <c r="U382" s="101" t="str">
        <f t="shared" si="64"/>
        <v/>
      </c>
      <c r="V382" s="128" t="str">
        <f t="shared" si="65"/>
        <v/>
      </c>
      <c r="W382" s="128" t="str">
        <f t="shared" si="66"/>
        <v/>
      </c>
      <c r="X382" s="101" t="str">
        <f t="shared" si="67"/>
        <v/>
      </c>
      <c r="Y382" s="101" t="str">
        <f t="shared" si="68"/>
        <v/>
      </c>
      <c r="Z382" s="102" t="str">
        <f t="shared" si="69"/>
        <v/>
      </c>
      <c r="AA382" s="103" t="str">
        <f t="shared" si="70"/>
        <v/>
      </c>
      <c r="AB382" s="142" t="str">
        <f>IF(A382&lt;&gt;"", SUMIFS(node!$J$2:$J$500, node!$C$2:$C$500,"="&amp;A382)/P382, "")</f>
        <v/>
      </c>
      <c r="AC382" s="134" t="str">
        <f>IF(A382&lt;&gt;"", SUMIFS(node!$K$2:$K$500, node!$C$2:$C$500,"="&amp;A382)/P382, "")</f>
        <v/>
      </c>
      <c r="AD382" s="135" t="str">
        <f>IF(A382&lt;&gt;"", SUMIFS(node!$L$2:$L$500, node!$C$2:$C$500,"="&amp;A382), "")</f>
        <v/>
      </c>
      <c r="AE382" s="145" t="str">
        <f>IF(A382&lt;&gt;"", SUMIFS(node!$M$2:$M$500, node!$C$2:$C$500,"="&amp;A382), "")</f>
        <v/>
      </c>
    </row>
    <row r="383" spans="1:31" ht="15.75" customHeight="1" x14ac:dyDescent="0.25">
      <c r="A383" s="119" t="str">
        <f>IF(ISNONTEXT(node_raw[[#This Row],[Column2]]), "", node_raw[[#This Row],[Column2]])</f>
        <v/>
      </c>
      <c r="B383" s="116" t="str">
        <f>IF(A383&lt;&gt;"", VLOOKUP(A383, node!$C$2:$D$500, 2, FALSE), "")</f>
        <v/>
      </c>
      <c r="C383" s="117" t="str">
        <f>IF(A383&lt;&gt;"", VLOOKUP(A383, node!$C$2:$E$500, 3, FALSE), "")</f>
        <v/>
      </c>
      <c r="D383" s="118" t="str">
        <f>IF(A383&lt;&gt;"",COUNTIFS(node!$C$2:$C$500,"="&amp;A383, node!$C$2:$C$500,"&lt;&gt;"&amp;""),"")</f>
        <v/>
      </c>
      <c r="E383" s="122" t="str">
        <f>IF(A383&lt;&gt;"",SUMIFS(node!$F$2:$F$500, node!$C$2:$C$500,"="&amp;A383, node!$C$2:$C$500,"&lt;&gt;"&amp;"")/(B383*D383),"")</f>
        <v/>
      </c>
      <c r="F383" s="124" t="str">
        <f>IF(A383&lt;&gt;"",SUMIFS(node!$H$2:$H$500, node!$C$2:$C$500,"="&amp;A383, node!$C$2:$C$500,"&lt;&gt;"&amp;"")/(C383*D383),"")</f>
        <v/>
      </c>
      <c r="G383" s="93" t="str">
        <f>IF(A383&lt;&gt;"",SUMIFS(deployment!$F$4:$F$502, deployment!$D$4:$D$502,"="&amp;A383, deployment!$D$4:$D$502,"&lt;&gt;"&amp;""),"")</f>
        <v/>
      </c>
      <c r="H383" s="94" t="str">
        <f>IF(A383&lt;&gt;"",SUMIFS(deployment!$G$4:$G$502, deployment!$D$4:$D$502,"="&amp;A383, deployment!$D$4:$D$502,"&lt;&gt;"&amp;""),"")</f>
        <v/>
      </c>
      <c r="I383" s="95" t="str">
        <f>IF(A383&lt;&gt;"",SUMIFS(deployment!$H$4:$H$502, deployment!$D$4:$D$502,"="&amp;A383, deployment!$D$4:$D$502,"&lt;&gt;"&amp;""),"")</f>
        <v/>
      </c>
      <c r="J383" s="96" t="str">
        <f>IF(A383&lt;&gt;"",SUMIFS(deployment!$I$4:$I$502, deployment!$D$4:$D$502,"="&amp;A383, deployment!$D$4:$D$502,"&lt;&gt;"&amp;""),"")</f>
        <v/>
      </c>
      <c r="K383" s="112" t="str">
        <f>IF(A383&lt;&gt;"",SUMIFS(deployment!$J$4:$J$502, deployment!$D$4:$D$502,"="&amp;A383, deployment!$D$4:$D$502,"&lt;&gt;"&amp;""),"")</f>
        <v/>
      </c>
      <c r="L383" s="112" t="str">
        <f>IF(A383&lt;&gt;"",SUMIFS(deployment!$K$4:$K$502, deployment!$D$4:$D$502,"="&amp;A383, deployment!$D$4:$D$502,"&lt;&gt;"&amp;""),"")</f>
        <v/>
      </c>
      <c r="M383" s="97" t="str">
        <f>IF(A383&lt;&gt;"",SUMIFS(deployment!$L$4:$L$502, deployment!$D$4:$D$502,"="&amp;A383, deployment!$D$4:$D$502,"&lt;&gt;"&amp;""),"")</f>
        <v/>
      </c>
      <c r="N383" s="97" t="str">
        <f>IF(A383&lt;&gt;"",SUMIFS(deployment!$M$4:$M$502, deployment!$D$4:$D$502,"="&amp;A383, deployment!$D$4:$D$502,"&lt;&gt;"&amp;""),"")</f>
        <v/>
      </c>
      <c r="O383" s="127" t="str">
        <f t="shared" si="71"/>
        <v/>
      </c>
      <c r="P383" s="104"/>
      <c r="Q383" s="99" t="str">
        <f t="shared" si="60"/>
        <v/>
      </c>
      <c r="R383" s="100" t="str">
        <f t="shared" si="61"/>
        <v/>
      </c>
      <c r="S383" s="100" t="str">
        <f t="shared" si="62"/>
        <v/>
      </c>
      <c r="T383" s="101" t="str">
        <f t="shared" si="63"/>
        <v/>
      </c>
      <c r="U383" s="101" t="str">
        <f t="shared" si="64"/>
        <v/>
      </c>
      <c r="V383" s="128" t="str">
        <f t="shared" si="65"/>
        <v/>
      </c>
      <c r="W383" s="128" t="str">
        <f t="shared" si="66"/>
        <v/>
      </c>
      <c r="X383" s="101" t="str">
        <f t="shared" si="67"/>
        <v/>
      </c>
      <c r="Y383" s="101" t="str">
        <f t="shared" si="68"/>
        <v/>
      </c>
      <c r="Z383" s="102" t="str">
        <f t="shared" si="69"/>
        <v/>
      </c>
      <c r="AA383" s="103" t="str">
        <f t="shared" si="70"/>
        <v/>
      </c>
      <c r="AB383" s="142" t="str">
        <f>IF(A383&lt;&gt;"", SUMIFS(node!$J$2:$J$500, node!$C$2:$C$500,"="&amp;A383)/P383, "")</f>
        <v/>
      </c>
      <c r="AC383" s="134" t="str">
        <f>IF(A383&lt;&gt;"", SUMIFS(node!$K$2:$K$500, node!$C$2:$C$500,"="&amp;A383)/P383, "")</f>
        <v/>
      </c>
      <c r="AD383" s="135" t="str">
        <f>IF(A383&lt;&gt;"", SUMIFS(node!$L$2:$L$500, node!$C$2:$C$500,"="&amp;A383), "")</f>
        <v/>
      </c>
      <c r="AE383" s="145" t="str">
        <f>IF(A383&lt;&gt;"", SUMIFS(node!$M$2:$M$500, node!$C$2:$C$500,"="&amp;A383), "")</f>
        <v/>
      </c>
    </row>
    <row r="384" spans="1:31" ht="15.75" customHeight="1" x14ac:dyDescent="0.25">
      <c r="A384" s="119" t="str">
        <f>IF(ISNONTEXT(node_raw[[#This Row],[Column2]]), "", node_raw[[#This Row],[Column2]])</f>
        <v/>
      </c>
      <c r="B384" s="116" t="str">
        <f>IF(A384&lt;&gt;"", VLOOKUP(A384, node!$C$2:$D$500, 2, FALSE), "")</f>
        <v/>
      </c>
      <c r="C384" s="117" t="str">
        <f>IF(A384&lt;&gt;"", VLOOKUP(A384, node!$C$2:$E$500, 3, FALSE), "")</f>
        <v/>
      </c>
      <c r="D384" s="118" t="str">
        <f>IF(A384&lt;&gt;"",COUNTIFS(node!$C$2:$C$500,"="&amp;A384, node!$C$2:$C$500,"&lt;&gt;"&amp;""),"")</f>
        <v/>
      </c>
      <c r="E384" s="122" t="str">
        <f>IF(A384&lt;&gt;"",SUMIFS(node!$F$2:$F$500, node!$C$2:$C$500,"="&amp;A384, node!$C$2:$C$500,"&lt;&gt;"&amp;"")/(B384*D384),"")</f>
        <v/>
      </c>
      <c r="F384" s="124" t="str">
        <f>IF(A384&lt;&gt;"",SUMIFS(node!$H$2:$H$500, node!$C$2:$C$500,"="&amp;A384, node!$C$2:$C$500,"&lt;&gt;"&amp;"")/(C384*D384),"")</f>
        <v/>
      </c>
      <c r="G384" s="93" t="str">
        <f>IF(A384&lt;&gt;"",SUMIFS(deployment!$F$4:$F$502, deployment!$D$4:$D$502,"="&amp;A384, deployment!$D$4:$D$502,"&lt;&gt;"&amp;""),"")</f>
        <v/>
      </c>
      <c r="H384" s="94" t="str">
        <f>IF(A384&lt;&gt;"",SUMIFS(deployment!$G$4:$G$502, deployment!$D$4:$D$502,"="&amp;A384, deployment!$D$4:$D$502,"&lt;&gt;"&amp;""),"")</f>
        <v/>
      </c>
      <c r="I384" s="95" t="str">
        <f>IF(A384&lt;&gt;"",SUMIFS(deployment!$H$4:$H$502, deployment!$D$4:$D$502,"="&amp;A384, deployment!$D$4:$D$502,"&lt;&gt;"&amp;""),"")</f>
        <v/>
      </c>
      <c r="J384" s="96" t="str">
        <f>IF(A384&lt;&gt;"",SUMIFS(deployment!$I$4:$I$502, deployment!$D$4:$D$502,"="&amp;A384, deployment!$D$4:$D$502,"&lt;&gt;"&amp;""),"")</f>
        <v/>
      </c>
      <c r="K384" s="112" t="str">
        <f>IF(A384&lt;&gt;"",SUMIFS(deployment!$J$4:$J$502, deployment!$D$4:$D$502,"="&amp;A384, deployment!$D$4:$D$502,"&lt;&gt;"&amp;""),"")</f>
        <v/>
      </c>
      <c r="L384" s="112" t="str">
        <f>IF(A384&lt;&gt;"",SUMIFS(deployment!$K$4:$K$502, deployment!$D$4:$D$502,"="&amp;A384, deployment!$D$4:$D$502,"&lt;&gt;"&amp;""),"")</f>
        <v/>
      </c>
      <c r="M384" s="97" t="str">
        <f>IF(A384&lt;&gt;"",SUMIFS(deployment!$L$4:$L$502, deployment!$D$4:$D$502,"="&amp;A384, deployment!$D$4:$D$502,"&lt;&gt;"&amp;""),"")</f>
        <v/>
      </c>
      <c r="N384" s="97" t="str">
        <f>IF(A384&lt;&gt;"",SUMIFS(deployment!$M$4:$M$502, deployment!$D$4:$D$502,"="&amp;A384, deployment!$D$4:$D$502,"&lt;&gt;"&amp;""),"")</f>
        <v/>
      </c>
      <c r="O384" s="127" t="str">
        <f t="shared" si="71"/>
        <v/>
      </c>
      <c r="P384" s="104"/>
      <c r="Q384" s="99" t="str">
        <f t="shared" si="60"/>
        <v/>
      </c>
      <c r="R384" s="100" t="str">
        <f t="shared" si="61"/>
        <v/>
      </c>
      <c r="S384" s="100" t="str">
        <f t="shared" si="62"/>
        <v/>
      </c>
      <c r="T384" s="101" t="str">
        <f t="shared" si="63"/>
        <v/>
      </c>
      <c r="U384" s="101" t="str">
        <f t="shared" si="64"/>
        <v/>
      </c>
      <c r="V384" s="128" t="str">
        <f t="shared" si="65"/>
        <v/>
      </c>
      <c r="W384" s="128" t="str">
        <f t="shared" si="66"/>
        <v/>
      </c>
      <c r="X384" s="101" t="str">
        <f t="shared" si="67"/>
        <v/>
      </c>
      <c r="Y384" s="101" t="str">
        <f t="shared" si="68"/>
        <v/>
      </c>
      <c r="Z384" s="102" t="str">
        <f t="shared" si="69"/>
        <v/>
      </c>
      <c r="AA384" s="103" t="str">
        <f t="shared" si="70"/>
        <v/>
      </c>
      <c r="AB384" s="142" t="str">
        <f>IF(A384&lt;&gt;"", SUMIFS(node!$J$2:$J$500, node!$C$2:$C$500,"="&amp;A384)/P384, "")</f>
        <v/>
      </c>
      <c r="AC384" s="134" t="str">
        <f>IF(A384&lt;&gt;"", SUMIFS(node!$K$2:$K$500, node!$C$2:$C$500,"="&amp;A384)/P384, "")</f>
        <v/>
      </c>
      <c r="AD384" s="135" t="str">
        <f>IF(A384&lt;&gt;"", SUMIFS(node!$L$2:$L$500, node!$C$2:$C$500,"="&amp;A384), "")</f>
        <v/>
      </c>
      <c r="AE384" s="145" t="str">
        <f>IF(A384&lt;&gt;"", SUMIFS(node!$M$2:$M$500, node!$C$2:$C$500,"="&amp;A384), "")</f>
        <v/>
      </c>
    </row>
    <row r="385" spans="1:31" ht="15.75" customHeight="1" x14ac:dyDescent="0.25">
      <c r="A385" s="119" t="str">
        <f>IF(ISNONTEXT(node_raw[[#This Row],[Column2]]), "", node_raw[[#This Row],[Column2]])</f>
        <v/>
      </c>
      <c r="B385" s="116" t="str">
        <f>IF(A385&lt;&gt;"", VLOOKUP(A385, node!$C$2:$D$500, 2, FALSE), "")</f>
        <v/>
      </c>
      <c r="C385" s="117" t="str">
        <f>IF(A385&lt;&gt;"", VLOOKUP(A385, node!$C$2:$E$500, 3, FALSE), "")</f>
        <v/>
      </c>
      <c r="D385" s="118" t="str">
        <f>IF(A385&lt;&gt;"",COUNTIFS(node!$C$2:$C$500,"="&amp;A385, node!$C$2:$C$500,"&lt;&gt;"&amp;""),"")</f>
        <v/>
      </c>
      <c r="E385" s="122" t="str">
        <f>IF(A385&lt;&gt;"",SUMIFS(node!$F$2:$F$500, node!$C$2:$C$500,"="&amp;A385, node!$C$2:$C$500,"&lt;&gt;"&amp;"")/(B385*D385),"")</f>
        <v/>
      </c>
      <c r="F385" s="124" t="str">
        <f>IF(A385&lt;&gt;"",SUMIFS(node!$H$2:$H$500, node!$C$2:$C$500,"="&amp;A385, node!$C$2:$C$500,"&lt;&gt;"&amp;"")/(C385*D385),"")</f>
        <v/>
      </c>
      <c r="G385" s="93" t="str">
        <f>IF(A385&lt;&gt;"",SUMIFS(deployment!$F$4:$F$502, deployment!$D$4:$D$502,"="&amp;A385, deployment!$D$4:$D$502,"&lt;&gt;"&amp;""),"")</f>
        <v/>
      </c>
      <c r="H385" s="94" t="str">
        <f>IF(A385&lt;&gt;"",SUMIFS(deployment!$G$4:$G$502, deployment!$D$4:$D$502,"="&amp;A385, deployment!$D$4:$D$502,"&lt;&gt;"&amp;""),"")</f>
        <v/>
      </c>
      <c r="I385" s="95" t="str">
        <f>IF(A385&lt;&gt;"",SUMIFS(deployment!$H$4:$H$502, deployment!$D$4:$D$502,"="&amp;A385, deployment!$D$4:$D$502,"&lt;&gt;"&amp;""),"")</f>
        <v/>
      </c>
      <c r="J385" s="96" t="str">
        <f>IF(A385&lt;&gt;"",SUMIFS(deployment!$I$4:$I$502, deployment!$D$4:$D$502,"="&amp;A385, deployment!$D$4:$D$502,"&lt;&gt;"&amp;""),"")</f>
        <v/>
      </c>
      <c r="K385" s="112" t="str">
        <f>IF(A385&lt;&gt;"",SUMIFS(deployment!$J$4:$J$502, deployment!$D$4:$D$502,"="&amp;A385, deployment!$D$4:$D$502,"&lt;&gt;"&amp;""),"")</f>
        <v/>
      </c>
      <c r="L385" s="112" t="str">
        <f>IF(A385&lt;&gt;"",SUMIFS(deployment!$K$4:$K$502, deployment!$D$4:$D$502,"="&amp;A385, deployment!$D$4:$D$502,"&lt;&gt;"&amp;""),"")</f>
        <v/>
      </c>
      <c r="M385" s="97" t="str">
        <f>IF(A385&lt;&gt;"",SUMIFS(deployment!$L$4:$L$502, deployment!$D$4:$D$502,"="&amp;A385, deployment!$D$4:$D$502,"&lt;&gt;"&amp;""),"")</f>
        <v/>
      </c>
      <c r="N385" s="97" t="str">
        <f>IF(A385&lt;&gt;"",SUMIFS(deployment!$M$4:$M$502, deployment!$D$4:$D$502,"="&amp;A385, deployment!$D$4:$D$502,"&lt;&gt;"&amp;""),"")</f>
        <v/>
      </c>
      <c r="O385" s="127" t="str">
        <f t="shared" si="71"/>
        <v/>
      </c>
      <c r="P385" s="104"/>
      <c r="Q385" s="99" t="str">
        <f t="shared" si="60"/>
        <v/>
      </c>
      <c r="R385" s="100" t="str">
        <f t="shared" si="61"/>
        <v/>
      </c>
      <c r="S385" s="100" t="str">
        <f t="shared" si="62"/>
        <v/>
      </c>
      <c r="T385" s="101" t="str">
        <f t="shared" si="63"/>
        <v/>
      </c>
      <c r="U385" s="101" t="str">
        <f t="shared" si="64"/>
        <v/>
      </c>
      <c r="V385" s="128" t="str">
        <f t="shared" si="65"/>
        <v/>
      </c>
      <c r="W385" s="128" t="str">
        <f t="shared" si="66"/>
        <v/>
      </c>
      <c r="X385" s="101" t="str">
        <f t="shared" si="67"/>
        <v/>
      </c>
      <c r="Y385" s="101" t="str">
        <f t="shared" si="68"/>
        <v/>
      </c>
      <c r="Z385" s="102" t="str">
        <f t="shared" si="69"/>
        <v/>
      </c>
      <c r="AA385" s="103" t="str">
        <f t="shared" si="70"/>
        <v/>
      </c>
      <c r="AB385" s="142" t="str">
        <f>IF(A385&lt;&gt;"", SUMIFS(node!$J$2:$J$500, node!$C$2:$C$500,"="&amp;A385)/P385, "")</f>
        <v/>
      </c>
      <c r="AC385" s="134" t="str">
        <f>IF(A385&lt;&gt;"", SUMIFS(node!$K$2:$K$500, node!$C$2:$C$500,"="&amp;A385)/P385, "")</f>
        <v/>
      </c>
      <c r="AD385" s="135" t="str">
        <f>IF(A385&lt;&gt;"", SUMIFS(node!$L$2:$L$500, node!$C$2:$C$500,"="&amp;A385), "")</f>
        <v/>
      </c>
      <c r="AE385" s="145" t="str">
        <f>IF(A385&lt;&gt;"", SUMIFS(node!$M$2:$M$500, node!$C$2:$C$500,"="&amp;A385), "")</f>
        <v/>
      </c>
    </row>
    <row r="386" spans="1:31" ht="15.75" customHeight="1" x14ac:dyDescent="0.25">
      <c r="A386" s="119" t="str">
        <f>IF(ISNONTEXT(node_raw[[#This Row],[Column2]]), "", node_raw[[#This Row],[Column2]])</f>
        <v/>
      </c>
      <c r="B386" s="116" t="str">
        <f>IF(A386&lt;&gt;"", VLOOKUP(A386, node!$C$2:$D$500, 2, FALSE), "")</f>
        <v/>
      </c>
      <c r="C386" s="117" t="str">
        <f>IF(A386&lt;&gt;"", VLOOKUP(A386, node!$C$2:$E$500, 3, FALSE), "")</f>
        <v/>
      </c>
      <c r="D386" s="118" t="str">
        <f>IF(A386&lt;&gt;"",COUNTIFS(node!$C$2:$C$500,"="&amp;A386, node!$C$2:$C$500,"&lt;&gt;"&amp;""),"")</f>
        <v/>
      </c>
      <c r="E386" s="122" t="str">
        <f>IF(A386&lt;&gt;"",SUMIFS(node!$F$2:$F$500, node!$C$2:$C$500,"="&amp;A386, node!$C$2:$C$500,"&lt;&gt;"&amp;"")/(B386*D386),"")</f>
        <v/>
      </c>
      <c r="F386" s="124" t="str">
        <f>IF(A386&lt;&gt;"",SUMIFS(node!$H$2:$H$500, node!$C$2:$C$500,"="&amp;A386, node!$C$2:$C$500,"&lt;&gt;"&amp;"")/(C386*D386),"")</f>
        <v/>
      </c>
      <c r="G386" s="93" t="str">
        <f>IF(A386&lt;&gt;"",SUMIFS(deployment!$F$4:$F$502, deployment!$D$4:$D$502,"="&amp;A386, deployment!$D$4:$D$502,"&lt;&gt;"&amp;""),"")</f>
        <v/>
      </c>
      <c r="H386" s="94" t="str">
        <f>IF(A386&lt;&gt;"",SUMIFS(deployment!$G$4:$G$502, deployment!$D$4:$D$502,"="&amp;A386, deployment!$D$4:$D$502,"&lt;&gt;"&amp;""),"")</f>
        <v/>
      </c>
      <c r="I386" s="95" t="str">
        <f>IF(A386&lt;&gt;"",SUMIFS(deployment!$H$4:$H$502, deployment!$D$4:$D$502,"="&amp;A386, deployment!$D$4:$D$502,"&lt;&gt;"&amp;""),"")</f>
        <v/>
      </c>
      <c r="J386" s="96" t="str">
        <f>IF(A386&lt;&gt;"",SUMIFS(deployment!$I$4:$I$502, deployment!$D$4:$D$502,"="&amp;A386, deployment!$D$4:$D$502,"&lt;&gt;"&amp;""),"")</f>
        <v/>
      </c>
      <c r="K386" s="112" t="str">
        <f>IF(A386&lt;&gt;"",SUMIFS(deployment!$J$4:$J$502, deployment!$D$4:$D$502,"="&amp;A386, deployment!$D$4:$D$502,"&lt;&gt;"&amp;""),"")</f>
        <v/>
      </c>
      <c r="L386" s="112" t="str">
        <f>IF(A386&lt;&gt;"",SUMIFS(deployment!$K$4:$K$502, deployment!$D$4:$D$502,"="&amp;A386, deployment!$D$4:$D$502,"&lt;&gt;"&amp;""),"")</f>
        <v/>
      </c>
      <c r="M386" s="97" t="str">
        <f>IF(A386&lt;&gt;"",SUMIFS(deployment!$L$4:$L$502, deployment!$D$4:$D$502,"="&amp;A386, deployment!$D$4:$D$502,"&lt;&gt;"&amp;""),"")</f>
        <v/>
      </c>
      <c r="N386" s="97" t="str">
        <f>IF(A386&lt;&gt;"",SUMIFS(deployment!$M$4:$M$502, deployment!$D$4:$D$502,"="&amp;A386, deployment!$D$4:$D$502,"&lt;&gt;"&amp;""),"")</f>
        <v/>
      </c>
      <c r="O386" s="127" t="str">
        <f t="shared" si="71"/>
        <v/>
      </c>
      <c r="P386" s="104"/>
      <c r="Q386" s="99" t="str">
        <f t="shared" si="60"/>
        <v/>
      </c>
      <c r="R386" s="100" t="str">
        <f t="shared" si="61"/>
        <v/>
      </c>
      <c r="S386" s="100" t="str">
        <f t="shared" si="62"/>
        <v/>
      </c>
      <c r="T386" s="101" t="str">
        <f t="shared" si="63"/>
        <v/>
      </c>
      <c r="U386" s="101" t="str">
        <f t="shared" si="64"/>
        <v/>
      </c>
      <c r="V386" s="128" t="str">
        <f t="shared" si="65"/>
        <v/>
      </c>
      <c r="W386" s="128" t="str">
        <f t="shared" si="66"/>
        <v/>
      </c>
      <c r="X386" s="101" t="str">
        <f t="shared" si="67"/>
        <v/>
      </c>
      <c r="Y386" s="101" t="str">
        <f t="shared" si="68"/>
        <v/>
      </c>
      <c r="Z386" s="102" t="str">
        <f t="shared" si="69"/>
        <v/>
      </c>
      <c r="AA386" s="103" t="str">
        <f t="shared" si="70"/>
        <v/>
      </c>
      <c r="AB386" s="142" t="str">
        <f>IF(A386&lt;&gt;"", SUMIFS(node!$J$2:$J$500, node!$C$2:$C$500,"="&amp;A386)/P386, "")</f>
        <v/>
      </c>
      <c r="AC386" s="134" t="str">
        <f>IF(A386&lt;&gt;"", SUMIFS(node!$K$2:$K$500, node!$C$2:$C$500,"="&amp;A386)/P386, "")</f>
        <v/>
      </c>
      <c r="AD386" s="135" t="str">
        <f>IF(A386&lt;&gt;"", SUMIFS(node!$L$2:$L$500, node!$C$2:$C$500,"="&amp;A386), "")</f>
        <v/>
      </c>
      <c r="AE386" s="145" t="str">
        <f>IF(A386&lt;&gt;"", SUMIFS(node!$M$2:$M$500, node!$C$2:$C$500,"="&amp;A386), "")</f>
        <v/>
      </c>
    </row>
    <row r="387" spans="1:31" ht="15.75" customHeight="1" x14ac:dyDescent="0.25">
      <c r="A387" s="119" t="str">
        <f>IF(ISNONTEXT(node_raw[[#This Row],[Column2]]), "", node_raw[[#This Row],[Column2]])</f>
        <v/>
      </c>
      <c r="B387" s="116" t="str">
        <f>IF(A387&lt;&gt;"", VLOOKUP(A387, node!$C$2:$D$500, 2, FALSE), "")</f>
        <v/>
      </c>
      <c r="C387" s="117" t="str">
        <f>IF(A387&lt;&gt;"", VLOOKUP(A387, node!$C$2:$E$500, 3, FALSE), "")</f>
        <v/>
      </c>
      <c r="D387" s="118" t="str">
        <f>IF(A387&lt;&gt;"",COUNTIFS(node!$C$2:$C$500,"="&amp;A387, node!$C$2:$C$500,"&lt;&gt;"&amp;""),"")</f>
        <v/>
      </c>
      <c r="E387" s="122" t="str">
        <f>IF(A387&lt;&gt;"",SUMIFS(node!$F$2:$F$500, node!$C$2:$C$500,"="&amp;A387, node!$C$2:$C$500,"&lt;&gt;"&amp;"")/(B387*D387),"")</f>
        <v/>
      </c>
      <c r="F387" s="124" t="str">
        <f>IF(A387&lt;&gt;"",SUMIFS(node!$H$2:$H$500, node!$C$2:$C$500,"="&amp;A387, node!$C$2:$C$500,"&lt;&gt;"&amp;"")/(C387*D387),"")</f>
        <v/>
      </c>
      <c r="G387" s="93" t="str">
        <f>IF(A387&lt;&gt;"",SUMIFS(deployment!$F$4:$F$502, deployment!$D$4:$D$502,"="&amp;A387, deployment!$D$4:$D$502,"&lt;&gt;"&amp;""),"")</f>
        <v/>
      </c>
      <c r="H387" s="94" t="str">
        <f>IF(A387&lt;&gt;"",SUMIFS(deployment!$G$4:$G$502, deployment!$D$4:$D$502,"="&amp;A387, deployment!$D$4:$D$502,"&lt;&gt;"&amp;""),"")</f>
        <v/>
      </c>
      <c r="I387" s="95" t="str">
        <f>IF(A387&lt;&gt;"",SUMIFS(deployment!$H$4:$H$502, deployment!$D$4:$D$502,"="&amp;A387, deployment!$D$4:$D$502,"&lt;&gt;"&amp;""),"")</f>
        <v/>
      </c>
      <c r="J387" s="96" t="str">
        <f>IF(A387&lt;&gt;"",SUMIFS(deployment!$I$4:$I$502, deployment!$D$4:$D$502,"="&amp;A387, deployment!$D$4:$D$502,"&lt;&gt;"&amp;""),"")</f>
        <v/>
      </c>
      <c r="K387" s="112" t="str">
        <f>IF(A387&lt;&gt;"",SUMIFS(deployment!$J$4:$J$502, deployment!$D$4:$D$502,"="&amp;A387, deployment!$D$4:$D$502,"&lt;&gt;"&amp;""),"")</f>
        <v/>
      </c>
      <c r="L387" s="112" t="str">
        <f>IF(A387&lt;&gt;"",SUMIFS(deployment!$K$4:$K$502, deployment!$D$4:$D$502,"="&amp;A387, deployment!$D$4:$D$502,"&lt;&gt;"&amp;""),"")</f>
        <v/>
      </c>
      <c r="M387" s="97" t="str">
        <f>IF(A387&lt;&gt;"",SUMIFS(deployment!$L$4:$L$502, deployment!$D$4:$D$502,"="&amp;A387, deployment!$D$4:$D$502,"&lt;&gt;"&amp;""),"")</f>
        <v/>
      </c>
      <c r="N387" s="97" t="str">
        <f>IF(A387&lt;&gt;"",SUMIFS(deployment!$M$4:$M$502, deployment!$D$4:$D$502,"="&amp;A387, deployment!$D$4:$D$502,"&lt;&gt;"&amp;""),"")</f>
        <v/>
      </c>
      <c r="O387" s="127" t="str">
        <f t="shared" si="71"/>
        <v/>
      </c>
      <c r="P387" s="104"/>
      <c r="Q387" s="99" t="str">
        <f t="shared" si="60"/>
        <v/>
      </c>
      <c r="R387" s="100" t="str">
        <f t="shared" si="61"/>
        <v/>
      </c>
      <c r="S387" s="100" t="str">
        <f t="shared" si="62"/>
        <v/>
      </c>
      <c r="T387" s="101" t="str">
        <f t="shared" si="63"/>
        <v/>
      </c>
      <c r="U387" s="101" t="str">
        <f t="shared" si="64"/>
        <v/>
      </c>
      <c r="V387" s="128" t="str">
        <f t="shared" si="65"/>
        <v/>
      </c>
      <c r="W387" s="128" t="str">
        <f t="shared" si="66"/>
        <v/>
      </c>
      <c r="X387" s="101" t="str">
        <f t="shared" si="67"/>
        <v/>
      </c>
      <c r="Y387" s="101" t="str">
        <f t="shared" si="68"/>
        <v/>
      </c>
      <c r="Z387" s="102" t="str">
        <f t="shared" si="69"/>
        <v/>
      </c>
      <c r="AA387" s="103" t="str">
        <f t="shared" si="70"/>
        <v/>
      </c>
      <c r="AB387" s="142" t="str">
        <f>IF(A387&lt;&gt;"", SUMIFS(node!$J$2:$J$500, node!$C$2:$C$500,"="&amp;A387)/P387, "")</f>
        <v/>
      </c>
      <c r="AC387" s="134" t="str">
        <f>IF(A387&lt;&gt;"", SUMIFS(node!$K$2:$K$500, node!$C$2:$C$500,"="&amp;A387)/P387, "")</f>
        <v/>
      </c>
      <c r="AD387" s="135" t="str">
        <f>IF(A387&lt;&gt;"", SUMIFS(node!$L$2:$L$500, node!$C$2:$C$500,"="&amp;A387), "")</f>
        <v/>
      </c>
      <c r="AE387" s="145" t="str">
        <f>IF(A387&lt;&gt;"", SUMIFS(node!$M$2:$M$500, node!$C$2:$C$500,"="&amp;A387), "")</f>
        <v/>
      </c>
    </row>
    <row r="388" spans="1:31" ht="15.75" customHeight="1" x14ac:dyDescent="0.25">
      <c r="A388" s="119" t="str">
        <f>IF(ISNONTEXT(node_raw[[#This Row],[Column2]]), "", node_raw[[#This Row],[Column2]])</f>
        <v/>
      </c>
      <c r="B388" s="116" t="str">
        <f>IF(A388&lt;&gt;"", VLOOKUP(A388, node!$C$2:$D$500, 2, FALSE), "")</f>
        <v/>
      </c>
      <c r="C388" s="117" t="str">
        <f>IF(A388&lt;&gt;"", VLOOKUP(A388, node!$C$2:$E$500, 3, FALSE), "")</f>
        <v/>
      </c>
      <c r="D388" s="118" t="str">
        <f>IF(A388&lt;&gt;"",COUNTIFS(node!$C$2:$C$500,"="&amp;A388, node!$C$2:$C$500,"&lt;&gt;"&amp;""),"")</f>
        <v/>
      </c>
      <c r="E388" s="122" t="str">
        <f>IF(A388&lt;&gt;"",SUMIFS(node!$F$2:$F$500, node!$C$2:$C$500,"="&amp;A388, node!$C$2:$C$500,"&lt;&gt;"&amp;"")/(B388*D388),"")</f>
        <v/>
      </c>
      <c r="F388" s="124" t="str">
        <f>IF(A388&lt;&gt;"",SUMIFS(node!$H$2:$H$500, node!$C$2:$C$500,"="&amp;A388, node!$C$2:$C$500,"&lt;&gt;"&amp;"")/(C388*D388),"")</f>
        <v/>
      </c>
      <c r="G388" s="93" t="str">
        <f>IF(A388&lt;&gt;"",SUMIFS(deployment!$F$4:$F$502, deployment!$D$4:$D$502,"="&amp;A388, deployment!$D$4:$D$502,"&lt;&gt;"&amp;""),"")</f>
        <v/>
      </c>
      <c r="H388" s="94" t="str">
        <f>IF(A388&lt;&gt;"",SUMIFS(deployment!$G$4:$G$502, deployment!$D$4:$D$502,"="&amp;A388, deployment!$D$4:$D$502,"&lt;&gt;"&amp;""),"")</f>
        <v/>
      </c>
      <c r="I388" s="95" t="str">
        <f>IF(A388&lt;&gt;"",SUMIFS(deployment!$H$4:$H$502, deployment!$D$4:$D$502,"="&amp;A388, deployment!$D$4:$D$502,"&lt;&gt;"&amp;""),"")</f>
        <v/>
      </c>
      <c r="J388" s="96" t="str">
        <f>IF(A388&lt;&gt;"",SUMIFS(deployment!$I$4:$I$502, deployment!$D$4:$D$502,"="&amp;A388, deployment!$D$4:$D$502,"&lt;&gt;"&amp;""),"")</f>
        <v/>
      </c>
      <c r="K388" s="112" t="str">
        <f>IF(A388&lt;&gt;"",SUMIFS(deployment!$J$4:$J$502, deployment!$D$4:$D$502,"="&amp;A388, deployment!$D$4:$D$502,"&lt;&gt;"&amp;""),"")</f>
        <v/>
      </c>
      <c r="L388" s="112" t="str">
        <f>IF(A388&lt;&gt;"",SUMIFS(deployment!$K$4:$K$502, deployment!$D$4:$D$502,"="&amp;A388, deployment!$D$4:$D$502,"&lt;&gt;"&amp;""),"")</f>
        <v/>
      </c>
      <c r="M388" s="97" t="str">
        <f>IF(A388&lt;&gt;"",SUMIFS(deployment!$L$4:$L$502, deployment!$D$4:$D$502,"="&amp;A388, deployment!$D$4:$D$502,"&lt;&gt;"&amp;""),"")</f>
        <v/>
      </c>
      <c r="N388" s="97" t="str">
        <f>IF(A388&lt;&gt;"",SUMIFS(deployment!$M$4:$M$502, deployment!$D$4:$D$502,"="&amp;A388, deployment!$D$4:$D$502,"&lt;&gt;"&amp;""),"")</f>
        <v/>
      </c>
      <c r="O388" s="127" t="str">
        <f t="shared" si="71"/>
        <v/>
      </c>
      <c r="P388" s="104"/>
      <c r="Q388" s="99" t="str">
        <f t="shared" ref="Q388:Q451" si="72">IF(A388&lt;&gt;"",(D388-P388)/D388,"")</f>
        <v/>
      </c>
      <c r="R388" s="100" t="str">
        <f t="shared" ref="R388:R451" si="73">IF(A388&lt;&gt;"",G388/(P388*B388),"")</f>
        <v/>
      </c>
      <c r="S388" s="100" t="str">
        <f t="shared" ref="S388:S451" si="74">IF(A388&lt;&gt;"",H388/(P388*C388),"")</f>
        <v/>
      </c>
      <c r="T388" s="101" t="str">
        <f t="shared" ref="T388:T451" si="75">IF(A388&lt;&gt;"",I388/(P388*B388),"")</f>
        <v/>
      </c>
      <c r="U388" s="101" t="str">
        <f t="shared" ref="U388:U451" si="76">IF(A388&lt;&gt;"",J388/(P388*C388),"")</f>
        <v/>
      </c>
      <c r="V388" s="128" t="str">
        <f t="shared" ref="V388:V451" si="77">IF(A388&lt;&gt;"",K388/(P388*B388),"")</f>
        <v/>
      </c>
      <c r="W388" s="128" t="str">
        <f t="shared" ref="W388:W451" si="78">IF(A388&lt;&gt;"",L388/(P388*C388),"")</f>
        <v/>
      </c>
      <c r="X388" s="101" t="str">
        <f t="shared" ref="X388:X451" si="79">IF(A388&lt;&gt;"",M388/(P388*B388),"")</f>
        <v/>
      </c>
      <c r="Y388" s="101" t="str">
        <f t="shared" ref="Y388:Y451" si="80">IF(A388&lt;&gt;"",N388/(P388*C388),"")</f>
        <v/>
      </c>
      <c r="Z388" s="102" t="str">
        <f t="shared" ref="Z388:Z451" si="81">IF(A388&lt;&gt;"",(D388*E388)/P388,"")</f>
        <v/>
      </c>
      <c r="AA388" s="103" t="str">
        <f t="shared" ref="AA388:AA451" si="82">IF(A388&lt;&gt;"",(D388*F388)/P388,"")</f>
        <v/>
      </c>
      <c r="AB388" s="142" t="str">
        <f>IF(A388&lt;&gt;"", SUMIFS(node!$J$2:$J$500, node!$C$2:$C$500,"="&amp;A388)/P388, "")</f>
        <v/>
      </c>
      <c r="AC388" s="134" t="str">
        <f>IF(A388&lt;&gt;"", SUMIFS(node!$K$2:$K$500, node!$C$2:$C$500,"="&amp;A388)/P388, "")</f>
        <v/>
      </c>
      <c r="AD388" s="135" t="str">
        <f>IF(A388&lt;&gt;"", SUMIFS(node!$L$2:$L$500, node!$C$2:$C$500,"="&amp;A388), "")</f>
        <v/>
      </c>
      <c r="AE388" s="145" t="str">
        <f>IF(A388&lt;&gt;"", SUMIFS(node!$M$2:$M$500, node!$C$2:$C$500,"="&amp;A388), "")</f>
        <v/>
      </c>
    </row>
    <row r="389" spans="1:31" ht="15.75" customHeight="1" x14ac:dyDescent="0.25">
      <c r="A389" s="119" t="str">
        <f>IF(ISNONTEXT(node_raw[[#This Row],[Column2]]), "", node_raw[[#This Row],[Column2]])</f>
        <v/>
      </c>
      <c r="B389" s="116" t="str">
        <f>IF(A389&lt;&gt;"", VLOOKUP(A389, node!$C$2:$D$500, 2, FALSE), "")</f>
        <v/>
      </c>
      <c r="C389" s="117" t="str">
        <f>IF(A389&lt;&gt;"", VLOOKUP(A389, node!$C$2:$E$500, 3, FALSE), "")</f>
        <v/>
      </c>
      <c r="D389" s="118" t="str">
        <f>IF(A389&lt;&gt;"",COUNTIFS(node!$C$2:$C$500,"="&amp;A389, node!$C$2:$C$500,"&lt;&gt;"&amp;""),"")</f>
        <v/>
      </c>
      <c r="E389" s="122" t="str">
        <f>IF(A389&lt;&gt;"",SUMIFS(node!$F$2:$F$500, node!$C$2:$C$500,"="&amp;A389, node!$C$2:$C$500,"&lt;&gt;"&amp;"")/(B389*D389),"")</f>
        <v/>
      </c>
      <c r="F389" s="124" t="str">
        <f>IF(A389&lt;&gt;"",SUMIFS(node!$H$2:$H$500, node!$C$2:$C$500,"="&amp;A389, node!$C$2:$C$500,"&lt;&gt;"&amp;"")/(C389*D389),"")</f>
        <v/>
      </c>
      <c r="G389" s="93" t="str">
        <f>IF(A389&lt;&gt;"",SUMIFS(deployment!$F$4:$F$502, deployment!$D$4:$D$502,"="&amp;A389, deployment!$D$4:$D$502,"&lt;&gt;"&amp;""),"")</f>
        <v/>
      </c>
      <c r="H389" s="94" t="str">
        <f>IF(A389&lt;&gt;"",SUMIFS(deployment!$G$4:$G$502, deployment!$D$4:$D$502,"="&amp;A389, deployment!$D$4:$D$502,"&lt;&gt;"&amp;""),"")</f>
        <v/>
      </c>
      <c r="I389" s="95" t="str">
        <f>IF(A389&lt;&gt;"",SUMIFS(deployment!$H$4:$H$502, deployment!$D$4:$D$502,"="&amp;A389, deployment!$D$4:$D$502,"&lt;&gt;"&amp;""),"")</f>
        <v/>
      </c>
      <c r="J389" s="96" t="str">
        <f>IF(A389&lt;&gt;"",SUMIFS(deployment!$I$4:$I$502, deployment!$D$4:$D$502,"="&amp;A389, deployment!$D$4:$D$502,"&lt;&gt;"&amp;""),"")</f>
        <v/>
      </c>
      <c r="K389" s="112" t="str">
        <f>IF(A389&lt;&gt;"",SUMIFS(deployment!$J$4:$J$502, deployment!$D$4:$D$502,"="&amp;A389, deployment!$D$4:$D$502,"&lt;&gt;"&amp;""),"")</f>
        <v/>
      </c>
      <c r="L389" s="112" t="str">
        <f>IF(A389&lt;&gt;"",SUMIFS(deployment!$K$4:$K$502, deployment!$D$4:$D$502,"="&amp;A389, deployment!$D$4:$D$502,"&lt;&gt;"&amp;""),"")</f>
        <v/>
      </c>
      <c r="M389" s="97" t="str">
        <f>IF(A389&lt;&gt;"",SUMIFS(deployment!$L$4:$L$502, deployment!$D$4:$D$502,"="&amp;A389, deployment!$D$4:$D$502,"&lt;&gt;"&amp;""),"")</f>
        <v/>
      </c>
      <c r="N389" s="97" t="str">
        <f>IF(A389&lt;&gt;"",SUMIFS(deployment!$M$4:$M$502, deployment!$D$4:$D$502,"="&amp;A389, deployment!$D$4:$D$502,"&lt;&gt;"&amp;""),"")</f>
        <v/>
      </c>
      <c r="O389" s="127" t="str">
        <f t="shared" ref="O389:O452" si="83">IF(A389&lt;&gt;"",MAX(ROUNDUP(K389/(B389*$B$2), 0), ROUNDUP(L389/(C389*$C$2), 0), ROUNDUP(M389/(B389*$B$2), 0), ROUNDUP(N389/(C389*$C$2), 0), 1),"")</f>
        <v/>
      </c>
      <c r="P389" s="104"/>
      <c r="Q389" s="99" t="str">
        <f t="shared" si="72"/>
        <v/>
      </c>
      <c r="R389" s="100" t="str">
        <f t="shared" si="73"/>
        <v/>
      </c>
      <c r="S389" s="100" t="str">
        <f t="shared" si="74"/>
        <v/>
      </c>
      <c r="T389" s="101" t="str">
        <f t="shared" si="75"/>
        <v/>
      </c>
      <c r="U389" s="101" t="str">
        <f t="shared" si="76"/>
        <v/>
      </c>
      <c r="V389" s="128" t="str">
        <f t="shared" si="77"/>
        <v/>
      </c>
      <c r="W389" s="128" t="str">
        <f t="shared" si="78"/>
        <v/>
      </c>
      <c r="X389" s="101" t="str">
        <f t="shared" si="79"/>
        <v/>
      </c>
      <c r="Y389" s="101" t="str">
        <f t="shared" si="80"/>
        <v/>
      </c>
      <c r="Z389" s="102" t="str">
        <f t="shared" si="81"/>
        <v/>
      </c>
      <c r="AA389" s="103" t="str">
        <f t="shared" si="82"/>
        <v/>
      </c>
      <c r="AB389" s="142" t="str">
        <f>IF(A389&lt;&gt;"", SUMIFS(node!$J$2:$J$500, node!$C$2:$C$500,"="&amp;A389)/P389, "")</f>
        <v/>
      </c>
      <c r="AC389" s="134" t="str">
        <f>IF(A389&lt;&gt;"", SUMIFS(node!$K$2:$K$500, node!$C$2:$C$500,"="&amp;A389)/P389, "")</f>
        <v/>
      </c>
      <c r="AD389" s="135" t="str">
        <f>IF(A389&lt;&gt;"", SUMIFS(node!$L$2:$L$500, node!$C$2:$C$500,"="&amp;A389), "")</f>
        <v/>
      </c>
      <c r="AE389" s="145" t="str">
        <f>IF(A389&lt;&gt;"", SUMIFS(node!$M$2:$M$500, node!$C$2:$C$500,"="&amp;A389), "")</f>
        <v/>
      </c>
    </row>
    <row r="390" spans="1:31" ht="15.75" customHeight="1" x14ac:dyDescent="0.25">
      <c r="A390" s="119" t="str">
        <f>IF(ISNONTEXT(node_raw[[#This Row],[Column2]]), "", node_raw[[#This Row],[Column2]])</f>
        <v/>
      </c>
      <c r="B390" s="116" t="str">
        <f>IF(A390&lt;&gt;"", VLOOKUP(A390, node!$C$2:$D$500, 2, FALSE), "")</f>
        <v/>
      </c>
      <c r="C390" s="117" t="str">
        <f>IF(A390&lt;&gt;"", VLOOKUP(A390, node!$C$2:$E$500, 3, FALSE), "")</f>
        <v/>
      </c>
      <c r="D390" s="118" t="str">
        <f>IF(A390&lt;&gt;"",COUNTIFS(node!$C$2:$C$500,"="&amp;A390, node!$C$2:$C$500,"&lt;&gt;"&amp;""),"")</f>
        <v/>
      </c>
      <c r="E390" s="122" t="str">
        <f>IF(A390&lt;&gt;"",SUMIFS(node!$F$2:$F$500, node!$C$2:$C$500,"="&amp;A390, node!$C$2:$C$500,"&lt;&gt;"&amp;"")/(B390*D390),"")</f>
        <v/>
      </c>
      <c r="F390" s="124" t="str">
        <f>IF(A390&lt;&gt;"",SUMIFS(node!$H$2:$H$500, node!$C$2:$C$500,"="&amp;A390, node!$C$2:$C$500,"&lt;&gt;"&amp;"")/(C390*D390),"")</f>
        <v/>
      </c>
      <c r="G390" s="93" t="str">
        <f>IF(A390&lt;&gt;"",SUMIFS(deployment!$F$4:$F$502, deployment!$D$4:$D$502,"="&amp;A390, deployment!$D$4:$D$502,"&lt;&gt;"&amp;""),"")</f>
        <v/>
      </c>
      <c r="H390" s="94" t="str">
        <f>IF(A390&lt;&gt;"",SUMIFS(deployment!$G$4:$G$502, deployment!$D$4:$D$502,"="&amp;A390, deployment!$D$4:$D$502,"&lt;&gt;"&amp;""),"")</f>
        <v/>
      </c>
      <c r="I390" s="95" t="str">
        <f>IF(A390&lt;&gt;"",SUMIFS(deployment!$H$4:$H$502, deployment!$D$4:$D$502,"="&amp;A390, deployment!$D$4:$D$502,"&lt;&gt;"&amp;""),"")</f>
        <v/>
      </c>
      <c r="J390" s="96" t="str">
        <f>IF(A390&lt;&gt;"",SUMIFS(deployment!$I$4:$I$502, deployment!$D$4:$D$502,"="&amp;A390, deployment!$D$4:$D$502,"&lt;&gt;"&amp;""),"")</f>
        <v/>
      </c>
      <c r="K390" s="112" t="str">
        <f>IF(A390&lt;&gt;"",SUMIFS(deployment!$J$4:$J$502, deployment!$D$4:$D$502,"="&amp;A390, deployment!$D$4:$D$502,"&lt;&gt;"&amp;""),"")</f>
        <v/>
      </c>
      <c r="L390" s="112" t="str">
        <f>IF(A390&lt;&gt;"",SUMIFS(deployment!$K$4:$K$502, deployment!$D$4:$D$502,"="&amp;A390, deployment!$D$4:$D$502,"&lt;&gt;"&amp;""),"")</f>
        <v/>
      </c>
      <c r="M390" s="97" t="str">
        <f>IF(A390&lt;&gt;"",SUMIFS(deployment!$L$4:$L$502, deployment!$D$4:$D$502,"="&amp;A390, deployment!$D$4:$D$502,"&lt;&gt;"&amp;""),"")</f>
        <v/>
      </c>
      <c r="N390" s="97" t="str">
        <f>IF(A390&lt;&gt;"",SUMIFS(deployment!$M$4:$M$502, deployment!$D$4:$D$502,"="&amp;A390, deployment!$D$4:$D$502,"&lt;&gt;"&amp;""),"")</f>
        <v/>
      </c>
      <c r="O390" s="127" t="str">
        <f t="shared" si="83"/>
        <v/>
      </c>
      <c r="P390" s="104"/>
      <c r="Q390" s="99" t="str">
        <f t="shared" si="72"/>
        <v/>
      </c>
      <c r="R390" s="100" t="str">
        <f t="shared" si="73"/>
        <v/>
      </c>
      <c r="S390" s="100" t="str">
        <f t="shared" si="74"/>
        <v/>
      </c>
      <c r="T390" s="101" t="str">
        <f t="shared" si="75"/>
        <v/>
      </c>
      <c r="U390" s="101" t="str">
        <f t="shared" si="76"/>
        <v/>
      </c>
      <c r="V390" s="128" t="str">
        <f t="shared" si="77"/>
        <v/>
      </c>
      <c r="W390" s="128" t="str">
        <f t="shared" si="78"/>
        <v/>
      </c>
      <c r="X390" s="101" t="str">
        <f t="shared" si="79"/>
        <v/>
      </c>
      <c r="Y390" s="101" t="str">
        <f t="shared" si="80"/>
        <v/>
      </c>
      <c r="Z390" s="102" t="str">
        <f t="shared" si="81"/>
        <v/>
      </c>
      <c r="AA390" s="103" t="str">
        <f t="shared" si="82"/>
        <v/>
      </c>
      <c r="AB390" s="142" t="str">
        <f>IF(A390&lt;&gt;"", SUMIFS(node!$J$2:$J$500, node!$C$2:$C$500,"="&amp;A390)/P390, "")</f>
        <v/>
      </c>
      <c r="AC390" s="134" t="str">
        <f>IF(A390&lt;&gt;"", SUMIFS(node!$K$2:$K$500, node!$C$2:$C$500,"="&amp;A390)/P390, "")</f>
        <v/>
      </c>
      <c r="AD390" s="135" t="str">
        <f>IF(A390&lt;&gt;"", SUMIFS(node!$L$2:$L$500, node!$C$2:$C$500,"="&amp;A390), "")</f>
        <v/>
      </c>
      <c r="AE390" s="145" t="str">
        <f>IF(A390&lt;&gt;"", SUMIFS(node!$M$2:$M$500, node!$C$2:$C$500,"="&amp;A390), "")</f>
        <v/>
      </c>
    </row>
    <row r="391" spans="1:31" ht="15.75" customHeight="1" x14ac:dyDescent="0.25">
      <c r="A391" s="119" t="str">
        <f>IF(ISNONTEXT(node_raw[[#This Row],[Column2]]), "", node_raw[[#This Row],[Column2]])</f>
        <v/>
      </c>
      <c r="B391" s="116" t="str">
        <f>IF(A391&lt;&gt;"", VLOOKUP(A391, node!$C$2:$D$500, 2, FALSE), "")</f>
        <v/>
      </c>
      <c r="C391" s="117" t="str">
        <f>IF(A391&lt;&gt;"", VLOOKUP(A391, node!$C$2:$E$500, 3, FALSE), "")</f>
        <v/>
      </c>
      <c r="D391" s="118" t="str">
        <f>IF(A391&lt;&gt;"",COUNTIFS(node!$C$2:$C$500,"="&amp;A391, node!$C$2:$C$500,"&lt;&gt;"&amp;""),"")</f>
        <v/>
      </c>
      <c r="E391" s="122" t="str">
        <f>IF(A391&lt;&gt;"",SUMIFS(node!$F$2:$F$500, node!$C$2:$C$500,"="&amp;A391, node!$C$2:$C$500,"&lt;&gt;"&amp;"")/(B391*D391),"")</f>
        <v/>
      </c>
      <c r="F391" s="124" t="str">
        <f>IF(A391&lt;&gt;"",SUMIFS(node!$H$2:$H$500, node!$C$2:$C$500,"="&amp;A391, node!$C$2:$C$500,"&lt;&gt;"&amp;"")/(C391*D391),"")</f>
        <v/>
      </c>
      <c r="G391" s="93" t="str">
        <f>IF(A391&lt;&gt;"",SUMIFS(deployment!$F$4:$F$502, deployment!$D$4:$D$502,"="&amp;A391, deployment!$D$4:$D$502,"&lt;&gt;"&amp;""),"")</f>
        <v/>
      </c>
      <c r="H391" s="94" t="str">
        <f>IF(A391&lt;&gt;"",SUMIFS(deployment!$G$4:$G$502, deployment!$D$4:$D$502,"="&amp;A391, deployment!$D$4:$D$502,"&lt;&gt;"&amp;""),"")</f>
        <v/>
      </c>
      <c r="I391" s="95" t="str">
        <f>IF(A391&lt;&gt;"",SUMIFS(deployment!$H$4:$H$502, deployment!$D$4:$D$502,"="&amp;A391, deployment!$D$4:$D$502,"&lt;&gt;"&amp;""),"")</f>
        <v/>
      </c>
      <c r="J391" s="96" t="str">
        <f>IF(A391&lt;&gt;"",SUMIFS(deployment!$I$4:$I$502, deployment!$D$4:$D$502,"="&amp;A391, deployment!$D$4:$D$502,"&lt;&gt;"&amp;""),"")</f>
        <v/>
      </c>
      <c r="K391" s="112" t="str">
        <f>IF(A391&lt;&gt;"",SUMIFS(deployment!$J$4:$J$502, deployment!$D$4:$D$502,"="&amp;A391, deployment!$D$4:$D$502,"&lt;&gt;"&amp;""),"")</f>
        <v/>
      </c>
      <c r="L391" s="112" t="str">
        <f>IF(A391&lt;&gt;"",SUMIFS(deployment!$K$4:$K$502, deployment!$D$4:$D$502,"="&amp;A391, deployment!$D$4:$D$502,"&lt;&gt;"&amp;""),"")</f>
        <v/>
      </c>
      <c r="M391" s="97" t="str">
        <f>IF(A391&lt;&gt;"",SUMIFS(deployment!$L$4:$L$502, deployment!$D$4:$D$502,"="&amp;A391, deployment!$D$4:$D$502,"&lt;&gt;"&amp;""),"")</f>
        <v/>
      </c>
      <c r="N391" s="97" t="str">
        <f>IF(A391&lt;&gt;"",SUMIFS(deployment!$M$4:$M$502, deployment!$D$4:$D$502,"="&amp;A391, deployment!$D$4:$D$502,"&lt;&gt;"&amp;""),"")</f>
        <v/>
      </c>
      <c r="O391" s="127" t="str">
        <f t="shared" si="83"/>
        <v/>
      </c>
      <c r="P391" s="104"/>
      <c r="Q391" s="99" t="str">
        <f t="shared" si="72"/>
        <v/>
      </c>
      <c r="R391" s="100" t="str">
        <f t="shared" si="73"/>
        <v/>
      </c>
      <c r="S391" s="100" t="str">
        <f t="shared" si="74"/>
        <v/>
      </c>
      <c r="T391" s="101" t="str">
        <f t="shared" si="75"/>
        <v/>
      </c>
      <c r="U391" s="101" t="str">
        <f t="shared" si="76"/>
        <v/>
      </c>
      <c r="V391" s="128" t="str">
        <f t="shared" si="77"/>
        <v/>
      </c>
      <c r="W391" s="128" t="str">
        <f t="shared" si="78"/>
        <v/>
      </c>
      <c r="X391" s="101" t="str">
        <f t="shared" si="79"/>
        <v/>
      </c>
      <c r="Y391" s="101" t="str">
        <f t="shared" si="80"/>
        <v/>
      </c>
      <c r="Z391" s="102" t="str">
        <f t="shared" si="81"/>
        <v/>
      </c>
      <c r="AA391" s="103" t="str">
        <f t="shared" si="82"/>
        <v/>
      </c>
      <c r="AB391" s="142" t="str">
        <f>IF(A391&lt;&gt;"", SUMIFS(node!$J$2:$J$500, node!$C$2:$C$500,"="&amp;A391)/P391, "")</f>
        <v/>
      </c>
      <c r="AC391" s="134" t="str">
        <f>IF(A391&lt;&gt;"", SUMIFS(node!$K$2:$K$500, node!$C$2:$C$500,"="&amp;A391)/P391, "")</f>
        <v/>
      </c>
      <c r="AD391" s="135" t="str">
        <f>IF(A391&lt;&gt;"", SUMIFS(node!$L$2:$L$500, node!$C$2:$C$500,"="&amp;A391), "")</f>
        <v/>
      </c>
      <c r="AE391" s="145" t="str">
        <f>IF(A391&lt;&gt;"", SUMIFS(node!$M$2:$M$500, node!$C$2:$C$500,"="&amp;A391), "")</f>
        <v/>
      </c>
    </row>
    <row r="392" spans="1:31" ht="15.75" customHeight="1" x14ac:dyDescent="0.25">
      <c r="A392" s="119" t="str">
        <f>IF(ISNONTEXT(node_raw[[#This Row],[Column2]]), "", node_raw[[#This Row],[Column2]])</f>
        <v/>
      </c>
      <c r="B392" s="116" t="str">
        <f>IF(A392&lt;&gt;"", VLOOKUP(A392, node!$C$2:$D$500, 2, FALSE), "")</f>
        <v/>
      </c>
      <c r="C392" s="117" t="str">
        <f>IF(A392&lt;&gt;"", VLOOKUP(A392, node!$C$2:$E$500, 3, FALSE), "")</f>
        <v/>
      </c>
      <c r="D392" s="118" t="str">
        <f>IF(A392&lt;&gt;"",COUNTIFS(node!$C$2:$C$500,"="&amp;A392, node!$C$2:$C$500,"&lt;&gt;"&amp;""),"")</f>
        <v/>
      </c>
      <c r="E392" s="122" t="str">
        <f>IF(A392&lt;&gt;"",SUMIFS(node!$F$2:$F$500, node!$C$2:$C$500,"="&amp;A392, node!$C$2:$C$500,"&lt;&gt;"&amp;"")/(B392*D392),"")</f>
        <v/>
      </c>
      <c r="F392" s="124" t="str">
        <f>IF(A392&lt;&gt;"",SUMIFS(node!$H$2:$H$500, node!$C$2:$C$500,"="&amp;A392, node!$C$2:$C$500,"&lt;&gt;"&amp;"")/(C392*D392),"")</f>
        <v/>
      </c>
      <c r="G392" s="93" t="str">
        <f>IF(A392&lt;&gt;"",SUMIFS(deployment!$F$4:$F$502, deployment!$D$4:$D$502,"="&amp;A392, deployment!$D$4:$D$502,"&lt;&gt;"&amp;""),"")</f>
        <v/>
      </c>
      <c r="H392" s="94" t="str">
        <f>IF(A392&lt;&gt;"",SUMIFS(deployment!$G$4:$G$502, deployment!$D$4:$D$502,"="&amp;A392, deployment!$D$4:$D$502,"&lt;&gt;"&amp;""),"")</f>
        <v/>
      </c>
      <c r="I392" s="95" t="str">
        <f>IF(A392&lt;&gt;"",SUMIFS(deployment!$H$4:$H$502, deployment!$D$4:$D$502,"="&amp;A392, deployment!$D$4:$D$502,"&lt;&gt;"&amp;""),"")</f>
        <v/>
      </c>
      <c r="J392" s="96" t="str">
        <f>IF(A392&lt;&gt;"",SUMIFS(deployment!$I$4:$I$502, deployment!$D$4:$D$502,"="&amp;A392, deployment!$D$4:$D$502,"&lt;&gt;"&amp;""),"")</f>
        <v/>
      </c>
      <c r="K392" s="112" t="str">
        <f>IF(A392&lt;&gt;"",SUMIFS(deployment!$J$4:$J$502, deployment!$D$4:$D$502,"="&amp;A392, deployment!$D$4:$D$502,"&lt;&gt;"&amp;""),"")</f>
        <v/>
      </c>
      <c r="L392" s="112" t="str">
        <f>IF(A392&lt;&gt;"",SUMIFS(deployment!$K$4:$K$502, deployment!$D$4:$D$502,"="&amp;A392, deployment!$D$4:$D$502,"&lt;&gt;"&amp;""),"")</f>
        <v/>
      </c>
      <c r="M392" s="97" t="str">
        <f>IF(A392&lt;&gt;"",SUMIFS(deployment!$L$4:$L$502, deployment!$D$4:$D$502,"="&amp;A392, deployment!$D$4:$D$502,"&lt;&gt;"&amp;""),"")</f>
        <v/>
      </c>
      <c r="N392" s="97" t="str">
        <f>IF(A392&lt;&gt;"",SUMIFS(deployment!$M$4:$M$502, deployment!$D$4:$D$502,"="&amp;A392, deployment!$D$4:$D$502,"&lt;&gt;"&amp;""),"")</f>
        <v/>
      </c>
      <c r="O392" s="127" t="str">
        <f t="shared" si="83"/>
        <v/>
      </c>
      <c r="P392" s="104"/>
      <c r="Q392" s="99" t="str">
        <f t="shared" si="72"/>
        <v/>
      </c>
      <c r="R392" s="100" t="str">
        <f t="shared" si="73"/>
        <v/>
      </c>
      <c r="S392" s="100" t="str">
        <f t="shared" si="74"/>
        <v/>
      </c>
      <c r="T392" s="101" t="str">
        <f t="shared" si="75"/>
        <v/>
      </c>
      <c r="U392" s="101" t="str">
        <f t="shared" si="76"/>
        <v/>
      </c>
      <c r="V392" s="128" t="str">
        <f t="shared" si="77"/>
        <v/>
      </c>
      <c r="W392" s="128" t="str">
        <f t="shared" si="78"/>
        <v/>
      </c>
      <c r="X392" s="101" t="str">
        <f t="shared" si="79"/>
        <v/>
      </c>
      <c r="Y392" s="101" t="str">
        <f t="shared" si="80"/>
        <v/>
      </c>
      <c r="Z392" s="102" t="str">
        <f t="shared" si="81"/>
        <v/>
      </c>
      <c r="AA392" s="103" t="str">
        <f t="shared" si="82"/>
        <v/>
      </c>
      <c r="AB392" s="142" t="str">
        <f>IF(A392&lt;&gt;"", SUMIFS(node!$J$2:$J$500, node!$C$2:$C$500,"="&amp;A392)/P392, "")</f>
        <v/>
      </c>
      <c r="AC392" s="134" t="str">
        <f>IF(A392&lt;&gt;"", SUMIFS(node!$K$2:$K$500, node!$C$2:$C$500,"="&amp;A392)/P392, "")</f>
        <v/>
      </c>
      <c r="AD392" s="135" t="str">
        <f>IF(A392&lt;&gt;"", SUMIFS(node!$L$2:$L$500, node!$C$2:$C$500,"="&amp;A392), "")</f>
        <v/>
      </c>
      <c r="AE392" s="145" t="str">
        <f>IF(A392&lt;&gt;"", SUMIFS(node!$M$2:$M$500, node!$C$2:$C$500,"="&amp;A392), "")</f>
        <v/>
      </c>
    </row>
    <row r="393" spans="1:31" ht="15.75" customHeight="1" x14ac:dyDescent="0.25">
      <c r="A393" s="119" t="str">
        <f>IF(ISNONTEXT(node_raw[[#This Row],[Column2]]), "", node_raw[[#This Row],[Column2]])</f>
        <v/>
      </c>
      <c r="B393" s="116" t="str">
        <f>IF(A393&lt;&gt;"", VLOOKUP(A393, node!$C$2:$D$500, 2, FALSE), "")</f>
        <v/>
      </c>
      <c r="C393" s="117" t="str">
        <f>IF(A393&lt;&gt;"", VLOOKUP(A393, node!$C$2:$E$500, 3, FALSE), "")</f>
        <v/>
      </c>
      <c r="D393" s="118" t="str">
        <f>IF(A393&lt;&gt;"",COUNTIFS(node!$C$2:$C$500,"="&amp;A393, node!$C$2:$C$500,"&lt;&gt;"&amp;""),"")</f>
        <v/>
      </c>
      <c r="E393" s="122" t="str">
        <f>IF(A393&lt;&gt;"",SUMIFS(node!$F$2:$F$500, node!$C$2:$C$500,"="&amp;A393, node!$C$2:$C$500,"&lt;&gt;"&amp;"")/(B393*D393),"")</f>
        <v/>
      </c>
      <c r="F393" s="124" t="str">
        <f>IF(A393&lt;&gt;"",SUMIFS(node!$H$2:$H$500, node!$C$2:$C$500,"="&amp;A393, node!$C$2:$C$500,"&lt;&gt;"&amp;"")/(C393*D393),"")</f>
        <v/>
      </c>
      <c r="G393" s="93" t="str">
        <f>IF(A393&lt;&gt;"",SUMIFS(deployment!$F$4:$F$502, deployment!$D$4:$D$502,"="&amp;A393, deployment!$D$4:$D$502,"&lt;&gt;"&amp;""),"")</f>
        <v/>
      </c>
      <c r="H393" s="94" t="str">
        <f>IF(A393&lt;&gt;"",SUMIFS(deployment!$G$4:$G$502, deployment!$D$4:$D$502,"="&amp;A393, deployment!$D$4:$D$502,"&lt;&gt;"&amp;""),"")</f>
        <v/>
      </c>
      <c r="I393" s="95" t="str">
        <f>IF(A393&lt;&gt;"",SUMIFS(deployment!$H$4:$H$502, deployment!$D$4:$D$502,"="&amp;A393, deployment!$D$4:$D$502,"&lt;&gt;"&amp;""),"")</f>
        <v/>
      </c>
      <c r="J393" s="96" t="str">
        <f>IF(A393&lt;&gt;"",SUMIFS(deployment!$I$4:$I$502, deployment!$D$4:$D$502,"="&amp;A393, deployment!$D$4:$D$502,"&lt;&gt;"&amp;""),"")</f>
        <v/>
      </c>
      <c r="K393" s="112" t="str">
        <f>IF(A393&lt;&gt;"",SUMIFS(deployment!$J$4:$J$502, deployment!$D$4:$D$502,"="&amp;A393, deployment!$D$4:$D$502,"&lt;&gt;"&amp;""),"")</f>
        <v/>
      </c>
      <c r="L393" s="112" t="str">
        <f>IF(A393&lt;&gt;"",SUMIFS(deployment!$K$4:$K$502, deployment!$D$4:$D$502,"="&amp;A393, deployment!$D$4:$D$502,"&lt;&gt;"&amp;""),"")</f>
        <v/>
      </c>
      <c r="M393" s="97" t="str">
        <f>IF(A393&lt;&gt;"",SUMIFS(deployment!$L$4:$L$502, deployment!$D$4:$D$502,"="&amp;A393, deployment!$D$4:$D$502,"&lt;&gt;"&amp;""),"")</f>
        <v/>
      </c>
      <c r="N393" s="97" t="str">
        <f>IF(A393&lt;&gt;"",SUMIFS(deployment!$M$4:$M$502, deployment!$D$4:$D$502,"="&amp;A393, deployment!$D$4:$D$502,"&lt;&gt;"&amp;""),"")</f>
        <v/>
      </c>
      <c r="O393" s="127" t="str">
        <f t="shared" si="83"/>
        <v/>
      </c>
      <c r="P393" s="104"/>
      <c r="Q393" s="99" t="str">
        <f t="shared" si="72"/>
        <v/>
      </c>
      <c r="R393" s="100" t="str">
        <f t="shared" si="73"/>
        <v/>
      </c>
      <c r="S393" s="100" t="str">
        <f t="shared" si="74"/>
        <v/>
      </c>
      <c r="T393" s="101" t="str">
        <f t="shared" si="75"/>
        <v/>
      </c>
      <c r="U393" s="101" t="str">
        <f t="shared" si="76"/>
        <v/>
      </c>
      <c r="V393" s="128" t="str">
        <f t="shared" si="77"/>
        <v/>
      </c>
      <c r="W393" s="128" t="str">
        <f t="shared" si="78"/>
        <v/>
      </c>
      <c r="X393" s="101" t="str">
        <f t="shared" si="79"/>
        <v/>
      </c>
      <c r="Y393" s="101" t="str">
        <f t="shared" si="80"/>
        <v/>
      </c>
      <c r="Z393" s="102" t="str">
        <f t="shared" si="81"/>
        <v/>
      </c>
      <c r="AA393" s="103" t="str">
        <f t="shared" si="82"/>
        <v/>
      </c>
      <c r="AB393" s="142" t="str">
        <f>IF(A393&lt;&gt;"", SUMIFS(node!$J$2:$J$500, node!$C$2:$C$500,"="&amp;A393)/P393, "")</f>
        <v/>
      </c>
      <c r="AC393" s="134" t="str">
        <f>IF(A393&lt;&gt;"", SUMIFS(node!$K$2:$K$500, node!$C$2:$C$500,"="&amp;A393)/P393, "")</f>
        <v/>
      </c>
      <c r="AD393" s="135" t="str">
        <f>IF(A393&lt;&gt;"", SUMIFS(node!$L$2:$L$500, node!$C$2:$C$500,"="&amp;A393), "")</f>
        <v/>
      </c>
      <c r="AE393" s="145" t="str">
        <f>IF(A393&lt;&gt;"", SUMIFS(node!$M$2:$M$500, node!$C$2:$C$500,"="&amp;A393), "")</f>
        <v/>
      </c>
    </row>
    <row r="394" spans="1:31" ht="15.75" customHeight="1" x14ac:dyDescent="0.25">
      <c r="A394" s="119" t="str">
        <f>IF(ISNONTEXT(node_raw[[#This Row],[Column2]]), "", node_raw[[#This Row],[Column2]])</f>
        <v/>
      </c>
      <c r="B394" s="116" t="str">
        <f>IF(A394&lt;&gt;"", VLOOKUP(A394, node!$C$2:$D$500, 2, FALSE), "")</f>
        <v/>
      </c>
      <c r="C394" s="117" t="str">
        <f>IF(A394&lt;&gt;"", VLOOKUP(A394, node!$C$2:$E$500, 3, FALSE), "")</f>
        <v/>
      </c>
      <c r="D394" s="118" t="str">
        <f>IF(A394&lt;&gt;"",COUNTIFS(node!$C$2:$C$500,"="&amp;A394, node!$C$2:$C$500,"&lt;&gt;"&amp;""),"")</f>
        <v/>
      </c>
      <c r="E394" s="122" t="str">
        <f>IF(A394&lt;&gt;"",SUMIFS(node!$F$2:$F$500, node!$C$2:$C$500,"="&amp;A394, node!$C$2:$C$500,"&lt;&gt;"&amp;"")/(B394*D394),"")</f>
        <v/>
      </c>
      <c r="F394" s="124" t="str">
        <f>IF(A394&lt;&gt;"",SUMIFS(node!$H$2:$H$500, node!$C$2:$C$500,"="&amp;A394, node!$C$2:$C$500,"&lt;&gt;"&amp;"")/(C394*D394),"")</f>
        <v/>
      </c>
      <c r="G394" s="93" t="str">
        <f>IF(A394&lt;&gt;"",SUMIFS(deployment!$F$4:$F$502, deployment!$D$4:$D$502,"="&amp;A394, deployment!$D$4:$D$502,"&lt;&gt;"&amp;""),"")</f>
        <v/>
      </c>
      <c r="H394" s="94" t="str">
        <f>IF(A394&lt;&gt;"",SUMIFS(deployment!$G$4:$G$502, deployment!$D$4:$D$502,"="&amp;A394, deployment!$D$4:$D$502,"&lt;&gt;"&amp;""),"")</f>
        <v/>
      </c>
      <c r="I394" s="95" t="str">
        <f>IF(A394&lt;&gt;"",SUMIFS(deployment!$H$4:$H$502, deployment!$D$4:$D$502,"="&amp;A394, deployment!$D$4:$D$502,"&lt;&gt;"&amp;""),"")</f>
        <v/>
      </c>
      <c r="J394" s="96" t="str">
        <f>IF(A394&lt;&gt;"",SUMIFS(deployment!$I$4:$I$502, deployment!$D$4:$D$502,"="&amp;A394, deployment!$D$4:$D$502,"&lt;&gt;"&amp;""),"")</f>
        <v/>
      </c>
      <c r="K394" s="112" t="str">
        <f>IF(A394&lt;&gt;"",SUMIFS(deployment!$J$4:$J$502, deployment!$D$4:$D$502,"="&amp;A394, deployment!$D$4:$D$502,"&lt;&gt;"&amp;""),"")</f>
        <v/>
      </c>
      <c r="L394" s="112" t="str">
        <f>IF(A394&lt;&gt;"",SUMIFS(deployment!$K$4:$K$502, deployment!$D$4:$D$502,"="&amp;A394, deployment!$D$4:$D$502,"&lt;&gt;"&amp;""),"")</f>
        <v/>
      </c>
      <c r="M394" s="97" t="str">
        <f>IF(A394&lt;&gt;"",SUMIFS(deployment!$L$4:$L$502, deployment!$D$4:$D$502,"="&amp;A394, deployment!$D$4:$D$502,"&lt;&gt;"&amp;""),"")</f>
        <v/>
      </c>
      <c r="N394" s="97" t="str">
        <f>IF(A394&lt;&gt;"",SUMIFS(deployment!$M$4:$M$502, deployment!$D$4:$D$502,"="&amp;A394, deployment!$D$4:$D$502,"&lt;&gt;"&amp;""),"")</f>
        <v/>
      </c>
      <c r="O394" s="127" t="str">
        <f t="shared" si="83"/>
        <v/>
      </c>
      <c r="P394" s="104"/>
      <c r="Q394" s="99" t="str">
        <f t="shared" si="72"/>
        <v/>
      </c>
      <c r="R394" s="100" t="str">
        <f t="shared" si="73"/>
        <v/>
      </c>
      <c r="S394" s="100" t="str">
        <f t="shared" si="74"/>
        <v/>
      </c>
      <c r="T394" s="101" t="str">
        <f t="shared" si="75"/>
        <v/>
      </c>
      <c r="U394" s="101" t="str">
        <f t="shared" si="76"/>
        <v/>
      </c>
      <c r="V394" s="128" t="str">
        <f t="shared" si="77"/>
        <v/>
      </c>
      <c r="W394" s="128" t="str">
        <f t="shared" si="78"/>
        <v/>
      </c>
      <c r="X394" s="101" t="str">
        <f t="shared" si="79"/>
        <v/>
      </c>
      <c r="Y394" s="101" t="str">
        <f t="shared" si="80"/>
        <v/>
      </c>
      <c r="Z394" s="102" t="str">
        <f t="shared" si="81"/>
        <v/>
      </c>
      <c r="AA394" s="103" t="str">
        <f t="shared" si="82"/>
        <v/>
      </c>
      <c r="AB394" s="142" t="str">
        <f>IF(A394&lt;&gt;"", SUMIFS(node!$J$2:$J$500, node!$C$2:$C$500,"="&amp;A394)/P394, "")</f>
        <v/>
      </c>
      <c r="AC394" s="134" t="str">
        <f>IF(A394&lt;&gt;"", SUMIFS(node!$K$2:$K$500, node!$C$2:$C$500,"="&amp;A394)/P394, "")</f>
        <v/>
      </c>
      <c r="AD394" s="135" t="str">
        <f>IF(A394&lt;&gt;"", SUMIFS(node!$L$2:$L$500, node!$C$2:$C$500,"="&amp;A394), "")</f>
        <v/>
      </c>
      <c r="AE394" s="145" t="str">
        <f>IF(A394&lt;&gt;"", SUMIFS(node!$M$2:$M$500, node!$C$2:$C$500,"="&amp;A394), "")</f>
        <v/>
      </c>
    </row>
    <row r="395" spans="1:31" ht="15.75" customHeight="1" x14ac:dyDescent="0.25">
      <c r="A395" s="119" t="str">
        <f>IF(ISNONTEXT(node_raw[[#This Row],[Column2]]), "", node_raw[[#This Row],[Column2]])</f>
        <v/>
      </c>
      <c r="B395" s="116" t="str">
        <f>IF(A395&lt;&gt;"", VLOOKUP(A395, node!$C$2:$D$500, 2, FALSE), "")</f>
        <v/>
      </c>
      <c r="C395" s="117" t="str">
        <f>IF(A395&lt;&gt;"", VLOOKUP(A395, node!$C$2:$E$500, 3, FALSE), "")</f>
        <v/>
      </c>
      <c r="D395" s="118" t="str">
        <f>IF(A395&lt;&gt;"",COUNTIFS(node!$C$2:$C$500,"="&amp;A395, node!$C$2:$C$500,"&lt;&gt;"&amp;""),"")</f>
        <v/>
      </c>
      <c r="E395" s="122" t="str">
        <f>IF(A395&lt;&gt;"",SUMIFS(node!$F$2:$F$500, node!$C$2:$C$500,"="&amp;A395, node!$C$2:$C$500,"&lt;&gt;"&amp;"")/(B395*D395),"")</f>
        <v/>
      </c>
      <c r="F395" s="124" t="str">
        <f>IF(A395&lt;&gt;"",SUMIFS(node!$H$2:$H$500, node!$C$2:$C$500,"="&amp;A395, node!$C$2:$C$500,"&lt;&gt;"&amp;"")/(C395*D395),"")</f>
        <v/>
      </c>
      <c r="G395" s="93" t="str">
        <f>IF(A395&lt;&gt;"",SUMIFS(deployment!$F$4:$F$502, deployment!$D$4:$D$502,"="&amp;A395, deployment!$D$4:$D$502,"&lt;&gt;"&amp;""),"")</f>
        <v/>
      </c>
      <c r="H395" s="94" t="str">
        <f>IF(A395&lt;&gt;"",SUMIFS(deployment!$G$4:$G$502, deployment!$D$4:$D$502,"="&amp;A395, deployment!$D$4:$D$502,"&lt;&gt;"&amp;""),"")</f>
        <v/>
      </c>
      <c r="I395" s="95" t="str">
        <f>IF(A395&lt;&gt;"",SUMIFS(deployment!$H$4:$H$502, deployment!$D$4:$D$502,"="&amp;A395, deployment!$D$4:$D$502,"&lt;&gt;"&amp;""),"")</f>
        <v/>
      </c>
      <c r="J395" s="96" t="str">
        <f>IF(A395&lt;&gt;"",SUMIFS(deployment!$I$4:$I$502, deployment!$D$4:$D$502,"="&amp;A395, deployment!$D$4:$D$502,"&lt;&gt;"&amp;""),"")</f>
        <v/>
      </c>
      <c r="K395" s="112" t="str">
        <f>IF(A395&lt;&gt;"",SUMIFS(deployment!$J$4:$J$502, deployment!$D$4:$D$502,"="&amp;A395, deployment!$D$4:$D$502,"&lt;&gt;"&amp;""),"")</f>
        <v/>
      </c>
      <c r="L395" s="112" t="str">
        <f>IF(A395&lt;&gt;"",SUMIFS(deployment!$K$4:$K$502, deployment!$D$4:$D$502,"="&amp;A395, deployment!$D$4:$D$502,"&lt;&gt;"&amp;""),"")</f>
        <v/>
      </c>
      <c r="M395" s="97" t="str">
        <f>IF(A395&lt;&gt;"",SUMIFS(deployment!$L$4:$L$502, deployment!$D$4:$D$502,"="&amp;A395, deployment!$D$4:$D$502,"&lt;&gt;"&amp;""),"")</f>
        <v/>
      </c>
      <c r="N395" s="97" t="str">
        <f>IF(A395&lt;&gt;"",SUMIFS(deployment!$M$4:$M$502, deployment!$D$4:$D$502,"="&amp;A395, deployment!$D$4:$D$502,"&lt;&gt;"&amp;""),"")</f>
        <v/>
      </c>
      <c r="O395" s="127" t="str">
        <f t="shared" si="83"/>
        <v/>
      </c>
      <c r="P395" s="104"/>
      <c r="Q395" s="99" t="str">
        <f t="shared" si="72"/>
        <v/>
      </c>
      <c r="R395" s="100" t="str">
        <f t="shared" si="73"/>
        <v/>
      </c>
      <c r="S395" s="100" t="str">
        <f t="shared" si="74"/>
        <v/>
      </c>
      <c r="T395" s="101" t="str">
        <f t="shared" si="75"/>
        <v/>
      </c>
      <c r="U395" s="101" t="str">
        <f t="shared" si="76"/>
        <v/>
      </c>
      <c r="V395" s="128" t="str">
        <f t="shared" si="77"/>
        <v/>
      </c>
      <c r="W395" s="128" t="str">
        <f t="shared" si="78"/>
        <v/>
      </c>
      <c r="X395" s="101" t="str">
        <f t="shared" si="79"/>
        <v/>
      </c>
      <c r="Y395" s="101" t="str">
        <f t="shared" si="80"/>
        <v/>
      </c>
      <c r="Z395" s="102" t="str">
        <f t="shared" si="81"/>
        <v/>
      </c>
      <c r="AA395" s="103" t="str">
        <f t="shared" si="82"/>
        <v/>
      </c>
      <c r="AB395" s="142" t="str">
        <f>IF(A395&lt;&gt;"", SUMIFS(node!$J$2:$J$500, node!$C$2:$C$500,"="&amp;A395)/P395, "")</f>
        <v/>
      </c>
      <c r="AC395" s="134" t="str">
        <f>IF(A395&lt;&gt;"", SUMIFS(node!$K$2:$K$500, node!$C$2:$C$500,"="&amp;A395)/P395, "")</f>
        <v/>
      </c>
      <c r="AD395" s="135" t="str">
        <f>IF(A395&lt;&gt;"", SUMIFS(node!$L$2:$L$500, node!$C$2:$C$500,"="&amp;A395), "")</f>
        <v/>
      </c>
      <c r="AE395" s="145" t="str">
        <f>IF(A395&lt;&gt;"", SUMIFS(node!$M$2:$M$500, node!$C$2:$C$500,"="&amp;A395), "")</f>
        <v/>
      </c>
    </row>
    <row r="396" spans="1:31" ht="15.75" customHeight="1" x14ac:dyDescent="0.25">
      <c r="A396" s="119" t="str">
        <f>IF(ISNONTEXT(node_raw[[#This Row],[Column2]]), "", node_raw[[#This Row],[Column2]])</f>
        <v/>
      </c>
      <c r="B396" s="116" t="str">
        <f>IF(A396&lt;&gt;"", VLOOKUP(A396, node!$C$2:$D$500, 2, FALSE), "")</f>
        <v/>
      </c>
      <c r="C396" s="117" t="str">
        <f>IF(A396&lt;&gt;"", VLOOKUP(A396, node!$C$2:$E$500, 3, FALSE), "")</f>
        <v/>
      </c>
      <c r="D396" s="118" t="str">
        <f>IF(A396&lt;&gt;"",COUNTIFS(node!$C$2:$C$500,"="&amp;A396, node!$C$2:$C$500,"&lt;&gt;"&amp;""),"")</f>
        <v/>
      </c>
      <c r="E396" s="122" t="str">
        <f>IF(A396&lt;&gt;"",SUMIFS(node!$F$2:$F$500, node!$C$2:$C$500,"="&amp;A396, node!$C$2:$C$500,"&lt;&gt;"&amp;"")/(B396*D396),"")</f>
        <v/>
      </c>
      <c r="F396" s="124" t="str">
        <f>IF(A396&lt;&gt;"",SUMIFS(node!$H$2:$H$500, node!$C$2:$C$500,"="&amp;A396, node!$C$2:$C$500,"&lt;&gt;"&amp;"")/(C396*D396),"")</f>
        <v/>
      </c>
      <c r="G396" s="93" t="str">
        <f>IF(A396&lt;&gt;"",SUMIFS(deployment!$F$4:$F$502, deployment!$D$4:$D$502,"="&amp;A396, deployment!$D$4:$D$502,"&lt;&gt;"&amp;""),"")</f>
        <v/>
      </c>
      <c r="H396" s="94" t="str">
        <f>IF(A396&lt;&gt;"",SUMIFS(deployment!$G$4:$G$502, deployment!$D$4:$D$502,"="&amp;A396, deployment!$D$4:$D$502,"&lt;&gt;"&amp;""),"")</f>
        <v/>
      </c>
      <c r="I396" s="95" t="str">
        <f>IF(A396&lt;&gt;"",SUMIFS(deployment!$H$4:$H$502, deployment!$D$4:$D$502,"="&amp;A396, deployment!$D$4:$D$502,"&lt;&gt;"&amp;""),"")</f>
        <v/>
      </c>
      <c r="J396" s="96" t="str">
        <f>IF(A396&lt;&gt;"",SUMIFS(deployment!$I$4:$I$502, deployment!$D$4:$D$502,"="&amp;A396, deployment!$D$4:$D$502,"&lt;&gt;"&amp;""),"")</f>
        <v/>
      </c>
      <c r="K396" s="112" t="str">
        <f>IF(A396&lt;&gt;"",SUMIFS(deployment!$J$4:$J$502, deployment!$D$4:$D$502,"="&amp;A396, deployment!$D$4:$D$502,"&lt;&gt;"&amp;""),"")</f>
        <v/>
      </c>
      <c r="L396" s="112" t="str">
        <f>IF(A396&lt;&gt;"",SUMIFS(deployment!$K$4:$K$502, deployment!$D$4:$D$502,"="&amp;A396, deployment!$D$4:$D$502,"&lt;&gt;"&amp;""),"")</f>
        <v/>
      </c>
      <c r="M396" s="97" t="str">
        <f>IF(A396&lt;&gt;"",SUMIFS(deployment!$L$4:$L$502, deployment!$D$4:$D$502,"="&amp;A396, deployment!$D$4:$D$502,"&lt;&gt;"&amp;""),"")</f>
        <v/>
      </c>
      <c r="N396" s="97" t="str">
        <f>IF(A396&lt;&gt;"",SUMIFS(deployment!$M$4:$M$502, deployment!$D$4:$D$502,"="&amp;A396, deployment!$D$4:$D$502,"&lt;&gt;"&amp;""),"")</f>
        <v/>
      </c>
      <c r="O396" s="127" t="str">
        <f t="shared" si="83"/>
        <v/>
      </c>
      <c r="P396" s="104"/>
      <c r="Q396" s="99" t="str">
        <f t="shared" si="72"/>
        <v/>
      </c>
      <c r="R396" s="100" t="str">
        <f t="shared" si="73"/>
        <v/>
      </c>
      <c r="S396" s="100" t="str">
        <f t="shared" si="74"/>
        <v/>
      </c>
      <c r="T396" s="101" t="str">
        <f t="shared" si="75"/>
        <v/>
      </c>
      <c r="U396" s="101" t="str">
        <f t="shared" si="76"/>
        <v/>
      </c>
      <c r="V396" s="128" t="str">
        <f t="shared" si="77"/>
        <v/>
      </c>
      <c r="W396" s="128" t="str">
        <f t="shared" si="78"/>
        <v/>
      </c>
      <c r="X396" s="101" t="str">
        <f t="shared" si="79"/>
        <v/>
      </c>
      <c r="Y396" s="101" t="str">
        <f t="shared" si="80"/>
        <v/>
      </c>
      <c r="Z396" s="102" t="str">
        <f t="shared" si="81"/>
        <v/>
      </c>
      <c r="AA396" s="103" t="str">
        <f t="shared" si="82"/>
        <v/>
      </c>
      <c r="AB396" s="142" t="str">
        <f>IF(A396&lt;&gt;"", SUMIFS(node!$J$2:$J$500, node!$C$2:$C$500,"="&amp;A396)/P396, "")</f>
        <v/>
      </c>
      <c r="AC396" s="134" t="str">
        <f>IF(A396&lt;&gt;"", SUMIFS(node!$K$2:$K$500, node!$C$2:$C$500,"="&amp;A396)/P396, "")</f>
        <v/>
      </c>
      <c r="AD396" s="135" t="str">
        <f>IF(A396&lt;&gt;"", SUMIFS(node!$L$2:$L$500, node!$C$2:$C$500,"="&amp;A396), "")</f>
        <v/>
      </c>
      <c r="AE396" s="145" t="str">
        <f>IF(A396&lt;&gt;"", SUMIFS(node!$M$2:$M$500, node!$C$2:$C$500,"="&amp;A396), "")</f>
        <v/>
      </c>
    </row>
    <row r="397" spans="1:31" ht="15.75" customHeight="1" x14ac:dyDescent="0.25">
      <c r="A397" s="119" t="str">
        <f>IF(ISNONTEXT(node_raw[[#This Row],[Column2]]), "", node_raw[[#This Row],[Column2]])</f>
        <v/>
      </c>
      <c r="B397" s="116" t="str">
        <f>IF(A397&lt;&gt;"", VLOOKUP(A397, node!$C$2:$D$500, 2, FALSE), "")</f>
        <v/>
      </c>
      <c r="C397" s="117" t="str">
        <f>IF(A397&lt;&gt;"", VLOOKUP(A397, node!$C$2:$E$500, 3, FALSE), "")</f>
        <v/>
      </c>
      <c r="D397" s="118" t="str">
        <f>IF(A397&lt;&gt;"",COUNTIFS(node!$C$2:$C$500,"="&amp;A397, node!$C$2:$C$500,"&lt;&gt;"&amp;""),"")</f>
        <v/>
      </c>
      <c r="E397" s="122" t="str">
        <f>IF(A397&lt;&gt;"",SUMIFS(node!$F$2:$F$500, node!$C$2:$C$500,"="&amp;A397, node!$C$2:$C$500,"&lt;&gt;"&amp;"")/(B397*D397),"")</f>
        <v/>
      </c>
      <c r="F397" s="124" t="str">
        <f>IF(A397&lt;&gt;"",SUMIFS(node!$H$2:$H$500, node!$C$2:$C$500,"="&amp;A397, node!$C$2:$C$500,"&lt;&gt;"&amp;"")/(C397*D397),"")</f>
        <v/>
      </c>
      <c r="G397" s="93" t="str">
        <f>IF(A397&lt;&gt;"",SUMIFS(deployment!$F$4:$F$502, deployment!$D$4:$D$502,"="&amp;A397, deployment!$D$4:$D$502,"&lt;&gt;"&amp;""),"")</f>
        <v/>
      </c>
      <c r="H397" s="94" t="str">
        <f>IF(A397&lt;&gt;"",SUMIFS(deployment!$G$4:$G$502, deployment!$D$4:$D$502,"="&amp;A397, deployment!$D$4:$D$502,"&lt;&gt;"&amp;""),"")</f>
        <v/>
      </c>
      <c r="I397" s="95" t="str">
        <f>IF(A397&lt;&gt;"",SUMIFS(deployment!$H$4:$H$502, deployment!$D$4:$D$502,"="&amp;A397, deployment!$D$4:$D$502,"&lt;&gt;"&amp;""),"")</f>
        <v/>
      </c>
      <c r="J397" s="96" t="str">
        <f>IF(A397&lt;&gt;"",SUMIFS(deployment!$I$4:$I$502, deployment!$D$4:$D$502,"="&amp;A397, deployment!$D$4:$D$502,"&lt;&gt;"&amp;""),"")</f>
        <v/>
      </c>
      <c r="K397" s="112" t="str">
        <f>IF(A397&lt;&gt;"",SUMIFS(deployment!$J$4:$J$502, deployment!$D$4:$D$502,"="&amp;A397, deployment!$D$4:$D$502,"&lt;&gt;"&amp;""),"")</f>
        <v/>
      </c>
      <c r="L397" s="112" t="str">
        <f>IF(A397&lt;&gt;"",SUMIFS(deployment!$K$4:$K$502, deployment!$D$4:$D$502,"="&amp;A397, deployment!$D$4:$D$502,"&lt;&gt;"&amp;""),"")</f>
        <v/>
      </c>
      <c r="M397" s="97" t="str">
        <f>IF(A397&lt;&gt;"",SUMIFS(deployment!$L$4:$L$502, deployment!$D$4:$D$502,"="&amp;A397, deployment!$D$4:$D$502,"&lt;&gt;"&amp;""),"")</f>
        <v/>
      </c>
      <c r="N397" s="97" t="str">
        <f>IF(A397&lt;&gt;"",SUMIFS(deployment!$M$4:$M$502, deployment!$D$4:$D$502,"="&amp;A397, deployment!$D$4:$D$502,"&lt;&gt;"&amp;""),"")</f>
        <v/>
      </c>
      <c r="O397" s="127" t="str">
        <f t="shared" si="83"/>
        <v/>
      </c>
      <c r="P397" s="104"/>
      <c r="Q397" s="99" t="str">
        <f t="shared" si="72"/>
        <v/>
      </c>
      <c r="R397" s="100" t="str">
        <f t="shared" si="73"/>
        <v/>
      </c>
      <c r="S397" s="100" t="str">
        <f t="shared" si="74"/>
        <v/>
      </c>
      <c r="T397" s="101" t="str">
        <f t="shared" si="75"/>
        <v/>
      </c>
      <c r="U397" s="101" t="str">
        <f t="shared" si="76"/>
        <v/>
      </c>
      <c r="V397" s="128" t="str">
        <f t="shared" si="77"/>
        <v/>
      </c>
      <c r="W397" s="128" t="str">
        <f t="shared" si="78"/>
        <v/>
      </c>
      <c r="X397" s="101" t="str">
        <f t="shared" si="79"/>
        <v/>
      </c>
      <c r="Y397" s="101" t="str">
        <f t="shared" si="80"/>
        <v/>
      </c>
      <c r="Z397" s="102" t="str">
        <f t="shared" si="81"/>
        <v/>
      </c>
      <c r="AA397" s="103" t="str">
        <f t="shared" si="82"/>
        <v/>
      </c>
      <c r="AB397" s="142" t="str">
        <f>IF(A397&lt;&gt;"", SUMIFS(node!$J$2:$J$500, node!$C$2:$C$500,"="&amp;A397)/P397, "")</f>
        <v/>
      </c>
      <c r="AC397" s="134" t="str">
        <f>IF(A397&lt;&gt;"", SUMIFS(node!$K$2:$K$500, node!$C$2:$C$500,"="&amp;A397)/P397, "")</f>
        <v/>
      </c>
      <c r="AD397" s="135" t="str">
        <f>IF(A397&lt;&gt;"", SUMIFS(node!$L$2:$L$500, node!$C$2:$C$500,"="&amp;A397), "")</f>
        <v/>
      </c>
      <c r="AE397" s="145" t="str">
        <f>IF(A397&lt;&gt;"", SUMIFS(node!$M$2:$M$500, node!$C$2:$C$500,"="&amp;A397), "")</f>
        <v/>
      </c>
    </row>
    <row r="398" spans="1:31" ht="15.75" customHeight="1" x14ac:dyDescent="0.25">
      <c r="A398" s="119" t="str">
        <f>IF(ISNONTEXT(node_raw[[#This Row],[Column2]]), "", node_raw[[#This Row],[Column2]])</f>
        <v/>
      </c>
      <c r="B398" s="116" t="str">
        <f>IF(A398&lt;&gt;"", VLOOKUP(A398, node!$C$2:$D$500, 2, FALSE), "")</f>
        <v/>
      </c>
      <c r="C398" s="117" t="str">
        <f>IF(A398&lt;&gt;"", VLOOKUP(A398, node!$C$2:$E$500, 3, FALSE), "")</f>
        <v/>
      </c>
      <c r="D398" s="118" t="str">
        <f>IF(A398&lt;&gt;"",COUNTIFS(node!$C$2:$C$500,"="&amp;A398, node!$C$2:$C$500,"&lt;&gt;"&amp;""),"")</f>
        <v/>
      </c>
      <c r="E398" s="122" t="str">
        <f>IF(A398&lt;&gt;"",SUMIFS(node!$F$2:$F$500, node!$C$2:$C$500,"="&amp;A398, node!$C$2:$C$500,"&lt;&gt;"&amp;"")/(B398*D398),"")</f>
        <v/>
      </c>
      <c r="F398" s="124" t="str">
        <f>IF(A398&lt;&gt;"",SUMIFS(node!$H$2:$H$500, node!$C$2:$C$500,"="&amp;A398, node!$C$2:$C$500,"&lt;&gt;"&amp;"")/(C398*D398),"")</f>
        <v/>
      </c>
      <c r="G398" s="93" t="str">
        <f>IF(A398&lt;&gt;"",SUMIFS(deployment!$F$4:$F$502, deployment!$D$4:$D$502,"="&amp;A398, deployment!$D$4:$D$502,"&lt;&gt;"&amp;""),"")</f>
        <v/>
      </c>
      <c r="H398" s="94" t="str">
        <f>IF(A398&lt;&gt;"",SUMIFS(deployment!$G$4:$G$502, deployment!$D$4:$D$502,"="&amp;A398, deployment!$D$4:$D$502,"&lt;&gt;"&amp;""),"")</f>
        <v/>
      </c>
      <c r="I398" s="95" t="str">
        <f>IF(A398&lt;&gt;"",SUMIFS(deployment!$H$4:$H$502, deployment!$D$4:$D$502,"="&amp;A398, deployment!$D$4:$D$502,"&lt;&gt;"&amp;""),"")</f>
        <v/>
      </c>
      <c r="J398" s="96" t="str">
        <f>IF(A398&lt;&gt;"",SUMIFS(deployment!$I$4:$I$502, deployment!$D$4:$D$502,"="&amp;A398, deployment!$D$4:$D$502,"&lt;&gt;"&amp;""),"")</f>
        <v/>
      </c>
      <c r="K398" s="112" t="str">
        <f>IF(A398&lt;&gt;"",SUMIFS(deployment!$J$4:$J$502, deployment!$D$4:$D$502,"="&amp;A398, deployment!$D$4:$D$502,"&lt;&gt;"&amp;""),"")</f>
        <v/>
      </c>
      <c r="L398" s="112" t="str">
        <f>IF(A398&lt;&gt;"",SUMIFS(deployment!$K$4:$K$502, deployment!$D$4:$D$502,"="&amp;A398, deployment!$D$4:$D$502,"&lt;&gt;"&amp;""),"")</f>
        <v/>
      </c>
      <c r="M398" s="97" t="str">
        <f>IF(A398&lt;&gt;"",SUMIFS(deployment!$L$4:$L$502, deployment!$D$4:$D$502,"="&amp;A398, deployment!$D$4:$D$502,"&lt;&gt;"&amp;""),"")</f>
        <v/>
      </c>
      <c r="N398" s="97" t="str">
        <f>IF(A398&lt;&gt;"",SUMIFS(deployment!$M$4:$M$502, deployment!$D$4:$D$502,"="&amp;A398, deployment!$D$4:$D$502,"&lt;&gt;"&amp;""),"")</f>
        <v/>
      </c>
      <c r="O398" s="127" t="str">
        <f t="shared" si="83"/>
        <v/>
      </c>
      <c r="P398" s="104"/>
      <c r="Q398" s="99" t="str">
        <f t="shared" si="72"/>
        <v/>
      </c>
      <c r="R398" s="100" t="str">
        <f t="shared" si="73"/>
        <v/>
      </c>
      <c r="S398" s="100" t="str">
        <f t="shared" si="74"/>
        <v/>
      </c>
      <c r="T398" s="101" t="str">
        <f t="shared" si="75"/>
        <v/>
      </c>
      <c r="U398" s="101" t="str">
        <f t="shared" si="76"/>
        <v/>
      </c>
      <c r="V398" s="128" t="str">
        <f t="shared" si="77"/>
        <v/>
      </c>
      <c r="W398" s="128" t="str">
        <f t="shared" si="78"/>
        <v/>
      </c>
      <c r="X398" s="101" t="str">
        <f t="shared" si="79"/>
        <v/>
      </c>
      <c r="Y398" s="101" t="str">
        <f t="shared" si="80"/>
        <v/>
      </c>
      <c r="Z398" s="102" t="str">
        <f t="shared" si="81"/>
        <v/>
      </c>
      <c r="AA398" s="103" t="str">
        <f t="shared" si="82"/>
        <v/>
      </c>
      <c r="AB398" s="142" t="str">
        <f>IF(A398&lt;&gt;"", SUMIFS(node!$J$2:$J$500, node!$C$2:$C$500,"="&amp;A398)/P398, "")</f>
        <v/>
      </c>
      <c r="AC398" s="134" t="str">
        <f>IF(A398&lt;&gt;"", SUMIFS(node!$K$2:$K$500, node!$C$2:$C$500,"="&amp;A398)/P398, "")</f>
        <v/>
      </c>
      <c r="AD398" s="135" t="str">
        <f>IF(A398&lt;&gt;"", SUMIFS(node!$L$2:$L$500, node!$C$2:$C$500,"="&amp;A398), "")</f>
        <v/>
      </c>
      <c r="AE398" s="145" t="str">
        <f>IF(A398&lt;&gt;"", SUMIFS(node!$M$2:$M$500, node!$C$2:$C$500,"="&amp;A398), "")</f>
        <v/>
      </c>
    </row>
    <row r="399" spans="1:31" ht="15.75" customHeight="1" x14ac:dyDescent="0.25">
      <c r="A399" s="119" t="str">
        <f>IF(ISNONTEXT(node_raw[[#This Row],[Column2]]), "", node_raw[[#This Row],[Column2]])</f>
        <v/>
      </c>
      <c r="B399" s="116" t="str">
        <f>IF(A399&lt;&gt;"", VLOOKUP(A399, node!$C$2:$D$500, 2, FALSE), "")</f>
        <v/>
      </c>
      <c r="C399" s="117" t="str">
        <f>IF(A399&lt;&gt;"", VLOOKUP(A399, node!$C$2:$E$500, 3, FALSE), "")</f>
        <v/>
      </c>
      <c r="D399" s="118" t="str">
        <f>IF(A399&lt;&gt;"",COUNTIFS(node!$C$2:$C$500,"="&amp;A399, node!$C$2:$C$500,"&lt;&gt;"&amp;""),"")</f>
        <v/>
      </c>
      <c r="E399" s="122" t="str">
        <f>IF(A399&lt;&gt;"",SUMIFS(node!$F$2:$F$500, node!$C$2:$C$500,"="&amp;A399, node!$C$2:$C$500,"&lt;&gt;"&amp;"")/(B399*D399),"")</f>
        <v/>
      </c>
      <c r="F399" s="124" t="str">
        <f>IF(A399&lt;&gt;"",SUMIFS(node!$H$2:$H$500, node!$C$2:$C$500,"="&amp;A399, node!$C$2:$C$500,"&lt;&gt;"&amp;"")/(C399*D399),"")</f>
        <v/>
      </c>
      <c r="G399" s="93" t="str">
        <f>IF(A399&lt;&gt;"",SUMIFS(deployment!$F$4:$F$502, deployment!$D$4:$D$502,"="&amp;A399, deployment!$D$4:$D$502,"&lt;&gt;"&amp;""),"")</f>
        <v/>
      </c>
      <c r="H399" s="94" t="str">
        <f>IF(A399&lt;&gt;"",SUMIFS(deployment!$G$4:$G$502, deployment!$D$4:$D$502,"="&amp;A399, deployment!$D$4:$D$502,"&lt;&gt;"&amp;""),"")</f>
        <v/>
      </c>
      <c r="I399" s="95" t="str">
        <f>IF(A399&lt;&gt;"",SUMIFS(deployment!$H$4:$H$502, deployment!$D$4:$D$502,"="&amp;A399, deployment!$D$4:$D$502,"&lt;&gt;"&amp;""),"")</f>
        <v/>
      </c>
      <c r="J399" s="96" t="str">
        <f>IF(A399&lt;&gt;"",SUMIFS(deployment!$I$4:$I$502, deployment!$D$4:$D$502,"="&amp;A399, deployment!$D$4:$D$502,"&lt;&gt;"&amp;""),"")</f>
        <v/>
      </c>
      <c r="K399" s="112" t="str">
        <f>IF(A399&lt;&gt;"",SUMIFS(deployment!$J$4:$J$502, deployment!$D$4:$D$502,"="&amp;A399, deployment!$D$4:$D$502,"&lt;&gt;"&amp;""),"")</f>
        <v/>
      </c>
      <c r="L399" s="112" t="str">
        <f>IF(A399&lt;&gt;"",SUMIFS(deployment!$K$4:$K$502, deployment!$D$4:$D$502,"="&amp;A399, deployment!$D$4:$D$502,"&lt;&gt;"&amp;""),"")</f>
        <v/>
      </c>
      <c r="M399" s="97" t="str">
        <f>IF(A399&lt;&gt;"",SUMIFS(deployment!$L$4:$L$502, deployment!$D$4:$D$502,"="&amp;A399, deployment!$D$4:$D$502,"&lt;&gt;"&amp;""),"")</f>
        <v/>
      </c>
      <c r="N399" s="97" t="str">
        <f>IF(A399&lt;&gt;"",SUMIFS(deployment!$M$4:$M$502, deployment!$D$4:$D$502,"="&amp;A399, deployment!$D$4:$D$502,"&lt;&gt;"&amp;""),"")</f>
        <v/>
      </c>
      <c r="O399" s="127" t="str">
        <f t="shared" si="83"/>
        <v/>
      </c>
      <c r="P399" s="104"/>
      <c r="Q399" s="99" t="str">
        <f t="shared" si="72"/>
        <v/>
      </c>
      <c r="R399" s="100" t="str">
        <f t="shared" si="73"/>
        <v/>
      </c>
      <c r="S399" s="100" t="str">
        <f t="shared" si="74"/>
        <v/>
      </c>
      <c r="T399" s="101" t="str">
        <f t="shared" si="75"/>
        <v/>
      </c>
      <c r="U399" s="101" t="str">
        <f t="shared" si="76"/>
        <v/>
      </c>
      <c r="V399" s="128" t="str">
        <f t="shared" si="77"/>
        <v/>
      </c>
      <c r="W399" s="128" t="str">
        <f t="shared" si="78"/>
        <v/>
      </c>
      <c r="X399" s="101" t="str">
        <f t="shared" si="79"/>
        <v/>
      </c>
      <c r="Y399" s="101" t="str">
        <f t="shared" si="80"/>
        <v/>
      </c>
      <c r="Z399" s="102" t="str">
        <f t="shared" si="81"/>
        <v/>
      </c>
      <c r="AA399" s="103" t="str">
        <f t="shared" si="82"/>
        <v/>
      </c>
      <c r="AB399" s="142" t="str">
        <f>IF(A399&lt;&gt;"", SUMIFS(node!$J$2:$J$500, node!$C$2:$C$500,"="&amp;A399)/P399, "")</f>
        <v/>
      </c>
      <c r="AC399" s="134" t="str">
        <f>IF(A399&lt;&gt;"", SUMIFS(node!$K$2:$K$500, node!$C$2:$C$500,"="&amp;A399)/P399, "")</f>
        <v/>
      </c>
      <c r="AD399" s="135" t="str">
        <f>IF(A399&lt;&gt;"", SUMIFS(node!$L$2:$L$500, node!$C$2:$C$500,"="&amp;A399), "")</f>
        <v/>
      </c>
      <c r="AE399" s="145" t="str">
        <f>IF(A399&lt;&gt;"", SUMIFS(node!$M$2:$M$500, node!$C$2:$C$500,"="&amp;A399), "")</f>
        <v/>
      </c>
    </row>
    <row r="400" spans="1:31" ht="15.75" customHeight="1" x14ac:dyDescent="0.25">
      <c r="A400" s="119" t="str">
        <f>IF(ISNONTEXT(node_raw[[#This Row],[Column2]]), "", node_raw[[#This Row],[Column2]])</f>
        <v/>
      </c>
      <c r="B400" s="116" t="str">
        <f>IF(A400&lt;&gt;"", VLOOKUP(A400, node!$C$2:$D$500, 2, FALSE), "")</f>
        <v/>
      </c>
      <c r="C400" s="117" t="str">
        <f>IF(A400&lt;&gt;"", VLOOKUP(A400, node!$C$2:$E$500, 3, FALSE), "")</f>
        <v/>
      </c>
      <c r="D400" s="118" t="str">
        <f>IF(A400&lt;&gt;"",COUNTIFS(node!$C$2:$C$500,"="&amp;A400, node!$C$2:$C$500,"&lt;&gt;"&amp;""),"")</f>
        <v/>
      </c>
      <c r="E400" s="122" t="str">
        <f>IF(A400&lt;&gt;"",SUMIFS(node!$F$2:$F$500, node!$C$2:$C$500,"="&amp;A400, node!$C$2:$C$500,"&lt;&gt;"&amp;"")/(B400*D400),"")</f>
        <v/>
      </c>
      <c r="F400" s="124" t="str">
        <f>IF(A400&lt;&gt;"",SUMIFS(node!$H$2:$H$500, node!$C$2:$C$500,"="&amp;A400, node!$C$2:$C$500,"&lt;&gt;"&amp;"")/(C400*D400),"")</f>
        <v/>
      </c>
      <c r="G400" s="93" t="str">
        <f>IF(A400&lt;&gt;"",SUMIFS(deployment!$F$4:$F$502, deployment!$D$4:$D$502,"="&amp;A400, deployment!$D$4:$D$502,"&lt;&gt;"&amp;""),"")</f>
        <v/>
      </c>
      <c r="H400" s="94" t="str">
        <f>IF(A400&lt;&gt;"",SUMIFS(deployment!$G$4:$G$502, deployment!$D$4:$D$502,"="&amp;A400, deployment!$D$4:$D$502,"&lt;&gt;"&amp;""),"")</f>
        <v/>
      </c>
      <c r="I400" s="95" t="str">
        <f>IF(A400&lt;&gt;"",SUMIFS(deployment!$H$4:$H$502, deployment!$D$4:$D$502,"="&amp;A400, deployment!$D$4:$D$502,"&lt;&gt;"&amp;""),"")</f>
        <v/>
      </c>
      <c r="J400" s="96" t="str">
        <f>IF(A400&lt;&gt;"",SUMIFS(deployment!$I$4:$I$502, deployment!$D$4:$D$502,"="&amp;A400, deployment!$D$4:$D$502,"&lt;&gt;"&amp;""),"")</f>
        <v/>
      </c>
      <c r="K400" s="112" t="str">
        <f>IF(A400&lt;&gt;"",SUMIFS(deployment!$J$4:$J$502, deployment!$D$4:$D$502,"="&amp;A400, deployment!$D$4:$D$502,"&lt;&gt;"&amp;""),"")</f>
        <v/>
      </c>
      <c r="L400" s="112" t="str">
        <f>IF(A400&lt;&gt;"",SUMIFS(deployment!$K$4:$K$502, deployment!$D$4:$D$502,"="&amp;A400, deployment!$D$4:$D$502,"&lt;&gt;"&amp;""),"")</f>
        <v/>
      </c>
      <c r="M400" s="97" t="str">
        <f>IF(A400&lt;&gt;"",SUMIFS(deployment!$L$4:$L$502, deployment!$D$4:$D$502,"="&amp;A400, deployment!$D$4:$D$502,"&lt;&gt;"&amp;""),"")</f>
        <v/>
      </c>
      <c r="N400" s="97" t="str">
        <f>IF(A400&lt;&gt;"",SUMIFS(deployment!$M$4:$M$502, deployment!$D$4:$D$502,"="&amp;A400, deployment!$D$4:$D$502,"&lt;&gt;"&amp;""),"")</f>
        <v/>
      </c>
      <c r="O400" s="127" t="str">
        <f t="shared" si="83"/>
        <v/>
      </c>
      <c r="P400" s="104"/>
      <c r="Q400" s="99" t="str">
        <f t="shared" si="72"/>
        <v/>
      </c>
      <c r="R400" s="100" t="str">
        <f t="shared" si="73"/>
        <v/>
      </c>
      <c r="S400" s="100" t="str">
        <f t="shared" si="74"/>
        <v/>
      </c>
      <c r="T400" s="101" t="str">
        <f t="shared" si="75"/>
        <v/>
      </c>
      <c r="U400" s="101" t="str">
        <f t="shared" si="76"/>
        <v/>
      </c>
      <c r="V400" s="128" t="str">
        <f t="shared" si="77"/>
        <v/>
      </c>
      <c r="W400" s="128" t="str">
        <f t="shared" si="78"/>
        <v/>
      </c>
      <c r="X400" s="101" t="str">
        <f t="shared" si="79"/>
        <v/>
      </c>
      <c r="Y400" s="101" t="str">
        <f t="shared" si="80"/>
        <v/>
      </c>
      <c r="Z400" s="102" t="str">
        <f t="shared" si="81"/>
        <v/>
      </c>
      <c r="AA400" s="103" t="str">
        <f t="shared" si="82"/>
        <v/>
      </c>
      <c r="AB400" s="142" t="str">
        <f>IF(A400&lt;&gt;"", SUMIFS(node!$J$2:$J$500, node!$C$2:$C$500,"="&amp;A400)/P400, "")</f>
        <v/>
      </c>
      <c r="AC400" s="134" t="str">
        <f>IF(A400&lt;&gt;"", SUMIFS(node!$K$2:$K$500, node!$C$2:$C$500,"="&amp;A400)/P400, "")</f>
        <v/>
      </c>
      <c r="AD400" s="135" t="str">
        <f>IF(A400&lt;&gt;"", SUMIFS(node!$L$2:$L$500, node!$C$2:$C$500,"="&amp;A400), "")</f>
        <v/>
      </c>
      <c r="AE400" s="145" t="str">
        <f>IF(A400&lt;&gt;"", SUMIFS(node!$M$2:$M$500, node!$C$2:$C$500,"="&amp;A400), "")</f>
        <v/>
      </c>
    </row>
    <row r="401" spans="1:31" ht="15.75" customHeight="1" x14ac:dyDescent="0.25">
      <c r="A401" s="119" t="str">
        <f>IF(ISNONTEXT(node_raw[[#This Row],[Column2]]), "", node_raw[[#This Row],[Column2]])</f>
        <v/>
      </c>
      <c r="B401" s="116" t="str">
        <f>IF(A401&lt;&gt;"", VLOOKUP(A401, node!$C$2:$D$500, 2, FALSE), "")</f>
        <v/>
      </c>
      <c r="C401" s="117" t="str">
        <f>IF(A401&lt;&gt;"", VLOOKUP(A401, node!$C$2:$E$500, 3, FALSE), "")</f>
        <v/>
      </c>
      <c r="D401" s="118" t="str">
        <f>IF(A401&lt;&gt;"",COUNTIFS(node!$C$2:$C$500,"="&amp;A401, node!$C$2:$C$500,"&lt;&gt;"&amp;""),"")</f>
        <v/>
      </c>
      <c r="E401" s="122" t="str">
        <f>IF(A401&lt;&gt;"",SUMIFS(node!$F$2:$F$500, node!$C$2:$C$500,"="&amp;A401, node!$C$2:$C$500,"&lt;&gt;"&amp;"")/(B401*D401),"")</f>
        <v/>
      </c>
      <c r="F401" s="124" t="str">
        <f>IF(A401&lt;&gt;"",SUMIFS(node!$H$2:$H$500, node!$C$2:$C$500,"="&amp;A401, node!$C$2:$C$500,"&lt;&gt;"&amp;"")/(C401*D401),"")</f>
        <v/>
      </c>
      <c r="G401" s="93" t="str">
        <f>IF(A401&lt;&gt;"",SUMIFS(deployment!$F$4:$F$502, deployment!$D$4:$D$502,"="&amp;A401, deployment!$D$4:$D$502,"&lt;&gt;"&amp;""),"")</f>
        <v/>
      </c>
      <c r="H401" s="94" t="str">
        <f>IF(A401&lt;&gt;"",SUMIFS(deployment!$G$4:$G$502, deployment!$D$4:$D$502,"="&amp;A401, deployment!$D$4:$D$502,"&lt;&gt;"&amp;""),"")</f>
        <v/>
      </c>
      <c r="I401" s="95" t="str">
        <f>IF(A401&lt;&gt;"",SUMIFS(deployment!$H$4:$H$502, deployment!$D$4:$D$502,"="&amp;A401, deployment!$D$4:$D$502,"&lt;&gt;"&amp;""),"")</f>
        <v/>
      </c>
      <c r="J401" s="96" t="str">
        <f>IF(A401&lt;&gt;"",SUMIFS(deployment!$I$4:$I$502, deployment!$D$4:$D$502,"="&amp;A401, deployment!$D$4:$D$502,"&lt;&gt;"&amp;""),"")</f>
        <v/>
      </c>
      <c r="K401" s="112" t="str">
        <f>IF(A401&lt;&gt;"",SUMIFS(deployment!$J$4:$J$502, deployment!$D$4:$D$502,"="&amp;A401, deployment!$D$4:$D$502,"&lt;&gt;"&amp;""),"")</f>
        <v/>
      </c>
      <c r="L401" s="112" t="str">
        <f>IF(A401&lt;&gt;"",SUMIFS(deployment!$K$4:$K$502, deployment!$D$4:$D$502,"="&amp;A401, deployment!$D$4:$D$502,"&lt;&gt;"&amp;""),"")</f>
        <v/>
      </c>
      <c r="M401" s="97" t="str">
        <f>IF(A401&lt;&gt;"",SUMIFS(deployment!$L$4:$L$502, deployment!$D$4:$D$502,"="&amp;A401, deployment!$D$4:$D$502,"&lt;&gt;"&amp;""),"")</f>
        <v/>
      </c>
      <c r="N401" s="97" t="str">
        <f>IF(A401&lt;&gt;"",SUMIFS(deployment!$M$4:$M$502, deployment!$D$4:$D$502,"="&amp;A401, deployment!$D$4:$D$502,"&lt;&gt;"&amp;""),"")</f>
        <v/>
      </c>
      <c r="O401" s="127" t="str">
        <f t="shared" si="83"/>
        <v/>
      </c>
      <c r="P401" s="104"/>
      <c r="Q401" s="99" t="str">
        <f t="shared" si="72"/>
        <v/>
      </c>
      <c r="R401" s="100" t="str">
        <f t="shared" si="73"/>
        <v/>
      </c>
      <c r="S401" s="100" t="str">
        <f t="shared" si="74"/>
        <v/>
      </c>
      <c r="T401" s="101" t="str">
        <f t="shared" si="75"/>
        <v/>
      </c>
      <c r="U401" s="101" t="str">
        <f t="shared" si="76"/>
        <v/>
      </c>
      <c r="V401" s="128" t="str">
        <f t="shared" si="77"/>
        <v/>
      </c>
      <c r="W401" s="128" t="str">
        <f t="shared" si="78"/>
        <v/>
      </c>
      <c r="X401" s="101" t="str">
        <f t="shared" si="79"/>
        <v/>
      </c>
      <c r="Y401" s="101" t="str">
        <f t="shared" si="80"/>
        <v/>
      </c>
      <c r="Z401" s="102" t="str">
        <f t="shared" si="81"/>
        <v/>
      </c>
      <c r="AA401" s="103" t="str">
        <f t="shared" si="82"/>
        <v/>
      </c>
      <c r="AB401" s="142" t="str">
        <f>IF(A401&lt;&gt;"", SUMIFS(node!$J$2:$J$500, node!$C$2:$C$500,"="&amp;A401)/P401, "")</f>
        <v/>
      </c>
      <c r="AC401" s="134" t="str">
        <f>IF(A401&lt;&gt;"", SUMIFS(node!$K$2:$K$500, node!$C$2:$C$500,"="&amp;A401)/P401, "")</f>
        <v/>
      </c>
      <c r="AD401" s="135" t="str">
        <f>IF(A401&lt;&gt;"", SUMIFS(node!$L$2:$L$500, node!$C$2:$C$500,"="&amp;A401), "")</f>
        <v/>
      </c>
      <c r="AE401" s="145" t="str">
        <f>IF(A401&lt;&gt;"", SUMIFS(node!$M$2:$M$500, node!$C$2:$C$500,"="&amp;A401), "")</f>
        <v/>
      </c>
    </row>
    <row r="402" spans="1:31" ht="15.75" customHeight="1" x14ac:dyDescent="0.25">
      <c r="A402" s="119" t="str">
        <f>IF(ISNONTEXT(node_raw[[#This Row],[Column2]]), "", node_raw[[#This Row],[Column2]])</f>
        <v/>
      </c>
      <c r="B402" s="116" t="str">
        <f>IF(A402&lt;&gt;"", VLOOKUP(A402, node!$C$2:$D$500, 2, FALSE), "")</f>
        <v/>
      </c>
      <c r="C402" s="117" t="str">
        <f>IF(A402&lt;&gt;"", VLOOKUP(A402, node!$C$2:$E$500, 3, FALSE), "")</f>
        <v/>
      </c>
      <c r="D402" s="118" t="str">
        <f>IF(A402&lt;&gt;"",COUNTIFS(node!$C$2:$C$500,"="&amp;A402, node!$C$2:$C$500,"&lt;&gt;"&amp;""),"")</f>
        <v/>
      </c>
      <c r="E402" s="122" t="str">
        <f>IF(A402&lt;&gt;"",SUMIFS(node!$F$2:$F$500, node!$C$2:$C$500,"="&amp;A402, node!$C$2:$C$500,"&lt;&gt;"&amp;"")/(B402*D402),"")</f>
        <v/>
      </c>
      <c r="F402" s="124" t="str">
        <f>IF(A402&lt;&gt;"",SUMIFS(node!$H$2:$H$500, node!$C$2:$C$500,"="&amp;A402, node!$C$2:$C$500,"&lt;&gt;"&amp;"")/(C402*D402),"")</f>
        <v/>
      </c>
      <c r="G402" s="93" t="str">
        <f>IF(A402&lt;&gt;"",SUMIFS(deployment!$F$4:$F$502, deployment!$D$4:$D$502,"="&amp;A402, deployment!$D$4:$D$502,"&lt;&gt;"&amp;""),"")</f>
        <v/>
      </c>
      <c r="H402" s="94" t="str">
        <f>IF(A402&lt;&gt;"",SUMIFS(deployment!$G$4:$G$502, deployment!$D$4:$D$502,"="&amp;A402, deployment!$D$4:$D$502,"&lt;&gt;"&amp;""),"")</f>
        <v/>
      </c>
      <c r="I402" s="95" t="str">
        <f>IF(A402&lt;&gt;"",SUMIFS(deployment!$H$4:$H$502, deployment!$D$4:$D$502,"="&amp;A402, deployment!$D$4:$D$502,"&lt;&gt;"&amp;""),"")</f>
        <v/>
      </c>
      <c r="J402" s="96" t="str">
        <f>IF(A402&lt;&gt;"",SUMIFS(deployment!$I$4:$I$502, deployment!$D$4:$D$502,"="&amp;A402, deployment!$D$4:$D$502,"&lt;&gt;"&amp;""),"")</f>
        <v/>
      </c>
      <c r="K402" s="112" t="str">
        <f>IF(A402&lt;&gt;"",SUMIFS(deployment!$J$4:$J$502, deployment!$D$4:$D$502,"="&amp;A402, deployment!$D$4:$D$502,"&lt;&gt;"&amp;""),"")</f>
        <v/>
      </c>
      <c r="L402" s="112" t="str">
        <f>IF(A402&lt;&gt;"",SUMIFS(deployment!$K$4:$K$502, deployment!$D$4:$D$502,"="&amp;A402, deployment!$D$4:$D$502,"&lt;&gt;"&amp;""),"")</f>
        <v/>
      </c>
      <c r="M402" s="97" t="str">
        <f>IF(A402&lt;&gt;"",SUMIFS(deployment!$L$4:$L$502, deployment!$D$4:$D$502,"="&amp;A402, deployment!$D$4:$D$502,"&lt;&gt;"&amp;""),"")</f>
        <v/>
      </c>
      <c r="N402" s="97" t="str">
        <f>IF(A402&lt;&gt;"",SUMIFS(deployment!$M$4:$M$502, deployment!$D$4:$D$502,"="&amp;A402, deployment!$D$4:$D$502,"&lt;&gt;"&amp;""),"")</f>
        <v/>
      </c>
      <c r="O402" s="127" t="str">
        <f t="shared" si="83"/>
        <v/>
      </c>
      <c r="P402" s="104"/>
      <c r="Q402" s="99" t="str">
        <f t="shared" si="72"/>
        <v/>
      </c>
      <c r="R402" s="100" t="str">
        <f t="shared" si="73"/>
        <v/>
      </c>
      <c r="S402" s="100" t="str">
        <f t="shared" si="74"/>
        <v/>
      </c>
      <c r="T402" s="101" t="str">
        <f t="shared" si="75"/>
        <v/>
      </c>
      <c r="U402" s="101" t="str">
        <f t="shared" si="76"/>
        <v/>
      </c>
      <c r="V402" s="128" t="str">
        <f t="shared" si="77"/>
        <v/>
      </c>
      <c r="W402" s="128" t="str">
        <f t="shared" si="78"/>
        <v/>
      </c>
      <c r="X402" s="101" t="str">
        <f t="shared" si="79"/>
        <v/>
      </c>
      <c r="Y402" s="101" t="str">
        <f t="shared" si="80"/>
        <v/>
      </c>
      <c r="Z402" s="102" t="str">
        <f t="shared" si="81"/>
        <v/>
      </c>
      <c r="AA402" s="103" t="str">
        <f t="shared" si="82"/>
        <v/>
      </c>
      <c r="AB402" s="142" t="str">
        <f>IF(A402&lt;&gt;"", SUMIFS(node!$J$2:$J$500, node!$C$2:$C$500,"="&amp;A402)/P402, "")</f>
        <v/>
      </c>
      <c r="AC402" s="134" t="str">
        <f>IF(A402&lt;&gt;"", SUMIFS(node!$K$2:$K$500, node!$C$2:$C$500,"="&amp;A402)/P402, "")</f>
        <v/>
      </c>
      <c r="AD402" s="135" t="str">
        <f>IF(A402&lt;&gt;"", SUMIFS(node!$L$2:$L$500, node!$C$2:$C$500,"="&amp;A402), "")</f>
        <v/>
      </c>
      <c r="AE402" s="145" t="str">
        <f>IF(A402&lt;&gt;"", SUMIFS(node!$M$2:$M$500, node!$C$2:$C$500,"="&amp;A402), "")</f>
        <v/>
      </c>
    </row>
    <row r="403" spans="1:31" ht="15.75" customHeight="1" x14ac:dyDescent="0.25">
      <c r="A403" s="119" t="str">
        <f>IF(ISNONTEXT(node_raw[[#This Row],[Column2]]), "", node_raw[[#This Row],[Column2]])</f>
        <v/>
      </c>
      <c r="B403" s="116" t="str">
        <f>IF(A403&lt;&gt;"", VLOOKUP(A403, node!$C$2:$D$500, 2, FALSE), "")</f>
        <v/>
      </c>
      <c r="C403" s="117" t="str">
        <f>IF(A403&lt;&gt;"", VLOOKUP(A403, node!$C$2:$E$500, 3, FALSE), "")</f>
        <v/>
      </c>
      <c r="D403" s="118" t="str">
        <f>IF(A403&lt;&gt;"",COUNTIFS(node!$C$2:$C$500,"="&amp;A403, node!$C$2:$C$500,"&lt;&gt;"&amp;""),"")</f>
        <v/>
      </c>
      <c r="E403" s="122" t="str">
        <f>IF(A403&lt;&gt;"",SUMIFS(node!$F$2:$F$500, node!$C$2:$C$500,"="&amp;A403, node!$C$2:$C$500,"&lt;&gt;"&amp;"")/(B403*D403),"")</f>
        <v/>
      </c>
      <c r="F403" s="124" t="str">
        <f>IF(A403&lt;&gt;"",SUMIFS(node!$H$2:$H$500, node!$C$2:$C$500,"="&amp;A403, node!$C$2:$C$500,"&lt;&gt;"&amp;"")/(C403*D403),"")</f>
        <v/>
      </c>
      <c r="G403" s="93" t="str">
        <f>IF(A403&lt;&gt;"",SUMIFS(deployment!$F$4:$F$502, deployment!$D$4:$D$502,"="&amp;A403, deployment!$D$4:$D$502,"&lt;&gt;"&amp;""),"")</f>
        <v/>
      </c>
      <c r="H403" s="94" t="str">
        <f>IF(A403&lt;&gt;"",SUMIFS(deployment!$G$4:$G$502, deployment!$D$4:$D$502,"="&amp;A403, deployment!$D$4:$D$502,"&lt;&gt;"&amp;""),"")</f>
        <v/>
      </c>
      <c r="I403" s="95" t="str">
        <f>IF(A403&lt;&gt;"",SUMIFS(deployment!$H$4:$H$502, deployment!$D$4:$D$502,"="&amp;A403, deployment!$D$4:$D$502,"&lt;&gt;"&amp;""),"")</f>
        <v/>
      </c>
      <c r="J403" s="96" t="str">
        <f>IF(A403&lt;&gt;"",SUMIFS(deployment!$I$4:$I$502, deployment!$D$4:$D$502,"="&amp;A403, deployment!$D$4:$D$502,"&lt;&gt;"&amp;""),"")</f>
        <v/>
      </c>
      <c r="K403" s="112" t="str">
        <f>IF(A403&lt;&gt;"",SUMIFS(deployment!$J$4:$J$502, deployment!$D$4:$D$502,"="&amp;A403, deployment!$D$4:$D$502,"&lt;&gt;"&amp;""),"")</f>
        <v/>
      </c>
      <c r="L403" s="112" t="str">
        <f>IF(A403&lt;&gt;"",SUMIFS(deployment!$K$4:$K$502, deployment!$D$4:$D$502,"="&amp;A403, deployment!$D$4:$D$502,"&lt;&gt;"&amp;""),"")</f>
        <v/>
      </c>
      <c r="M403" s="97" t="str">
        <f>IF(A403&lt;&gt;"",SUMIFS(deployment!$L$4:$L$502, deployment!$D$4:$D$502,"="&amp;A403, deployment!$D$4:$D$502,"&lt;&gt;"&amp;""),"")</f>
        <v/>
      </c>
      <c r="N403" s="97" t="str">
        <f>IF(A403&lt;&gt;"",SUMIFS(deployment!$M$4:$M$502, deployment!$D$4:$D$502,"="&amp;A403, deployment!$D$4:$D$502,"&lt;&gt;"&amp;""),"")</f>
        <v/>
      </c>
      <c r="O403" s="127" t="str">
        <f t="shared" si="83"/>
        <v/>
      </c>
      <c r="P403" s="104"/>
      <c r="Q403" s="99" t="str">
        <f t="shared" si="72"/>
        <v/>
      </c>
      <c r="R403" s="100" t="str">
        <f t="shared" si="73"/>
        <v/>
      </c>
      <c r="S403" s="100" t="str">
        <f t="shared" si="74"/>
        <v/>
      </c>
      <c r="T403" s="101" t="str">
        <f t="shared" si="75"/>
        <v/>
      </c>
      <c r="U403" s="101" t="str">
        <f t="shared" si="76"/>
        <v/>
      </c>
      <c r="V403" s="128" t="str">
        <f t="shared" si="77"/>
        <v/>
      </c>
      <c r="W403" s="128" t="str">
        <f t="shared" si="78"/>
        <v/>
      </c>
      <c r="X403" s="101" t="str">
        <f t="shared" si="79"/>
        <v/>
      </c>
      <c r="Y403" s="101" t="str">
        <f t="shared" si="80"/>
        <v/>
      </c>
      <c r="Z403" s="102" t="str">
        <f t="shared" si="81"/>
        <v/>
      </c>
      <c r="AA403" s="103" t="str">
        <f t="shared" si="82"/>
        <v/>
      </c>
      <c r="AB403" s="142" t="str">
        <f>IF(A403&lt;&gt;"", SUMIFS(node!$J$2:$J$500, node!$C$2:$C$500,"="&amp;A403)/P403, "")</f>
        <v/>
      </c>
      <c r="AC403" s="134" t="str">
        <f>IF(A403&lt;&gt;"", SUMIFS(node!$K$2:$K$500, node!$C$2:$C$500,"="&amp;A403)/P403, "")</f>
        <v/>
      </c>
      <c r="AD403" s="135" t="str">
        <f>IF(A403&lt;&gt;"", SUMIFS(node!$L$2:$L$500, node!$C$2:$C$500,"="&amp;A403), "")</f>
        <v/>
      </c>
      <c r="AE403" s="145" t="str">
        <f>IF(A403&lt;&gt;"", SUMIFS(node!$M$2:$M$500, node!$C$2:$C$500,"="&amp;A403), "")</f>
        <v/>
      </c>
    </row>
    <row r="404" spans="1:31" ht="15.75" customHeight="1" x14ac:dyDescent="0.25">
      <c r="A404" s="119" t="str">
        <f>IF(ISNONTEXT(node_raw[[#This Row],[Column2]]), "", node_raw[[#This Row],[Column2]])</f>
        <v/>
      </c>
      <c r="B404" s="116" t="str">
        <f>IF(A404&lt;&gt;"", VLOOKUP(A404, node!$C$2:$D$500, 2, FALSE), "")</f>
        <v/>
      </c>
      <c r="C404" s="117" t="str">
        <f>IF(A404&lt;&gt;"", VLOOKUP(A404, node!$C$2:$E$500, 3, FALSE), "")</f>
        <v/>
      </c>
      <c r="D404" s="118" t="str">
        <f>IF(A404&lt;&gt;"",COUNTIFS(node!$C$2:$C$500,"="&amp;A404, node!$C$2:$C$500,"&lt;&gt;"&amp;""),"")</f>
        <v/>
      </c>
      <c r="E404" s="122" t="str">
        <f>IF(A404&lt;&gt;"",SUMIFS(node!$F$2:$F$500, node!$C$2:$C$500,"="&amp;A404, node!$C$2:$C$500,"&lt;&gt;"&amp;"")/(B404*D404),"")</f>
        <v/>
      </c>
      <c r="F404" s="124" t="str">
        <f>IF(A404&lt;&gt;"",SUMIFS(node!$H$2:$H$500, node!$C$2:$C$500,"="&amp;A404, node!$C$2:$C$500,"&lt;&gt;"&amp;"")/(C404*D404),"")</f>
        <v/>
      </c>
      <c r="G404" s="93" t="str">
        <f>IF(A404&lt;&gt;"",SUMIFS(deployment!$F$4:$F$502, deployment!$D$4:$D$502,"="&amp;A404, deployment!$D$4:$D$502,"&lt;&gt;"&amp;""),"")</f>
        <v/>
      </c>
      <c r="H404" s="94" t="str">
        <f>IF(A404&lt;&gt;"",SUMIFS(deployment!$G$4:$G$502, deployment!$D$4:$D$502,"="&amp;A404, deployment!$D$4:$D$502,"&lt;&gt;"&amp;""),"")</f>
        <v/>
      </c>
      <c r="I404" s="95" t="str">
        <f>IF(A404&lt;&gt;"",SUMIFS(deployment!$H$4:$H$502, deployment!$D$4:$D$502,"="&amp;A404, deployment!$D$4:$D$502,"&lt;&gt;"&amp;""),"")</f>
        <v/>
      </c>
      <c r="J404" s="96" t="str">
        <f>IF(A404&lt;&gt;"",SUMIFS(deployment!$I$4:$I$502, deployment!$D$4:$D$502,"="&amp;A404, deployment!$D$4:$D$502,"&lt;&gt;"&amp;""),"")</f>
        <v/>
      </c>
      <c r="K404" s="112" t="str">
        <f>IF(A404&lt;&gt;"",SUMIFS(deployment!$J$4:$J$502, deployment!$D$4:$D$502,"="&amp;A404, deployment!$D$4:$D$502,"&lt;&gt;"&amp;""),"")</f>
        <v/>
      </c>
      <c r="L404" s="112" t="str">
        <f>IF(A404&lt;&gt;"",SUMIFS(deployment!$K$4:$K$502, deployment!$D$4:$D$502,"="&amp;A404, deployment!$D$4:$D$502,"&lt;&gt;"&amp;""),"")</f>
        <v/>
      </c>
      <c r="M404" s="97" t="str">
        <f>IF(A404&lt;&gt;"",SUMIFS(deployment!$L$4:$L$502, deployment!$D$4:$D$502,"="&amp;A404, deployment!$D$4:$D$502,"&lt;&gt;"&amp;""),"")</f>
        <v/>
      </c>
      <c r="N404" s="97" t="str">
        <f>IF(A404&lt;&gt;"",SUMIFS(deployment!$M$4:$M$502, deployment!$D$4:$D$502,"="&amp;A404, deployment!$D$4:$D$502,"&lt;&gt;"&amp;""),"")</f>
        <v/>
      </c>
      <c r="O404" s="127" t="str">
        <f t="shared" si="83"/>
        <v/>
      </c>
      <c r="P404" s="104"/>
      <c r="Q404" s="99" t="str">
        <f t="shared" si="72"/>
        <v/>
      </c>
      <c r="R404" s="100" t="str">
        <f t="shared" si="73"/>
        <v/>
      </c>
      <c r="S404" s="100" t="str">
        <f t="shared" si="74"/>
        <v/>
      </c>
      <c r="T404" s="101" t="str">
        <f t="shared" si="75"/>
        <v/>
      </c>
      <c r="U404" s="101" t="str">
        <f t="shared" si="76"/>
        <v/>
      </c>
      <c r="V404" s="128" t="str">
        <f t="shared" si="77"/>
        <v/>
      </c>
      <c r="W404" s="128" t="str">
        <f t="shared" si="78"/>
        <v/>
      </c>
      <c r="X404" s="101" t="str">
        <f t="shared" si="79"/>
        <v/>
      </c>
      <c r="Y404" s="101" t="str">
        <f t="shared" si="80"/>
        <v/>
      </c>
      <c r="Z404" s="102" t="str">
        <f t="shared" si="81"/>
        <v/>
      </c>
      <c r="AA404" s="103" t="str">
        <f t="shared" si="82"/>
        <v/>
      </c>
      <c r="AB404" s="142" t="str">
        <f>IF(A404&lt;&gt;"", SUMIFS(node!$J$2:$J$500, node!$C$2:$C$500,"="&amp;A404)/P404, "")</f>
        <v/>
      </c>
      <c r="AC404" s="134" t="str">
        <f>IF(A404&lt;&gt;"", SUMIFS(node!$K$2:$K$500, node!$C$2:$C$500,"="&amp;A404)/P404, "")</f>
        <v/>
      </c>
      <c r="AD404" s="135" t="str">
        <f>IF(A404&lt;&gt;"", SUMIFS(node!$L$2:$L$500, node!$C$2:$C$500,"="&amp;A404), "")</f>
        <v/>
      </c>
      <c r="AE404" s="145" t="str">
        <f>IF(A404&lt;&gt;"", SUMIFS(node!$M$2:$M$500, node!$C$2:$C$500,"="&amp;A404), "")</f>
        <v/>
      </c>
    </row>
    <row r="405" spans="1:31" ht="15.75" customHeight="1" x14ac:dyDescent="0.25">
      <c r="A405" s="119" t="str">
        <f>IF(ISNONTEXT(node_raw[[#This Row],[Column2]]), "", node_raw[[#This Row],[Column2]])</f>
        <v/>
      </c>
      <c r="B405" s="116" t="str">
        <f>IF(A405&lt;&gt;"", VLOOKUP(A405, node!$C$2:$D$500, 2, FALSE), "")</f>
        <v/>
      </c>
      <c r="C405" s="117" t="str">
        <f>IF(A405&lt;&gt;"", VLOOKUP(A405, node!$C$2:$E$500, 3, FALSE), "")</f>
        <v/>
      </c>
      <c r="D405" s="118" t="str">
        <f>IF(A405&lt;&gt;"",COUNTIFS(node!$C$2:$C$500,"="&amp;A405, node!$C$2:$C$500,"&lt;&gt;"&amp;""),"")</f>
        <v/>
      </c>
      <c r="E405" s="122" t="str">
        <f>IF(A405&lt;&gt;"",SUMIFS(node!$F$2:$F$500, node!$C$2:$C$500,"="&amp;A405, node!$C$2:$C$500,"&lt;&gt;"&amp;"")/(B405*D405),"")</f>
        <v/>
      </c>
      <c r="F405" s="124" t="str">
        <f>IF(A405&lt;&gt;"",SUMIFS(node!$H$2:$H$500, node!$C$2:$C$500,"="&amp;A405, node!$C$2:$C$500,"&lt;&gt;"&amp;"")/(C405*D405),"")</f>
        <v/>
      </c>
      <c r="G405" s="93" t="str">
        <f>IF(A405&lt;&gt;"",SUMIFS(deployment!$F$4:$F$502, deployment!$D$4:$D$502,"="&amp;A405, deployment!$D$4:$D$502,"&lt;&gt;"&amp;""),"")</f>
        <v/>
      </c>
      <c r="H405" s="94" t="str">
        <f>IF(A405&lt;&gt;"",SUMIFS(deployment!$G$4:$G$502, deployment!$D$4:$D$502,"="&amp;A405, deployment!$D$4:$D$502,"&lt;&gt;"&amp;""),"")</f>
        <v/>
      </c>
      <c r="I405" s="95" t="str">
        <f>IF(A405&lt;&gt;"",SUMIFS(deployment!$H$4:$H$502, deployment!$D$4:$D$502,"="&amp;A405, deployment!$D$4:$D$502,"&lt;&gt;"&amp;""),"")</f>
        <v/>
      </c>
      <c r="J405" s="96" t="str">
        <f>IF(A405&lt;&gt;"",SUMIFS(deployment!$I$4:$I$502, deployment!$D$4:$D$502,"="&amp;A405, deployment!$D$4:$D$502,"&lt;&gt;"&amp;""),"")</f>
        <v/>
      </c>
      <c r="K405" s="112" t="str">
        <f>IF(A405&lt;&gt;"",SUMIFS(deployment!$J$4:$J$502, deployment!$D$4:$D$502,"="&amp;A405, deployment!$D$4:$D$502,"&lt;&gt;"&amp;""),"")</f>
        <v/>
      </c>
      <c r="L405" s="112" t="str">
        <f>IF(A405&lt;&gt;"",SUMIFS(deployment!$K$4:$K$502, deployment!$D$4:$D$502,"="&amp;A405, deployment!$D$4:$D$502,"&lt;&gt;"&amp;""),"")</f>
        <v/>
      </c>
      <c r="M405" s="97" t="str">
        <f>IF(A405&lt;&gt;"",SUMIFS(deployment!$L$4:$L$502, deployment!$D$4:$D$502,"="&amp;A405, deployment!$D$4:$D$502,"&lt;&gt;"&amp;""),"")</f>
        <v/>
      </c>
      <c r="N405" s="97" t="str">
        <f>IF(A405&lt;&gt;"",SUMIFS(deployment!$M$4:$M$502, deployment!$D$4:$D$502,"="&amp;A405, deployment!$D$4:$D$502,"&lt;&gt;"&amp;""),"")</f>
        <v/>
      </c>
      <c r="O405" s="127" t="str">
        <f t="shared" si="83"/>
        <v/>
      </c>
      <c r="P405" s="104"/>
      <c r="Q405" s="99" t="str">
        <f t="shared" si="72"/>
        <v/>
      </c>
      <c r="R405" s="100" t="str">
        <f t="shared" si="73"/>
        <v/>
      </c>
      <c r="S405" s="100" t="str">
        <f t="shared" si="74"/>
        <v/>
      </c>
      <c r="T405" s="101" t="str">
        <f t="shared" si="75"/>
        <v/>
      </c>
      <c r="U405" s="101" t="str">
        <f t="shared" si="76"/>
        <v/>
      </c>
      <c r="V405" s="128" t="str">
        <f t="shared" si="77"/>
        <v/>
      </c>
      <c r="W405" s="128" t="str">
        <f t="shared" si="78"/>
        <v/>
      </c>
      <c r="X405" s="101" t="str">
        <f t="shared" si="79"/>
        <v/>
      </c>
      <c r="Y405" s="101" t="str">
        <f t="shared" si="80"/>
        <v/>
      </c>
      <c r="Z405" s="102" t="str">
        <f t="shared" si="81"/>
        <v/>
      </c>
      <c r="AA405" s="103" t="str">
        <f t="shared" si="82"/>
        <v/>
      </c>
      <c r="AB405" s="142" t="str">
        <f>IF(A405&lt;&gt;"", SUMIFS(node!$J$2:$J$500, node!$C$2:$C$500,"="&amp;A405)/P405, "")</f>
        <v/>
      </c>
      <c r="AC405" s="134" t="str">
        <f>IF(A405&lt;&gt;"", SUMIFS(node!$K$2:$K$500, node!$C$2:$C$500,"="&amp;A405)/P405, "")</f>
        <v/>
      </c>
      <c r="AD405" s="135" t="str">
        <f>IF(A405&lt;&gt;"", SUMIFS(node!$L$2:$L$500, node!$C$2:$C$500,"="&amp;A405), "")</f>
        <v/>
      </c>
      <c r="AE405" s="145" t="str">
        <f>IF(A405&lt;&gt;"", SUMIFS(node!$M$2:$M$500, node!$C$2:$C$500,"="&amp;A405), "")</f>
        <v/>
      </c>
    </row>
    <row r="406" spans="1:31" ht="15.75" customHeight="1" x14ac:dyDescent="0.25">
      <c r="A406" s="119" t="str">
        <f>IF(ISNONTEXT(node_raw[[#This Row],[Column2]]), "", node_raw[[#This Row],[Column2]])</f>
        <v/>
      </c>
      <c r="B406" s="116" t="str">
        <f>IF(A406&lt;&gt;"", VLOOKUP(A406, node!$C$2:$D$500, 2, FALSE), "")</f>
        <v/>
      </c>
      <c r="C406" s="117" t="str">
        <f>IF(A406&lt;&gt;"", VLOOKUP(A406, node!$C$2:$E$500, 3, FALSE), "")</f>
        <v/>
      </c>
      <c r="D406" s="118" t="str">
        <f>IF(A406&lt;&gt;"",COUNTIFS(node!$C$2:$C$500,"="&amp;A406, node!$C$2:$C$500,"&lt;&gt;"&amp;""),"")</f>
        <v/>
      </c>
      <c r="E406" s="122" t="str">
        <f>IF(A406&lt;&gt;"",SUMIFS(node!$F$2:$F$500, node!$C$2:$C$500,"="&amp;A406, node!$C$2:$C$500,"&lt;&gt;"&amp;"")/(B406*D406),"")</f>
        <v/>
      </c>
      <c r="F406" s="124" t="str">
        <f>IF(A406&lt;&gt;"",SUMIFS(node!$H$2:$H$500, node!$C$2:$C$500,"="&amp;A406, node!$C$2:$C$500,"&lt;&gt;"&amp;"")/(C406*D406),"")</f>
        <v/>
      </c>
      <c r="G406" s="93" t="str">
        <f>IF(A406&lt;&gt;"",SUMIFS(deployment!$F$4:$F$502, deployment!$D$4:$D$502,"="&amp;A406, deployment!$D$4:$D$502,"&lt;&gt;"&amp;""),"")</f>
        <v/>
      </c>
      <c r="H406" s="94" t="str">
        <f>IF(A406&lt;&gt;"",SUMIFS(deployment!$G$4:$G$502, deployment!$D$4:$D$502,"="&amp;A406, deployment!$D$4:$D$502,"&lt;&gt;"&amp;""),"")</f>
        <v/>
      </c>
      <c r="I406" s="95" t="str">
        <f>IF(A406&lt;&gt;"",SUMIFS(deployment!$H$4:$H$502, deployment!$D$4:$D$502,"="&amp;A406, deployment!$D$4:$D$502,"&lt;&gt;"&amp;""),"")</f>
        <v/>
      </c>
      <c r="J406" s="96" t="str">
        <f>IF(A406&lt;&gt;"",SUMIFS(deployment!$I$4:$I$502, deployment!$D$4:$D$502,"="&amp;A406, deployment!$D$4:$D$502,"&lt;&gt;"&amp;""),"")</f>
        <v/>
      </c>
      <c r="K406" s="112" t="str">
        <f>IF(A406&lt;&gt;"",SUMIFS(deployment!$J$4:$J$502, deployment!$D$4:$D$502,"="&amp;A406, deployment!$D$4:$D$502,"&lt;&gt;"&amp;""),"")</f>
        <v/>
      </c>
      <c r="L406" s="112" t="str">
        <f>IF(A406&lt;&gt;"",SUMIFS(deployment!$K$4:$K$502, deployment!$D$4:$D$502,"="&amp;A406, deployment!$D$4:$D$502,"&lt;&gt;"&amp;""),"")</f>
        <v/>
      </c>
      <c r="M406" s="97" t="str">
        <f>IF(A406&lt;&gt;"",SUMIFS(deployment!$L$4:$L$502, deployment!$D$4:$D$502,"="&amp;A406, deployment!$D$4:$D$502,"&lt;&gt;"&amp;""),"")</f>
        <v/>
      </c>
      <c r="N406" s="97" t="str">
        <f>IF(A406&lt;&gt;"",SUMIFS(deployment!$M$4:$M$502, deployment!$D$4:$D$502,"="&amp;A406, deployment!$D$4:$D$502,"&lt;&gt;"&amp;""),"")</f>
        <v/>
      </c>
      <c r="O406" s="127" t="str">
        <f t="shared" si="83"/>
        <v/>
      </c>
      <c r="P406" s="104"/>
      <c r="Q406" s="99" t="str">
        <f t="shared" si="72"/>
        <v/>
      </c>
      <c r="R406" s="100" t="str">
        <f t="shared" si="73"/>
        <v/>
      </c>
      <c r="S406" s="100" t="str">
        <f t="shared" si="74"/>
        <v/>
      </c>
      <c r="T406" s="101" t="str">
        <f t="shared" si="75"/>
        <v/>
      </c>
      <c r="U406" s="101" t="str">
        <f t="shared" si="76"/>
        <v/>
      </c>
      <c r="V406" s="128" t="str">
        <f t="shared" si="77"/>
        <v/>
      </c>
      <c r="W406" s="128" t="str">
        <f t="shared" si="78"/>
        <v/>
      </c>
      <c r="X406" s="101" t="str">
        <f t="shared" si="79"/>
        <v/>
      </c>
      <c r="Y406" s="101" t="str">
        <f t="shared" si="80"/>
        <v/>
      </c>
      <c r="Z406" s="102" t="str">
        <f t="shared" si="81"/>
        <v/>
      </c>
      <c r="AA406" s="103" t="str">
        <f t="shared" si="82"/>
        <v/>
      </c>
      <c r="AB406" s="142" t="str">
        <f>IF(A406&lt;&gt;"", SUMIFS(node!$J$2:$J$500, node!$C$2:$C$500,"="&amp;A406)/P406, "")</f>
        <v/>
      </c>
      <c r="AC406" s="134" t="str">
        <f>IF(A406&lt;&gt;"", SUMIFS(node!$K$2:$K$500, node!$C$2:$C$500,"="&amp;A406)/P406, "")</f>
        <v/>
      </c>
      <c r="AD406" s="135" t="str">
        <f>IF(A406&lt;&gt;"", SUMIFS(node!$L$2:$L$500, node!$C$2:$C$500,"="&amp;A406), "")</f>
        <v/>
      </c>
      <c r="AE406" s="145" t="str">
        <f>IF(A406&lt;&gt;"", SUMIFS(node!$M$2:$M$500, node!$C$2:$C$500,"="&amp;A406), "")</f>
        <v/>
      </c>
    </row>
    <row r="407" spans="1:31" ht="15.75" customHeight="1" x14ac:dyDescent="0.25">
      <c r="A407" s="119" t="str">
        <f>IF(ISNONTEXT(node_raw[[#This Row],[Column2]]), "", node_raw[[#This Row],[Column2]])</f>
        <v/>
      </c>
      <c r="B407" s="116" t="str">
        <f>IF(A407&lt;&gt;"", VLOOKUP(A407, node!$C$2:$D$500, 2, FALSE), "")</f>
        <v/>
      </c>
      <c r="C407" s="117" t="str">
        <f>IF(A407&lt;&gt;"", VLOOKUP(A407, node!$C$2:$E$500, 3, FALSE), "")</f>
        <v/>
      </c>
      <c r="D407" s="118" t="str">
        <f>IF(A407&lt;&gt;"",COUNTIFS(node!$C$2:$C$500,"="&amp;A407, node!$C$2:$C$500,"&lt;&gt;"&amp;""),"")</f>
        <v/>
      </c>
      <c r="E407" s="122" t="str">
        <f>IF(A407&lt;&gt;"",SUMIFS(node!$F$2:$F$500, node!$C$2:$C$500,"="&amp;A407, node!$C$2:$C$500,"&lt;&gt;"&amp;"")/(B407*D407),"")</f>
        <v/>
      </c>
      <c r="F407" s="124" t="str">
        <f>IF(A407&lt;&gt;"",SUMIFS(node!$H$2:$H$500, node!$C$2:$C$500,"="&amp;A407, node!$C$2:$C$500,"&lt;&gt;"&amp;"")/(C407*D407),"")</f>
        <v/>
      </c>
      <c r="G407" s="93" t="str">
        <f>IF(A407&lt;&gt;"",SUMIFS(deployment!$F$4:$F$502, deployment!$D$4:$D$502,"="&amp;A407, deployment!$D$4:$D$502,"&lt;&gt;"&amp;""),"")</f>
        <v/>
      </c>
      <c r="H407" s="94" t="str">
        <f>IF(A407&lt;&gt;"",SUMIFS(deployment!$G$4:$G$502, deployment!$D$4:$D$502,"="&amp;A407, deployment!$D$4:$D$502,"&lt;&gt;"&amp;""),"")</f>
        <v/>
      </c>
      <c r="I407" s="95" t="str">
        <f>IF(A407&lt;&gt;"",SUMIFS(deployment!$H$4:$H$502, deployment!$D$4:$D$502,"="&amp;A407, deployment!$D$4:$D$502,"&lt;&gt;"&amp;""),"")</f>
        <v/>
      </c>
      <c r="J407" s="96" t="str">
        <f>IF(A407&lt;&gt;"",SUMIFS(deployment!$I$4:$I$502, deployment!$D$4:$D$502,"="&amp;A407, deployment!$D$4:$D$502,"&lt;&gt;"&amp;""),"")</f>
        <v/>
      </c>
      <c r="K407" s="112" t="str">
        <f>IF(A407&lt;&gt;"",SUMIFS(deployment!$J$4:$J$502, deployment!$D$4:$D$502,"="&amp;A407, deployment!$D$4:$D$502,"&lt;&gt;"&amp;""),"")</f>
        <v/>
      </c>
      <c r="L407" s="112" t="str">
        <f>IF(A407&lt;&gt;"",SUMIFS(deployment!$K$4:$K$502, deployment!$D$4:$D$502,"="&amp;A407, deployment!$D$4:$D$502,"&lt;&gt;"&amp;""),"")</f>
        <v/>
      </c>
      <c r="M407" s="97" t="str">
        <f>IF(A407&lt;&gt;"",SUMIFS(deployment!$L$4:$L$502, deployment!$D$4:$D$502,"="&amp;A407, deployment!$D$4:$D$502,"&lt;&gt;"&amp;""),"")</f>
        <v/>
      </c>
      <c r="N407" s="97" t="str">
        <f>IF(A407&lt;&gt;"",SUMIFS(deployment!$M$4:$M$502, deployment!$D$4:$D$502,"="&amp;A407, deployment!$D$4:$D$502,"&lt;&gt;"&amp;""),"")</f>
        <v/>
      </c>
      <c r="O407" s="127" t="str">
        <f t="shared" si="83"/>
        <v/>
      </c>
      <c r="P407" s="104"/>
      <c r="Q407" s="99" t="str">
        <f t="shared" si="72"/>
        <v/>
      </c>
      <c r="R407" s="100" t="str">
        <f t="shared" si="73"/>
        <v/>
      </c>
      <c r="S407" s="100" t="str">
        <f t="shared" si="74"/>
        <v/>
      </c>
      <c r="T407" s="101" t="str">
        <f t="shared" si="75"/>
        <v/>
      </c>
      <c r="U407" s="101" t="str">
        <f t="shared" si="76"/>
        <v/>
      </c>
      <c r="V407" s="128" t="str">
        <f t="shared" si="77"/>
        <v/>
      </c>
      <c r="W407" s="128" t="str">
        <f t="shared" si="78"/>
        <v/>
      </c>
      <c r="X407" s="101" t="str">
        <f t="shared" si="79"/>
        <v/>
      </c>
      <c r="Y407" s="101" t="str">
        <f t="shared" si="80"/>
        <v/>
      </c>
      <c r="Z407" s="102" t="str">
        <f t="shared" si="81"/>
        <v/>
      </c>
      <c r="AA407" s="103" t="str">
        <f t="shared" si="82"/>
        <v/>
      </c>
      <c r="AB407" s="142" t="str">
        <f>IF(A407&lt;&gt;"", SUMIFS(node!$J$2:$J$500, node!$C$2:$C$500,"="&amp;A407)/P407, "")</f>
        <v/>
      </c>
      <c r="AC407" s="134" t="str">
        <f>IF(A407&lt;&gt;"", SUMIFS(node!$K$2:$K$500, node!$C$2:$C$500,"="&amp;A407)/P407, "")</f>
        <v/>
      </c>
      <c r="AD407" s="135" t="str">
        <f>IF(A407&lt;&gt;"", SUMIFS(node!$L$2:$L$500, node!$C$2:$C$500,"="&amp;A407), "")</f>
        <v/>
      </c>
      <c r="AE407" s="145" t="str">
        <f>IF(A407&lt;&gt;"", SUMIFS(node!$M$2:$M$500, node!$C$2:$C$500,"="&amp;A407), "")</f>
        <v/>
      </c>
    </row>
    <row r="408" spans="1:31" ht="15.75" customHeight="1" x14ac:dyDescent="0.25">
      <c r="A408" s="119" t="str">
        <f>IF(ISNONTEXT(node_raw[[#This Row],[Column2]]), "", node_raw[[#This Row],[Column2]])</f>
        <v/>
      </c>
      <c r="B408" s="116" t="str">
        <f>IF(A408&lt;&gt;"", VLOOKUP(A408, node!$C$2:$D$500, 2, FALSE), "")</f>
        <v/>
      </c>
      <c r="C408" s="117" t="str">
        <f>IF(A408&lt;&gt;"", VLOOKUP(A408, node!$C$2:$E$500, 3, FALSE), "")</f>
        <v/>
      </c>
      <c r="D408" s="118" t="str">
        <f>IF(A408&lt;&gt;"",COUNTIFS(node!$C$2:$C$500,"="&amp;A408, node!$C$2:$C$500,"&lt;&gt;"&amp;""),"")</f>
        <v/>
      </c>
      <c r="E408" s="122" t="str">
        <f>IF(A408&lt;&gt;"",SUMIFS(node!$F$2:$F$500, node!$C$2:$C$500,"="&amp;A408, node!$C$2:$C$500,"&lt;&gt;"&amp;"")/(B408*D408),"")</f>
        <v/>
      </c>
      <c r="F408" s="124" t="str">
        <f>IF(A408&lt;&gt;"",SUMIFS(node!$H$2:$H$500, node!$C$2:$C$500,"="&amp;A408, node!$C$2:$C$500,"&lt;&gt;"&amp;"")/(C408*D408),"")</f>
        <v/>
      </c>
      <c r="G408" s="93" t="str">
        <f>IF(A408&lt;&gt;"",SUMIFS(deployment!$F$4:$F$502, deployment!$D$4:$D$502,"="&amp;A408, deployment!$D$4:$D$502,"&lt;&gt;"&amp;""),"")</f>
        <v/>
      </c>
      <c r="H408" s="94" t="str">
        <f>IF(A408&lt;&gt;"",SUMIFS(deployment!$G$4:$G$502, deployment!$D$4:$D$502,"="&amp;A408, deployment!$D$4:$D$502,"&lt;&gt;"&amp;""),"")</f>
        <v/>
      </c>
      <c r="I408" s="95" t="str">
        <f>IF(A408&lt;&gt;"",SUMIFS(deployment!$H$4:$H$502, deployment!$D$4:$D$502,"="&amp;A408, deployment!$D$4:$D$502,"&lt;&gt;"&amp;""),"")</f>
        <v/>
      </c>
      <c r="J408" s="96" t="str">
        <f>IF(A408&lt;&gt;"",SUMIFS(deployment!$I$4:$I$502, deployment!$D$4:$D$502,"="&amp;A408, deployment!$D$4:$D$502,"&lt;&gt;"&amp;""),"")</f>
        <v/>
      </c>
      <c r="K408" s="112" t="str">
        <f>IF(A408&lt;&gt;"",SUMIFS(deployment!$J$4:$J$502, deployment!$D$4:$D$502,"="&amp;A408, deployment!$D$4:$D$502,"&lt;&gt;"&amp;""),"")</f>
        <v/>
      </c>
      <c r="L408" s="112" t="str">
        <f>IF(A408&lt;&gt;"",SUMIFS(deployment!$K$4:$K$502, deployment!$D$4:$D$502,"="&amp;A408, deployment!$D$4:$D$502,"&lt;&gt;"&amp;""),"")</f>
        <v/>
      </c>
      <c r="M408" s="97" t="str">
        <f>IF(A408&lt;&gt;"",SUMIFS(deployment!$L$4:$L$502, deployment!$D$4:$D$502,"="&amp;A408, deployment!$D$4:$D$502,"&lt;&gt;"&amp;""),"")</f>
        <v/>
      </c>
      <c r="N408" s="97" t="str">
        <f>IF(A408&lt;&gt;"",SUMIFS(deployment!$M$4:$M$502, deployment!$D$4:$D$502,"="&amp;A408, deployment!$D$4:$D$502,"&lt;&gt;"&amp;""),"")</f>
        <v/>
      </c>
      <c r="O408" s="127" t="str">
        <f t="shared" si="83"/>
        <v/>
      </c>
      <c r="P408" s="104"/>
      <c r="Q408" s="99" t="str">
        <f t="shared" si="72"/>
        <v/>
      </c>
      <c r="R408" s="100" t="str">
        <f t="shared" si="73"/>
        <v/>
      </c>
      <c r="S408" s="100" t="str">
        <f t="shared" si="74"/>
        <v/>
      </c>
      <c r="T408" s="101" t="str">
        <f t="shared" si="75"/>
        <v/>
      </c>
      <c r="U408" s="101" t="str">
        <f t="shared" si="76"/>
        <v/>
      </c>
      <c r="V408" s="128" t="str">
        <f t="shared" si="77"/>
        <v/>
      </c>
      <c r="W408" s="128" t="str">
        <f t="shared" si="78"/>
        <v/>
      </c>
      <c r="X408" s="101" t="str">
        <f t="shared" si="79"/>
        <v/>
      </c>
      <c r="Y408" s="101" t="str">
        <f t="shared" si="80"/>
        <v/>
      </c>
      <c r="Z408" s="102" t="str">
        <f t="shared" si="81"/>
        <v/>
      </c>
      <c r="AA408" s="103" t="str">
        <f t="shared" si="82"/>
        <v/>
      </c>
      <c r="AB408" s="142" t="str">
        <f>IF(A408&lt;&gt;"", SUMIFS(node!$J$2:$J$500, node!$C$2:$C$500,"="&amp;A408)/P408, "")</f>
        <v/>
      </c>
      <c r="AC408" s="134" t="str">
        <f>IF(A408&lt;&gt;"", SUMIFS(node!$K$2:$K$500, node!$C$2:$C$500,"="&amp;A408)/P408, "")</f>
        <v/>
      </c>
      <c r="AD408" s="135" t="str">
        <f>IF(A408&lt;&gt;"", SUMIFS(node!$L$2:$L$500, node!$C$2:$C$500,"="&amp;A408), "")</f>
        <v/>
      </c>
      <c r="AE408" s="145" t="str">
        <f>IF(A408&lt;&gt;"", SUMIFS(node!$M$2:$M$500, node!$C$2:$C$500,"="&amp;A408), "")</f>
        <v/>
      </c>
    </row>
    <row r="409" spans="1:31" ht="15.75" customHeight="1" x14ac:dyDescent="0.25">
      <c r="A409" s="119" t="str">
        <f>IF(ISNONTEXT(node_raw[[#This Row],[Column2]]), "", node_raw[[#This Row],[Column2]])</f>
        <v/>
      </c>
      <c r="B409" s="116" t="str">
        <f>IF(A409&lt;&gt;"", VLOOKUP(A409, node!$C$2:$D$500, 2, FALSE), "")</f>
        <v/>
      </c>
      <c r="C409" s="117" t="str">
        <f>IF(A409&lt;&gt;"", VLOOKUP(A409, node!$C$2:$E$500, 3, FALSE), "")</f>
        <v/>
      </c>
      <c r="D409" s="118" t="str">
        <f>IF(A409&lt;&gt;"",COUNTIFS(node!$C$2:$C$500,"="&amp;A409, node!$C$2:$C$500,"&lt;&gt;"&amp;""),"")</f>
        <v/>
      </c>
      <c r="E409" s="122" t="str">
        <f>IF(A409&lt;&gt;"",SUMIFS(node!$F$2:$F$500, node!$C$2:$C$500,"="&amp;A409, node!$C$2:$C$500,"&lt;&gt;"&amp;"")/(B409*D409),"")</f>
        <v/>
      </c>
      <c r="F409" s="124" t="str">
        <f>IF(A409&lt;&gt;"",SUMIFS(node!$H$2:$H$500, node!$C$2:$C$500,"="&amp;A409, node!$C$2:$C$500,"&lt;&gt;"&amp;"")/(C409*D409),"")</f>
        <v/>
      </c>
      <c r="G409" s="93" t="str">
        <f>IF(A409&lt;&gt;"",SUMIFS(deployment!$F$4:$F$502, deployment!$D$4:$D$502,"="&amp;A409, deployment!$D$4:$D$502,"&lt;&gt;"&amp;""),"")</f>
        <v/>
      </c>
      <c r="H409" s="94" t="str">
        <f>IF(A409&lt;&gt;"",SUMIFS(deployment!$G$4:$G$502, deployment!$D$4:$D$502,"="&amp;A409, deployment!$D$4:$D$502,"&lt;&gt;"&amp;""),"")</f>
        <v/>
      </c>
      <c r="I409" s="95" t="str">
        <f>IF(A409&lt;&gt;"",SUMIFS(deployment!$H$4:$H$502, deployment!$D$4:$D$502,"="&amp;A409, deployment!$D$4:$D$502,"&lt;&gt;"&amp;""),"")</f>
        <v/>
      </c>
      <c r="J409" s="96" t="str">
        <f>IF(A409&lt;&gt;"",SUMIFS(deployment!$I$4:$I$502, deployment!$D$4:$D$502,"="&amp;A409, deployment!$D$4:$D$502,"&lt;&gt;"&amp;""),"")</f>
        <v/>
      </c>
      <c r="K409" s="112" t="str">
        <f>IF(A409&lt;&gt;"",SUMIFS(deployment!$J$4:$J$502, deployment!$D$4:$D$502,"="&amp;A409, deployment!$D$4:$D$502,"&lt;&gt;"&amp;""),"")</f>
        <v/>
      </c>
      <c r="L409" s="112" t="str">
        <f>IF(A409&lt;&gt;"",SUMIFS(deployment!$K$4:$K$502, deployment!$D$4:$D$502,"="&amp;A409, deployment!$D$4:$D$502,"&lt;&gt;"&amp;""),"")</f>
        <v/>
      </c>
      <c r="M409" s="97" t="str">
        <f>IF(A409&lt;&gt;"",SUMIFS(deployment!$L$4:$L$502, deployment!$D$4:$D$502,"="&amp;A409, deployment!$D$4:$D$502,"&lt;&gt;"&amp;""),"")</f>
        <v/>
      </c>
      <c r="N409" s="97" t="str">
        <f>IF(A409&lt;&gt;"",SUMIFS(deployment!$M$4:$M$502, deployment!$D$4:$D$502,"="&amp;A409, deployment!$D$4:$D$502,"&lt;&gt;"&amp;""),"")</f>
        <v/>
      </c>
      <c r="O409" s="127" t="str">
        <f t="shared" si="83"/>
        <v/>
      </c>
      <c r="P409" s="104"/>
      <c r="Q409" s="99" t="str">
        <f t="shared" si="72"/>
        <v/>
      </c>
      <c r="R409" s="100" t="str">
        <f t="shared" si="73"/>
        <v/>
      </c>
      <c r="S409" s="100" t="str">
        <f t="shared" si="74"/>
        <v/>
      </c>
      <c r="T409" s="101" t="str">
        <f t="shared" si="75"/>
        <v/>
      </c>
      <c r="U409" s="101" t="str">
        <f t="shared" si="76"/>
        <v/>
      </c>
      <c r="V409" s="128" t="str">
        <f t="shared" si="77"/>
        <v/>
      </c>
      <c r="W409" s="128" t="str">
        <f t="shared" si="78"/>
        <v/>
      </c>
      <c r="X409" s="101" t="str">
        <f t="shared" si="79"/>
        <v/>
      </c>
      <c r="Y409" s="101" t="str">
        <f t="shared" si="80"/>
        <v/>
      </c>
      <c r="Z409" s="102" t="str">
        <f t="shared" si="81"/>
        <v/>
      </c>
      <c r="AA409" s="103" t="str">
        <f t="shared" si="82"/>
        <v/>
      </c>
      <c r="AB409" s="142" t="str">
        <f>IF(A409&lt;&gt;"", SUMIFS(node!$J$2:$J$500, node!$C$2:$C$500,"="&amp;A409)/P409, "")</f>
        <v/>
      </c>
      <c r="AC409" s="134" t="str">
        <f>IF(A409&lt;&gt;"", SUMIFS(node!$K$2:$K$500, node!$C$2:$C$500,"="&amp;A409)/P409, "")</f>
        <v/>
      </c>
      <c r="AD409" s="135" t="str">
        <f>IF(A409&lt;&gt;"", SUMIFS(node!$L$2:$L$500, node!$C$2:$C$500,"="&amp;A409), "")</f>
        <v/>
      </c>
      <c r="AE409" s="145" t="str">
        <f>IF(A409&lt;&gt;"", SUMIFS(node!$M$2:$M$500, node!$C$2:$C$500,"="&amp;A409), "")</f>
        <v/>
      </c>
    </row>
    <row r="410" spans="1:31" ht="15.75" customHeight="1" x14ac:dyDescent="0.25">
      <c r="A410" s="119" t="str">
        <f>IF(ISNONTEXT(node_raw[[#This Row],[Column2]]), "", node_raw[[#This Row],[Column2]])</f>
        <v/>
      </c>
      <c r="B410" s="116" t="str">
        <f>IF(A410&lt;&gt;"", VLOOKUP(A410, node!$C$2:$D$500, 2, FALSE), "")</f>
        <v/>
      </c>
      <c r="C410" s="117" t="str">
        <f>IF(A410&lt;&gt;"", VLOOKUP(A410, node!$C$2:$E$500, 3, FALSE), "")</f>
        <v/>
      </c>
      <c r="D410" s="118" t="str">
        <f>IF(A410&lt;&gt;"",COUNTIFS(node!$C$2:$C$500,"="&amp;A410, node!$C$2:$C$500,"&lt;&gt;"&amp;""),"")</f>
        <v/>
      </c>
      <c r="E410" s="122" t="str">
        <f>IF(A410&lt;&gt;"",SUMIFS(node!$F$2:$F$500, node!$C$2:$C$500,"="&amp;A410, node!$C$2:$C$500,"&lt;&gt;"&amp;"")/(B410*D410),"")</f>
        <v/>
      </c>
      <c r="F410" s="124" t="str">
        <f>IF(A410&lt;&gt;"",SUMIFS(node!$H$2:$H$500, node!$C$2:$C$500,"="&amp;A410, node!$C$2:$C$500,"&lt;&gt;"&amp;"")/(C410*D410),"")</f>
        <v/>
      </c>
      <c r="G410" s="93" t="str">
        <f>IF(A410&lt;&gt;"",SUMIFS(deployment!$F$4:$F$502, deployment!$D$4:$D$502,"="&amp;A410, deployment!$D$4:$D$502,"&lt;&gt;"&amp;""),"")</f>
        <v/>
      </c>
      <c r="H410" s="94" t="str">
        <f>IF(A410&lt;&gt;"",SUMIFS(deployment!$G$4:$G$502, deployment!$D$4:$D$502,"="&amp;A410, deployment!$D$4:$D$502,"&lt;&gt;"&amp;""),"")</f>
        <v/>
      </c>
      <c r="I410" s="95" t="str">
        <f>IF(A410&lt;&gt;"",SUMIFS(deployment!$H$4:$H$502, deployment!$D$4:$D$502,"="&amp;A410, deployment!$D$4:$D$502,"&lt;&gt;"&amp;""),"")</f>
        <v/>
      </c>
      <c r="J410" s="96" t="str">
        <f>IF(A410&lt;&gt;"",SUMIFS(deployment!$I$4:$I$502, deployment!$D$4:$D$502,"="&amp;A410, deployment!$D$4:$D$502,"&lt;&gt;"&amp;""),"")</f>
        <v/>
      </c>
      <c r="K410" s="112" t="str">
        <f>IF(A410&lt;&gt;"",SUMIFS(deployment!$J$4:$J$502, deployment!$D$4:$D$502,"="&amp;A410, deployment!$D$4:$D$502,"&lt;&gt;"&amp;""),"")</f>
        <v/>
      </c>
      <c r="L410" s="112" t="str">
        <f>IF(A410&lt;&gt;"",SUMIFS(deployment!$K$4:$K$502, deployment!$D$4:$D$502,"="&amp;A410, deployment!$D$4:$D$502,"&lt;&gt;"&amp;""),"")</f>
        <v/>
      </c>
      <c r="M410" s="97" t="str">
        <f>IF(A410&lt;&gt;"",SUMIFS(deployment!$L$4:$L$502, deployment!$D$4:$D$502,"="&amp;A410, deployment!$D$4:$D$502,"&lt;&gt;"&amp;""),"")</f>
        <v/>
      </c>
      <c r="N410" s="97" t="str">
        <f>IF(A410&lt;&gt;"",SUMIFS(deployment!$M$4:$M$502, deployment!$D$4:$D$502,"="&amp;A410, deployment!$D$4:$D$502,"&lt;&gt;"&amp;""),"")</f>
        <v/>
      </c>
      <c r="O410" s="127" t="str">
        <f t="shared" si="83"/>
        <v/>
      </c>
      <c r="P410" s="104"/>
      <c r="Q410" s="99" t="str">
        <f t="shared" si="72"/>
        <v/>
      </c>
      <c r="R410" s="100" t="str">
        <f t="shared" si="73"/>
        <v/>
      </c>
      <c r="S410" s="100" t="str">
        <f t="shared" si="74"/>
        <v/>
      </c>
      <c r="T410" s="101" t="str">
        <f t="shared" si="75"/>
        <v/>
      </c>
      <c r="U410" s="101" t="str">
        <f t="shared" si="76"/>
        <v/>
      </c>
      <c r="V410" s="128" t="str">
        <f t="shared" si="77"/>
        <v/>
      </c>
      <c r="W410" s="128" t="str">
        <f t="shared" si="78"/>
        <v/>
      </c>
      <c r="X410" s="101" t="str">
        <f t="shared" si="79"/>
        <v/>
      </c>
      <c r="Y410" s="101" t="str">
        <f t="shared" si="80"/>
        <v/>
      </c>
      <c r="Z410" s="102" t="str">
        <f t="shared" si="81"/>
        <v/>
      </c>
      <c r="AA410" s="103" t="str">
        <f t="shared" si="82"/>
        <v/>
      </c>
      <c r="AB410" s="142" t="str">
        <f>IF(A410&lt;&gt;"", SUMIFS(node!$J$2:$J$500, node!$C$2:$C$500,"="&amp;A410)/P410, "")</f>
        <v/>
      </c>
      <c r="AC410" s="134" t="str">
        <f>IF(A410&lt;&gt;"", SUMIFS(node!$K$2:$K$500, node!$C$2:$C$500,"="&amp;A410)/P410, "")</f>
        <v/>
      </c>
      <c r="AD410" s="135" t="str">
        <f>IF(A410&lt;&gt;"", SUMIFS(node!$L$2:$L$500, node!$C$2:$C$500,"="&amp;A410), "")</f>
        <v/>
      </c>
      <c r="AE410" s="145" t="str">
        <f>IF(A410&lt;&gt;"", SUMIFS(node!$M$2:$M$500, node!$C$2:$C$500,"="&amp;A410), "")</f>
        <v/>
      </c>
    </row>
    <row r="411" spans="1:31" ht="15.75" customHeight="1" x14ac:dyDescent="0.25">
      <c r="A411" s="119" t="str">
        <f>IF(ISNONTEXT(node_raw[[#This Row],[Column2]]), "", node_raw[[#This Row],[Column2]])</f>
        <v/>
      </c>
      <c r="B411" s="116" t="str">
        <f>IF(A411&lt;&gt;"", VLOOKUP(A411, node!$C$2:$D$500, 2, FALSE), "")</f>
        <v/>
      </c>
      <c r="C411" s="117" t="str">
        <f>IF(A411&lt;&gt;"", VLOOKUP(A411, node!$C$2:$E$500, 3, FALSE), "")</f>
        <v/>
      </c>
      <c r="D411" s="118" t="str">
        <f>IF(A411&lt;&gt;"",COUNTIFS(node!$C$2:$C$500,"="&amp;A411, node!$C$2:$C$500,"&lt;&gt;"&amp;""),"")</f>
        <v/>
      </c>
      <c r="E411" s="122" t="str">
        <f>IF(A411&lt;&gt;"",SUMIFS(node!$F$2:$F$500, node!$C$2:$C$500,"="&amp;A411, node!$C$2:$C$500,"&lt;&gt;"&amp;"")/(B411*D411),"")</f>
        <v/>
      </c>
      <c r="F411" s="124" t="str">
        <f>IF(A411&lt;&gt;"",SUMIFS(node!$H$2:$H$500, node!$C$2:$C$500,"="&amp;A411, node!$C$2:$C$500,"&lt;&gt;"&amp;"")/(C411*D411),"")</f>
        <v/>
      </c>
      <c r="G411" s="93" t="str">
        <f>IF(A411&lt;&gt;"",SUMIFS(deployment!$F$4:$F$502, deployment!$D$4:$D$502,"="&amp;A411, deployment!$D$4:$D$502,"&lt;&gt;"&amp;""),"")</f>
        <v/>
      </c>
      <c r="H411" s="94" t="str">
        <f>IF(A411&lt;&gt;"",SUMIFS(deployment!$G$4:$G$502, deployment!$D$4:$D$502,"="&amp;A411, deployment!$D$4:$D$502,"&lt;&gt;"&amp;""),"")</f>
        <v/>
      </c>
      <c r="I411" s="95" t="str">
        <f>IF(A411&lt;&gt;"",SUMIFS(deployment!$H$4:$H$502, deployment!$D$4:$D$502,"="&amp;A411, deployment!$D$4:$D$502,"&lt;&gt;"&amp;""),"")</f>
        <v/>
      </c>
      <c r="J411" s="96" t="str">
        <f>IF(A411&lt;&gt;"",SUMIFS(deployment!$I$4:$I$502, deployment!$D$4:$D$502,"="&amp;A411, deployment!$D$4:$D$502,"&lt;&gt;"&amp;""),"")</f>
        <v/>
      </c>
      <c r="K411" s="112" t="str">
        <f>IF(A411&lt;&gt;"",SUMIFS(deployment!$J$4:$J$502, deployment!$D$4:$D$502,"="&amp;A411, deployment!$D$4:$D$502,"&lt;&gt;"&amp;""),"")</f>
        <v/>
      </c>
      <c r="L411" s="112" t="str">
        <f>IF(A411&lt;&gt;"",SUMIFS(deployment!$K$4:$K$502, deployment!$D$4:$D$502,"="&amp;A411, deployment!$D$4:$D$502,"&lt;&gt;"&amp;""),"")</f>
        <v/>
      </c>
      <c r="M411" s="97" t="str">
        <f>IF(A411&lt;&gt;"",SUMIFS(deployment!$L$4:$L$502, deployment!$D$4:$D$502,"="&amp;A411, deployment!$D$4:$D$502,"&lt;&gt;"&amp;""),"")</f>
        <v/>
      </c>
      <c r="N411" s="97" t="str">
        <f>IF(A411&lt;&gt;"",SUMIFS(deployment!$M$4:$M$502, deployment!$D$4:$D$502,"="&amp;A411, deployment!$D$4:$D$502,"&lt;&gt;"&amp;""),"")</f>
        <v/>
      </c>
      <c r="O411" s="127" t="str">
        <f t="shared" si="83"/>
        <v/>
      </c>
      <c r="P411" s="104"/>
      <c r="Q411" s="99" t="str">
        <f t="shared" si="72"/>
        <v/>
      </c>
      <c r="R411" s="100" t="str">
        <f t="shared" si="73"/>
        <v/>
      </c>
      <c r="S411" s="100" t="str">
        <f t="shared" si="74"/>
        <v/>
      </c>
      <c r="T411" s="101" t="str">
        <f t="shared" si="75"/>
        <v/>
      </c>
      <c r="U411" s="101" t="str">
        <f t="shared" si="76"/>
        <v/>
      </c>
      <c r="V411" s="128" t="str">
        <f t="shared" si="77"/>
        <v/>
      </c>
      <c r="W411" s="128" t="str">
        <f t="shared" si="78"/>
        <v/>
      </c>
      <c r="X411" s="101" t="str">
        <f t="shared" si="79"/>
        <v/>
      </c>
      <c r="Y411" s="101" t="str">
        <f t="shared" si="80"/>
        <v/>
      </c>
      <c r="Z411" s="102" t="str">
        <f t="shared" si="81"/>
        <v/>
      </c>
      <c r="AA411" s="103" t="str">
        <f t="shared" si="82"/>
        <v/>
      </c>
      <c r="AB411" s="142" t="str">
        <f>IF(A411&lt;&gt;"", SUMIFS(node!$J$2:$J$500, node!$C$2:$C$500,"="&amp;A411)/P411, "")</f>
        <v/>
      </c>
      <c r="AC411" s="134" t="str">
        <f>IF(A411&lt;&gt;"", SUMIFS(node!$K$2:$K$500, node!$C$2:$C$500,"="&amp;A411)/P411, "")</f>
        <v/>
      </c>
      <c r="AD411" s="135" t="str">
        <f>IF(A411&lt;&gt;"", SUMIFS(node!$L$2:$L$500, node!$C$2:$C$500,"="&amp;A411), "")</f>
        <v/>
      </c>
      <c r="AE411" s="145" t="str">
        <f>IF(A411&lt;&gt;"", SUMIFS(node!$M$2:$M$500, node!$C$2:$C$500,"="&amp;A411), "")</f>
        <v/>
      </c>
    </row>
    <row r="412" spans="1:31" ht="15.75" customHeight="1" x14ac:dyDescent="0.25">
      <c r="A412" s="119" t="str">
        <f>IF(ISNONTEXT(node_raw[[#This Row],[Column2]]), "", node_raw[[#This Row],[Column2]])</f>
        <v/>
      </c>
      <c r="B412" s="116" t="str">
        <f>IF(A412&lt;&gt;"", VLOOKUP(A412, node!$C$2:$D$500, 2, FALSE), "")</f>
        <v/>
      </c>
      <c r="C412" s="117" t="str">
        <f>IF(A412&lt;&gt;"", VLOOKUP(A412, node!$C$2:$E$500, 3, FALSE), "")</f>
        <v/>
      </c>
      <c r="D412" s="118" t="str">
        <f>IF(A412&lt;&gt;"",COUNTIFS(node!$C$2:$C$500,"="&amp;A412, node!$C$2:$C$500,"&lt;&gt;"&amp;""),"")</f>
        <v/>
      </c>
      <c r="E412" s="122" t="str">
        <f>IF(A412&lt;&gt;"",SUMIFS(node!$F$2:$F$500, node!$C$2:$C$500,"="&amp;A412, node!$C$2:$C$500,"&lt;&gt;"&amp;"")/(B412*D412),"")</f>
        <v/>
      </c>
      <c r="F412" s="124" t="str">
        <f>IF(A412&lt;&gt;"",SUMIFS(node!$H$2:$H$500, node!$C$2:$C$500,"="&amp;A412, node!$C$2:$C$500,"&lt;&gt;"&amp;"")/(C412*D412),"")</f>
        <v/>
      </c>
      <c r="G412" s="93" t="str">
        <f>IF(A412&lt;&gt;"",SUMIFS(deployment!$F$4:$F$502, deployment!$D$4:$D$502,"="&amp;A412, deployment!$D$4:$D$502,"&lt;&gt;"&amp;""),"")</f>
        <v/>
      </c>
      <c r="H412" s="94" t="str">
        <f>IF(A412&lt;&gt;"",SUMIFS(deployment!$G$4:$G$502, deployment!$D$4:$D$502,"="&amp;A412, deployment!$D$4:$D$502,"&lt;&gt;"&amp;""),"")</f>
        <v/>
      </c>
      <c r="I412" s="95" t="str">
        <f>IF(A412&lt;&gt;"",SUMIFS(deployment!$H$4:$H$502, deployment!$D$4:$D$502,"="&amp;A412, deployment!$D$4:$D$502,"&lt;&gt;"&amp;""),"")</f>
        <v/>
      </c>
      <c r="J412" s="96" t="str">
        <f>IF(A412&lt;&gt;"",SUMIFS(deployment!$I$4:$I$502, deployment!$D$4:$D$502,"="&amp;A412, deployment!$D$4:$D$502,"&lt;&gt;"&amp;""),"")</f>
        <v/>
      </c>
      <c r="K412" s="112" t="str">
        <f>IF(A412&lt;&gt;"",SUMIFS(deployment!$J$4:$J$502, deployment!$D$4:$D$502,"="&amp;A412, deployment!$D$4:$D$502,"&lt;&gt;"&amp;""),"")</f>
        <v/>
      </c>
      <c r="L412" s="112" t="str">
        <f>IF(A412&lt;&gt;"",SUMIFS(deployment!$K$4:$K$502, deployment!$D$4:$D$502,"="&amp;A412, deployment!$D$4:$D$502,"&lt;&gt;"&amp;""),"")</f>
        <v/>
      </c>
      <c r="M412" s="97" t="str">
        <f>IF(A412&lt;&gt;"",SUMIFS(deployment!$L$4:$L$502, deployment!$D$4:$D$502,"="&amp;A412, deployment!$D$4:$D$502,"&lt;&gt;"&amp;""),"")</f>
        <v/>
      </c>
      <c r="N412" s="97" t="str">
        <f>IF(A412&lt;&gt;"",SUMIFS(deployment!$M$4:$M$502, deployment!$D$4:$D$502,"="&amp;A412, deployment!$D$4:$D$502,"&lt;&gt;"&amp;""),"")</f>
        <v/>
      </c>
      <c r="O412" s="127" t="str">
        <f t="shared" si="83"/>
        <v/>
      </c>
      <c r="P412" s="104"/>
      <c r="Q412" s="99" t="str">
        <f t="shared" si="72"/>
        <v/>
      </c>
      <c r="R412" s="100" t="str">
        <f t="shared" si="73"/>
        <v/>
      </c>
      <c r="S412" s="100" t="str">
        <f t="shared" si="74"/>
        <v/>
      </c>
      <c r="T412" s="101" t="str">
        <f t="shared" si="75"/>
        <v/>
      </c>
      <c r="U412" s="101" t="str">
        <f t="shared" si="76"/>
        <v/>
      </c>
      <c r="V412" s="128" t="str">
        <f t="shared" si="77"/>
        <v/>
      </c>
      <c r="W412" s="128" t="str">
        <f t="shared" si="78"/>
        <v/>
      </c>
      <c r="X412" s="101" t="str">
        <f t="shared" si="79"/>
        <v/>
      </c>
      <c r="Y412" s="101" t="str">
        <f t="shared" si="80"/>
        <v/>
      </c>
      <c r="Z412" s="102" t="str">
        <f t="shared" si="81"/>
        <v/>
      </c>
      <c r="AA412" s="103" t="str">
        <f t="shared" si="82"/>
        <v/>
      </c>
      <c r="AB412" s="142" t="str">
        <f>IF(A412&lt;&gt;"", SUMIFS(node!$J$2:$J$500, node!$C$2:$C$500,"="&amp;A412)/P412, "")</f>
        <v/>
      </c>
      <c r="AC412" s="134" t="str">
        <f>IF(A412&lt;&gt;"", SUMIFS(node!$K$2:$K$500, node!$C$2:$C$500,"="&amp;A412)/P412, "")</f>
        <v/>
      </c>
      <c r="AD412" s="135" t="str">
        <f>IF(A412&lt;&gt;"", SUMIFS(node!$L$2:$L$500, node!$C$2:$C$500,"="&amp;A412), "")</f>
        <v/>
      </c>
      <c r="AE412" s="145" t="str">
        <f>IF(A412&lt;&gt;"", SUMIFS(node!$M$2:$M$500, node!$C$2:$C$500,"="&amp;A412), "")</f>
        <v/>
      </c>
    </row>
    <row r="413" spans="1:31" ht="15.75" customHeight="1" x14ac:dyDescent="0.25">
      <c r="A413" s="119" t="str">
        <f>IF(ISNONTEXT(node_raw[[#This Row],[Column2]]), "", node_raw[[#This Row],[Column2]])</f>
        <v/>
      </c>
      <c r="B413" s="116" t="str">
        <f>IF(A413&lt;&gt;"", VLOOKUP(A413, node!$C$2:$D$500, 2, FALSE), "")</f>
        <v/>
      </c>
      <c r="C413" s="117" t="str">
        <f>IF(A413&lt;&gt;"", VLOOKUP(A413, node!$C$2:$E$500, 3, FALSE), "")</f>
        <v/>
      </c>
      <c r="D413" s="118" t="str">
        <f>IF(A413&lt;&gt;"",COUNTIFS(node!$C$2:$C$500,"="&amp;A413, node!$C$2:$C$500,"&lt;&gt;"&amp;""),"")</f>
        <v/>
      </c>
      <c r="E413" s="122" t="str">
        <f>IF(A413&lt;&gt;"",SUMIFS(node!$F$2:$F$500, node!$C$2:$C$500,"="&amp;A413, node!$C$2:$C$500,"&lt;&gt;"&amp;"")/(B413*D413),"")</f>
        <v/>
      </c>
      <c r="F413" s="124" t="str">
        <f>IF(A413&lt;&gt;"",SUMIFS(node!$H$2:$H$500, node!$C$2:$C$500,"="&amp;A413, node!$C$2:$C$500,"&lt;&gt;"&amp;"")/(C413*D413),"")</f>
        <v/>
      </c>
      <c r="G413" s="93" t="str">
        <f>IF(A413&lt;&gt;"",SUMIFS(deployment!$F$4:$F$502, deployment!$D$4:$D$502,"="&amp;A413, deployment!$D$4:$D$502,"&lt;&gt;"&amp;""),"")</f>
        <v/>
      </c>
      <c r="H413" s="94" t="str">
        <f>IF(A413&lt;&gt;"",SUMIFS(deployment!$G$4:$G$502, deployment!$D$4:$D$502,"="&amp;A413, deployment!$D$4:$D$502,"&lt;&gt;"&amp;""),"")</f>
        <v/>
      </c>
      <c r="I413" s="95" t="str">
        <f>IF(A413&lt;&gt;"",SUMIFS(deployment!$H$4:$H$502, deployment!$D$4:$D$502,"="&amp;A413, deployment!$D$4:$D$502,"&lt;&gt;"&amp;""),"")</f>
        <v/>
      </c>
      <c r="J413" s="96" t="str">
        <f>IF(A413&lt;&gt;"",SUMIFS(deployment!$I$4:$I$502, deployment!$D$4:$D$502,"="&amp;A413, deployment!$D$4:$D$502,"&lt;&gt;"&amp;""),"")</f>
        <v/>
      </c>
      <c r="K413" s="112" t="str">
        <f>IF(A413&lt;&gt;"",SUMIFS(deployment!$J$4:$J$502, deployment!$D$4:$D$502,"="&amp;A413, deployment!$D$4:$D$502,"&lt;&gt;"&amp;""),"")</f>
        <v/>
      </c>
      <c r="L413" s="112" t="str">
        <f>IF(A413&lt;&gt;"",SUMIFS(deployment!$K$4:$K$502, deployment!$D$4:$D$502,"="&amp;A413, deployment!$D$4:$D$502,"&lt;&gt;"&amp;""),"")</f>
        <v/>
      </c>
      <c r="M413" s="97" t="str">
        <f>IF(A413&lt;&gt;"",SUMIFS(deployment!$L$4:$L$502, deployment!$D$4:$D$502,"="&amp;A413, deployment!$D$4:$D$502,"&lt;&gt;"&amp;""),"")</f>
        <v/>
      </c>
      <c r="N413" s="97" t="str">
        <f>IF(A413&lt;&gt;"",SUMIFS(deployment!$M$4:$M$502, deployment!$D$4:$D$502,"="&amp;A413, deployment!$D$4:$D$502,"&lt;&gt;"&amp;""),"")</f>
        <v/>
      </c>
      <c r="O413" s="127" t="str">
        <f t="shared" si="83"/>
        <v/>
      </c>
      <c r="P413" s="104"/>
      <c r="Q413" s="99" t="str">
        <f t="shared" si="72"/>
        <v/>
      </c>
      <c r="R413" s="100" t="str">
        <f t="shared" si="73"/>
        <v/>
      </c>
      <c r="S413" s="100" t="str">
        <f t="shared" si="74"/>
        <v/>
      </c>
      <c r="T413" s="101" t="str">
        <f t="shared" si="75"/>
        <v/>
      </c>
      <c r="U413" s="101" t="str">
        <f t="shared" si="76"/>
        <v/>
      </c>
      <c r="V413" s="128" t="str">
        <f t="shared" si="77"/>
        <v/>
      </c>
      <c r="W413" s="128" t="str">
        <f t="shared" si="78"/>
        <v/>
      </c>
      <c r="X413" s="101" t="str">
        <f t="shared" si="79"/>
        <v/>
      </c>
      <c r="Y413" s="101" t="str">
        <f t="shared" si="80"/>
        <v/>
      </c>
      <c r="Z413" s="102" t="str">
        <f t="shared" si="81"/>
        <v/>
      </c>
      <c r="AA413" s="103" t="str">
        <f t="shared" si="82"/>
        <v/>
      </c>
      <c r="AB413" s="142" t="str">
        <f>IF(A413&lt;&gt;"", SUMIFS(node!$J$2:$J$500, node!$C$2:$C$500,"="&amp;A413)/P413, "")</f>
        <v/>
      </c>
      <c r="AC413" s="134" t="str">
        <f>IF(A413&lt;&gt;"", SUMIFS(node!$K$2:$K$500, node!$C$2:$C$500,"="&amp;A413)/P413, "")</f>
        <v/>
      </c>
      <c r="AD413" s="135" t="str">
        <f>IF(A413&lt;&gt;"", SUMIFS(node!$L$2:$L$500, node!$C$2:$C$500,"="&amp;A413), "")</f>
        <v/>
      </c>
      <c r="AE413" s="145" t="str">
        <f>IF(A413&lt;&gt;"", SUMIFS(node!$M$2:$M$500, node!$C$2:$C$500,"="&amp;A413), "")</f>
        <v/>
      </c>
    </row>
    <row r="414" spans="1:31" ht="15.75" customHeight="1" x14ac:dyDescent="0.25">
      <c r="A414" s="119" t="str">
        <f>IF(ISNONTEXT(node_raw[[#This Row],[Column2]]), "", node_raw[[#This Row],[Column2]])</f>
        <v/>
      </c>
      <c r="B414" s="116" t="str">
        <f>IF(A414&lt;&gt;"", VLOOKUP(A414, node!$C$2:$D$500, 2, FALSE), "")</f>
        <v/>
      </c>
      <c r="C414" s="117" t="str">
        <f>IF(A414&lt;&gt;"", VLOOKUP(A414, node!$C$2:$E$500, 3, FALSE), "")</f>
        <v/>
      </c>
      <c r="D414" s="118" t="str">
        <f>IF(A414&lt;&gt;"",COUNTIFS(node!$C$2:$C$500,"="&amp;A414, node!$C$2:$C$500,"&lt;&gt;"&amp;""),"")</f>
        <v/>
      </c>
      <c r="E414" s="122" t="str">
        <f>IF(A414&lt;&gt;"",SUMIFS(node!$F$2:$F$500, node!$C$2:$C$500,"="&amp;A414, node!$C$2:$C$500,"&lt;&gt;"&amp;"")/(B414*D414),"")</f>
        <v/>
      </c>
      <c r="F414" s="124" t="str">
        <f>IF(A414&lt;&gt;"",SUMIFS(node!$H$2:$H$500, node!$C$2:$C$500,"="&amp;A414, node!$C$2:$C$500,"&lt;&gt;"&amp;"")/(C414*D414),"")</f>
        <v/>
      </c>
      <c r="G414" s="93" t="str">
        <f>IF(A414&lt;&gt;"",SUMIFS(deployment!$F$4:$F$502, deployment!$D$4:$D$502,"="&amp;A414, deployment!$D$4:$D$502,"&lt;&gt;"&amp;""),"")</f>
        <v/>
      </c>
      <c r="H414" s="94" t="str">
        <f>IF(A414&lt;&gt;"",SUMIFS(deployment!$G$4:$G$502, deployment!$D$4:$D$502,"="&amp;A414, deployment!$D$4:$D$502,"&lt;&gt;"&amp;""),"")</f>
        <v/>
      </c>
      <c r="I414" s="95" t="str">
        <f>IF(A414&lt;&gt;"",SUMIFS(deployment!$H$4:$H$502, deployment!$D$4:$D$502,"="&amp;A414, deployment!$D$4:$D$502,"&lt;&gt;"&amp;""),"")</f>
        <v/>
      </c>
      <c r="J414" s="96" t="str">
        <f>IF(A414&lt;&gt;"",SUMIFS(deployment!$I$4:$I$502, deployment!$D$4:$D$502,"="&amp;A414, deployment!$D$4:$D$502,"&lt;&gt;"&amp;""),"")</f>
        <v/>
      </c>
      <c r="K414" s="112" t="str">
        <f>IF(A414&lt;&gt;"",SUMIFS(deployment!$J$4:$J$502, deployment!$D$4:$D$502,"="&amp;A414, deployment!$D$4:$D$502,"&lt;&gt;"&amp;""),"")</f>
        <v/>
      </c>
      <c r="L414" s="112" t="str">
        <f>IF(A414&lt;&gt;"",SUMIFS(deployment!$K$4:$K$502, deployment!$D$4:$D$502,"="&amp;A414, deployment!$D$4:$D$502,"&lt;&gt;"&amp;""),"")</f>
        <v/>
      </c>
      <c r="M414" s="97" t="str">
        <f>IF(A414&lt;&gt;"",SUMIFS(deployment!$L$4:$L$502, deployment!$D$4:$D$502,"="&amp;A414, deployment!$D$4:$D$502,"&lt;&gt;"&amp;""),"")</f>
        <v/>
      </c>
      <c r="N414" s="97" t="str">
        <f>IF(A414&lt;&gt;"",SUMIFS(deployment!$M$4:$M$502, deployment!$D$4:$D$502,"="&amp;A414, deployment!$D$4:$D$502,"&lt;&gt;"&amp;""),"")</f>
        <v/>
      </c>
      <c r="O414" s="127" t="str">
        <f t="shared" si="83"/>
        <v/>
      </c>
      <c r="P414" s="104"/>
      <c r="Q414" s="99" t="str">
        <f t="shared" si="72"/>
        <v/>
      </c>
      <c r="R414" s="100" t="str">
        <f t="shared" si="73"/>
        <v/>
      </c>
      <c r="S414" s="100" t="str">
        <f t="shared" si="74"/>
        <v/>
      </c>
      <c r="T414" s="101" t="str">
        <f t="shared" si="75"/>
        <v/>
      </c>
      <c r="U414" s="101" t="str">
        <f t="shared" si="76"/>
        <v/>
      </c>
      <c r="V414" s="128" t="str">
        <f t="shared" si="77"/>
        <v/>
      </c>
      <c r="W414" s="128" t="str">
        <f t="shared" si="78"/>
        <v/>
      </c>
      <c r="X414" s="101" t="str">
        <f t="shared" si="79"/>
        <v/>
      </c>
      <c r="Y414" s="101" t="str">
        <f t="shared" si="80"/>
        <v/>
      </c>
      <c r="Z414" s="102" t="str">
        <f t="shared" si="81"/>
        <v/>
      </c>
      <c r="AA414" s="103" t="str">
        <f t="shared" si="82"/>
        <v/>
      </c>
      <c r="AB414" s="142" t="str">
        <f>IF(A414&lt;&gt;"", SUMIFS(node!$J$2:$J$500, node!$C$2:$C$500,"="&amp;A414)/P414, "")</f>
        <v/>
      </c>
      <c r="AC414" s="134" t="str">
        <f>IF(A414&lt;&gt;"", SUMIFS(node!$K$2:$K$500, node!$C$2:$C$500,"="&amp;A414)/P414, "")</f>
        <v/>
      </c>
      <c r="AD414" s="135" t="str">
        <f>IF(A414&lt;&gt;"", SUMIFS(node!$L$2:$L$500, node!$C$2:$C$500,"="&amp;A414), "")</f>
        <v/>
      </c>
      <c r="AE414" s="145" t="str">
        <f>IF(A414&lt;&gt;"", SUMIFS(node!$M$2:$M$500, node!$C$2:$C$500,"="&amp;A414), "")</f>
        <v/>
      </c>
    </row>
    <row r="415" spans="1:31" ht="15.75" customHeight="1" x14ac:dyDescent="0.25">
      <c r="A415" s="119" t="str">
        <f>IF(ISNONTEXT(node_raw[[#This Row],[Column2]]), "", node_raw[[#This Row],[Column2]])</f>
        <v/>
      </c>
      <c r="B415" s="116" t="str">
        <f>IF(A415&lt;&gt;"", VLOOKUP(A415, node!$C$2:$D$500, 2, FALSE), "")</f>
        <v/>
      </c>
      <c r="C415" s="117" t="str">
        <f>IF(A415&lt;&gt;"", VLOOKUP(A415, node!$C$2:$E$500, 3, FALSE), "")</f>
        <v/>
      </c>
      <c r="D415" s="118" t="str">
        <f>IF(A415&lt;&gt;"",COUNTIFS(node!$C$2:$C$500,"="&amp;A415, node!$C$2:$C$500,"&lt;&gt;"&amp;""),"")</f>
        <v/>
      </c>
      <c r="E415" s="122" t="str">
        <f>IF(A415&lt;&gt;"",SUMIFS(node!$F$2:$F$500, node!$C$2:$C$500,"="&amp;A415, node!$C$2:$C$500,"&lt;&gt;"&amp;"")/(B415*D415),"")</f>
        <v/>
      </c>
      <c r="F415" s="124" t="str">
        <f>IF(A415&lt;&gt;"",SUMIFS(node!$H$2:$H$500, node!$C$2:$C$500,"="&amp;A415, node!$C$2:$C$500,"&lt;&gt;"&amp;"")/(C415*D415),"")</f>
        <v/>
      </c>
      <c r="G415" s="93" t="str">
        <f>IF(A415&lt;&gt;"",SUMIFS(deployment!$F$4:$F$502, deployment!$D$4:$D$502,"="&amp;A415, deployment!$D$4:$D$502,"&lt;&gt;"&amp;""),"")</f>
        <v/>
      </c>
      <c r="H415" s="94" t="str">
        <f>IF(A415&lt;&gt;"",SUMIFS(deployment!$G$4:$G$502, deployment!$D$4:$D$502,"="&amp;A415, deployment!$D$4:$D$502,"&lt;&gt;"&amp;""),"")</f>
        <v/>
      </c>
      <c r="I415" s="95" t="str">
        <f>IF(A415&lt;&gt;"",SUMIFS(deployment!$H$4:$H$502, deployment!$D$4:$D$502,"="&amp;A415, deployment!$D$4:$D$502,"&lt;&gt;"&amp;""),"")</f>
        <v/>
      </c>
      <c r="J415" s="96" t="str">
        <f>IF(A415&lt;&gt;"",SUMIFS(deployment!$I$4:$I$502, deployment!$D$4:$D$502,"="&amp;A415, deployment!$D$4:$D$502,"&lt;&gt;"&amp;""),"")</f>
        <v/>
      </c>
      <c r="K415" s="112" t="str">
        <f>IF(A415&lt;&gt;"",SUMIFS(deployment!$J$4:$J$502, deployment!$D$4:$D$502,"="&amp;A415, deployment!$D$4:$D$502,"&lt;&gt;"&amp;""),"")</f>
        <v/>
      </c>
      <c r="L415" s="112" t="str">
        <f>IF(A415&lt;&gt;"",SUMIFS(deployment!$K$4:$K$502, deployment!$D$4:$D$502,"="&amp;A415, deployment!$D$4:$D$502,"&lt;&gt;"&amp;""),"")</f>
        <v/>
      </c>
      <c r="M415" s="97" t="str">
        <f>IF(A415&lt;&gt;"",SUMIFS(deployment!$L$4:$L$502, deployment!$D$4:$D$502,"="&amp;A415, deployment!$D$4:$D$502,"&lt;&gt;"&amp;""),"")</f>
        <v/>
      </c>
      <c r="N415" s="97" t="str">
        <f>IF(A415&lt;&gt;"",SUMIFS(deployment!$M$4:$M$502, deployment!$D$4:$D$502,"="&amp;A415, deployment!$D$4:$D$502,"&lt;&gt;"&amp;""),"")</f>
        <v/>
      </c>
      <c r="O415" s="127" t="str">
        <f t="shared" si="83"/>
        <v/>
      </c>
      <c r="P415" s="104"/>
      <c r="Q415" s="99" t="str">
        <f t="shared" si="72"/>
        <v/>
      </c>
      <c r="R415" s="100" t="str">
        <f t="shared" si="73"/>
        <v/>
      </c>
      <c r="S415" s="100" t="str">
        <f t="shared" si="74"/>
        <v/>
      </c>
      <c r="T415" s="101" t="str">
        <f t="shared" si="75"/>
        <v/>
      </c>
      <c r="U415" s="101" t="str">
        <f t="shared" si="76"/>
        <v/>
      </c>
      <c r="V415" s="128" t="str">
        <f t="shared" si="77"/>
        <v/>
      </c>
      <c r="W415" s="128" t="str">
        <f t="shared" si="78"/>
        <v/>
      </c>
      <c r="X415" s="101" t="str">
        <f t="shared" si="79"/>
        <v/>
      </c>
      <c r="Y415" s="101" t="str">
        <f t="shared" si="80"/>
        <v/>
      </c>
      <c r="Z415" s="102" t="str">
        <f t="shared" si="81"/>
        <v/>
      </c>
      <c r="AA415" s="103" t="str">
        <f t="shared" si="82"/>
        <v/>
      </c>
      <c r="AB415" s="142" t="str">
        <f>IF(A415&lt;&gt;"", SUMIFS(node!$J$2:$J$500, node!$C$2:$C$500,"="&amp;A415)/P415, "")</f>
        <v/>
      </c>
      <c r="AC415" s="134" t="str">
        <f>IF(A415&lt;&gt;"", SUMIFS(node!$K$2:$K$500, node!$C$2:$C$500,"="&amp;A415)/P415, "")</f>
        <v/>
      </c>
      <c r="AD415" s="135" t="str">
        <f>IF(A415&lt;&gt;"", SUMIFS(node!$L$2:$L$500, node!$C$2:$C$500,"="&amp;A415), "")</f>
        <v/>
      </c>
      <c r="AE415" s="145" t="str">
        <f>IF(A415&lt;&gt;"", SUMIFS(node!$M$2:$M$500, node!$C$2:$C$500,"="&amp;A415), "")</f>
        <v/>
      </c>
    </row>
    <row r="416" spans="1:31" ht="15.75" customHeight="1" x14ac:dyDescent="0.25">
      <c r="A416" s="119" t="str">
        <f>IF(ISNONTEXT(node_raw[[#This Row],[Column2]]), "", node_raw[[#This Row],[Column2]])</f>
        <v/>
      </c>
      <c r="B416" s="116" t="str">
        <f>IF(A416&lt;&gt;"", VLOOKUP(A416, node!$C$2:$D$500, 2, FALSE), "")</f>
        <v/>
      </c>
      <c r="C416" s="117" t="str">
        <f>IF(A416&lt;&gt;"", VLOOKUP(A416, node!$C$2:$E$500, 3, FALSE), "")</f>
        <v/>
      </c>
      <c r="D416" s="118" t="str">
        <f>IF(A416&lt;&gt;"",COUNTIFS(node!$C$2:$C$500,"="&amp;A416, node!$C$2:$C$500,"&lt;&gt;"&amp;""),"")</f>
        <v/>
      </c>
      <c r="E416" s="122" t="str">
        <f>IF(A416&lt;&gt;"",SUMIFS(node!$F$2:$F$500, node!$C$2:$C$500,"="&amp;A416, node!$C$2:$C$500,"&lt;&gt;"&amp;"")/(B416*D416),"")</f>
        <v/>
      </c>
      <c r="F416" s="124" t="str">
        <f>IF(A416&lt;&gt;"",SUMIFS(node!$H$2:$H$500, node!$C$2:$C$500,"="&amp;A416, node!$C$2:$C$500,"&lt;&gt;"&amp;"")/(C416*D416),"")</f>
        <v/>
      </c>
      <c r="G416" s="93" t="str">
        <f>IF(A416&lt;&gt;"",SUMIFS(deployment!$F$4:$F$502, deployment!$D$4:$D$502,"="&amp;A416, deployment!$D$4:$D$502,"&lt;&gt;"&amp;""),"")</f>
        <v/>
      </c>
      <c r="H416" s="94" t="str">
        <f>IF(A416&lt;&gt;"",SUMIFS(deployment!$G$4:$G$502, deployment!$D$4:$D$502,"="&amp;A416, deployment!$D$4:$D$502,"&lt;&gt;"&amp;""),"")</f>
        <v/>
      </c>
      <c r="I416" s="95" t="str">
        <f>IF(A416&lt;&gt;"",SUMIFS(deployment!$H$4:$H$502, deployment!$D$4:$D$502,"="&amp;A416, deployment!$D$4:$D$502,"&lt;&gt;"&amp;""),"")</f>
        <v/>
      </c>
      <c r="J416" s="96" t="str">
        <f>IF(A416&lt;&gt;"",SUMIFS(deployment!$I$4:$I$502, deployment!$D$4:$D$502,"="&amp;A416, deployment!$D$4:$D$502,"&lt;&gt;"&amp;""),"")</f>
        <v/>
      </c>
      <c r="K416" s="112" t="str">
        <f>IF(A416&lt;&gt;"",SUMIFS(deployment!$J$4:$J$502, deployment!$D$4:$D$502,"="&amp;A416, deployment!$D$4:$D$502,"&lt;&gt;"&amp;""),"")</f>
        <v/>
      </c>
      <c r="L416" s="112" t="str">
        <f>IF(A416&lt;&gt;"",SUMIFS(deployment!$K$4:$K$502, deployment!$D$4:$D$502,"="&amp;A416, deployment!$D$4:$D$502,"&lt;&gt;"&amp;""),"")</f>
        <v/>
      </c>
      <c r="M416" s="97" t="str">
        <f>IF(A416&lt;&gt;"",SUMIFS(deployment!$L$4:$L$502, deployment!$D$4:$D$502,"="&amp;A416, deployment!$D$4:$D$502,"&lt;&gt;"&amp;""),"")</f>
        <v/>
      </c>
      <c r="N416" s="97" t="str">
        <f>IF(A416&lt;&gt;"",SUMIFS(deployment!$M$4:$M$502, deployment!$D$4:$D$502,"="&amp;A416, deployment!$D$4:$D$502,"&lt;&gt;"&amp;""),"")</f>
        <v/>
      </c>
      <c r="O416" s="127" t="str">
        <f t="shared" si="83"/>
        <v/>
      </c>
      <c r="P416" s="104"/>
      <c r="Q416" s="99" t="str">
        <f t="shared" si="72"/>
        <v/>
      </c>
      <c r="R416" s="100" t="str">
        <f t="shared" si="73"/>
        <v/>
      </c>
      <c r="S416" s="100" t="str">
        <f t="shared" si="74"/>
        <v/>
      </c>
      <c r="T416" s="101" t="str">
        <f t="shared" si="75"/>
        <v/>
      </c>
      <c r="U416" s="101" t="str">
        <f t="shared" si="76"/>
        <v/>
      </c>
      <c r="V416" s="128" t="str">
        <f t="shared" si="77"/>
        <v/>
      </c>
      <c r="W416" s="128" t="str">
        <f t="shared" si="78"/>
        <v/>
      </c>
      <c r="X416" s="101" t="str">
        <f t="shared" si="79"/>
        <v/>
      </c>
      <c r="Y416" s="101" t="str">
        <f t="shared" si="80"/>
        <v/>
      </c>
      <c r="Z416" s="102" t="str">
        <f t="shared" si="81"/>
        <v/>
      </c>
      <c r="AA416" s="103" t="str">
        <f t="shared" si="82"/>
        <v/>
      </c>
      <c r="AB416" s="142" t="str">
        <f>IF(A416&lt;&gt;"", SUMIFS(node!$J$2:$J$500, node!$C$2:$C$500,"="&amp;A416)/P416, "")</f>
        <v/>
      </c>
      <c r="AC416" s="134" t="str">
        <f>IF(A416&lt;&gt;"", SUMIFS(node!$K$2:$K$500, node!$C$2:$C$500,"="&amp;A416)/P416, "")</f>
        <v/>
      </c>
      <c r="AD416" s="135" t="str">
        <f>IF(A416&lt;&gt;"", SUMIFS(node!$L$2:$L$500, node!$C$2:$C$500,"="&amp;A416), "")</f>
        <v/>
      </c>
      <c r="AE416" s="145" t="str">
        <f>IF(A416&lt;&gt;"", SUMIFS(node!$M$2:$M$500, node!$C$2:$C$500,"="&amp;A416), "")</f>
        <v/>
      </c>
    </row>
    <row r="417" spans="1:31" ht="15.75" customHeight="1" x14ac:dyDescent="0.25">
      <c r="A417" s="119" t="str">
        <f>IF(ISNONTEXT(node_raw[[#This Row],[Column2]]), "", node_raw[[#This Row],[Column2]])</f>
        <v/>
      </c>
      <c r="B417" s="116" t="str">
        <f>IF(A417&lt;&gt;"", VLOOKUP(A417, node!$C$2:$D$500, 2, FALSE), "")</f>
        <v/>
      </c>
      <c r="C417" s="117" t="str">
        <f>IF(A417&lt;&gt;"", VLOOKUP(A417, node!$C$2:$E$500, 3, FALSE), "")</f>
        <v/>
      </c>
      <c r="D417" s="118" t="str">
        <f>IF(A417&lt;&gt;"",COUNTIFS(node!$C$2:$C$500,"="&amp;A417, node!$C$2:$C$500,"&lt;&gt;"&amp;""),"")</f>
        <v/>
      </c>
      <c r="E417" s="122" t="str">
        <f>IF(A417&lt;&gt;"",SUMIFS(node!$F$2:$F$500, node!$C$2:$C$500,"="&amp;A417, node!$C$2:$C$500,"&lt;&gt;"&amp;"")/(B417*D417),"")</f>
        <v/>
      </c>
      <c r="F417" s="124" t="str">
        <f>IF(A417&lt;&gt;"",SUMIFS(node!$H$2:$H$500, node!$C$2:$C$500,"="&amp;A417, node!$C$2:$C$500,"&lt;&gt;"&amp;"")/(C417*D417),"")</f>
        <v/>
      </c>
      <c r="G417" s="93" t="str">
        <f>IF(A417&lt;&gt;"",SUMIFS(deployment!$F$4:$F$502, deployment!$D$4:$D$502,"="&amp;A417, deployment!$D$4:$D$502,"&lt;&gt;"&amp;""),"")</f>
        <v/>
      </c>
      <c r="H417" s="94" t="str">
        <f>IF(A417&lt;&gt;"",SUMIFS(deployment!$G$4:$G$502, deployment!$D$4:$D$502,"="&amp;A417, deployment!$D$4:$D$502,"&lt;&gt;"&amp;""),"")</f>
        <v/>
      </c>
      <c r="I417" s="95" t="str">
        <f>IF(A417&lt;&gt;"",SUMIFS(deployment!$H$4:$H$502, deployment!$D$4:$D$502,"="&amp;A417, deployment!$D$4:$D$502,"&lt;&gt;"&amp;""),"")</f>
        <v/>
      </c>
      <c r="J417" s="96" t="str">
        <f>IF(A417&lt;&gt;"",SUMIFS(deployment!$I$4:$I$502, deployment!$D$4:$D$502,"="&amp;A417, deployment!$D$4:$D$502,"&lt;&gt;"&amp;""),"")</f>
        <v/>
      </c>
      <c r="K417" s="112" t="str">
        <f>IF(A417&lt;&gt;"",SUMIFS(deployment!$J$4:$J$502, deployment!$D$4:$D$502,"="&amp;A417, deployment!$D$4:$D$502,"&lt;&gt;"&amp;""),"")</f>
        <v/>
      </c>
      <c r="L417" s="112" t="str">
        <f>IF(A417&lt;&gt;"",SUMIFS(deployment!$K$4:$K$502, deployment!$D$4:$D$502,"="&amp;A417, deployment!$D$4:$D$502,"&lt;&gt;"&amp;""),"")</f>
        <v/>
      </c>
      <c r="M417" s="97" t="str">
        <f>IF(A417&lt;&gt;"",SUMIFS(deployment!$L$4:$L$502, deployment!$D$4:$D$502,"="&amp;A417, deployment!$D$4:$D$502,"&lt;&gt;"&amp;""),"")</f>
        <v/>
      </c>
      <c r="N417" s="97" t="str">
        <f>IF(A417&lt;&gt;"",SUMIFS(deployment!$M$4:$M$502, deployment!$D$4:$D$502,"="&amp;A417, deployment!$D$4:$D$502,"&lt;&gt;"&amp;""),"")</f>
        <v/>
      </c>
      <c r="O417" s="127" t="str">
        <f t="shared" si="83"/>
        <v/>
      </c>
      <c r="P417" s="104"/>
      <c r="Q417" s="99" t="str">
        <f t="shared" si="72"/>
        <v/>
      </c>
      <c r="R417" s="100" t="str">
        <f t="shared" si="73"/>
        <v/>
      </c>
      <c r="S417" s="100" t="str">
        <f t="shared" si="74"/>
        <v/>
      </c>
      <c r="T417" s="101" t="str">
        <f t="shared" si="75"/>
        <v/>
      </c>
      <c r="U417" s="101" t="str">
        <f t="shared" si="76"/>
        <v/>
      </c>
      <c r="V417" s="128" t="str">
        <f t="shared" si="77"/>
        <v/>
      </c>
      <c r="W417" s="128" t="str">
        <f t="shared" si="78"/>
        <v/>
      </c>
      <c r="X417" s="101" t="str">
        <f t="shared" si="79"/>
        <v/>
      </c>
      <c r="Y417" s="101" t="str">
        <f t="shared" si="80"/>
        <v/>
      </c>
      <c r="Z417" s="102" t="str">
        <f t="shared" si="81"/>
        <v/>
      </c>
      <c r="AA417" s="103" t="str">
        <f t="shared" si="82"/>
        <v/>
      </c>
      <c r="AB417" s="142" t="str">
        <f>IF(A417&lt;&gt;"", SUMIFS(node!$J$2:$J$500, node!$C$2:$C$500,"="&amp;A417)/P417, "")</f>
        <v/>
      </c>
      <c r="AC417" s="134" t="str">
        <f>IF(A417&lt;&gt;"", SUMIFS(node!$K$2:$K$500, node!$C$2:$C$500,"="&amp;A417)/P417, "")</f>
        <v/>
      </c>
      <c r="AD417" s="135" t="str">
        <f>IF(A417&lt;&gt;"", SUMIFS(node!$L$2:$L$500, node!$C$2:$C$500,"="&amp;A417), "")</f>
        <v/>
      </c>
      <c r="AE417" s="145" t="str">
        <f>IF(A417&lt;&gt;"", SUMIFS(node!$M$2:$M$500, node!$C$2:$C$500,"="&amp;A417), "")</f>
        <v/>
      </c>
    </row>
    <row r="418" spans="1:31" ht="15.75" customHeight="1" x14ac:dyDescent="0.25">
      <c r="A418" s="119" t="str">
        <f>IF(ISNONTEXT(node_raw[[#This Row],[Column2]]), "", node_raw[[#This Row],[Column2]])</f>
        <v/>
      </c>
      <c r="B418" s="116" t="str">
        <f>IF(A418&lt;&gt;"", VLOOKUP(A418, node!$C$2:$D$500, 2, FALSE), "")</f>
        <v/>
      </c>
      <c r="C418" s="117" t="str">
        <f>IF(A418&lt;&gt;"", VLOOKUP(A418, node!$C$2:$E$500, 3, FALSE), "")</f>
        <v/>
      </c>
      <c r="D418" s="118" t="str">
        <f>IF(A418&lt;&gt;"",COUNTIFS(node!$C$2:$C$500,"="&amp;A418, node!$C$2:$C$500,"&lt;&gt;"&amp;""),"")</f>
        <v/>
      </c>
      <c r="E418" s="122" t="str">
        <f>IF(A418&lt;&gt;"",SUMIFS(node!$F$2:$F$500, node!$C$2:$C$500,"="&amp;A418, node!$C$2:$C$500,"&lt;&gt;"&amp;"")/(B418*D418),"")</f>
        <v/>
      </c>
      <c r="F418" s="124" t="str">
        <f>IF(A418&lt;&gt;"",SUMIFS(node!$H$2:$H$500, node!$C$2:$C$500,"="&amp;A418, node!$C$2:$C$500,"&lt;&gt;"&amp;"")/(C418*D418),"")</f>
        <v/>
      </c>
      <c r="G418" s="93" t="str">
        <f>IF(A418&lt;&gt;"",SUMIFS(deployment!$F$4:$F$502, deployment!$D$4:$D$502,"="&amp;A418, deployment!$D$4:$D$502,"&lt;&gt;"&amp;""),"")</f>
        <v/>
      </c>
      <c r="H418" s="94" t="str">
        <f>IF(A418&lt;&gt;"",SUMIFS(deployment!$G$4:$G$502, deployment!$D$4:$D$502,"="&amp;A418, deployment!$D$4:$D$502,"&lt;&gt;"&amp;""),"")</f>
        <v/>
      </c>
      <c r="I418" s="95" t="str">
        <f>IF(A418&lt;&gt;"",SUMIFS(deployment!$H$4:$H$502, deployment!$D$4:$D$502,"="&amp;A418, deployment!$D$4:$D$502,"&lt;&gt;"&amp;""),"")</f>
        <v/>
      </c>
      <c r="J418" s="96" t="str">
        <f>IF(A418&lt;&gt;"",SUMIFS(deployment!$I$4:$I$502, deployment!$D$4:$D$502,"="&amp;A418, deployment!$D$4:$D$502,"&lt;&gt;"&amp;""),"")</f>
        <v/>
      </c>
      <c r="K418" s="112" t="str">
        <f>IF(A418&lt;&gt;"",SUMIFS(deployment!$J$4:$J$502, deployment!$D$4:$D$502,"="&amp;A418, deployment!$D$4:$D$502,"&lt;&gt;"&amp;""),"")</f>
        <v/>
      </c>
      <c r="L418" s="112" t="str">
        <f>IF(A418&lt;&gt;"",SUMIFS(deployment!$K$4:$K$502, deployment!$D$4:$D$502,"="&amp;A418, deployment!$D$4:$D$502,"&lt;&gt;"&amp;""),"")</f>
        <v/>
      </c>
      <c r="M418" s="97" t="str">
        <f>IF(A418&lt;&gt;"",SUMIFS(deployment!$L$4:$L$502, deployment!$D$4:$D$502,"="&amp;A418, deployment!$D$4:$D$502,"&lt;&gt;"&amp;""),"")</f>
        <v/>
      </c>
      <c r="N418" s="97" t="str">
        <f>IF(A418&lt;&gt;"",SUMIFS(deployment!$M$4:$M$502, deployment!$D$4:$D$502,"="&amp;A418, deployment!$D$4:$D$502,"&lt;&gt;"&amp;""),"")</f>
        <v/>
      </c>
      <c r="O418" s="127" t="str">
        <f t="shared" si="83"/>
        <v/>
      </c>
      <c r="P418" s="104"/>
      <c r="Q418" s="99" t="str">
        <f t="shared" si="72"/>
        <v/>
      </c>
      <c r="R418" s="100" t="str">
        <f t="shared" si="73"/>
        <v/>
      </c>
      <c r="S418" s="100" t="str">
        <f t="shared" si="74"/>
        <v/>
      </c>
      <c r="T418" s="101" t="str">
        <f t="shared" si="75"/>
        <v/>
      </c>
      <c r="U418" s="101" t="str">
        <f t="shared" si="76"/>
        <v/>
      </c>
      <c r="V418" s="128" t="str">
        <f t="shared" si="77"/>
        <v/>
      </c>
      <c r="W418" s="128" t="str">
        <f t="shared" si="78"/>
        <v/>
      </c>
      <c r="X418" s="101" t="str">
        <f t="shared" si="79"/>
        <v/>
      </c>
      <c r="Y418" s="101" t="str">
        <f t="shared" si="80"/>
        <v/>
      </c>
      <c r="Z418" s="102" t="str">
        <f t="shared" si="81"/>
        <v/>
      </c>
      <c r="AA418" s="103" t="str">
        <f t="shared" si="82"/>
        <v/>
      </c>
      <c r="AB418" s="142" t="str">
        <f>IF(A418&lt;&gt;"", SUMIFS(node!$J$2:$J$500, node!$C$2:$C$500,"="&amp;A418)/P418, "")</f>
        <v/>
      </c>
      <c r="AC418" s="134" t="str">
        <f>IF(A418&lt;&gt;"", SUMIFS(node!$K$2:$K$500, node!$C$2:$C$500,"="&amp;A418)/P418, "")</f>
        <v/>
      </c>
      <c r="AD418" s="135" t="str">
        <f>IF(A418&lt;&gt;"", SUMIFS(node!$L$2:$L$500, node!$C$2:$C$500,"="&amp;A418), "")</f>
        <v/>
      </c>
      <c r="AE418" s="145" t="str">
        <f>IF(A418&lt;&gt;"", SUMIFS(node!$M$2:$M$500, node!$C$2:$C$500,"="&amp;A418), "")</f>
        <v/>
      </c>
    </row>
    <row r="419" spans="1:31" ht="15.75" customHeight="1" x14ac:dyDescent="0.25">
      <c r="A419" s="119" t="str">
        <f>IF(ISNONTEXT(node_raw[[#This Row],[Column2]]), "", node_raw[[#This Row],[Column2]])</f>
        <v/>
      </c>
      <c r="B419" s="116" t="str">
        <f>IF(A419&lt;&gt;"", VLOOKUP(A419, node!$C$2:$D$500, 2, FALSE), "")</f>
        <v/>
      </c>
      <c r="C419" s="117" t="str">
        <f>IF(A419&lt;&gt;"", VLOOKUP(A419, node!$C$2:$E$500, 3, FALSE), "")</f>
        <v/>
      </c>
      <c r="D419" s="118" t="str">
        <f>IF(A419&lt;&gt;"",COUNTIFS(node!$C$2:$C$500,"="&amp;A419, node!$C$2:$C$500,"&lt;&gt;"&amp;""),"")</f>
        <v/>
      </c>
      <c r="E419" s="122" t="str">
        <f>IF(A419&lt;&gt;"",SUMIFS(node!$F$2:$F$500, node!$C$2:$C$500,"="&amp;A419, node!$C$2:$C$500,"&lt;&gt;"&amp;"")/(B419*D419),"")</f>
        <v/>
      </c>
      <c r="F419" s="124" t="str">
        <f>IF(A419&lt;&gt;"",SUMIFS(node!$H$2:$H$500, node!$C$2:$C$500,"="&amp;A419, node!$C$2:$C$500,"&lt;&gt;"&amp;"")/(C419*D419),"")</f>
        <v/>
      </c>
      <c r="G419" s="93" t="str">
        <f>IF(A419&lt;&gt;"",SUMIFS(deployment!$F$4:$F$502, deployment!$D$4:$D$502,"="&amp;A419, deployment!$D$4:$D$502,"&lt;&gt;"&amp;""),"")</f>
        <v/>
      </c>
      <c r="H419" s="94" t="str">
        <f>IF(A419&lt;&gt;"",SUMIFS(deployment!$G$4:$G$502, deployment!$D$4:$D$502,"="&amp;A419, deployment!$D$4:$D$502,"&lt;&gt;"&amp;""),"")</f>
        <v/>
      </c>
      <c r="I419" s="95" t="str">
        <f>IF(A419&lt;&gt;"",SUMIFS(deployment!$H$4:$H$502, deployment!$D$4:$D$502,"="&amp;A419, deployment!$D$4:$D$502,"&lt;&gt;"&amp;""),"")</f>
        <v/>
      </c>
      <c r="J419" s="96" t="str">
        <f>IF(A419&lt;&gt;"",SUMIFS(deployment!$I$4:$I$502, deployment!$D$4:$D$502,"="&amp;A419, deployment!$D$4:$D$502,"&lt;&gt;"&amp;""),"")</f>
        <v/>
      </c>
      <c r="K419" s="112" t="str">
        <f>IF(A419&lt;&gt;"",SUMIFS(deployment!$J$4:$J$502, deployment!$D$4:$D$502,"="&amp;A419, deployment!$D$4:$D$502,"&lt;&gt;"&amp;""),"")</f>
        <v/>
      </c>
      <c r="L419" s="112" t="str">
        <f>IF(A419&lt;&gt;"",SUMIFS(deployment!$K$4:$K$502, deployment!$D$4:$D$502,"="&amp;A419, deployment!$D$4:$D$502,"&lt;&gt;"&amp;""),"")</f>
        <v/>
      </c>
      <c r="M419" s="97" t="str">
        <f>IF(A419&lt;&gt;"",SUMIFS(deployment!$L$4:$L$502, deployment!$D$4:$D$502,"="&amp;A419, deployment!$D$4:$D$502,"&lt;&gt;"&amp;""),"")</f>
        <v/>
      </c>
      <c r="N419" s="97" t="str">
        <f>IF(A419&lt;&gt;"",SUMIFS(deployment!$M$4:$M$502, deployment!$D$4:$D$502,"="&amp;A419, deployment!$D$4:$D$502,"&lt;&gt;"&amp;""),"")</f>
        <v/>
      </c>
      <c r="O419" s="127" t="str">
        <f t="shared" si="83"/>
        <v/>
      </c>
      <c r="P419" s="104"/>
      <c r="Q419" s="99" t="str">
        <f t="shared" si="72"/>
        <v/>
      </c>
      <c r="R419" s="100" t="str">
        <f t="shared" si="73"/>
        <v/>
      </c>
      <c r="S419" s="100" t="str">
        <f t="shared" si="74"/>
        <v/>
      </c>
      <c r="T419" s="101" t="str">
        <f t="shared" si="75"/>
        <v/>
      </c>
      <c r="U419" s="101" t="str">
        <f t="shared" si="76"/>
        <v/>
      </c>
      <c r="V419" s="128" t="str">
        <f t="shared" si="77"/>
        <v/>
      </c>
      <c r="W419" s="128" t="str">
        <f t="shared" si="78"/>
        <v/>
      </c>
      <c r="X419" s="101" t="str">
        <f t="shared" si="79"/>
        <v/>
      </c>
      <c r="Y419" s="101" t="str">
        <f t="shared" si="80"/>
        <v/>
      </c>
      <c r="Z419" s="102" t="str">
        <f t="shared" si="81"/>
        <v/>
      </c>
      <c r="AA419" s="103" t="str">
        <f t="shared" si="82"/>
        <v/>
      </c>
      <c r="AB419" s="142" t="str">
        <f>IF(A419&lt;&gt;"", SUMIFS(node!$J$2:$J$500, node!$C$2:$C$500,"="&amp;A419)/P419, "")</f>
        <v/>
      </c>
      <c r="AC419" s="134" t="str">
        <f>IF(A419&lt;&gt;"", SUMIFS(node!$K$2:$K$500, node!$C$2:$C$500,"="&amp;A419)/P419, "")</f>
        <v/>
      </c>
      <c r="AD419" s="135" t="str">
        <f>IF(A419&lt;&gt;"", SUMIFS(node!$L$2:$L$500, node!$C$2:$C$500,"="&amp;A419), "")</f>
        <v/>
      </c>
      <c r="AE419" s="145" t="str">
        <f>IF(A419&lt;&gt;"", SUMIFS(node!$M$2:$M$500, node!$C$2:$C$500,"="&amp;A419), "")</f>
        <v/>
      </c>
    </row>
    <row r="420" spans="1:31" ht="15.75" customHeight="1" x14ac:dyDescent="0.25">
      <c r="A420" s="119" t="str">
        <f>IF(ISNONTEXT(node_raw[[#This Row],[Column2]]), "", node_raw[[#This Row],[Column2]])</f>
        <v/>
      </c>
      <c r="B420" s="116" t="str">
        <f>IF(A420&lt;&gt;"", VLOOKUP(A420, node!$C$2:$D$500, 2, FALSE), "")</f>
        <v/>
      </c>
      <c r="C420" s="117" t="str">
        <f>IF(A420&lt;&gt;"", VLOOKUP(A420, node!$C$2:$E$500, 3, FALSE), "")</f>
        <v/>
      </c>
      <c r="D420" s="118" t="str">
        <f>IF(A420&lt;&gt;"",COUNTIFS(node!$C$2:$C$500,"="&amp;A420, node!$C$2:$C$500,"&lt;&gt;"&amp;""),"")</f>
        <v/>
      </c>
      <c r="E420" s="122" t="str">
        <f>IF(A420&lt;&gt;"",SUMIFS(node!$F$2:$F$500, node!$C$2:$C$500,"="&amp;A420, node!$C$2:$C$500,"&lt;&gt;"&amp;"")/(B420*D420),"")</f>
        <v/>
      </c>
      <c r="F420" s="124" t="str">
        <f>IF(A420&lt;&gt;"",SUMIFS(node!$H$2:$H$500, node!$C$2:$C$500,"="&amp;A420, node!$C$2:$C$500,"&lt;&gt;"&amp;"")/(C420*D420),"")</f>
        <v/>
      </c>
      <c r="G420" s="93" t="str">
        <f>IF(A420&lt;&gt;"",SUMIFS(deployment!$F$4:$F$502, deployment!$D$4:$D$502,"="&amp;A420, deployment!$D$4:$D$502,"&lt;&gt;"&amp;""),"")</f>
        <v/>
      </c>
      <c r="H420" s="94" t="str">
        <f>IF(A420&lt;&gt;"",SUMIFS(deployment!$G$4:$G$502, deployment!$D$4:$D$502,"="&amp;A420, deployment!$D$4:$D$502,"&lt;&gt;"&amp;""),"")</f>
        <v/>
      </c>
      <c r="I420" s="95" t="str">
        <f>IF(A420&lt;&gt;"",SUMIFS(deployment!$H$4:$H$502, deployment!$D$4:$D$502,"="&amp;A420, deployment!$D$4:$D$502,"&lt;&gt;"&amp;""),"")</f>
        <v/>
      </c>
      <c r="J420" s="96" t="str">
        <f>IF(A420&lt;&gt;"",SUMIFS(deployment!$I$4:$I$502, deployment!$D$4:$D$502,"="&amp;A420, deployment!$D$4:$D$502,"&lt;&gt;"&amp;""),"")</f>
        <v/>
      </c>
      <c r="K420" s="112" t="str">
        <f>IF(A420&lt;&gt;"",SUMIFS(deployment!$J$4:$J$502, deployment!$D$4:$D$502,"="&amp;A420, deployment!$D$4:$D$502,"&lt;&gt;"&amp;""),"")</f>
        <v/>
      </c>
      <c r="L420" s="112" t="str">
        <f>IF(A420&lt;&gt;"",SUMIFS(deployment!$K$4:$K$502, deployment!$D$4:$D$502,"="&amp;A420, deployment!$D$4:$D$502,"&lt;&gt;"&amp;""),"")</f>
        <v/>
      </c>
      <c r="M420" s="97" t="str">
        <f>IF(A420&lt;&gt;"",SUMIFS(deployment!$L$4:$L$502, deployment!$D$4:$D$502,"="&amp;A420, deployment!$D$4:$D$502,"&lt;&gt;"&amp;""),"")</f>
        <v/>
      </c>
      <c r="N420" s="97" t="str">
        <f>IF(A420&lt;&gt;"",SUMIFS(deployment!$M$4:$M$502, deployment!$D$4:$D$502,"="&amp;A420, deployment!$D$4:$D$502,"&lt;&gt;"&amp;""),"")</f>
        <v/>
      </c>
      <c r="O420" s="127" t="str">
        <f t="shared" si="83"/>
        <v/>
      </c>
      <c r="P420" s="104"/>
      <c r="Q420" s="99" t="str">
        <f t="shared" si="72"/>
        <v/>
      </c>
      <c r="R420" s="100" t="str">
        <f t="shared" si="73"/>
        <v/>
      </c>
      <c r="S420" s="100" t="str">
        <f t="shared" si="74"/>
        <v/>
      </c>
      <c r="T420" s="101" t="str">
        <f t="shared" si="75"/>
        <v/>
      </c>
      <c r="U420" s="101" t="str">
        <f t="shared" si="76"/>
        <v/>
      </c>
      <c r="V420" s="128" t="str">
        <f t="shared" si="77"/>
        <v/>
      </c>
      <c r="W420" s="128" t="str">
        <f t="shared" si="78"/>
        <v/>
      </c>
      <c r="X420" s="101" t="str">
        <f t="shared" si="79"/>
        <v/>
      </c>
      <c r="Y420" s="101" t="str">
        <f t="shared" si="80"/>
        <v/>
      </c>
      <c r="Z420" s="102" t="str">
        <f t="shared" si="81"/>
        <v/>
      </c>
      <c r="AA420" s="103" t="str">
        <f t="shared" si="82"/>
        <v/>
      </c>
      <c r="AB420" s="142" t="str">
        <f>IF(A420&lt;&gt;"", SUMIFS(node!$J$2:$J$500, node!$C$2:$C$500,"="&amp;A420)/P420, "")</f>
        <v/>
      </c>
      <c r="AC420" s="134" t="str">
        <f>IF(A420&lt;&gt;"", SUMIFS(node!$K$2:$K$500, node!$C$2:$C$500,"="&amp;A420)/P420, "")</f>
        <v/>
      </c>
      <c r="AD420" s="135" t="str">
        <f>IF(A420&lt;&gt;"", SUMIFS(node!$L$2:$L$500, node!$C$2:$C$500,"="&amp;A420), "")</f>
        <v/>
      </c>
      <c r="AE420" s="145" t="str">
        <f>IF(A420&lt;&gt;"", SUMIFS(node!$M$2:$M$500, node!$C$2:$C$500,"="&amp;A420), "")</f>
        <v/>
      </c>
    </row>
    <row r="421" spans="1:31" ht="15.75" customHeight="1" x14ac:dyDescent="0.25">
      <c r="A421" s="119" t="str">
        <f>IF(ISNONTEXT(node_raw[[#This Row],[Column2]]), "", node_raw[[#This Row],[Column2]])</f>
        <v/>
      </c>
      <c r="B421" s="116" t="str">
        <f>IF(A421&lt;&gt;"", VLOOKUP(A421, node!$C$2:$D$500, 2, FALSE), "")</f>
        <v/>
      </c>
      <c r="C421" s="117" t="str">
        <f>IF(A421&lt;&gt;"", VLOOKUP(A421, node!$C$2:$E$500, 3, FALSE), "")</f>
        <v/>
      </c>
      <c r="D421" s="118" t="str">
        <f>IF(A421&lt;&gt;"",COUNTIFS(node!$C$2:$C$500,"="&amp;A421, node!$C$2:$C$500,"&lt;&gt;"&amp;""),"")</f>
        <v/>
      </c>
      <c r="E421" s="122" t="str">
        <f>IF(A421&lt;&gt;"",SUMIFS(node!$F$2:$F$500, node!$C$2:$C$500,"="&amp;A421, node!$C$2:$C$500,"&lt;&gt;"&amp;"")/(B421*D421),"")</f>
        <v/>
      </c>
      <c r="F421" s="124" t="str">
        <f>IF(A421&lt;&gt;"",SUMIFS(node!$H$2:$H$500, node!$C$2:$C$500,"="&amp;A421, node!$C$2:$C$500,"&lt;&gt;"&amp;"")/(C421*D421),"")</f>
        <v/>
      </c>
      <c r="G421" s="93" t="str">
        <f>IF(A421&lt;&gt;"",SUMIFS(deployment!$F$4:$F$502, deployment!$D$4:$D$502,"="&amp;A421, deployment!$D$4:$D$502,"&lt;&gt;"&amp;""),"")</f>
        <v/>
      </c>
      <c r="H421" s="94" t="str">
        <f>IF(A421&lt;&gt;"",SUMIFS(deployment!$G$4:$G$502, deployment!$D$4:$D$502,"="&amp;A421, deployment!$D$4:$D$502,"&lt;&gt;"&amp;""),"")</f>
        <v/>
      </c>
      <c r="I421" s="95" t="str">
        <f>IF(A421&lt;&gt;"",SUMIFS(deployment!$H$4:$H$502, deployment!$D$4:$D$502,"="&amp;A421, deployment!$D$4:$D$502,"&lt;&gt;"&amp;""),"")</f>
        <v/>
      </c>
      <c r="J421" s="96" t="str">
        <f>IF(A421&lt;&gt;"",SUMIFS(deployment!$I$4:$I$502, deployment!$D$4:$D$502,"="&amp;A421, deployment!$D$4:$D$502,"&lt;&gt;"&amp;""),"")</f>
        <v/>
      </c>
      <c r="K421" s="112" t="str">
        <f>IF(A421&lt;&gt;"",SUMIFS(deployment!$J$4:$J$502, deployment!$D$4:$D$502,"="&amp;A421, deployment!$D$4:$D$502,"&lt;&gt;"&amp;""),"")</f>
        <v/>
      </c>
      <c r="L421" s="112" t="str">
        <f>IF(A421&lt;&gt;"",SUMIFS(deployment!$K$4:$K$502, deployment!$D$4:$D$502,"="&amp;A421, deployment!$D$4:$D$502,"&lt;&gt;"&amp;""),"")</f>
        <v/>
      </c>
      <c r="M421" s="97" t="str">
        <f>IF(A421&lt;&gt;"",SUMIFS(deployment!$L$4:$L$502, deployment!$D$4:$D$502,"="&amp;A421, deployment!$D$4:$D$502,"&lt;&gt;"&amp;""),"")</f>
        <v/>
      </c>
      <c r="N421" s="97" t="str">
        <f>IF(A421&lt;&gt;"",SUMIFS(deployment!$M$4:$M$502, deployment!$D$4:$D$502,"="&amp;A421, deployment!$D$4:$D$502,"&lt;&gt;"&amp;""),"")</f>
        <v/>
      </c>
      <c r="O421" s="127" t="str">
        <f t="shared" si="83"/>
        <v/>
      </c>
      <c r="P421" s="104"/>
      <c r="Q421" s="99" t="str">
        <f t="shared" si="72"/>
        <v/>
      </c>
      <c r="R421" s="100" t="str">
        <f t="shared" si="73"/>
        <v/>
      </c>
      <c r="S421" s="100" t="str">
        <f t="shared" si="74"/>
        <v/>
      </c>
      <c r="T421" s="101" t="str">
        <f t="shared" si="75"/>
        <v/>
      </c>
      <c r="U421" s="101" t="str">
        <f t="shared" si="76"/>
        <v/>
      </c>
      <c r="V421" s="128" t="str">
        <f t="shared" si="77"/>
        <v/>
      </c>
      <c r="W421" s="128" t="str">
        <f t="shared" si="78"/>
        <v/>
      </c>
      <c r="X421" s="101" t="str">
        <f t="shared" si="79"/>
        <v/>
      </c>
      <c r="Y421" s="101" t="str">
        <f t="shared" si="80"/>
        <v/>
      </c>
      <c r="Z421" s="102" t="str">
        <f t="shared" si="81"/>
        <v/>
      </c>
      <c r="AA421" s="103" t="str">
        <f t="shared" si="82"/>
        <v/>
      </c>
      <c r="AB421" s="142" t="str">
        <f>IF(A421&lt;&gt;"", SUMIFS(node!$J$2:$J$500, node!$C$2:$C$500,"="&amp;A421)/P421, "")</f>
        <v/>
      </c>
      <c r="AC421" s="134" t="str">
        <f>IF(A421&lt;&gt;"", SUMIFS(node!$K$2:$K$500, node!$C$2:$C$500,"="&amp;A421)/P421, "")</f>
        <v/>
      </c>
      <c r="AD421" s="135" t="str">
        <f>IF(A421&lt;&gt;"", SUMIFS(node!$L$2:$L$500, node!$C$2:$C$500,"="&amp;A421), "")</f>
        <v/>
      </c>
      <c r="AE421" s="145" t="str">
        <f>IF(A421&lt;&gt;"", SUMIFS(node!$M$2:$M$500, node!$C$2:$C$500,"="&amp;A421), "")</f>
        <v/>
      </c>
    </row>
    <row r="422" spans="1:31" ht="15.75" customHeight="1" x14ac:dyDescent="0.25">
      <c r="A422" s="119" t="str">
        <f>IF(ISNONTEXT(node_raw[[#This Row],[Column2]]), "", node_raw[[#This Row],[Column2]])</f>
        <v/>
      </c>
      <c r="B422" s="116" t="str">
        <f>IF(A422&lt;&gt;"", VLOOKUP(A422, node!$C$2:$D$500, 2, FALSE), "")</f>
        <v/>
      </c>
      <c r="C422" s="117" t="str">
        <f>IF(A422&lt;&gt;"", VLOOKUP(A422, node!$C$2:$E$500, 3, FALSE), "")</f>
        <v/>
      </c>
      <c r="D422" s="118" t="str">
        <f>IF(A422&lt;&gt;"",COUNTIFS(node!$C$2:$C$500,"="&amp;A422, node!$C$2:$C$500,"&lt;&gt;"&amp;""),"")</f>
        <v/>
      </c>
      <c r="E422" s="122" t="str">
        <f>IF(A422&lt;&gt;"",SUMIFS(node!$F$2:$F$500, node!$C$2:$C$500,"="&amp;A422, node!$C$2:$C$500,"&lt;&gt;"&amp;"")/(B422*D422),"")</f>
        <v/>
      </c>
      <c r="F422" s="124" t="str">
        <f>IF(A422&lt;&gt;"",SUMIFS(node!$H$2:$H$500, node!$C$2:$C$500,"="&amp;A422, node!$C$2:$C$500,"&lt;&gt;"&amp;"")/(C422*D422),"")</f>
        <v/>
      </c>
      <c r="G422" s="93" t="str">
        <f>IF(A422&lt;&gt;"",SUMIFS(deployment!$F$4:$F$502, deployment!$D$4:$D$502,"="&amp;A422, deployment!$D$4:$D$502,"&lt;&gt;"&amp;""),"")</f>
        <v/>
      </c>
      <c r="H422" s="94" t="str">
        <f>IF(A422&lt;&gt;"",SUMIFS(deployment!$G$4:$G$502, deployment!$D$4:$D$502,"="&amp;A422, deployment!$D$4:$D$502,"&lt;&gt;"&amp;""),"")</f>
        <v/>
      </c>
      <c r="I422" s="95" t="str">
        <f>IF(A422&lt;&gt;"",SUMIFS(deployment!$H$4:$H$502, deployment!$D$4:$D$502,"="&amp;A422, deployment!$D$4:$D$502,"&lt;&gt;"&amp;""),"")</f>
        <v/>
      </c>
      <c r="J422" s="96" t="str">
        <f>IF(A422&lt;&gt;"",SUMIFS(deployment!$I$4:$I$502, deployment!$D$4:$D$502,"="&amp;A422, deployment!$D$4:$D$502,"&lt;&gt;"&amp;""),"")</f>
        <v/>
      </c>
      <c r="K422" s="112" t="str">
        <f>IF(A422&lt;&gt;"",SUMIFS(deployment!$J$4:$J$502, deployment!$D$4:$D$502,"="&amp;A422, deployment!$D$4:$D$502,"&lt;&gt;"&amp;""),"")</f>
        <v/>
      </c>
      <c r="L422" s="112" t="str">
        <f>IF(A422&lt;&gt;"",SUMIFS(deployment!$K$4:$K$502, deployment!$D$4:$D$502,"="&amp;A422, deployment!$D$4:$D$502,"&lt;&gt;"&amp;""),"")</f>
        <v/>
      </c>
      <c r="M422" s="97" t="str">
        <f>IF(A422&lt;&gt;"",SUMIFS(deployment!$L$4:$L$502, deployment!$D$4:$D$502,"="&amp;A422, deployment!$D$4:$D$502,"&lt;&gt;"&amp;""),"")</f>
        <v/>
      </c>
      <c r="N422" s="97" t="str">
        <f>IF(A422&lt;&gt;"",SUMIFS(deployment!$M$4:$M$502, deployment!$D$4:$D$502,"="&amp;A422, deployment!$D$4:$D$502,"&lt;&gt;"&amp;""),"")</f>
        <v/>
      </c>
      <c r="O422" s="127" t="str">
        <f t="shared" si="83"/>
        <v/>
      </c>
      <c r="P422" s="104"/>
      <c r="Q422" s="99" t="str">
        <f t="shared" si="72"/>
        <v/>
      </c>
      <c r="R422" s="100" t="str">
        <f t="shared" si="73"/>
        <v/>
      </c>
      <c r="S422" s="100" t="str">
        <f t="shared" si="74"/>
        <v/>
      </c>
      <c r="T422" s="101" t="str">
        <f t="shared" si="75"/>
        <v/>
      </c>
      <c r="U422" s="101" t="str">
        <f t="shared" si="76"/>
        <v/>
      </c>
      <c r="V422" s="128" t="str">
        <f t="shared" si="77"/>
        <v/>
      </c>
      <c r="W422" s="128" t="str">
        <f t="shared" si="78"/>
        <v/>
      </c>
      <c r="X422" s="101" t="str">
        <f t="shared" si="79"/>
        <v/>
      </c>
      <c r="Y422" s="101" t="str">
        <f t="shared" si="80"/>
        <v/>
      </c>
      <c r="Z422" s="102" t="str">
        <f t="shared" si="81"/>
        <v/>
      </c>
      <c r="AA422" s="103" t="str">
        <f t="shared" si="82"/>
        <v/>
      </c>
      <c r="AB422" s="142" t="str">
        <f>IF(A422&lt;&gt;"", SUMIFS(node!$J$2:$J$500, node!$C$2:$C$500,"="&amp;A422)/P422, "")</f>
        <v/>
      </c>
      <c r="AC422" s="134" t="str">
        <f>IF(A422&lt;&gt;"", SUMIFS(node!$K$2:$K$500, node!$C$2:$C$500,"="&amp;A422)/P422, "")</f>
        <v/>
      </c>
      <c r="AD422" s="135" t="str">
        <f>IF(A422&lt;&gt;"", SUMIFS(node!$L$2:$L$500, node!$C$2:$C$500,"="&amp;A422), "")</f>
        <v/>
      </c>
      <c r="AE422" s="145" t="str">
        <f>IF(A422&lt;&gt;"", SUMIFS(node!$M$2:$M$500, node!$C$2:$C$500,"="&amp;A422), "")</f>
        <v/>
      </c>
    </row>
    <row r="423" spans="1:31" ht="15.75" customHeight="1" x14ac:dyDescent="0.25">
      <c r="A423" s="119" t="str">
        <f>IF(ISNONTEXT(node_raw[[#This Row],[Column2]]), "", node_raw[[#This Row],[Column2]])</f>
        <v/>
      </c>
      <c r="B423" s="116" t="str">
        <f>IF(A423&lt;&gt;"", VLOOKUP(A423, node!$C$2:$D$500, 2, FALSE), "")</f>
        <v/>
      </c>
      <c r="C423" s="117" t="str">
        <f>IF(A423&lt;&gt;"", VLOOKUP(A423, node!$C$2:$E$500, 3, FALSE), "")</f>
        <v/>
      </c>
      <c r="D423" s="118" t="str">
        <f>IF(A423&lt;&gt;"",COUNTIFS(node!$C$2:$C$500,"="&amp;A423, node!$C$2:$C$500,"&lt;&gt;"&amp;""),"")</f>
        <v/>
      </c>
      <c r="E423" s="122" t="str">
        <f>IF(A423&lt;&gt;"",SUMIFS(node!$F$2:$F$500, node!$C$2:$C$500,"="&amp;A423, node!$C$2:$C$500,"&lt;&gt;"&amp;"")/(B423*D423),"")</f>
        <v/>
      </c>
      <c r="F423" s="124" t="str">
        <f>IF(A423&lt;&gt;"",SUMIFS(node!$H$2:$H$500, node!$C$2:$C$500,"="&amp;A423, node!$C$2:$C$500,"&lt;&gt;"&amp;"")/(C423*D423),"")</f>
        <v/>
      </c>
      <c r="G423" s="93" t="str">
        <f>IF(A423&lt;&gt;"",SUMIFS(deployment!$F$4:$F$502, deployment!$D$4:$D$502,"="&amp;A423, deployment!$D$4:$D$502,"&lt;&gt;"&amp;""),"")</f>
        <v/>
      </c>
      <c r="H423" s="94" t="str">
        <f>IF(A423&lt;&gt;"",SUMIFS(deployment!$G$4:$G$502, deployment!$D$4:$D$502,"="&amp;A423, deployment!$D$4:$D$502,"&lt;&gt;"&amp;""),"")</f>
        <v/>
      </c>
      <c r="I423" s="95" t="str">
        <f>IF(A423&lt;&gt;"",SUMIFS(deployment!$H$4:$H$502, deployment!$D$4:$D$502,"="&amp;A423, deployment!$D$4:$D$502,"&lt;&gt;"&amp;""),"")</f>
        <v/>
      </c>
      <c r="J423" s="96" t="str">
        <f>IF(A423&lt;&gt;"",SUMIFS(deployment!$I$4:$I$502, deployment!$D$4:$D$502,"="&amp;A423, deployment!$D$4:$D$502,"&lt;&gt;"&amp;""),"")</f>
        <v/>
      </c>
      <c r="K423" s="112" t="str">
        <f>IF(A423&lt;&gt;"",SUMIFS(deployment!$J$4:$J$502, deployment!$D$4:$D$502,"="&amp;A423, deployment!$D$4:$D$502,"&lt;&gt;"&amp;""),"")</f>
        <v/>
      </c>
      <c r="L423" s="112" t="str">
        <f>IF(A423&lt;&gt;"",SUMIFS(deployment!$K$4:$K$502, deployment!$D$4:$D$502,"="&amp;A423, deployment!$D$4:$D$502,"&lt;&gt;"&amp;""),"")</f>
        <v/>
      </c>
      <c r="M423" s="97" t="str">
        <f>IF(A423&lt;&gt;"",SUMIFS(deployment!$L$4:$L$502, deployment!$D$4:$D$502,"="&amp;A423, deployment!$D$4:$D$502,"&lt;&gt;"&amp;""),"")</f>
        <v/>
      </c>
      <c r="N423" s="97" t="str">
        <f>IF(A423&lt;&gt;"",SUMIFS(deployment!$M$4:$M$502, deployment!$D$4:$D$502,"="&amp;A423, deployment!$D$4:$D$502,"&lt;&gt;"&amp;""),"")</f>
        <v/>
      </c>
      <c r="O423" s="127" t="str">
        <f t="shared" si="83"/>
        <v/>
      </c>
      <c r="P423" s="104"/>
      <c r="Q423" s="99" t="str">
        <f t="shared" si="72"/>
        <v/>
      </c>
      <c r="R423" s="100" t="str">
        <f t="shared" si="73"/>
        <v/>
      </c>
      <c r="S423" s="100" t="str">
        <f t="shared" si="74"/>
        <v/>
      </c>
      <c r="T423" s="101" t="str">
        <f t="shared" si="75"/>
        <v/>
      </c>
      <c r="U423" s="101" t="str">
        <f t="shared" si="76"/>
        <v/>
      </c>
      <c r="V423" s="128" t="str">
        <f t="shared" si="77"/>
        <v/>
      </c>
      <c r="W423" s="128" t="str">
        <f t="shared" si="78"/>
        <v/>
      </c>
      <c r="X423" s="101" t="str">
        <f t="shared" si="79"/>
        <v/>
      </c>
      <c r="Y423" s="101" t="str">
        <f t="shared" si="80"/>
        <v/>
      </c>
      <c r="Z423" s="102" t="str">
        <f t="shared" si="81"/>
        <v/>
      </c>
      <c r="AA423" s="103" t="str">
        <f t="shared" si="82"/>
        <v/>
      </c>
      <c r="AB423" s="142" t="str">
        <f>IF(A423&lt;&gt;"", SUMIFS(node!$J$2:$J$500, node!$C$2:$C$500,"="&amp;A423)/P423, "")</f>
        <v/>
      </c>
      <c r="AC423" s="134" t="str">
        <f>IF(A423&lt;&gt;"", SUMIFS(node!$K$2:$K$500, node!$C$2:$C$500,"="&amp;A423)/P423, "")</f>
        <v/>
      </c>
      <c r="AD423" s="135" t="str">
        <f>IF(A423&lt;&gt;"", SUMIFS(node!$L$2:$L$500, node!$C$2:$C$500,"="&amp;A423), "")</f>
        <v/>
      </c>
      <c r="AE423" s="145" t="str">
        <f>IF(A423&lt;&gt;"", SUMIFS(node!$M$2:$M$500, node!$C$2:$C$500,"="&amp;A423), "")</f>
        <v/>
      </c>
    </row>
    <row r="424" spans="1:31" ht="15.75" customHeight="1" x14ac:dyDescent="0.25">
      <c r="A424" s="119" t="str">
        <f>IF(ISNONTEXT(node_raw[[#This Row],[Column2]]), "", node_raw[[#This Row],[Column2]])</f>
        <v/>
      </c>
      <c r="B424" s="116" t="str">
        <f>IF(A424&lt;&gt;"", VLOOKUP(A424, node!$C$2:$D$500, 2, FALSE), "")</f>
        <v/>
      </c>
      <c r="C424" s="117" t="str">
        <f>IF(A424&lt;&gt;"", VLOOKUP(A424, node!$C$2:$E$500, 3, FALSE), "")</f>
        <v/>
      </c>
      <c r="D424" s="118" t="str">
        <f>IF(A424&lt;&gt;"",COUNTIFS(node!$C$2:$C$500,"="&amp;A424, node!$C$2:$C$500,"&lt;&gt;"&amp;""),"")</f>
        <v/>
      </c>
      <c r="E424" s="122" t="str">
        <f>IF(A424&lt;&gt;"",SUMIFS(node!$F$2:$F$500, node!$C$2:$C$500,"="&amp;A424, node!$C$2:$C$500,"&lt;&gt;"&amp;"")/(B424*D424),"")</f>
        <v/>
      </c>
      <c r="F424" s="124" t="str">
        <f>IF(A424&lt;&gt;"",SUMIFS(node!$H$2:$H$500, node!$C$2:$C$500,"="&amp;A424, node!$C$2:$C$500,"&lt;&gt;"&amp;"")/(C424*D424),"")</f>
        <v/>
      </c>
      <c r="G424" s="93" t="str">
        <f>IF(A424&lt;&gt;"",SUMIFS(deployment!$F$4:$F$502, deployment!$D$4:$D$502,"="&amp;A424, deployment!$D$4:$D$502,"&lt;&gt;"&amp;""),"")</f>
        <v/>
      </c>
      <c r="H424" s="94" t="str">
        <f>IF(A424&lt;&gt;"",SUMIFS(deployment!$G$4:$G$502, deployment!$D$4:$D$502,"="&amp;A424, deployment!$D$4:$D$502,"&lt;&gt;"&amp;""),"")</f>
        <v/>
      </c>
      <c r="I424" s="95" t="str">
        <f>IF(A424&lt;&gt;"",SUMIFS(deployment!$H$4:$H$502, deployment!$D$4:$D$502,"="&amp;A424, deployment!$D$4:$D$502,"&lt;&gt;"&amp;""),"")</f>
        <v/>
      </c>
      <c r="J424" s="96" t="str">
        <f>IF(A424&lt;&gt;"",SUMIFS(deployment!$I$4:$I$502, deployment!$D$4:$D$502,"="&amp;A424, deployment!$D$4:$D$502,"&lt;&gt;"&amp;""),"")</f>
        <v/>
      </c>
      <c r="K424" s="112" t="str">
        <f>IF(A424&lt;&gt;"",SUMIFS(deployment!$J$4:$J$502, deployment!$D$4:$D$502,"="&amp;A424, deployment!$D$4:$D$502,"&lt;&gt;"&amp;""),"")</f>
        <v/>
      </c>
      <c r="L424" s="112" t="str">
        <f>IF(A424&lt;&gt;"",SUMIFS(deployment!$K$4:$K$502, deployment!$D$4:$D$502,"="&amp;A424, deployment!$D$4:$D$502,"&lt;&gt;"&amp;""),"")</f>
        <v/>
      </c>
      <c r="M424" s="97" t="str">
        <f>IF(A424&lt;&gt;"",SUMIFS(deployment!$L$4:$L$502, deployment!$D$4:$D$502,"="&amp;A424, deployment!$D$4:$D$502,"&lt;&gt;"&amp;""),"")</f>
        <v/>
      </c>
      <c r="N424" s="97" t="str">
        <f>IF(A424&lt;&gt;"",SUMIFS(deployment!$M$4:$M$502, deployment!$D$4:$D$502,"="&amp;A424, deployment!$D$4:$D$502,"&lt;&gt;"&amp;""),"")</f>
        <v/>
      </c>
      <c r="O424" s="127" t="str">
        <f t="shared" si="83"/>
        <v/>
      </c>
      <c r="P424" s="104"/>
      <c r="Q424" s="99" t="str">
        <f t="shared" si="72"/>
        <v/>
      </c>
      <c r="R424" s="100" t="str">
        <f t="shared" si="73"/>
        <v/>
      </c>
      <c r="S424" s="100" t="str">
        <f t="shared" si="74"/>
        <v/>
      </c>
      <c r="T424" s="101" t="str">
        <f t="shared" si="75"/>
        <v/>
      </c>
      <c r="U424" s="101" t="str">
        <f t="shared" si="76"/>
        <v/>
      </c>
      <c r="V424" s="128" t="str">
        <f t="shared" si="77"/>
        <v/>
      </c>
      <c r="W424" s="128" t="str">
        <f t="shared" si="78"/>
        <v/>
      </c>
      <c r="X424" s="101" t="str">
        <f t="shared" si="79"/>
        <v/>
      </c>
      <c r="Y424" s="101" t="str">
        <f t="shared" si="80"/>
        <v/>
      </c>
      <c r="Z424" s="102" t="str">
        <f t="shared" si="81"/>
        <v/>
      </c>
      <c r="AA424" s="103" t="str">
        <f t="shared" si="82"/>
        <v/>
      </c>
      <c r="AB424" s="142" t="str">
        <f>IF(A424&lt;&gt;"", SUMIFS(node!$J$2:$J$500, node!$C$2:$C$500,"="&amp;A424)/P424, "")</f>
        <v/>
      </c>
      <c r="AC424" s="134" t="str">
        <f>IF(A424&lt;&gt;"", SUMIFS(node!$K$2:$K$500, node!$C$2:$C$500,"="&amp;A424)/P424, "")</f>
        <v/>
      </c>
      <c r="AD424" s="135" t="str">
        <f>IF(A424&lt;&gt;"", SUMIFS(node!$L$2:$L$500, node!$C$2:$C$500,"="&amp;A424), "")</f>
        <v/>
      </c>
      <c r="AE424" s="145" t="str">
        <f>IF(A424&lt;&gt;"", SUMIFS(node!$M$2:$M$500, node!$C$2:$C$500,"="&amp;A424), "")</f>
        <v/>
      </c>
    </row>
    <row r="425" spans="1:31" ht="15.75" customHeight="1" x14ac:dyDescent="0.25">
      <c r="A425" s="119" t="str">
        <f>IF(ISNONTEXT(node_raw[[#This Row],[Column2]]), "", node_raw[[#This Row],[Column2]])</f>
        <v/>
      </c>
      <c r="B425" s="116" t="str">
        <f>IF(A425&lt;&gt;"", VLOOKUP(A425, node!$C$2:$D$500, 2, FALSE), "")</f>
        <v/>
      </c>
      <c r="C425" s="117" t="str">
        <f>IF(A425&lt;&gt;"", VLOOKUP(A425, node!$C$2:$E$500, 3, FALSE), "")</f>
        <v/>
      </c>
      <c r="D425" s="118" t="str">
        <f>IF(A425&lt;&gt;"",COUNTIFS(node!$C$2:$C$500,"="&amp;A425, node!$C$2:$C$500,"&lt;&gt;"&amp;""),"")</f>
        <v/>
      </c>
      <c r="E425" s="122" t="str">
        <f>IF(A425&lt;&gt;"",SUMIFS(node!$F$2:$F$500, node!$C$2:$C$500,"="&amp;A425, node!$C$2:$C$500,"&lt;&gt;"&amp;"")/(B425*D425),"")</f>
        <v/>
      </c>
      <c r="F425" s="124" t="str">
        <f>IF(A425&lt;&gt;"",SUMIFS(node!$H$2:$H$500, node!$C$2:$C$500,"="&amp;A425, node!$C$2:$C$500,"&lt;&gt;"&amp;"")/(C425*D425),"")</f>
        <v/>
      </c>
      <c r="G425" s="93" t="str">
        <f>IF(A425&lt;&gt;"",SUMIFS(deployment!$F$4:$F$502, deployment!$D$4:$D$502,"="&amp;A425, deployment!$D$4:$D$502,"&lt;&gt;"&amp;""),"")</f>
        <v/>
      </c>
      <c r="H425" s="94" t="str">
        <f>IF(A425&lt;&gt;"",SUMIFS(deployment!$G$4:$G$502, deployment!$D$4:$D$502,"="&amp;A425, deployment!$D$4:$D$502,"&lt;&gt;"&amp;""),"")</f>
        <v/>
      </c>
      <c r="I425" s="95" t="str">
        <f>IF(A425&lt;&gt;"",SUMIFS(deployment!$H$4:$H$502, deployment!$D$4:$D$502,"="&amp;A425, deployment!$D$4:$D$502,"&lt;&gt;"&amp;""),"")</f>
        <v/>
      </c>
      <c r="J425" s="96" t="str">
        <f>IF(A425&lt;&gt;"",SUMIFS(deployment!$I$4:$I$502, deployment!$D$4:$D$502,"="&amp;A425, deployment!$D$4:$D$502,"&lt;&gt;"&amp;""),"")</f>
        <v/>
      </c>
      <c r="K425" s="112" t="str">
        <f>IF(A425&lt;&gt;"",SUMIFS(deployment!$J$4:$J$502, deployment!$D$4:$D$502,"="&amp;A425, deployment!$D$4:$D$502,"&lt;&gt;"&amp;""),"")</f>
        <v/>
      </c>
      <c r="L425" s="112" t="str">
        <f>IF(A425&lt;&gt;"",SUMIFS(deployment!$K$4:$K$502, deployment!$D$4:$D$502,"="&amp;A425, deployment!$D$4:$D$502,"&lt;&gt;"&amp;""),"")</f>
        <v/>
      </c>
      <c r="M425" s="97" t="str">
        <f>IF(A425&lt;&gt;"",SUMIFS(deployment!$L$4:$L$502, deployment!$D$4:$D$502,"="&amp;A425, deployment!$D$4:$D$502,"&lt;&gt;"&amp;""),"")</f>
        <v/>
      </c>
      <c r="N425" s="97" t="str">
        <f>IF(A425&lt;&gt;"",SUMIFS(deployment!$M$4:$M$502, deployment!$D$4:$D$502,"="&amp;A425, deployment!$D$4:$D$502,"&lt;&gt;"&amp;""),"")</f>
        <v/>
      </c>
      <c r="O425" s="127" t="str">
        <f t="shared" si="83"/>
        <v/>
      </c>
      <c r="P425" s="104"/>
      <c r="Q425" s="99" t="str">
        <f t="shared" si="72"/>
        <v/>
      </c>
      <c r="R425" s="100" t="str">
        <f t="shared" si="73"/>
        <v/>
      </c>
      <c r="S425" s="100" t="str">
        <f t="shared" si="74"/>
        <v/>
      </c>
      <c r="T425" s="101" t="str">
        <f t="shared" si="75"/>
        <v/>
      </c>
      <c r="U425" s="101" t="str">
        <f t="shared" si="76"/>
        <v/>
      </c>
      <c r="V425" s="128" t="str">
        <f t="shared" si="77"/>
        <v/>
      </c>
      <c r="W425" s="128" t="str">
        <f t="shared" si="78"/>
        <v/>
      </c>
      <c r="X425" s="101" t="str">
        <f t="shared" si="79"/>
        <v/>
      </c>
      <c r="Y425" s="101" t="str">
        <f t="shared" si="80"/>
        <v/>
      </c>
      <c r="Z425" s="102" t="str">
        <f t="shared" si="81"/>
        <v/>
      </c>
      <c r="AA425" s="103" t="str">
        <f t="shared" si="82"/>
        <v/>
      </c>
      <c r="AB425" s="142" t="str">
        <f>IF(A425&lt;&gt;"", SUMIFS(node!$J$2:$J$500, node!$C$2:$C$500,"="&amp;A425)/P425, "")</f>
        <v/>
      </c>
      <c r="AC425" s="134" t="str">
        <f>IF(A425&lt;&gt;"", SUMIFS(node!$K$2:$K$500, node!$C$2:$C$500,"="&amp;A425)/P425, "")</f>
        <v/>
      </c>
      <c r="AD425" s="135" t="str">
        <f>IF(A425&lt;&gt;"", SUMIFS(node!$L$2:$L$500, node!$C$2:$C$500,"="&amp;A425), "")</f>
        <v/>
      </c>
      <c r="AE425" s="145" t="str">
        <f>IF(A425&lt;&gt;"", SUMIFS(node!$M$2:$M$500, node!$C$2:$C$500,"="&amp;A425), "")</f>
        <v/>
      </c>
    </row>
    <row r="426" spans="1:31" ht="15.75" customHeight="1" x14ac:dyDescent="0.25">
      <c r="A426" s="119" t="str">
        <f>IF(ISNONTEXT(node_raw[[#This Row],[Column2]]), "", node_raw[[#This Row],[Column2]])</f>
        <v/>
      </c>
      <c r="B426" s="116" t="str">
        <f>IF(A426&lt;&gt;"", VLOOKUP(A426, node!$C$2:$D$500, 2, FALSE), "")</f>
        <v/>
      </c>
      <c r="C426" s="117" t="str">
        <f>IF(A426&lt;&gt;"", VLOOKUP(A426, node!$C$2:$E$500, 3, FALSE), "")</f>
        <v/>
      </c>
      <c r="D426" s="118" t="str">
        <f>IF(A426&lt;&gt;"",COUNTIFS(node!$C$2:$C$500,"="&amp;A426, node!$C$2:$C$500,"&lt;&gt;"&amp;""),"")</f>
        <v/>
      </c>
      <c r="E426" s="122" t="str">
        <f>IF(A426&lt;&gt;"",SUMIFS(node!$F$2:$F$500, node!$C$2:$C$500,"="&amp;A426, node!$C$2:$C$500,"&lt;&gt;"&amp;"")/(B426*D426),"")</f>
        <v/>
      </c>
      <c r="F426" s="124" t="str">
        <f>IF(A426&lt;&gt;"",SUMIFS(node!$H$2:$H$500, node!$C$2:$C$500,"="&amp;A426, node!$C$2:$C$500,"&lt;&gt;"&amp;"")/(C426*D426),"")</f>
        <v/>
      </c>
      <c r="G426" s="93" t="str">
        <f>IF(A426&lt;&gt;"",SUMIFS(deployment!$F$4:$F$502, deployment!$D$4:$D$502,"="&amp;A426, deployment!$D$4:$D$502,"&lt;&gt;"&amp;""),"")</f>
        <v/>
      </c>
      <c r="H426" s="94" t="str">
        <f>IF(A426&lt;&gt;"",SUMIFS(deployment!$G$4:$G$502, deployment!$D$4:$D$502,"="&amp;A426, deployment!$D$4:$D$502,"&lt;&gt;"&amp;""),"")</f>
        <v/>
      </c>
      <c r="I426" s="95" t="str">
        <f>IF(A426&lt;&gt;"",SUMIFS(deployment!$H$4:$H$502, deployment!$D$4:$D$502,"="&amp;A426, deployment!$D$4:$D$502,"&lt;&gt;"&amp;""),"")</f>
        <v/>
      </c>
      <c r="J426" s="96" t="str">
        <f>IF(A426&lt;&gt;"",SUMIFS(deployment!$I$4:$I$502, deployment!$D$4:$D$502,"="&amp;A426, deployment!$D$4:$D$502,"&lt;&gt;"&amp;""),"")</f>
        <v/>
      </c>
      <c r="K426" s="112" t="str">
        <f>IF(A426&lt;&gt;"",SUMIFS(deployment!$J$4:$J$502, deployment!$D$4:$D$502,"="&amp;A426, deployment!$D$4:$D$502,"&lt;&gt;"&amp;""),"")</f>
        <v/>
      </c>
      <c r="L426" s="112" t="str">
        <f>IF(A426&lt;&gt;"",SUMIFS(deployment!$K$4:$K$502, deployment!$D$4:$D$502,"="&amp;A426, deployment!$D$4:$D$502,"&lt;&gt;"&amp;""),"")</f>
        <v/>
      </c>
      <c r="M426" s="97" t="str">
        <f>IF(A426&lt;&gt;"",SUMIFS(deployment!$L$4:$L$502, deployment!$D$4:$D$502,"="&amp;A426, deployment!$D$4:$D$502,"&lt;&gt;"&amp;""),"")</f>
        <v/>
      </c>
      <c r="N426" s="97" t="str">
        <f>IF(A426&lt;&gt;"",SUMIFS(deployment!$M$4:$M$502, deployment!$D$4:$D$502,"="&amp;A426, deployment!$D$4:$D$502,"&lt;&gt;"&amp;""),"")</f>
        <v/>
      </c>
      <c r="O426" s="127" t="str">
        <f t="shared" si="83"/>
        <v/>
      </c>
      <c r="P426" s="104"/>
      <c r="Q426" s="99" t="str">
        <f t="shared" si="72"/>
        <v/>
      </c>
      <c r="R426" s="100" t="str">
        <f t="shared" si="73"/>
        <v/>
      </c>
      <c r="S426" s="100" t="str">
        <f t="shared" si="74"/>
        <v/>
      </c>
      <c r="T426" s="101" t="str">
        <f t="shared" si="75"/>
        <v/>
      </c>
      <c r="U426" s="101" t="str">
        <f t="shared" si="76"/>
        <v/>
      </c>
      <c r="V426" s="128" t="str">
        <f t="shared" si="77"/>
        <v/>
      </c>
      <c r="W426" s="128" t="str">
        <f t="shared" si="78"/>
        <v/>
      </c>
      <c r="X426" s="101" t="str">
        <f t="shared" si="79"/>
        <v/>
      </c>
      <c r="Y426" s="101" t="str">
        <f t="shared" si="80"/>
        <v/>
      </c>
      <c r="Z426" s="102" t="str">
        <f t="shared" si="81"/>
        <v/>
      </c>
      <c r="AA426" s="103" t="str">
        <f t="shared" si="82"/>
        <v/>
      </c>
      <c r="AB426" s="142" t="str">
        <f>IF(A426&lt;&gt;"", SUMIFS(node!$J$2:$J$500, node!$C$2:$C$500,"="&amp;A426)/P426, "")</f>
        <v/>
      </c>
      <c r="AC426" s="134" t="str">
        <f>IF(A426&lt;&gt;"", SUMIFS(node!$K$2:$K$500, node!$C$2:$C$500,"="&amp;A426)/P426, "")</f>
        <v/>
      </c>
      <c r="AD426" s="135" t="str">
        <f>IF(A426&lt;&gt;"", SUMIFS(node!$L$2:$L$500, node!$C$2:$C$500,"="&amp;A426), "")</f>
        <v/>
      </c>
      <c r="AE426" s="145" t="str">
        <f>IF(A426&lt;&gt;"", SUMIFS(node!$M$2:$M$500, node!$C$2:$C$500,"="&amp;A426), "")</f>
        <v/>
      </c>
    </row>
    <row r="427" spans="1:31" ht="15.75" customHeight="1" x14ac:dyDescent="0.25">
      <c r="A427" s="119" t="str">
        <f>IF(ISNONTEXT(node_raw[[#This Row],[Column2]]), "", node_raw[[#This Row],[Column2]])</f>
        <v/>
      </c>
      <c r="B427" s="116" t="str">
        <f>IF(A427&lt;&gt;"", VLOOKUP(A427, node!$C$2:$D$500, 2, FALSE), "")</f>
        <v/>
      </c>
      <c r="C427" s="117" t="str">
        <f>IF(A427&lt;&gt;"", VLOOKUP(A427, node!$C$2:$E$500, 3, FALSE), "")</f>
        <v/>
      </c>
      <c r="D427" s="118" t="str">
        <f>IF(A427&lt;&gt;"",COUNTIFS(node!$C$2:$C$500,"="&amp;A427, node!$C$2:$C$500,"&lt;&gt;"&amp;""),"")</f>
        <v/>
      </c>
      <c r="E427" s="122" t="str">
        <f>IF(A427&lt;&gt;"",SUMIFS(node!$F$2:$F$500, node!$C$2:$C$500,"="&amp;A427, node!$C$2:$C$500,"&lt;&gt;"&amp;"")/(B427*D427),"")</f>
        <v/>
      </c>
      <c r="F427" s="124" t="str">
        <f>IF(A427&lt;&gt;"",SUMIFS(node!$H$2:$H$500, node!$C$2:$C$500,"="&amp;A427, node!$C$2:$C$500,"&lt;&gt;"&amp;"")/(C427*D427),"")</f>
        <v/>
      </c>
      <c r="G427" s="93" t="str">
        <f>IF(A427&lt;&gt;"",SUMIFS(deployment!$F$4:$F$502, deployment!$D$4:$D$502,"="&amp;A427, deployment!$D$4:$D$502,"&lt;&gt;"&amp;""),"")</f>
        <v/>
      </c>
      <c r="H427" s="94" t="str">
        <f>IF(A427&lt;&gt;"",SUMIFS(deployment!$G$4:$G$502, deployment!$D$4:$D$502,"="&amp;A427, deployment!$D$4:$D$502,"&lt;&gt;"&amp;""),"")</f>
        <v/>
      </c>
      <c r="I427" s="95" t="str">
        <f>IF(A427&lt;&gt;"",SUMIFS(deployment!$H$4:$H$502, deployment!$D$4:$D$502,"="&amp;A427, deployment!$D$4:$D$502,"&lt;&gt;"&amp;""),"")</f>
        <v/>
      </c>
      <c r="J427" s="96" t="str">
        <f>IF(A427&lt;&gt;"",SUMIFS(deployment!$I$4:$I$502, deployment!$D$4:$D$502,"="&amp;A427, deployment!$D$4:$D$502,"&lt;&gt;"&amp;""),"")</f>
        <v/>
      </c>
      <c r="K427" s="112" t="str">
        <f>IF(A427&lt;&gt;"",SUMIFS(deployment!$J$4:$J$502, deployment!$D$4:$D$502,"="&amp;A427, deployment!$D$4:$D$502,"&lt;&gt;"&amp;""),"")</f>
        <v/>
      </c>
      <c r="L427" s="112" t="str">
        <f>IF(A427&lt;&gt;"",SUMIFS(deployment!$K$4:$K$502, deployment!$D$4:$D$502,"="&amp;A427, deployment!$D$4:$D$502,"&lt;&gt;"&amp;""),"")</f>
        <v/>
      </c>
      <c r="M427" s="97" t="str">
        <f>IF(A427&lt;&gt;"",SUMIFS(deployment!$L$4:$L$502, deployment!$D$4:$D$502,"="&amp;A427, deployment!$D$4:$D$502,"&lt;&gt;"&amp;""),"")</f>
        <v/>
      </c>
      <c r="N427" s="97" t="str">
        <f>IF(A427&lt;&gt;"",SUMIFS(deployment!$M$4:$M$502, deployment!$D$4:$D$502,"="&amp;A427, deployment!$D$4:$D$502,"&lt;&gt;"&amp;""),"")</f>
        <v/>
      </c>
      <c r="O427" s="127" t="str">
        <f t="shared" si="83"/>
        <v/>
      </c>
      <c r="P427" s="104"/>
      <c r="Q427" s="99" t="str">
        <f t="shared" si="72"/>
        <v/>
      </c>
      <c r="R427" s="100" t="str">
        <f t="shared" si="73"/>
        <v/>
      </c>
      <c r="S427" s="100" t="str">
        <f t="shared" si="74"/>
        <v/>
      </c>
      <c r="T427" s="101" t="str">
        <f t="shared" si="75"/>
        <v/>
      </c>
      <c r="U427" s="101" t="str">
        <f t="shared" si="76"/>
        <v/>
      </c>
      <c r="V427" s="128" t="str">
        <f t="shared" si="77"/>
        <v/>
      </c>
      <c r="W427" s="128" t="str">
        <f t="shared" si="78"/>
        <v/>
      </c>
      <c r="X427" s="101" t="str">
        <f t="shared" si="79"/>
        <v/>
      </c>
      <c r="Y427" s="101" t="str">
        <f t="shared" si="80"/>
        <v/>
      </c>
      <c r="Z427" s="102" t="str">
        <f t="shared" si="81"/>
        <v/>
      </c>
      <c r="AA427" s="103" t="str">
        <f t="shared" si="82"/>
        <v/>
      </c>
      <c r="AB427" s="142" t="str">
        <f>IF(A427&lt;&gt;"", SUMIFS(node!$J$2:$J$500, node!$C$2:$C$500,"="&amp;A427)/P427, "")</f>
        <v/>
      </c>
      <c r="AC427" s="134" t="str">
        <f>IF(A427&lt;&gt;"", SUMIFS(node!$K$2:$K$500, node!$C$2:$C$500,"="&amp;A427)/P427, "")</f>
        <v/>
      </c>
      <c r="AD427" s="135" t="str">
        <f>IF(A427&lt;&gt;"", SUMIFS(node!$L$2:$L$500, node!$C$2:$C$500,"="&amp;A427), "")</f>
        <v/>
      </c>
      <c r="AE427" s="145" t="str">
        <f>IF(A427&lt;&gt;"", SUMIFS(node!$M$2:$M$500, node!$C$2:$C$500,"="&amp;A427), "")</f>
        <v/>
      </c>
    </row>
    <row r="428" spans="1:31" ht="15.75" customHeight="1" x14ac:dyDescent="0.25">
      <c r="A428" s="119" t="str">
        <f>IF(ISNONTEXT(node_raw[[#This Row],[Column2]]), "", node_raw[[#This Row],[Column2]])</f>
        <v/>
      </c>
      <c r="B428" s="116" t="str">
        <f>IF(A428&lt;&gt;"", VLOOKUP(A428, node!$C$2:$D$500, 2, FALSE), "")</f>
        <v/>
      </c>
      <c r="C428" s="117" t="str">
        <f>IF(A428&lt;&gt;"", VLOOKUP(A428, node!$C$2:$E$500, 3, FALSE), "")</f>
        <v/>
      </c>
      <c r="D428" s="118" t="str">
        <f>IF(A428&lt;&gt;"",COUNTIFS(node!$C$2:$C$500,"="&amp;A428, node!$C$2:$C$500,"&lt;&gt;"&amp;""),"")</f>
        <v/>
      </c>
      <c r="E428" s="122" t="str">
        <f>IF(A428&lt;&gt;"",SUMIFS(node!$F$2:$F$500, node!$C$2:$C$500,"="&amp;A428, node!$C$2:$C$500,"&lt;&gt;"&amp;"")/(B428*D428),"")</f>
        <v/>
      </c>
      <c r="F428" s="124" t="str">
        <f>IF(A428&lt;&gt;"",SUMIFS(node!$H$2:$H$500, node!$C$2:$C$500,"="&amp;A428, node!$C$2:$C$500,"&lt;&gt;"&amp;"")/(C428*D428),"")</f>
        <v/>
      </c>
      <c r="G428" s="93" t="str">
        <f>IF(A428&lt;&gt;"",SUMIFS(deployment!$F$4:$F$502, deployment!$D$4:$D$502,"="&amp;A428, deployment!$D$4:$D$502,"&lt;&gt;"&amp;""),"")</f>
        <v/>
      </c>
      <c r="H428" s="94" t="str">
        <f>IF(A428&lt;&gt;"",SUMIFS(deployment!$G$4:$G$502, deployment!$D$4:$D$502,"="&amp;A428, deployment!$D$4:$D$502,"&lt;&gt;"&amp;""),"")</f>
        <v/>
      </c>
      <c r="I428" s="95" t="str">
        <f>IF(A428&lt;&gt;"",SUMIFS(deployment!$H$4:$H$502, deployment!$D$4:$D$502,"="&amp;A428, deployment!$D$4:$D$502,"&lt;&gt;"&amp;""),"")</f>
        <v/>
      </c>
      <c r="J428" s="96" t="str">
        <f>IF(A428&lt;&gt;"",SUMIFS(deployment!$I$4:$I$502, deployment!$D$4:$D$502,"="&amp;A428, deployment!$D$4:$D$502,"&lt;&gt;"&amp;""),"")</f>
        <v/>
      </c>
      <c r="K428" s="112" t="str">
        <f>IF(A428&lt;&gt;"",SUMIFS(deployment!$J$4:$J$502, deployment!$D$4:$D$502,"="&amp;A428, deployment!$D$4:$D$502,"&lt;&gt;"&amp;""),"")</f>
        <v/>
      </c>
      <c r="L428" s="112" t="str">
        <f>IF(A428&lt;&gt;"",SUMIFS(deployment!$K$4:$K$502, deployment!$D$4:$D$502,"="&amp;A428, deployment!$D$4:$D$502,"&lt;&gt;"&amp;""),"")</f>
        <v/>
      </c>
      <c r="M428" s="97" t="str">
        <f>IF(A428&lt;&gt;"",SUMIFS(deployment!$L$4:$L$502, deployment!$D$4:$D$502,"="&amp;A428, deployment!$D$4:$D$502,"&lt;&gt;"&amp;""),"")</f>
        <v/>
      </c>
      <c r="N428" s="97" t="str">
        <f>IF(A428&lt;&gt;"",SUMIFS(deployment!$M$4:$M$502, deployment!$D$4:$D$502,"="&amp;A428, deployment!$D$4:$D$502,"&lt;&gt;"&amp;""),"")</f>
        <v/>
      </c>
      <c r="O428" s="127" t="str">
        <f t="shared" si="83"/>
        <v/>
      </c>
      <c r="P428" s="104"/>
      <c r="Q428" s="99" t="str">
        <f t="shared" si="72"/>
        <v/>
      </c>
      <c r="R428" s="100" t="str">
        <f t="shared" si="73"/>
        <v/>
      </c>
      <c r="S428" s="100" t="str">
        <f t="shared" si="74"/>
        <v/>
      </c>
      <c r="T428" s="101" t="str">
        <f t="shared" si="75"/>
        <v/>
      </c>
      <c r="U428" s="101" t="str">
        <f t="shared" si="76"/>
        <v/>
      </c>
      <c r="V428" s="128" t="str">
        <f t="shared" si="77"/>
        <v/>
      </c>
      <c r="W428" s="128" t="str">
        <f t="shared" si="78"/>
        <v/>
      </c>
      <c r="X428" s="101" t="str">
        <f t="shared" si="79"/>
        <v/>
      </c>
      <c r="Y428" s="101" t="str">
        <f t="shared" si="80"/>
        <v/>
      </c>
      <c r="Z428" s="102" t="str">
        <f t="shared" si="81"/>
        <v/>
      </c>
      <c r="AA428" s="103" t="str">
        <f t="shared" si="82"/>
        <v/>
      </c>
      <c r="AB428" s="142" t="str">
        <f>IF(A428&lt;&gt;"", SUMIFS(node!$J$2:$J$500, node!$C$2:$C$500,"="&amp;A428)/P428, "")</f>
        <v/>
      </c>
      <c r="AC428" s="134" t="str">
        <f>IF(A428&lt;&gt;"", SUMIFS(node!$K$2:$K$500, node!$C$2:$C$500,"="&amp;A428)/P428, "")</f>
        <v/>
      </c>
      <c r="AD428" s="135" t="str">
        <f>IF(A428&lt;&gt;"", SUMIFS(node!$L$2:$L$500, node!$C$2:$C$500,"="&amp;A428), "")</f>
        <v/>
      </c>
      <c r="AE428" s="145" t="str">
        <f>IF(A428&lt;&gt;"", SUMIFS(node!$M$2:$M$500, node!$C$2:$C$500,"="&amp;A428), "")</f>
        <v/>
      </c>
    </row>
    <row r="429" spans="1:31" ht="15.75" customHeight="1" x14ac:dyDescent="0.25">
      <c r="A429" s="119" t="str">
        <f>IF(ISNONTEXT(node_raw[[#This Row],[Column2]]), "", node_raw[[#This Row],[Column2]])</f>
        <v/>
      </c>
      <c r="B429" s="116" t="str">
        <f>IF(A429&lt;&gt;"", VLOOKUP(A429, node!$C$2:$D$500, 2, FALSE), "")</f>
        <v/>
      </c>
      <c r="C429" s="117" t="str">
        <f>IF(A429&lt;&gt;"", VLOOKUP(A429, node!$C$2:$E$500, 3, FALSE), "")</f>
        <v/>
      </c>
      <c r="D429" s="118" t="str">
        <f>IF(A429&lt;&gt;"",COUNTIFS(node!$C$2:$C$500,"="&amp;A429, node!$C$2:$C$500,"&lt;&gt;"&amp;""),"")</f>
        <v/>
      </c>
      <c r="E429" s="122" t="str">
        <f>IF(A429&lt;&gt;"",SUMIFS(node!$F$2:$F$500, node!$C$2:$C$500,"="&amp;A429, node!$C$2:$C$500,"&lt;&gt;"&amp;"")/(B429*D429),"")</f>
        <v/>
      </c>
      <c r="F429" s="124" t="str">
        <f>IF(A429&lt;&gt;"",SUMIFS(node!$H$2:$H$500, node!$C$2:$C$500,"="&amp;A429, node!$C$2:$C$500,"&lt;&gt;"&amp;"")/(C429*D429),"")</f>
        <v/>
      </c>
      <c r="G429" s="93" t="str">
        <f>IF(A429&lt;&gt;"",SUMIFS(deployment!$F$4:$F$502, deployment!$D$4:$D$502,"="&amp;A429, deployment!$D$4:$D$502,"&lt;&gt;"&amp;""),"")</f>
        <v/>
      </c>
      <c r="H429" s="94" t="str">
        <f>IF(A429&lt;&gt;"",SUMIFS(deployment!$G$4:$G$502, deployment!$D$4:$D$502,"="&amp;A429, deployment!$D$4:$D$502,"&lt;&gt;"&amp;""),"")</f>
        <v/>
      </c>
      <c r="I429" s="95" t="str">
        <f>IF(A429&lt;&gt;"",SUMIFS(deployment!$H$4:$H$502, deployment!$D$4:$D$502,"="&amp;A429, deployment!$D$4:$D$502,"&lt;&gt;"&amp;""),"")</f>
        <v/>
      </c>
      <c r="J429" s="96" t="str">
        <f>IF(A429&lt;&gt;"",SUMIFS(deployment!$I$4:$I$502, deployment!$D$4:$D$502,"="&amp;A429, deployment!$D$4:$D$502,"&lt;&gt;"&amp;""),"")</f>
        <v/>
      </c>
      <c r="K429" s="112" t="str">
        <f>IF(A429&lt;&gt;"",SUMIFS(deployment!$J$4:$J$502, deployment!$D$4:$D$502,"="&amp;A429, deployment!$D$4:$D$502,"&lt;&gt;"&amp;""),"")</f>
        <v/>
      </c>
      <c r="L429" s="112" t="str">
        <f>IF(A429&lt;&gt;"",SUMIFS(deployment!$K$4:$K$502, deployment!$D$4:$D$502,"="&amp;A429, deployment!$D$4:$D$502,"&lt;&gt;"&amp;""),"")</f>
        <v/>
      </c>
      <c r="M429" s="97" t="str">
        <f>IF(A429&lt;&gt;"",SUMIFS(deployment!$L$4:$L$502, deployment!$D$4:$D$502,"="&amp;A429, deployment!$D$4:$D$502,"&lt;&gt;"&amp;""),"")</f>
        <v/>
      </c>
      <c r="N429" s="97" t="str">
        <f>IF(A429&lt;&gt;"",SUMIFS(deployment!$M$4:$M$502, deployment!$D$4:$D$502,"="&amp;A429, deployment!$D$4:$D$502,"&lt;&gt;"&amp;""),"")</f>
        <v/>
      </c>
      <c r="O429" s="127" t="str">
        <f t="shared" si="83"/>
        <v/>
      </c>
      <c r="P429" s="104"/>
      <c r="Q429" s="99" t="str">
        <f t="shared" si="72"/>
        <v/>
      </c>
      <c r="R429" s="100" t="str">
        <f t="shared" si="73"/>
        <v/>
      </c>
      <c r="S429" s="100" t="str">
        <f t="shared" si="74"/>
        <v/>
      </c>
      <c r="T429" s="101" t="str">
        <f t="shared" si="75"/>
        <v/>
      </c>
      <c r="U429" s="101" t="str">
        <f t="shared" si="76"/>
        <v/>
      </c>
      <c r="V429" s="128" t="str">
        <f t="shared" si="77"/>
        <v/>
      </c>
      <c r="W429" s="128" t="str">
        <f t="shared" si="78"/>
        <v/>
      </c>
      <c r="X429" s="101" t="str">
        <f t="shared" si="79"/>
        <v/>
      </c>
      <c r="Y429" s="101" t="str">
        <f t="shared" si="80"/>
        <v/>
      </c>
      <c r="Z429" s="102" t="str">
        <f t="shared" si="81"/>
        <v/>
      </c>
      <c r="AA429" s="103" t="str">
        <f t="shared" si="82"/>
        <v/>
      </c>
      <c r="AB429" s="142" t="str">
        <f>IF(A429&lt;&gt;"", SUMIFS(node!$J$2:$J$500, node!$C$2:$C$500,"="&amp;A429)/P429, "")</f>
        <v/>
      </c>
      <c r="AC429" s="134" t="str">
        <f>IF(A429&lt;&gt;"", SUMIFS(node!$K$2:$K$500, node!$C$2:$C$500,"="&amp;A429)/P429, "")</f>
        <v/>
      </c>
      <c r="AD429" s="135" t="str">
        <f>IF(A429&lt;&gt;"", SUMIFS(node!$L$2:$L$500, node!$C$2:$C$500,"="&amp;A429), "")</f>
        <v/>
      </c>
      <c r="AE429" s="145" t="str">
        <f>IF(A429&lt;&gt;"", SUMIFS(node!$M$2:$M$500, node!$C$2:$C$500,"="&amp;A429), "")</f>
        <v/>
      </c>
    </row>
    <row r="430" spans="1:31" ht="15.75" customHeight="1" x14ac:dyDescent="0.25">
      <c r="A430" s="119" t="str">
        <f>IF(ISNONTEXT(node_raw[[#This Row],[Column2]]), "", node_raw[[#This Row],[Column2]])</f>
        <v/>
      </c>
      <c r="B430" s="116" t="str">
        <f>IF(A430&lt;&gt;"", VLOOKUP(A430, node!$C$2:$D$500, 2, FALSE), "")</f>
        <v/>
      </c>
      <c r="C430" s="117" t="str">
        <f>IF(A430&lt;&gt;"", VLOOKUP(A430, node!$C$2:$E$500, 3, FALSE), "")</f>
        <v/>
      </c>
      <c r="D430" s="118" t="str">
        <f>IF(A430&lt;&gt;"",COUNTIFS(node!$C$2:$C$500,"="&amp;A430, node!$C$2:$C$500,"&lt;&gt;"&amp;""),"")</f>
        <v/>
      </c>
      <c r="E430" s="122" t="str">
        <f>IF(A430&lt;&gt;"",SUMIFS(node!$F$2:$F$500, node!$C$2:$C$500,"="&amp;A430, node!$C$2:$C$500,"&lt;&gt;"&amp;"")/(B430*D430),"")</f>
        <v/>
      </c>
      <c r="F430" s="124" t="str">
        <f>IF(A430&lt;&gt;"",SUMIFS(node!$H$2:$H$500, node!$C$2:$C$500,"="&amp;A430, node!$C$2:$C$500,"&lt;&gt;"&amp;"")/(C430*D430),"")</f>
        <v/>
      </c>
      <c r="G430" s="93" t="str">
        <f>IF(A430&lt;&gt;"",SUMIFS(deployment!$F$4:$F$502, deployment!$D$4:$D$502,"="&amp;A430, deployment!$D$4:$D$502,"&lt;&gt;"&amp;""),"")</f>
        <v/>
      </c>
      <c r="H430" s="94" t="str">
        <f>IF(A430&lt;&gt;"",SUMIFS(deployment!$G$4:$G$502, deployment!$D$4:$D$502,"="&amp;A430, deployment!$D$4:$D$502,"&lt;&gt;"&amp;""),"")</f>
        <v/>
      </c>
      <c r="I430" s="95" t="str">
        <f>IF(A430&lt;&gt;"",SUMIFS(deployment!$H$4:$H$502, deployment!$D$4:$D$502,"="&amp;A430, deployment!$D$4:$D$502,"&lt;&gt;"&amp;""),"")</f>
        <v/>
      </c>
      <c r="J430" s="96" t="str">
        <f>IF(A430&lt;&gt;"",SUMIFS(deployment!$I$4:$I$502, deployment!$D$4:$D$502,"="&amp;A430, deployment!$D$4:$D$502,"&lt;&gt;"&amp;""),"")</f>
        <v/>
      </c>
      <c r="K430" s="112" t="str">
        <f>IF(A430&lt;&gt;"",SUMIFS(deployment!$J$4:$J$502, deployment!$D$4:$D$502,"="&amp;A430, deployment!$D$4:$D$502,"&lt;&gt;"&amp;""),"")</f>
        <v/>
      </c>
      <c r="L430" s="112" t="str">
        <f>IF(A430&lt;&gt;"",SUMIFS(deployment!$K$4:$K$502, deployment!$D$4:$D$502,"="&amp;A430, deployment!$D$4:$D$502,"&lt;&gt;"&amp;""),"")</f>
        <v/>
      </c>
      <c r="M430" s="97" t="str">
        <f>IF(A430&lt;&gt;"",SUMIFS(deployment!$L$4:$L$502, deployment!$D$4:$D$502,"="&amp;A430, deployment!$D$4:$D$502,"&lt;&gt;"&amp;""),"")</f>
        <v/>
      </c>
      <c r="N430" s="97" t="str">
        <f>IF(A430&lt;&gt;"",SUMIFS(deployment!$M$4:$M$502, deployment!$D$4:$D$502,"="&amp;A430, deployment!$D$4:$D$502,"&lt;&gt;"&amp;""),"")</f>
        <v/>
      </c>
      <c r="O430" s="127" t="str">
        <f t="shared" si="83"/>
        <v/>
      </c>
      <c r="P430" s="104"/>
      <c r="Q430" s="99" t="str">
        <f t="shared" si="72"/>
        <v/>
      </c>
      <c r="R430" s="100" t="str">
        <f t="shared" si="73"/>
        <v/>
      </c>
      <c r="S430" s="100" t="str">
        <f t="shared" si="74"/>
        <v/>
      </c>
      <c r="T430" s="101" t="str">
        <f t="shared" si="75"/>
        <v/>
      </c>
      <c r="U430" s="101" t="str">
        <f t="shared" si="76"/>
        <v/>
      </c>
      <c r="V430" s="128" t="str">
        <f t="shared" si="77"/>
        <v/>
      </c>
      <c r="W430" s="128" t="str">
        <f t="shared" si="78"/>
        <v/>
      </c>
      <c r="X430" s="101" t="str">
        <f t="shared" si="79"/>
        <v/>
      </c>
      <c r="Y430" s="101" t="str">
        <f t="shared" si="80"/>
        <v/>
      </c>
      <c r="Z430" s="102" t="str">
        <f t="shared" si="81"/>
        <v/>
      </c>
      <c r="AA430" s="103" t="str">
        <f t="shared" si="82"/>
        <v/>
      </c>
      <c r="AB430" s="142" t="str">
        <f>IF(A430&lt;&gt;"", SUMIFS(node!$J$2:$J$500, node!$C$2:$C$500,"="&amp;A430)/P430, "")</f>
        <v/>
      </c>
      <c r="AC430" s="134" t="str">
        <f>IF(A430&lt;&gt;"", SUMIFS(node!$K$2:$K$500, node!$C$2:$C$500,"="&amp;A430)/P430, "")</f>
        <v/>
      </c>
      <c r="AD430" s="135" t="str">
        <f>IF(A430&lt;&gt;"", SUMIFS(node!$L$2:$L$500, node!$C$2:$C$500,"="&amp;A430), "")</f>
        <v/>
      </c>
      <c r="AE430" s="145" t="str">
        <f>IF(A430&lt;&gt;"", SUMIFS(node!$M$2:$M$500, node!$C$2:$C$500,"="&amp;A430), "")</f>
        <v/>
      </c>
    </row>
    <row r="431" spans="1:31" ht="15.75" customHeight="1" x14ac:dyDescent="0.25">
      <c r="A431" s="119" t="str">
        <f>IF(ISNONTEXT(node_raw[[#This Row],[Column2]]), "", node_raw[[#This Row],[Column2]])</f>
        <v/>
      </c>
      <c r="B431" s="116" t="str">
        <f>IF(A431&lt;&gt;"", VLOOKUP(A431, node!$C$2:$D$500, 2, FALSE), "")</f>
        <v/>
      </c>
      <c r="C431" s="117" t="str">
        <f>IF(A431&lt;&gt;"", VLOOKUP(A431, node!$C$2:$E$500, 3, FALSE), "")</f>
        <v/>
      </c>
      <c r="D431" s="118" t="str">
        <f>IF(A431&lt;&gt;"",COUNTIFS(node!$C$2:$C$500,"="&amp;A431, node!$C$2:$C$500,"&lt;&gt;"&amp;""),"")</f>
        <v/>
      </c>
      <c r="E431" s="122" t="str">
        <f>IF(A431&lt;&gt;"",SUMIFS(node!$F$2:$F$500, node!$C$2:$C$500,"="&amp;A431, node!$C$2:$C$500,"&lt;&gt;"&amp;"")/(B431*D431),"")</f>
        <v/>
      </c>
      <c r="F431" s="124" t="str">
        <f>IF(A431&lt;&gt;"",SUMIFS(node!$H$2:$H$500, node!$C$2:$C$500,"="&amp;A431, node!$C$2:$C$500,"&lt;&gt;"&amp;"")/(C431*D431),"")</f>
        <v/>
      </c>
      <c r="G431" s="93" t="str">
        <f>IF(A431&lt;&gt;"",SUMIFS(deployment!$F$4:$F$502, deployment!$D$4:$D$502,"="&amp;A431, deployment!$D$4:$D$502,"&lt;&gt;"&amp;""),"")</f>
        <v/>
      </c>
      <c r="H431" s="94" t="str">
        <f>IF(A431&lt;&gt;"",SUMIFS(deployment!$G$4:$G$502, deployment!$D$4:$D$502,"="&amp;A431, deployment!$D$4:$D$502,"&lt;&gt;"&amp;""),"")</f>
        <v/>
      </c>
      <c r="I431" s="95" t="str">
        <f>IF(A431&lt;&gt;"",SUMIFS(deployment!$H$4:$H$502, deployment!$D$4:$D$502,"="&amp;A431, deployment!$D$4:$D$502,"&lt;&gt;"&amp;""),"")</f>
        <v/>
      </c>
      <c r="J431" s="96" t="str">
        <f>IF(A431&lt;&gt;"",SUMIFS(deployment!$I$4:$I$502, deployment!$D$4:$D$502,"="&amp;A431, deployment!$D$4:$D$502,"&lt;&gt;"&amp;""),"")</f>
        <v/>
      </c>
      <c r="K431" s="112" t="str">
        <f>IF(A431&lt;&gt;"",SUMIFS(deployment!$J$4:$J$502, deployment!$D$4:$D$502,"="&amp;A431, deployment!$D$4:$D$502,"&lt;&gt;"&amp;""),"")</f>
        <v/>
      </c>
      <c r="L431" s="112" t="str">
        <f>IF(A431&lt;&gt;"",SUMIFS(deployment!$K$4:$K$502, deployment!$D$4:$D$502,"="&amp;A431, deployment!$D$4:$D$502,"&lt;&gt;"&amp;""),"")</f>
        <v/>
      </c>
      <c r="M431" s="97" t="str">
        <f>IF(A431&lt;&gt;"",SUMIFS(deployment!$L$4:$L$502, deployment!$D$4:$D$502,"="&amp;A431, deployment!$D$4:$D$502,"&lt;&gt;"&amp;""),"")</f>
        <v/>
      </c>
      <c r="N431" s="97" t="str">
        <f>IF(A431&lt;&gt;"",SUMIFS(deployment!$M$4:$M$502, deployment!$D$4:$D$502,"="&amp;A431, deployment!$D$4:$D$502,"&lt;&gt;"&amp;""),"")</f>
        <v/>
      </c>
      <c r="O431" s="127" t="str">
        <f t="shared" si="83"/>
        <v/>
      </c>
      <c r="P431" s="104"/>
      <c r="Q431" s="99" t="str">
        <f t="shared" si="72"/>
        <v/>
      </c>
      <c r="R431" s="100" t="str">
        <f t="shared" si="73"/>
        <v/>
      </c>
      <c r="S431" s="100" t="str">
        <f t="shared" si="74"/>
        <v/>
      </c>
      <c r="T431" s="101" t="str">
        <f t="shared" si="75"/>
        <v/>
      </c>
      <c r="U431" s="101" t="str">
        <f t="shared" si="76"/>
        <v/>
      </c>
      <c r="V431" s="128" t="str">
        <f t="shared" si="77"/>
        <v/>
      </c>
      <c r="W431" s="128" t="str">
        <f t="shared" si="78"/>
        <v/>
      </c>
      <c r="X431" s="101" t="str">
        <f t="shared" si="79"/>
        <v/>
      </c>
      <c r="Y431" s="101" t="str">
        <f t="shared" si="80"/>
        <v/>
      </c>
      <c r="Z431" s="102" t="str">
        <f t="shared" si="81"/>
        <v/>
      </c>
      <c r="AA431" s="103" t="str">
        <f t="shared" si="82"/>
        <v/>
      </c>
      <c r="AB431" s="142" t="str">
        <f>IF(A431&lt;&gt;"", SUMIFS(node!$J$2:$J$500, node!$C$2:$C$500,"="&amp;A431)/P431, "")</f>
        <v/>
      </c>
      <c r="AC431" s="134" t="str">
        <f>IF(A431&lt;&gt;"", SUMIFS(node!$K$2:$K$500, node!$C$2:$C$500,"="&amp;A431)/P431, "")</f>
        <v/>
      </c>
      <c r="AD431" s="135" t="str">
        <f>IF(A431&lt;&gt;"", SUMIFS(node!$L$2:$L$500, node!$C$2:$C$500,"="&amp;A431), "")</f>
        <v/>
      </c>
      <c r="AE431" s="145" t="str">
        <f>IF(A431&lt;&gt;"", SUMIFS(node!$M$2:$M$500, node!$C$2:$C$500,"="&amp;A431), "")</f>
        <v/>
      </c>
    </row>
    <row r="432" spans="1:31" ht="15.75" customHeight="1" x14ac:dyDescent="0.25">
      <c r="A432" s="119" t="str">
        <f>IF(ISNONTEXT(node_raw[[#This Row],[Column2]]), "", node_raw[[#This Row],[Column2]])</f>
        <v/>
      </c>
      <c r="B432" s="116" t="str">
        <f>IF(A432&lt;&gt;"", VLOOKUP(A432, node!$C$2:$D$500, 2, FALSE), "")</f>
        <v/>
      </c>
      <c r="C432" s="117" t="str">
        <f>IF(A432&lt;&gt;"", VLOOKUP(A432, node!$C$2:$E$500, 3, FALSE), "")</f>
        <v/>
      </c>
      <c r="D432" s="118" t="str">
        <f>IF(A432&lt;&gt;"",COUNTIFS(node!$C$2:$C$500,"="&amp;A432, node!$C$2:$C$500,"&lt;&gt;"&amp;""),"")</f>
        <v/>
      </c>
      <c r="E432" s="122" t="str">
        <f>IF(A432&lt;&gt;"",SUMIFS(node!$F$2:$F$500, node!$C$2:$C$500,"="&amp;A432, node!$C$2:$C$500,"&lt;&gt;"&amp;"")/(B432*D432),"")</f>
        <v/>
      </c>
      <c r="F432" s="124" t="str">
        <f>IF(A432&lt;&gt;"",SUMIFS(node!$H$2:$H$500, node!$C$2:$C$500,"="&amp;A432, node!$C$2:$C$500,"&lt;&gt;"&amp;"")/(C432*D432),"")</f>
        <v/>
      </c>
      <c r="G432" s="93" t="str">
        <f>IF(A432&lt;&gt;"",SUMIFS(deployment!$F$4:$F$502, deployment!$D$4:$D$502,"="&amp;A432, deployment!$D$4:$D$502,"&lt;&gt;"&amp;""),"")</f>
        <v/>
      </c>
      <c r="H432" s="94" t="str">
        <f>IF(A432&lt;&gt;"",SUMIFS(deployment!$G$4:$G$502, deployment!$D$4:$D$502,"="&amp;A432, deployment!$D$4:$D$502,"&lt;&gt;"&amp;""),"")</f>
        <v/>
      </c>
      <c r="I432" s="95" t="str">
        <f>IF(A432&lt;&gt;"",SUMIFS(deployment!$H$4:$H$502, deployment!$D$4:$D$502,"="&amp;A432, deployment!$D$4:$D$502,"&lt;&gt;"&amp;""),"")</f>
        <v/>
      </c>
      <c r="J432" s="96" t="str">
        <f>IF(A432&lt;&gt;"",SUMIFS(deployment!$I$4:$I$502, deployment!$D$4:$D$502,"="&amp;A432, deployment!$D$4:$D$502,"&lt;&gt;"&amp;""),"")</f>
        <v/>
      </c>
      <c r="K432" s="112" t="str">
        <f>IF(A432&lt;&gt;"",SUMIFS(deployment!$J$4:$J$502, deployment!$D$4:$D$502,"="&amp;A432, deployment!$D$4:$D$502,"&lt;&gt;"&amp;""),"")</f>
        <v/>
      </c>
      <c r="L432" s="112" t="str">
        <f>IF(A432&lt;&gt;"",SUMIFS(deployment!$K$4:$K$502, deployment!$D$4:$D$502,"="&amp;A432, deployment!$D$4:$D$502,"&lt;&gt;"&amp;""),"")</f>
        <v/>
      </c>
      <c r="M432" s="97" t="str">
        <f>IF(A432&lt;&gt;"",SUMIFS(deployment!$L$4:$L$502, deployment!$D$4:$D$502,"="&amp;A432, deployment!$D$4:$D$502,"&lt;&gt;"&amp;""),"")</f>
        <v/>
      </c>
      <c r="N432" s="97" t="str">
        <f>IF(A432&lt;&gt;"",SUMIFS(deployment!$M$4:$M$502, deployment!$D$4:$D$502,"="&amp;A432, deployment!$D$4:$D$502,"&lt;&gt;"&amp;""),"")</f>
        <v/>
      </c>
      <c r="O432" s="127" t="str">
        <f t="shared" si="83"/>
        <v/>
      </c>
      <c r="P432" s="104"/>
      <c r="Q432" s="99" t="str">
        <f t="shared" si="72"/>
        <v/>
      </c>
      <c r="R432" s="100" t="str">
        <f t="shared" si="73"/>
        <v/>
      </c>
      <c r="S432" s="100" t="str">
        <f t="shared" si="74"/>
        <v/>
      </c>
      <c r="T432" s="101" t="str">
        <f t="shared" si="75"/>
        <v/>
      </c>
      <c r="U432" s="101" t="str">
        <f t="shared" si="76"/>
        <v/>
      </c>
      <c r="V432" s="128" t="str">
        <f t="shared" si="77"/>
        <v/>
      </c>
      <c r="W432" s="128" t="str">
        <f t="shared" si="78"/>
        <v/>
      </c>
      <c r="X432" s="101" t="str">
        <f t="shared" si="79"/>
        <v/>
      </c>
      <c r="Y432" s="101" t="str">
        <f t="shared" si="80"/>
        <v/>
      </c>
      <c r="Z432" s="102" t="str">
        <f t="shared" si="81"/>
        <v/>
      </c>
      <c r="AA432" s="103" t="str">
        <f t="shared" si="82"/>
        <v/>
      </c>
      <c r="AB432" s="142" t="str">
        <f>IF(A432&lt;&gt;"", SUMIFS(node!$J$2:$J$500, node!$C$2:$C$500,"="&amp;A432)/P432, "")</f>
        <v/>
      </c>
      <c r="AC432" s="134" t="str">
        <f>IF(A432&lt;&gt;"", SUMIFS(node!$K$2:$K$500, node!$C$2:$C$500,"="&amp;A432)/P432, "")</f>
        <v/>
      </c>
      <c r="AD432" s="135" t="str">
        <f>IF(A432&lt;&gt;"", SUMIFS(node!$L$2:$L$500, node!$C$2:$C$500,"="&amp;A432), "")</f>
        <v/>
      </c>
      <c r="AE432" s="145" t="str">
        <f>IF(A432&lt;&gt;"", SUMIFS(node!$M$2:$M$500, node!$C$2:$C$500,"="&amp;A432), "")</f>
        <v/>
      </c>
    </row>
    <row r="433" spans="1:31" ht="15.75" customHeight="1" x14ac:dyDescent="0.25">
      <c r="A433" s="119" t="str">
        <f>IF(ISNONTEXT(node_raw[[#This Row],[Column2]]), "", node_raw[[#This Row],[Column2]])</f>
        <v/>
      </c>
      <c r="B433" s="116" t="str">
        <f>IF(A433&lt;&gt;"", VLOOKUP(A433, node!$C$2:$D$500, 2, FALSE), "")</f>
        <v/>
      </c>
      <c r="C433" s="117" t="str">
        <f>IF(A433&lt;&gt;"", VLOOKUP(A433, node!$C$2:$E$500, 3, FALSE), "")</f>
        <v/>
      </c>
      <c r="D433" s="118" t="str">
        <f>IF(A433&lt;&gt;"",COUNTIFS(node!$C$2:$C$500,"="&amp;A433, node!$C$2:$C$500,"&lt;&gt;"&amp;""),"")</f>
        <v/>
      </c>
      <c r="E433" s="122" t="str">
        <f>IF(A433&lt;&gt;"",SUMIFS(node!$F$2:$F$500, node!$C$2:$C$500,"="&amp;A433, node!$C$2:$C$500,"&lt;&gt;"&amp;"")/(B433*D433),"")</f>
        <v/>
      </c>
      <c r="F433" s="124" t="str">
        <f>IF(A433&lt;&gt;"",SUMIFS(node!$H$2:$H$500, node!$C$2:$C$500,"="&amp;A433, node!$C$2:$C$500,"&lt;&gt;"&amp;"")/(C433*D433),"")</f>
        <v/>
      </c>
      <c r="G433" s="93" t="str">
        <f>IF(A433&lt;&gt;"",SUMIFS(deployment!$F$4:$F$502, deployment!$D$4:$D$502,"="&amp;A433, deployment!$D$4:$D$502,"&lt;&gt;"&amp;""),"")</f>
        <v/>
      </c>
      <c r="H433" s="94" t="str">
        <f>IF(A433&lt;&gt;"",SUMIFS(deployment!$G$4:$G$502, deployment!$D$4:$D$502,"="&amp;A433, deployment!$D$4:$D$502,"&lt;&gt;"&amp;""),"")</f>
        <v/>
      </c>
      <c r="I433" s="95" t="str">
        <f>IF(A433&lt;&gt;"",SUMIFS(deployment!$H$4:$H$502, deployment!$D$4:$D$502,"="&amp;A433, deployment!$D$4:$D$502,"&lt;&gt;"&amp;""),"")</f>
        <v/>
      </c>
      <c r="J433" s="96" t="str">
        <f>IF(A433&lt;&gt;"",SUMIFS(deployment!$I$4:$I$502, deployment!$D$4:$D$502,"="&amp;A433, deployment!$D$4:$D$502,"&lt;&gt;"&amp;""),"")</f>
        <v/>
      </c>
      <c r="K433" s="112" t="str">
        <f>IF(A433&lt;&gt;"",SUMIFS(deployment!$J$4:$J$502, deployment!$D$4:$D$502,"="&amp;A433, deployment!$D$4:$D$502,"&lt;&gt;"&amp;""),"")</f>
        <v/>
      </c>
      <c r="L433" s="112" t="str">
        <f>IF(A433&lt;&gt;"",SUMIFS(deployment!$K$4:$K$502, deployment!$D$4:$D$502,"="&amp;A433, deployment!$D$4:$D$502,"&lt;&gt;"&amp;""),"")</f>
        <v/>
      </c>
      <c r="M433" s="97" t="str">
        <f>IF(A433&lt;&gt;"",SUMIFS(deployment!$L$4:$L$502, deployment!$D$4:$D$502,"="&amp;A433, deployment!$D$4:$D$502,"&lt;&gt;"&amp;""),"")</f>
        <v/>
      </c>
      <c r="N433" s="97" t="str">
        <f>IF(A433&lt;&gt;"",SUMIFS(deployment!$M$4:$M$502, deployment!$D$4:$D$502,"="&amp;A433, deployment!$D$4:$D$502,"&lt;&gt;"&amp;""),"")</f>
        <v/>
      </c>
      <c r="O433" s="127" t="str">
        <f t="shared" si="83"/>
        <v/>
      </c>
      <c r="P433" s="104"/>
      <c r="Q433" s="99" t="str">
        <f t="shared" si="72"/>
        <v/>
      </c>
      <c r="R433" s="100" t="str">
        <f t="shared" si="73"/>
        <v/>
      </c>
      <c r="S433" s="100" t="str">
        <f t="shared" si="74"/>
        <v/>
      </c>
      <c r="T433" s="101" t="str">
        <f t="shared" si="75"/>
        <v/>
      </c>
      <c r="U433" s="101" t="str">
        <f t="shared" si="76"/>
        <v/>
      </c>
      <c r="V433" s="128" t="str">
        <f t="shared" si="77"/>
        <v/>
      </c>
      <c r="W433" s="128" t="str">
        <f t="shared" si="78"/>
        <v/>
      </c>
      <c r="X433" s="101" t="str">
        <f t="shared" si="79"/>
        <v/>
      </c>
      <c r="Y433" s="101" t="str">
        <f t="shared" si="80"/>
        <v/>
      </c>
      <c r="Z433" s="102" t="str">
        <f t="shared" si="81"/>
        <v/>
      </c>
      <c r="AA433" s="103" t="str">
        <f t="shared" si="82"/>
        <v/>
      </c>
      <c r="AB433" s="142" t="str">
        <f>IF(A433&lt;&gt;"", SUMIFS(node!$J$2:$J$500, node!$C$2:$C$500,"="&amp;A433)/P433, "")</f>
        <v/>
      </c>
      <c r="AC433" s="134" t="str">
        <f>IF(A433&lt;&gt;"", SUMIFS(node!$K$2:$K$500, node!$C$2:$C$500,"="&amp;A433)/P433, "")</f>
        <v/>
      </c>
      <c r="AD433" s="135" t="str">
        <f>IF(A433&lt;&gt;"", SUMIFS(node!$L$2:$L$500, node!$C$2:$C$500,"="&amp;A433), "")</f>
        <v/>
      </c>
      <c r="AE433" s="145" t="str">
        <f>IF(A433&lt;&gt;"", SUMIFS(node!$M$2:$M$500, node!$C$2:$C$500,"="&amp;A433), "")</f>
        <v/>
      </c>
    </row>
    <row r="434" spans="1:31" ht="15.75" customHeight="1" x14ac:dyDescent="0.25">
      <c r="A434" s="119" t="str">
        <f>IF(ISNONTEXT(node_raw[[#This Row],[Column2]]), "", node_raw[[#This Row],[Column2]])</f>
        <v/>
      </c>
      <c r="B434" s="116" t="str">
        <f>IF(A434&lt;&gt;"", VLOOKUP(A434, node!$C$2:$D$500, 2, FALSE), "")</f>
        <v/>
      </c>
      <c r="C434" s="117" t="str">
        <f>IF(A434&lt;&gt;"", VLOOKUP(A434, node!$C$2:$E$500, 3, FALSE), "")</f>
        <v/>
      </c>
      <c r="D434" s="118" t="str">
        <f>IF(A434&lt;&gt;"",COUNTIFS(node!$C$2:$C$500,"="&amp;A434, node!$C$2:$C$500,"&lt;&gt;"&amp;""),"")</f>
        <v/>
      </c>
      <c r="E434" s="122" t="str">
        <f>IF(A434&lt;&gt;"",SUMIFS(node!$F$2:$F$500, node!$C$2:$C$500,"="&amp;A434, node!$C$2:$C$500,"&lt;&gt;"&amp;"")/(B434*D434),"")</f>
        <v/>
      </c>
      <c r="F434" s="124" t="str">
        <f>IF(A434&lt;&gt;"",SUMIFS(node!$H$2:$H$500, node!$C$2:$C$500,"="&amp;A434, node!$C$2:$C$500,"&lt;&gt;"&amp;"")/(C434*D434),"")</f>
        <v/>
      </c>
      <c r="G434" s="93" t="str">
        <f>IF(A434&lt;&gt;"",SUMIFS(deployment!$F$4:$F$502, deployment!$D$4:$D$502,"="&amp;A434, deployment!$D$4:$D$502,"&lt;&gt;"&amp;""),"")</f>
        <v/>
      </c>
      <c r="H434" s="94" t="str">
        <f>IF(A434&lt;&gt;"",SUMIFS(deployment!$G$4:$G$502, deployment!$D$4:$D$502,"="&amp;A434, deployment!$D$4:$D$502,"&lt;&gt;"&amp;""),"")</f>
        <v/>
      </c>
      <c r="I434" s="95" t="str">
        <f>IF(A434&lt;&gt;"",SUMIFS(deployment!$H$4:$H$502, deployment!$D$4:$D$502,"="&amp;A434, deployment!$D$4:$D$502,"&lt;&gt;"&amp;""),"")</f>
        <v/>
      </c>
      <c r="J434" s="96" t="str">
        <f>IF(A434&lt;&gt;"",SUMIFS(deployment!$I$4:$I$502, deployment!$D$4:$D$502,"="&amp;A434, deployment!$D$4:$D$502,"&lt;&gt;"&amp;""),"")</f>
        <v/>
      </c>
      <c r="K434" s="112" t="str">
        <f>IF(A434&lt;&gt;"",SUMIFS(deployment!$J$4:$J$502, deployment!$D$4:$D$502,"="&amp;A434, deployment!$D$4:$D$502,"&lt;&gt;"&amp;""),"")</f>
        <v/>
      </c>
      <c r="L434" s="112" t="str">
        <f>IF(A434&lt;&gt;"",SUMIFS(deployment!$K$4:$K$502, deployment!$D$4:$D$502,"="&amp;A434, deployment!$D$4:$D$502,"&lt;&gt;"&amp;""),"")</f>
        <v/>
      </c>
      <c r="M434" s="97" t="str">
        <f>IF(A434&lt;&gt;"",SUMIFS(deployment!$L$4:$L$502, deployment!$D$4:$D$502,"="&amp;A434, deployment!$D$4:$D$502,"&lt;&gt;"&amp;""),"")</f>
        <v/>
      </c>
      <c r="N434" s="97" t="str">
        <f>IF(A434&lt;&gt;"",SUMIFS(deployment!$M$4:$M$502, deployment!$D$4:$D$502,"="&amp;A434, deployment!$D$4:$D$502,"&lt;&gt;"&amp;""),"")</f>
        <v/>
      </c>
      <c r="O434" s="127" t="str">
        <f t="shared" si="83"/>
        <v/>
      </c>
      <c r="P434" s="104"/>
      <c r="Q434" s="99" t="str">
        <f t="shared" si="72"/>
        <v/>
      </c>
      <c r="R434" s="100" t="str">
        <f t="shared" si="73"/>
        <v/>
      </c>
      <c r="S434" s="100" t="str">
        <f t="shared" si="74"/>
        <v/>
      </c>
      <c r="T434" s="101" t="str">
        <f t="shared" si="75"/>
        <v/>
      </c>
      <c r="U434" s="101" t="str">
        <f t="shared" si="76"/>
        <v/>
      </c>
      <c r="V434" s="128" t="str">
        <f t="shared" si="77"/>
        <v/>
      </c>
      <c r="W434" s="128" t="str">
        <f t="shared" si="78"/>
        <v/>
      </c>
      <c r="X434" s="101" t="str">
        <f t="shared" si="79"/>
        <v/>
      </c>
      <c r="Y434" s="101" t="str">
        <f t="shared" si="80"/>
        <v/>
      </c>
      <c r="Z434" s="102" t="str">
        <f t="shared" si="81"/>
        <v/>
      </c>
      <c r="AA434" s="103" t="str">
        <f t="shared" si="82"/>
        <v/>
      </c>
      <c r="AB434" s="142" t="str">
        <f>IF(A434&lt;&gt;"", SUMIFS(node!$J$2:$J$500, node!$C$2:$C$500,"="&amp;A434)/P434, "")</f>
        <v/>
      </c>
      <c r="AC434" s="134" t="str">
        <f>IF(A434&lt;&gt;"", SUMIFS(node!$K$2:$K$500, node!$C$2:$C$500,"="&amp;A434)/P434, "")</f>
        <v/>
      </c>
      <c r="AD434" s="135" t="str">
        <f>IF(A434&lt;&gt;"", SUMIFS(node!$L$2:$L$500, node!$C$2:$C$500,"="&amp;A434), "")</f>
        <v/>
      </c>
      <c r="AE434" s="145" t="str">
        <f>IF(A434&lt;&gt;"", SUMIFS(node!$M$2:$M$500, node!$C$2:$C$500,"="&amp;A434), "")</f>
        <v/>
      </c>
    </row>
    <row r="435" spans="1:31" ht="15.75" customHeight="1" x14ac:dyDescent="0.25">
      <c r="A435" s="119" t="str">
        <f>IF(ISNONTEXT(node_raw[[#This Row],[Column2]]), "", node_raw[[#This Row],[Column2]])</f>
        <v/>
      </c>
      <c r="B435" s="116" t="str">
        <f>IF(A435&lt;&gt;"", VLOOKUP(A435, node!$C$2:$D$500, 2, FALSE), "")</f>
        <v/>
      </c>
      <c r="C435" s="117" t="str">
        <f>IF(A435&lt;&gt;"", VLOOKUP(A435, node!$C$2:$E$500, 3, FALSE), "")</f>
        <v/>
      </c>
      <c r="D435" s="118" t="str">
        <f>IF(A435&lt;&gt;"",COUNTIFS(node!$C$2:$C$500,"="&amp;A435, node!$C$2:$C$500,"&lt;&gt;"&amp;""),"")</f>
        <v/>
      </c>
      <c r="E435" s="122" t="str">
        <f>IF(A435&lt;&gt;"",SUMIFS(node!$F$2:$F$500, node!$C$2:$C$500,"="&amp;A435, node!$C$2:$C$500,"&lt;&gt;"&amp;"")/(B435*D435),"")</f>
        <v/>
      </c>
      <c r="F435" s="124" t="str">
        <f>IF(A435&lt;&gt;"",SUMIFS(node!$H$2:$H$500, node!$C$2:$C$500,"="&amp;A435, node!$C$2:$C$500,"&lt;&gt;"&amp;"")/(C435*D435),"")</f>
        <v/>
      </c>
      <c r="G435" s="93" t="str">
        <f>IF(A435&lt;&gt;"",SUMIFS(deployment!$F$4:$F$502, deployment!$D$4:$D$502,"="&amp;A435, deployment!$D$4:$D$502,"&lt;&gt;"&amp;""),"")</f>
        <v/>
      </c>
      <c r="H435" s="94" t="str">
        <f>IF(A435&lt;&gt;"",SUMIFS(deployment!$G$4:$G$502, deployment!$D$4:$D$502,"="&amp;A435, deployment!$D$4:$D$502,"&lt;&gt;"&amp;""),"")</f>
        <v/>
      </c>
      <c r="I435" s="95" t="str">
        <f>IF(A435&lt;&gt;"",SUMIFS(deployment!$H$4:$H$502, deployment!$D$4:$D$502,"="&amp;A435, deployment!$D$4:$D$502,"&lt;&gt;"&amp;""),"")</f>
        <v/>
      </c>
      <c r="J435" s="96" t="str">
        <f>IF(A435&lt;&gt;"",SUMIFS(deployment!$I$4:$I$502, deployment!$D$4:$D$502,"="&amp;A435, deployment!$D$4:$D$502,"&lt;&gt;"&amp;""),"")</f>
        <v/>
      </c>
      <c r="K435" s="112" t="str">
        <f>IF(A435&lt;&gt;"",SUMIFS(deployment!$J$4:$J$502, deployment!$D$4:$D$502,"="&amp;A435, deployment!$D$4:$D$502,"&lt;&gt;"&amp;""),"")</f>
        <v/>
      </c>
      <c r="L435" s="112" t="str">
        <f>IF(A435&lt;&gt;"",SUMIFS(deployment!$K$4:$K$502, deployment!$D$4:$D$502,"="&amp;A435, deployment!$D$4:$D$502,"&lt;&gt;"&amp;""),"")</f>
        <v/>
      </c>
      <c r="M435" s="97" t="str">
        <f>IF(A435&lt;&gt;"",SUMIFS(deployment!$L$4:$L$502, deployment!$D$4:$D$502,"="&amp;A435, deployment!$D$4:$D$502,"&lt;&gt;"&amp;""),"")</f>
        <v/>
      </c>
      <c r="N435" s="97" t="str">
        <f>IF(A435&lt;&gt;"",SUMIFS(deployment!$M$4:$M$502, deployment!$D$4:$D$502,"="&amp;A435, deployment!$D$4:$D$502,"&lt;&gt;"&amp;""),"")</f>
        <v/>
      </c>
      <c r="O435" s="127" t="str">
        <f t="shared" si="83"/>
        <v/>
      </c>
      <c r="P435" s="104"/>
      <c r="Q435" s="99" t="str">
        <f t="shared" si="72"/>
        <v/>
      </c>
      <c r="R435" s="100" t="str">
        <f t="shared" si="73"/>
        <v/>
      </c>
      <c r="S435" s="100" t="str">
        <f t="shared" si="74"/>
        <v/>
      </c>
      <c r="T435" s="101" t="str">
        <f t="shared" si="75"/>
        <v/>
      </c>
      <c r="U435" s="101" t="str">
        <f t="shared" si="76"/>
        <v/>
      </c>
      <c r="V435" s="128" t="str">
        <f t="shared" si="77"/>
        <v/>
      </c>
      <c r="W435" s="128" t="str">
        <f t="shared" si="78"/>
        <v/>
      </c>
      <c r="X435" s="101" t="str">
        <f t="shared" si="79"/>
        <v/>
      </c>
      <c r="Y435" s="101" t="str">
        <f t="shared" si="80"/>
        <v/>
      </c>
      <c r="Z435" s="102" t="str">
        <f t="shared" si="81"/>
        <v/>
      </c>
      <c r="AA435" s="103" t="str">
        <f t="shared" si="82"/>
        <v/>
      </c>
      <c r="AB435" s="142" t="str">
        <f>IF(A435&lt;&gt;"", SUMIFS(node!$J$2:$J$500, node!$C$2:$C$500,"="&amp;A435)/P435, "")</f>
        <v/>
      </c>
      <c r="AC435" s="134" t="str">
        <f>IF(A435&lt;&gt;"", SUMIFS(node!$K$2:$K$500, node!$C$2:$C$500,"="&amp;A435)/P435, "")</f>
        <v/>
      </c>
      <c r="AD435" s="135" t="str">
        <f>IF(A435&lt;&gt;"", SUMIFS(node!$L$2:$L$500, node!$C$2:$C$500,"="&amp;A435), "")</f>
        <v/>
      </c>
      <c r="AE435" s="145" t="str">
        <f>IF(A435&lt;&gt;"", SUMIFS(node!$M$2:$M$500, node!$C$2:$C$500,"="&amp;A435), "")</f>
        <v/>
      </c>
    </row>
    <row r="436" spans="1:31" ht="15.75" customHeight="1" x14ac:dyDescent="0.25">
      <c r="A436" s="119" t="str">
        <f>IF(ISNONTEXT(node_raw[[#This Row],[Column2]]), "", node_raw[[#This Row],[Column2]])</f>
        <v/>
      </c>
      <c r="B436" s="116" t="str">
        <f>IF(A436&lt;&gt;"", VLOOKUP(A436, node!$C$2:$D$500, 2, FALSE), "")</f>
        <v/>
      </c>
      <c r="C436" s="117" t="str">
        <f>IF(A436&lt;&gt;"", VLOOKUP(A436, node!$C$2:$E$500, 3, FALSE), "")</f>
        <v/>
      </c>
      <c r="D436" s="118" t="str">
        <f>IF(A436&lt;&gt;"",COUNTIFS(node!$C$2:$C$500,"="&amp;A436, node!$C$2:$C$500,"&lt;&gt;"&amp;""),"")</f>
        <v/>
      </c>
      <c r="E436" s="122" t="str">
        <f>IF(A436&lt;&gt;"",SUMIFS(node!$F$2:$F$500, node!$C$2:$C$500,"="&amp;A436, node!$C$2:$C$500,"&lt;&gt;"&amp;"")/(B436*D436),"")</f>
        <v/>
      </c>
      <c r="F436" s="124" t="str">
        <f>IF(A436&lt;&gt;"",SUMIFS(node!$H$2:$H$500, node!$C$2:$C$500,"="&amp;A436, node!$C$2:$C$500,"&lt;&gt;"&amp;"")/(C436*D436),"")</f>
        <v/>
      </c>
      <c r="G436" s="93" t="str">
        <f>IF(A436&lt;&gt;"",SUMIFS(deployment!$F$4:$F$502, deployment!$D$4:$D$502,"="&amp;A436, deployment!$D$4:$D$502,"&lt;&gt;"&amp;""),"")</f>
        <v/>
      </c>
      <c r="H436" s="94" t="str">
        <f>IF(A436&lt;&gt;"",SUMIFS(deployment!$G$4:$G$502, deployment!$D$4:$D$502,"="&amp;A436, deployment!$D$4:$D$502,"&lt;&gt;"&amp;""),"")</f>
        <v/>
      </c>
      <c r="I436" s="95" t="str">
        <f>IF(A436&lt;&gt;"",SUMIFS(deployment!$H$4:$H$502, deployment!$D$4:$D$502,"="&amp;A436, deployment!$D$4:$D$502,"&lt;&gt;"&amp;""),"")</f>
        <v/>
      </c>
      <c r="J436" s="96" t="str">
        <f>IF(A436&lt;&gt;"",SUMIFS(deployment!$I$4:$I$502, deployment!$D$4:$D$502,"="&amp;A436, deployment!$D$4:$D$502,"&lt;&gt;"&amp;""),"")</f>
        <v/>
      </c>
      <c r="K436" s="112" t="str">
        <f>IF(A436&lt;&gt;"",SUMIFS(deployment!$J$4:$J$502, deployment!$D$4:$D$502,"="&amp;A436, deployment!$D$4:$D$502,"&lt;&gt;"&amp;""),"")</f>
        <v/>
      </c>
      <c r="L436" s="112" t="str">
        <f>IF(A436&lt;&gt;"",SUMIFS(deployment!$K$4:$K$502, deployment!$D$4:$D$502,"="&amp;A436, deployment!$D$4:$D$502,"&lt;&gt;"&amp;""),"")</f>
        <v/>
      </c>
      <c r="M436" s="97" t="str">
        <f>IF(A436&lt;&gt;"",SUMIFS(deployment!$L$4:$L$502, deployment!$D$4:$D$502,"="&amp;A436, deployment!$D$4:$D$502,"&lt;&gt;"&amp;""),"")</f>
        <v/>
      </c>
      <c r="N436" s="97" t="str">
        <f>IF(A436&lt;&gt;"",SUMIFS(deployment!$M$4:$M$502, deployment!$D$4:$D$502,"="&amp;A436, deployment!$D$4:$D$502,"&lt;&gt;"&amp;""),"")</f>
        <v/>
      </c>
      <c r="O436" s="127" t="str">
        <f t="shared" si="83"/>
        <v/>
      </c>
      <c r="P436" s="104"/>
      <c r="Q436" s="99" t="str">
        <f t="shared" si="72"/>
        <v/>
      </c>
      <c r="R436" s="100" t="str">
        <f t="shared" si="73"/>
        <v/>
      </c>
      <c r="S436" s="100" t="str">
        <f t="shared" si="74"/>
        <v/>
      </c>
      <c r="T436" s="101" t="str">
        <f t="shared" si="75"/>
        <v/>
      </c>
      <c r="U436" s="101" t="str">
        <f t="shared" si="76"/>
        <v/>
      </c>
      <c r="V436" s="128" t="str">
        <f t="shared" si="77"/>
        <v/>
      </c>
      <c r="W436" s="128" t="str">
        <f t="shared" si="78"/>
        <v/>
      </c>
      <c r="X436" s="101" t="str">
        <f t="shared" si="79"/>
        <v/>
      </c>
      <c r="Y436" s="101" t="str">
        <f t="shared" si="80"/>
        <v/>
      </c>
      <c r="Z436" s="102" t="str">
        <f t="shared" si="81"/>
        <v/>
      </c>
      <c r="AA436" s="103" t="str">
        <f t="shared" si="82"/>
        <v/>
      </c>
      <c r="AB436" s="142" t="str">
        <f>IF(A436&lt;&gt;"", SUMIFS(node!$J$2:$J$500, node!$C$2:$C$500,"="&amp;A436)/P436, "")</f>
        <v/>
      </c>
      <c r="AC436" s="134" t="str">
        <f>IF(A436&lt;&gt;"", SUMIFS(node!$K$2:$K$500, node!$C$2:$C$500,"="&amp;A436)/P436, "")</f>
        <v/>
      </c>
      <c r="AD436" s="135" t="str">
        <f>IF(A436&lt;&gt;"", SUMIFS(node!$L$2:$L$500, node!$C$2:$C$500,"="&amp;A436), "")</f>
        <v/>
      </c>
      <c r="AE436" s="145" t="str">
        <f>IF(A436&lt;&gt;"", SUMIFS(node!$M$2:$M$500, node!$C$2:$C$500,"="&amp;A436), "")</f>
        <v/>
      </c>
    </row>
    <row r="437" spans="1:31" ht="15.75" customHeight="1" x14ac:dyDescent="0.25">
      <c r="A437" s="119" t="str">
        <f>IF(ISNONTEXT(node_raw[[#This Row],[Column2]]), "", node_raw[[#This Row],[Column2]])</f>
        <v/>
      </c>
      <c r="B437" s="116" t="str">
        <f>IF(A437&lt;&gt;"", VLOOKUP(A437, node!$C$2:$D$500, 2, FALSE), "")</f>
        <v/>
      </c>
      <c r="C437" s="117" t="str">
        <f>IF(A437&lt;&gt;"", VLOOKUP(A437, node!$C$2:$E$500, 3, FALSE), "")</f>
        <v/>
      </c>
      <c r="D437" s="118" t="str">
        <f>IF(A437&lt;&gt;"",COUNTIFS(node!$C$2:$C$500,"="&amp;A437, node!$C$2:$C$500,"&lt;&gt;"&amp;""),"")</f>
        <v/>
      </c>
      <c r="E437" s="122" t="str">
        <f>IF(A437&lt;&gt;"",SUMIFS(node!$F$2:$F$500, node!$C$2:$C$500,"="&amp;A437, node!$C$2:$C$500,"&lt;&gt;"&amp;"")/(B437*D437),"")</f>
        <v/>
      </c>
      <c r="F437" s="124" t="str">
        <f>IF(A437&lt;&gt;"",SUMIFS(node!$H$2:$H$500, node!$C$2:$C$500,"="&amp;A437, node!$C$2:$C$500,"&lt;&gt;"&amp;"")/(C437*D437),"")</f>
        <v/>
      </c>
      <c r="G437" s="93" t="str">
        <f>IF(A437&lt;&gt;"",SUMIFS(deployment!$F$4:$F$502, deployment!$D$4:$D$502,"="&amp;A437, deployment!$D$4:$D$502,"&lt;&gt;"&amp;""),"")</f>
        <v/>
      </c>
      <c r="H437" s="94" t="str">
        <f>IF(A437&lt;&gt;"",SUMIFS(deployment!$G$4:$G$502, deployment!$D$4:$D$502,"="&amp;A437, deployment!$D$4:$D$502,"&lt;&gt;"&amp;""),"")</f>
        <v/>
      </c>
      <c r="I437" s="95" t="str">
        <f>IF(A437&lt;&gt;"",SUMIFS(deployment!$H$4:$H$502, deployment!$D$4:$D$502,"="&amp;A437, deployment!$D$4:$D$502,"&lt;&gt;"&amp;""),"")</f>
        <v/>
      </c>
      <c r="J437" s="96" t="str">
        <f>IF(A437&lt;&gt;"",SUMIFS(deployment!$I$4:$I$502, deployment!$D$4:$D$502,"="&amp;A437, deployment!$D$4:$D$502,"&lt;&gt;"&amp;""),"")</f>
        <v/>
      </c>
      <c r="K437" s="112" t="str">
        <f>IF(A437&lt;&gt;"",SUMIFS(deployment!$J$4:$J$502, deployment!$D$4:$D$502,"="&amp;A437, deployment!$D$4:$D$502,"&lt;&gt;"&amp;""),"")</f>
        <v/>
      </c>
      <c r="L437" s="112" t="str">
        <f>IF(A437&lt;&gt;"",SUMIFS(deployment!$K$4:$K$502, deployment!$D$4:$D$502,"="&amp;A437, deployment!$D$4:$D$502,"&lt;&gt;"&amp;""),"")</f>
        <v/>
      </c>
      <c r="M437" s="97" t="str">
        <f>IF(A437&lt;&gt;"",SUMIFS(deployment!$L$4:$L$502, deployment!$D$4:$D$502,"="&amp;A437, deployment!$D$4:$D$502,"&lt;&gt;"&amp;""),"")</f>
        <v/>
      </c>
      <c r="N437" s="97" t="str">
        <f>IF(A437&lt;&gt;"",SUMIFS(deployment!$M$4:$M$502, deployment!$D$4:$D$502,"="&amp;A437, deployment!$D$4:$D$502,"&lt;&gt;"&amp;""),"")</f>
        <v/>
      </c>
      <c r="O437" s="127" t="str">
        <f t="shared" si="83"/>
        <v/>
      </c>
      <c r="P437" s="104"/>
      <c r="Q437" s="99" t="str">
        <f t="shared" si="72"/>
        <v/>
      </c>
      <c r="R437" s="100" t="str">
        <f t="shared" si="73"/>
        <v/>
      </c>
      <c r="S437" s="100" t="str">
        <f t="shared" si="74"/>
        <v/>
      </c>
      <c r="T437" s="101" t="str">
        <f t="shared" si="75"/>
        <v/>
      </c>
      <c r="U437" s="101" t="str">
        <f t="shared" si="76"/>
        <v/>
      </c>
      <c r="V437" s="128" t="str">
        <f t="shared" si="77"/>
        <v/>
      </c>
      <c r="W437" s="128" t="str">
        <f t="shared" si="78"/>
        <v/>
      </c>
      <c r="X437" s="101" t="str">
        <f t="shared" si="79"/>
        <v/>
      </c>
      <c r="Y437" s="101" t="str">
        <f t="shared" si="80"/>
        <v/>
      </c>
      <c r="Z437" s="102" t="str">
        <f t="shared" si="81"/>
        <v/>
      </c>
      <c r="AA437" s="103" t="str">
        <f t="shared" si="82"/>
        <v/>
      </c>
      <c r="AB437" s="142" t="str">
        <f>IF(A437&lt;&gt;"", SUMIFS(node!$J$2:$J$500, node!$C$2:$C$500,"="&amp;A437)/P437, "")</f>
        <v/>
      </c>
      <c r="AC437" s="134" t="str">
        <f>IF(A437&lt;&gt;"", SUMIFS(node!$K$2:$K$500, node!$C$2:$C$500,"="&amp;A437)/P437, "")</f>
        <v/>
      </c>
      <c r="AD437" s="135" t="str">
        <f>IF(A437&lt;&gt;"", SUMIFS(node!$L$2:$L$500, node!$C$2:$C$500,"="&amp;A437), "")</f>
        <v/>
      </c>
      <c r="AE437" s="145" t="str">
        <f>IF(A437&lt;&gt;"", SUMIFS(node!$M$2:$M$500, node!$C$2:$C$500,"="&amp;A437), "")</f>
        <v/>
      </c>
    </row>
    <row r="438" spans="1:31" ht="15.75" customHeight="1" x14ac:dyDescent="0.25">
      <c r="A438" s="119" t="str">
        <f>IF(ISNONTEXT(node_raw[[#This Row],[Column2]]), "", node_raw[[#This Row],[Column2]])</f>
        <v/>
      </c>
      <c r="B438" s="116" t="str">
        <f>IF(A438&lt;&gt;"", VLOOKUP(A438, node!$C$2:$D$500, 2, FALSE), "")</f>
        <v/>
      </c>
      <c r="C438" s="117" t="str">
        <f>IF(A438&lt;&gt;"", VLOOKUP(A438, node!$C$2:$E$500, 3, FALSE), "")</f>
        <v/>
      </c>
      <c r="D438" s="118" t="str">
        <f>IF(A438&lt;&gt;"",COUNTIFS(node!$C$2:$C$500,"="&amp;A438, node!$C$2:$C$500,"&lt;&gt;"&amp;""),"")</f>
        <v/>
      </c>
      <c r="E438" s="122" t="str">
        <f>IF(A438&lt;&gt;"",SUMIFS(node!$F$2:$F$500, node!$C$2:$C$500,"="&amp;A438, node!$C$2:$C$500,"&lt;&gt;"&amp;"")/(B438*D438),"")</f>
        <v/>
      </c>
      <c r="F438" s="124" t="str">
        <f>IF(A438&lt;&gt;"",SUMIFS(node!$H$2:$H$500, node!$C$2:$C$500,"="&amp;A438, node!$C$2:$C$500,"&lt;&gt;"&amp;"")/(C438*D438),"")</f>
        <v/>
      </c>
      <c r="G438" s="93" t="str">
        <f>IF(A438&lt;&gt;"",SUMIFS(deployment!$F$4:$F$502, deployment!$D$4:$D$502,"="&amp;A438, deployment!$D$4:$D$502,"&lt;&gt;"&amp;""),"")</f>
        <v/>
      </c>
      <c r="H438" s="94" t="str">
        <f>IF(A438&lt;&gt;"",SUMIFS(deployment!$G$4:$G$502, deployment!$D$4:$D$502,"="&amp;A438, deployment!$D$4:$D$502,"&lt;&gt;"&amp;""),"")</f>
        <v/>
      </c>
      <c r="I438" s="95" t="str">
        <f>IF(A438&lt;&gt;"",SUMIFS(deployment!$H$4:$H$502, deployment!$D$4:$D$502,"="&amp;A438, deployment!$D$4:$D$502,"&lt;&gt;"&amp;""),"")</f>
        <v/>
      </c>
      <c r="J438" s="96" t="str">
        <f>IF(A438&lt;&gt;"",SUMIFS(deployment!$I$4:$I$502, deployment!$D$4:$D$502,"="&amp;A438, deployment!$D$4:$D$502,"&lt;&gt;"&amp;""),"")</f>
        <v/>
      </c>
      <c r="K438" s="112" t="str">
        <f>IF(A438&lt;&gt;"",SUMIFS(deployment!$J$4:$J$502, deployment!$D$4:$D$502,"="&amp;A438, deployment!$D$4:$D$502,"&lt;&gt;"&amp;""),"")</f>
        <v/>
      </c>
      <c r="L438" s="112" t="str">
        <f>IF(A438&lt;&gt;"",SUMIFS(deployment!$K$4:$K$502, deployment!$D$4:$D$502,"="&amp;A438, deployment!$D$4:$D$502,"&lt;&gt;"&amp;""),"")</f>
        <v/>
      </c>
      <c r="M438" s="97" t="str">
        <f>IF(A438&lt;&gt;"",SUMIFS(deployment!$L$4:$L$502, deployment!$D$4:$D$502,"="&amp;A438, deployment!$D$4:$D$502,"&lt;&gt;"&amp;""),"")</f>
        <v/>
      </c>
      <c r="N438" s="97" t="str">
        <f>IF(A438&lt;&gt;"",SUMIFS(deployment!$M$4:$M$502, deployment!$D$4:$D$502,"="&amp;A438, deployment!$D$4:$D$502,"&lt;&gt;"&amp;""),"")</f>
        <v/>
      </c>
      <c r="O438" s="127" t="str">
        <f t="shared" si="83"/>
        <v/>
      </c>
      <c r="P438" s="104"/>
      <c r="Q438" s="99" t="str">
        <f t="shared" si="72"/>
        <v/>
      </c>
      <c r="R438" s="100" t="str">
        <f t="shared" si="73"/>
        <v/>
      </c>
      <c r="S438" s="100" t="str">
        <f t="shared" si="74"/>
        <v/>
      </c>
      <c r="T438" s="101" t="str">
        <f t="shared" si="75"/>
        <v/>
      </c>
      <c r="U438" s="101" t="str">
        <f t="shared" si="76"/>
        <v/>
      </c>
      <c r="V438" s="128" t="str">
        <f t="shared" si="77"/>
        <v/>
      </c>
      <c r="W438" s="128" t="str">
        <f t="shared" si="78"/>
        <v/>
      </c>
      <c r="X438" s="101" t="str">
        <f t="shared" si="79"/>
        <v/>
      </c>
      <c r="Y438" s="101" t="str">
        <f t="shared" si="80"/>
        <v/>
      </c>
      <c r="Z438" s="102" t="str">
        <f t="shared" si="81"/>
        <v/>
      </c>
      <c r="AA438" s="103" t="str">
        <f t="shared" si="82"/>
        <v/>
      </c>
      <c r="AB438" s="142" t="str">
        <f>IF(A438&lt;&gt;"", SUMIFS(node!$J$2:$J$500, node!$C$2:$C$500,"="&amp;A438)/P438, "")</f>
        <v/>
      </c>
      <c r="AC438" s="134" t="str">
        <f>IF(A438&lt;&gt;"", SUMIFS(node!$K$2:$K$500, node!$C$2:$C$500,"="&amp;A438)/P438, "")</f>
        <v/>
      </c>
      <c r="AD438" s="135" t="str">
        <f>IF(A438&lt;&gt;"", SUMIFS(node!$L$2:$L$500, node!$C$2:$C$500,"="&amp;A438), "")</f>
        <v/>
      </c>
      <c r="AE438" s="145" t="str">
        <f>IF(A438&lt;&gt;"", SUMIFS(node!$M$2:$M$500, node!$C$2:$C$500,"="&amp;A438), "")</f>
        <v/>
      </c>
    </row>
    <row r="439" spans="1:31" ht="15.75" customHeight="1" x14ac:dyDescent="0.25">
      <c r="A439" s="119" t="str">
        <f>IF(ISNONTEXT(node_raw[[#This Row],[Column2]]), "", node_raw[[#This Row],[Column2]])</f>
        <v/>
      </c>
      <c r="B439" s="116" t="str">
        <f>IF(A439&lt;&gt;"", VLOOKUP(A439, node!$C$2:$D$500, 2, FALSE), "")</f>
        <v/>
      </c>
      <c r="C439" s="117" t="str">
        <f>IF(A439&lt;&gt;"", VLOOKUP(A439, node!$C$2:$E$500, 3, FALSE), "")</f>
        <v/>
      </c>
      <c r="D439" s="118" t="str">
        <f>IF(A439&lt;&gt;"",COUNTIFS(node!$C$2:$C$500,"="&amp;A439, node!$C$2:$C$500,"&lt;&gt;"&amp;""),"")</f>
        <v/>
      </c>
      <c r="E439" s="122" t="str">
        <f>IF(A439&lt;&gt;"",SUMIFS(node!$F$2:$F$500, node!$C$2:$C$500,"="&amp;A439, node!$C$2:$C$500,"&lt;&gt;"&amp;"")/(B439*D439),"")</f>
        <v/>
      </c>
      <c r="F439" s="124" t="str">
        <f>IF(A439&lt;&gt;"",SUMIFS(node!$H$2:$H$500, node!$C$2:$C$500,"="&amp;A439, node!$C$2:$C$500,"&lt;&gt;"&amp;"")/(C439*D439),"")</f>
        <v/>
      </c>
      <c r="G439" s="93" t="str">
        <f>IF(A439&lt;&gt;"",SUMIFS(deployment!$F$4:$F$502, deployment!$D$4:$D$502,"="&amp;A439, deployment!$D$4:$D$502,"&lt;&gt;"&amp;""),"")</f>
        <v/>
      </c>
      <c r="H439" s="94" t="str">
        <f>IF(A439&lt;&gt;"",SUMIFS(deployment!$G$4:$G$502, deployment!$D$4:$D$502,"="&amp;A439, deployment!$D$4:$D$502,"&lt;&gt;"&amp;""),"")</f>
        <v/>
      </c>
      <c r="I439" s="95" t="str">
        <f>IF(A439&lt;&gt;"",SUMIFS(deployment!$H$4:$H$502, deployment!$D$4:$D$502,"="&amp;A439, deployment!$D$4:$D$502,"&lt;&gt;"&amp;""),"")</f>
        <v/>
      </c>
      <c r="J439" s="96" t="str">
        <f>IF(A439&lt;&gt;"",SUMIFS(deployment!$I$4:$I$502, deployment!$D$4:$D$502,"="&amp;A439, deployment!$D$4:$D$502,"&lt;&gt;"&amp;""),"")</f>
        <v/>
      </c>
      <c r="K439" s="112" t="str">
        <f>IF(A439&lt;&gt;"",SUMIFS(deployment!$J$4:$J$502, deployment!$D$4:$D$502,"="&amp;A439, deployment!$D$4:$D$502,"&lt;&gt;"&amp;""),"")</f>
        <v/>
      </c>
      <c r="L439" s="112" t="str">
        <f>IF(A439&lt;&gt;"",SUMIFS(deployment!$K$4:$K$502, deployment!$D$4:$D$502,"="&amp;A439, deployment!$D$4:$D$502,"&lt;&gt;"&amp;""),"")</f>
        <v/>
      </c>
      <c r="M439" s="97" t="str">
        <f>IF(A439&lt;&gt;"",SUMIFS(deployment!$L$4:$L$502, deployment!$D$4:$D$502,"="&amp;A439, deployment!$D$4:$D$502,"&lt;&gt;"&amp;""),"")</f>
        <v/>
      </c>
      <c r="N439" s="97" t="str">
        <f>IF(A439&lt;&gt;"",SUMIFS(deployment!$M$4:$M$502, deployment!$D$4:$D$502,"="&amp;A439, deployment!$D$4:$D$502,"&lt;&gt;"&amp;""),"")</f>
        <v/>
      </c>
      <c r="O439" s="127" t="str">
        <f t="shared" si="83"/>
        <v/>
      </c>
      <c r="P439" s="104"/>
      <c r="Q439" s="99" t="str">
        <f t="shared" si="72"/>
        <v/>
      </c>
      <c r="R439" s="100" t="str">
        <f t="shared" si="73"/>
        <v/>
      </c>
      <c r="S439" s="100" t="str">
        <f t="shared" si="74"/>
        <v/>
      </c>
      <c r="T439" s="101" t="str">
        <f t="shared" si="75"/>
        <v/>
      </c>
      <c r="U439" s="101" t="str">
        <f t="shared" si="76"/>
        <v/>
      </c>
      <c r="V439" s="128" t="str">
        <f t="shared" si="77"/>
        <v/>
      </c>
      <c r="W439" s="128" t="str">
        <f t="shared" si="78"/>
        <v/>
      </c>
      <c r="X439" s="101" t="str">
        <f t="shared" si="79"/>
        <v/>
      </c>
      <c r="Y439" s="101" t="str">
        <f t="shared" si="80"/>
        <v/>
      </c>
      <c r="Z439" s="102" t="str">
        <f t="shared" si="81"/>
        <v/>
      </c>
      <c r="AA439" s="103" t="str">
        <f t="shared" si="82"/>
        <v/>
      </c>
      <c r="AB439" s="142" t="str">
        <f>IF(A439&lt;&gt;"", SUMIFS(node!$J$2:$J$500, node!$C$2:$C$500,"="&amp;A439)/P439, "")</f>
        <v/>
      </c>
      <c r="AC439" s="134" t="str">
        <f>IF(A439&lt;&gt;"", SUMIFS(node!$K$2:$K$500, node!$C$2:$C$500,"="&amp;A439)/P439, "")</f>
        <v/>
      </c>
      <c r="AD439" s="135" t="str">
        <f>IF(A439&lt;&gt;"", SUMIFS(node!$L$2:$L$500, node!$C$2:$C$500,"="&amp;A439), "")</f>
        <v/>
      </c>
      <c r="AE439" s="145" t="str">
        <f>IF(A439&lt;&gt;"", SUMIFS(node!$M$2:$M$500, node!$C$2:$C$500,"="&amp;A439), "")</f>
        <v/>
      </c>
    </row>
    <row r="440" spans="1:31" ht="15.75" customHeight="1" x14ac:dyDescent="0.25">
      <c r="A440" s="119" t="str">
        <f>IF(ISNONTEXT(node_raw[[#This Row],[Column2]]), "", node_raw[[#This Row],[Column2]])</f>
        <v/>
      </c>
      <c r="B440" s="116" t="str">
        <f>IF(A440&lt;&gt;"", VLOOKUP(A440, node!$C$2:$D$500, 2, FALSE), "")</f>
        <v/>
      </c>
      <c r="C440" s="117" t="str">
        <f>IF(A440&lt;&gt;"", VLOOKUP(A440, node!$C$2:$E$500, 3, FALSE), "")</f>
        <v/>
      </c>
      <c r="D440" s="118" t="str">
        <f>IF(A440&lt;&gt;"",COUNTIFS(node!$C$2:$C$500,"="&amp;A440, node!$C$2:$C$500,"&lt;&gt;"&amp;""),"")</f>
        <v/>
      </c>
      <c r="E440" s="122" t="str">
        <f>IF(A440&lt;&gt;"",SUMIFS(node!$F$2:$F$500, node!$C$2:$C$500,"="&amp;A440, node!$C$2:$C$500,"&lt;&gt;"&amp;"")/(B440*D440),"")</f>
        <v/>
      </c>
      <c r="F440" s="124" t="str">
        <f>IF(A440&lt;&gt;"",SUMIFS(node!$H$2:$H$500, node!$C$2:$C$500,"="&amp;A440, node!$C$2:$C$500,"&lt;&gt;"&amp;"")/(C440*D440),"")</f>
        <v/>
      </c>
      <c r="G440" s="93" t="str">
        <f>IF(A440&lt;&gt;"",SUMIFS(deployment!$F$4:$F$502, deployment!$D$4:$D$502,"="&amp;A440, deployment!$D$4:$D$502,"&lt;&gt;"&amp;""),"")</f>
        <v/>
      </c>
      <c r="H440" s="94" t="str">
        <f>IF(A440&lt;&gt;"",SUMIFS(deployment!$G$4:$G$502, deployment!$D$4:$D$502,"="&amp;A440, deployment!$D$4:$D$502,"&lt;&gt;"&amp;""),"")</f>
        <v/>
      </c>
      <c r="I440" s="95" t="str">
        <f>IF(A440&lt;&gt;"",SUMIFS(deployment!$H$4:$H$502, deployment!$D$4:$D$502,"="&amp;A440, deployment!$D$4:$D$502,"&lt;&gt;"&amp;""),"")</f>
        <v/>
      </c>
      <c r="J440" s="96" t="str">
        <f>IF(A440&lt;&gt;"",SUMIFS(deployment!$I$4:$I$502, deployment!$D$4:$D$502,"="&amp;A440, deployment!$D$4:$D$502,"&lt;&gt;"&amp;""),"")</f>
        <v/>
      </c>
      <c r="K440" s="112" t="str">
        <f>IF(A440&lt;&gt;"",SUMIFS(deployment!$J$4:$J$502, deployment!$D$4:$D$502,"="&amp;A440, deployment!$D$4:$D$502,"&lt;&gt;"&amp;""),"")</f>
        <v/>
      </c>
      <c r="L440" s="112" t="str">
        <f>IF(A440&lt;&gt;"",SUMIFS(deployment!$K$4:$K$502, deployment!$D$4:$D$502,"="&amp;A440, deployment!$D$4:$D$502,"&lt;&gt;"&amp;""),"")</f>
        <v/>
      </c>
      <c r="M440" s="97" t="str">
        <f>IF(A440&lt;&gt;"",SUMIFS(deployment!$L$4:$L$502, deployment!$D$4:$D$502,"="&amp;A440, deployment!$D$4:$D$502,"&lt;&gt;"&amp;""),"")</f>
        <v/>
      </c>
      <c r="N440" s="97" t="str">
        <f>IF(A440&lt;&gt;"",SUMIFS(deployment!$M$4:$M$502, deployment!$D$4:$D$502,"="&amp;A440, deployment!$D$4:$D$502,"&lt;&gt;"&amp;""),"")</f>
        <v/>
      </c>
      <c r="O440" s="127" t="str">
        <f t="shared" si="83"/>
        <v/>
      </c>
      <c r="P440" s="104"/>
      <c r="Q440" s="99" t="str">
        <f t="shared" si="72"/>
        <v/>
      </c>
      <c r="R440" s="100" t="str">
        <f t="shared" si="73"/>
        <v/>
      </c>
      <c r="S440" s="100" t="str">
        <f t="shared" si="74"/>
        <v/>
      </c>
      <c r="T440" s="101" t="str">
        <f t="shared" si="75"/>
        <v/>
      </c>
      <c r="U440" s="101" t="str">
        <f t="shared" si="76"/>
        <v/>
      </c>
      <c r="V440" s="128" t="str">
        <f t="shared" si="77"/>
        <v/>
      </c>
      <c r="W440" s="128" t="str">
        <f t="shared" si="78"/>
        <v/>
      </c>
      <c r="X440" s="101" t="str">
        <f t="shared" si="79"/>
        <v/>
      </c>
      <c r="Y440" s="101" t="str">
        <f t="shared" si="80"/>
        <v/>
      </c>
      <c r="Z440" s="102" t="str">
        <f t="shared" si="81"/>
        <v/>
      </c>
      <c r="AA440" s="103" t="str">
        <f t="shared" si="82"/>
        <v/>
      </c>
      <c r="AB440" s="142" t="str">
        <f>IF(A440&lt;&gt;"", SUMIFS(node!$J$2:$J$500, node!$C$2:$C$500,"="&amp;A440)/P440, "")</f>
        <v/>
      </c>
      <c r="AC440" s="134" t="str">
        <f>IF(A440&lt;&gt;"", SUMIFS(node!$K$2:$K$500, node!$C$2:$C$500,"="&amp;A440)/P440, "")</f>
        <v/>
      </c>
      <c r="AD440" s="135" t="str">
        <f>IF(A440&lt;&gt;"", SUMIFS(node!$L$2:$L$500, node!$C$2:$C$500,"="&amp;A440), "")</f>
        <v/>
      </c>
      <c r="AE440" s="145" t="str">
        <f>IF(A440&lt;&gt;"", SUMIFS(node!$M$2:$M$500, node!$C$2:$C$500,"="&amp;A440), "")</f>
        <v/>
      </c>
    </row>
    <row r="441" spans="1:31" ht="15.75" customHeight="1" x14ac:dyDescent="0.25">
      <c r="A441" s="119" t="str">
        <f>IF(ISNONTEXT(node_raw[[#This Row],[Column2]]), "", node_raw[[#This Row],[Column2]])</f>
        <v/>
      </c>
      <c r="B441" s="116" t="str">
        <f>IF(A441&lt;&gt;"", VLOOKUP(A441, node!$C$2:$D$500, 2, FALSE), "")</f>
        <v/>
      </c>
      <c r="C441" s="117" t="str">
        <f>IF(A441&lt;&gt;"", VLOOKUP(A441, node!$C$2:$E$500, 3, FALSE), "")</f>
        <v/>
      </c>
      <c r="D441" s="118" t="str">
        <f>IF(A441&lt;&gt;"",COUNTIFS(node!$C$2:$C$500,"="&amp;A441, node!$C$2:$C$500,"&lt;&gt;"&amp;""),"")</f>
        <v/>
      </c>
      <c r="E441" s="122" t="str">
        <f>IF(A441&lt;&gt;"",SUMIFS(node!$F$2:$F$500, node!$C$2:$C$500,"="&amp;A441, node!$C$2:$C$500,"&lt;&gt;"&amp;"")/(B441*D441),"")</f>
        <v/>
      </c>
      <c r="F441" s="124" t="str">
        <f>IF(A441&lt;&gt;"",SUMIFS(node!$H$2:$H$500, node!$C$2:$C$500,"="&amp;A441, node!$C$2:$C$500,"&lt;&gt;"&amp;"")/(C441*D441),"")</f>
        <v/>
      </c>
      <c r="G441" s="93" t="str">
        <f>IF(A441&lt;&gt;"",SUMIFS(deployment!$F$4:$F$502, deployment!$D$4:$D$502,"="&amp;A441, deployment!$D$4:$D$502,"&lt;&gt;"&amp;""),"")</f>
        <v/>
      </c>
      <c r="H441" s="94" t="str">
        <f>IF(A441&lt;&gt;"",SUMIFS(deployment!$G$4:$G$502, deployment!$D$4:$D$502,"="&amp;A441, deployment!$D$4:$D$502,"&lt;&gt;"&amp;""),"")</f>
        <v/>
      </c>
      <c r="I441" s="95" t="str">
        <f>IF(A441&lt;&gt;"",SUMIFS(deployment!$H$4:$H$502, deployment!$D$4:$D$502,"="&amp;A441, deployment!$D$4:$D$502,"&lt;&gt;"&amp;""),"")</f>
        <v/>
      </c>
      <c r="J441" s="96" t="str">
        <f>IF(A441&lt;&gt;"",SUMIFS(deployment!$I$4:$I$502, deployment!$D$4:$D$502,"="&amp;A441, deployment!$D$4:$D$502,"&lt;&gt;"&amp;""),"")</f>
        <v/>
      </c>
      <c r="K441" s="112" t="str">
        <f>IF(A441&lt;&gt;"",SUMIFS(deployment!$J$4:$J$502, deployment!$D$4:$D$502,"="&amp;A441, deployment!$D$4:$D$502,"&lt;&gt;"&amp;""),"")</f>
        <v/>
      </c>
      <c r="L441" s="112" t="str">
        <f>IF(A441&lt;&gt;"",SUMIFS(deployment!$K$4:$K$502, deployment!$D$4:$D$502,"="&amp;A441, deployment!$D$4:$D$502,"&lt;&gt;"&amp;""),"")</f>
        <v/>
      </c>
      <c r="M441" s="97" t="str">
        <f>IF(A441&lt;&gt;"",SUMIFS(deployment!$L$4:$L$502, deployment!$D$4:$D$502,"="&amp;A441, deployment!$D$4:$D$502,"&lt;&gt;"&amp;""),"")</f>
        <v/>
      </c>
      <c r="N441" s="97" t="str">
        <f>IF(A441&lt;&gt;"",SUMIFS(deployment!$M$4:$M$502, deployment!$D$4:$D$502,"="&amp;A441, deployment!$D$4:$D$502,"&lt;&gt;"&amp;""),"")</f>
        <v/>
      </c>
      <c r="O441" s="127" t="str">
        <f t="shared" si="83"/>
        <v/>
      </c>
      <c r="P441" s="104"/>
      <c r="Q441" s="99" t="str">
        <f t="shared" si="72"/>
        <v/>
      </c>
      <c r="R441" s="100" t="str">
        <f t="shared" si="73"/>
        <v/>
      </c>
      <c r="S441" s="100" t="str">
        <f t="shared" si="74"/>
        <v/>
      </c>
      <c r="T441" s="101" t="str">
        <f t="shared" si="75"/>
        <v/>
      </c>
      <c r="U441" s="101" t="str">
        <f t="shared" si="76"/>
        <v/>
      </c>
      <c r="V441" s="128" t="str">
        <f t="shared" si="77"/>
        <v/>
      </c>
      <c r="W441" s="128" t="str">
        <f t="shared" si="78"/>
        <v/>
      </c>
      <c r="X441" s="101" t="str">
        <f t="shared" si="79"/>
        <v/>
      </c>
      <c r="Y441" s="101" t="str">
        <f t="shared" si="80"/>
        <v/>
      </c>
      <c r="Z441" s="102" t="str">
        <f t="shared" si="81"/>
        <v/>
      </c>
      <c r="AA441" s="103" t="str">
        <f t="shared" si="82"/>
        <v/>
      </c>
      <c r="AB441" s="142" t="str">
        <f>IF(A441&lt;&gt;"", SUMIFS(node!$J$2:$J$500, node!$C$2:$C$500,"="&amp;A441)/P441, "")</f>
        <v/>
      </c>
      <c r="AC441" s="134" t="str">
        <f>IF(A441&lt;&gt;"", SUMIFS(node!$K$2:$K$500, node!$C$2:$C$500,"="&amp;A441)/P441, "")</f>
        <v/>
      </c>
      <c r="AD441" s="135" t="str">
        <f>IF(A441&lt;&gt;"", SUMIFS(node!$L$2:$L$500, node!$C$2:$C$500,"="&amp;A441), "")</f>
        <v/>
      </c>
      <c r="AE441" s="145" t="str">
        <f>IF(A441&lt;&gt;"", SUMIFS(node!$M$2:$M$500, node!$C$2:$C$500,"="&amp;A441), "")</f>
        <v/>
      </c>
    </row>
    <row r="442" spans="1:31" ht="15.75" customHeight="1" x14ac:dyDescent="0.25">
      <c r="A442" s="119" t="str">
        <f>IF(ISNONTEXT(node_raw[[#This Row],[Column2]]), "", node_raw[[#This Row],[Column2]])</f>
        <v/>
      </c>
      <c r="B442" s="116" t="str">
        <f>IF(A442&lt;&gt;"", VLOOKUP(A442, node!$C$2:$D$500, 2, FALSE), "")</f>
        <v/>
      </c>
      <c r="C442" s="117" t="str">
        <f>IF(A442&lt;&gt;"", VLOOKUP(A442, node!$C$2:$E$500, 3, FALSE), "")</f>
        <v/>
      </c>
      <c r="D442" s="118" t="str">
        <f>IF(A442&lt;&gt;"",COUNTIFS(node!$C$2:$C$500,"="&amp;A442, node!$C$2:$C$500,"&lt;&gt;"&amp;""),"")</f>
        <v/>
      </c>
      <c r="E442" s="122" t="str">
        <f>IF(A442&lt;&gt;"",SUMIFS(node!$F$2:$F$500, node!$C$2:$C$500,"="&amp;A442, node!$C$2:$C$500,"&lt;&gt;"&amp;"")/(B442*D442),"")</f>
        <v/>
      </c>
      <c r="F442" s="124" t="str">
        <f>IF(A442&lt;&gt;"",SUMIFS(node!$H$2:$H$500, node!$C$2:$C$500,"="&amp;A442, node!$C$2:$C$500,"&lt;&gt;"&amp;"")/(C442*D442),"")</f>
        <v/>
      </c>
      <c r="G442" s="93" t="str">
        <f>IF(A442&lt;&gt;"",SUMIFS(deployment!$F$4:$F$502, deployment!$D$4:$D$502,"="&amp;A442, deployment!$D$4:$D$502,"&lt;&gt;"&amp;""),"")</f>
        <v/>
      </c>
      <c r="H442" s="94" t="str">
        <f>IF(A442&lt;&gt;"",SUMIFS(deployment!$G$4:$G$502, deployment!$D$4:$D$502,"="&amp;A442, deployment!$D$4:$D$502,"&lt;&gt;"&amp;""),"")</f>
        <v/>
      </c>
      <c r="I442" s="95" t="str">
        <f>IF(A442&lt;&gt;"",SUMIFS(deployment!$H$4:$H$502, deployment!$D$4:$D$502,"="&amp;A442, deployment!$D$4:$D$502,"&lt;&gt;"&amp;""),"")</f>
        <v/>
      </c>
      <c r="J442" s="96" t="str">
        <f>IF(A442&lt;&gt;"",SUMIFS(deployment!$I$4:$I$502, deployment!$D$4:$D$502,"="&amp;A442, deployment!$D$4:$D$502,"&lt;&gt;"&amp;""),"")</f>
        <v/>
      </c>
      <c r="K442" s="112" t="str">
        <f>IF(A442&lt;&gt;"",SUMIFS(deployment!$J$4:$J$502, deployment!$D$4:$D$502,"="&amp;A442, deployment!$D$4:$D$502,"&lt;&gt;"&amp;""),"")</f>
        <v/>
      </c>
      <c r="L442" s="112" t="str">
        <f>IF(A442&lt;&gt;"",SUMIFS(deployment!$K$4:$K$502, deployment!$D$4:$D$502,"="&amp;A442, deployment!$D$4:$D$502,"&lt;&gt;"&amp;""),"")</f>
        <v/>
      </c>
      <c r="M442" s="97" t="str">
        <f>IF(A442&lt;&gt;"",SUMIFS(deployment!$L$4:$L$502, deployment!$D$4:$D$502,"="&amp;A442, deployment!$D$4:$D$502,"&lt;&gt;"&amp;""),"")</f>
        <v/>
      </c>
      <c r="N442" s="97" t="str">
        <f>IF(A442&lt;&gt;"",SUMIFS(deployment!$M$4:$M$502, deployment!$D$4:$D$502,"="&amp;A442, deployment!$D$4:$D$502,"&lt;&gt;"&amp;""),"")</f>
        <v/>
      </c>
      <c r="O442" s="127" t="str">
        <f t="shared" si="83"/>
        <v/>
      </c>
      <c r="P442" s="104"/>
      <c r="Q442" s="99" t="str">
        <f t="shared" si="72"/>
        <v/>
      </c>
      <c r="R442" s="100" t="str">
        <f t="shared" si="73"/>
        <v/>
      </c>
      <c r="S442" s="100" t="str">
        <f t="shared" si="74"/>
        <v/>
      </c>
      <c r="T442" s="101" t="str">
        <f t="shared" si="75"/>
        <v/>
      </c>
      <c r="U442" s="101" t="str">
        <f t="shared" si="76"/>
        <v/>
      </c>
      <c r="V442" s="128" t="str">
        <f t="shared" si="77"/>
        <v/>
      </c>
      <c r="W442" s="128" t="str">
        <f t="shared" si="78"/>
        <v/>
      </c>
      <c r="X442" s="101" t="str">
        <f t="shared" si="79"/>
        <v/>
      </c>
      <c r="Y442" s="101" t="str">
        <f t="shared" si="80"/>
        <v/>
      </c>
      <c r="Z442" s="102" t="str">
        <f t="shared" si="81"/>
        <v/>
      </c>
      <c r="AA442" s="103" t="str">
        <f t="shared" si="82"/>
        <v/>
      </c>
      <c r="AB442" s="142" t="str">
        <f>IF(A442&lt;&gt;"", SUMIFS(node!$J$2:$J$500, node!$C$2:$C$500,"="&amp;A442)/P442, "")</f>
        <v/>
      </c>
      <c r="AC442" s="134" t="str">
        <f>IF(A442&lt;&gt;"", SUMIFS(node!$K$2:$K$500, node!$C$2:$C$500,"="&amp;A442)/P442, "")</f>
        <v/>
      </c>
      <c r="AD442" s="135" t="str">
        <f>IF(A442&lt;&gt;"", SUMIFS(node!$L$2:$L$500, node!$C$2:$C$500,"="&amp;A442), "")</f>
        <v/>
      </c>
      <c r="AE442" s="145" t="str">
        <f>IF(A442&lt;&gt;"", SUMIFS(node!$M$2:$M$500, node!$C$2:$C$500,"="&amp;A442), "")</f>
        <v/>
      </c>
    </row>
    <row r="443" spans="1:31" ht="15.75" customHeight="1" x14ac:dyDescent="0.25">
      <c r="A443" s="119" t="str">
        <f>IF(ISNONTEXT(node_raw[[#This Row],[Column2]]), "", node_raw[[#This Row],[Column2]])</f>
        <v/>
      </c>
      <c r="B443" s="116" t="str">
        <f>IF(A443&lt;&gt;"", VLOOKUP(A443, node!$C$2:$D$500, 2, FALSE), "")</f>
        <v/>
      </c>
      <c r="C443" s="117" t="str">
        <f>IF(A443&lt;&gt;"", VLOOKUP(A443, node!$C$2:$E$500, 3, FALSE), "")</f>
        <v/>
      </c>
      <c r="D443" s="118" t="str">
        <f>IF(A443&lt;&gt;"",COUNTIFS(node!$C$2:$C$500,"="&amp;A443, node!$C$2:$C$500,"&lt;&gt;"&amp;""),"")</f>
        <v/>
      </c>
      <c r="E443" s="122" t="str">
        <f>IF(A443&lt;&gt;"",SUMIFS(node!$F$2:$F$500, node!$C$2:$C$500,"="&amp;A443, node!$C$2:$C$500,"&lt;&gt;"&amp;"")/(B443*D443),"")</f>
        <v/>
      </c>
      <c r="F443" s="124" t="str">
        <f>IF(A443&lt;&gt;"",SUMIFS(node!$H$2:$H$500, node!$C$2:$C$500,"="&amp;A443, node!$C$2:$C$500,"&lt;&gt;"&amp;"")/(C443*D443),"")</f>
        <v/>
      </c>
      <c r="G443" s="93" t="str">
        <f>IF(A443&lt;&gt;"",SUMIFS(deployment!$F$4:$F$502, deployment!$D$4:$D$502,"="&amp;A443, deployment!$D$4:$D$502,"&lt;&gt;"&amp;""),"")</f>
        <v/>
      </c>
      <c r="H443" s="94" t="str">
        <f>IF(A443&lt;&gt;"",SUMIFS(deployment!$G$4:$G$502, deployment!$D$4:$D$502,"="&amp;A443, deployment!$D$4:$D$502,"&lt;&gt;"&amp;""),"")</f>
        <v/>
      </c>
      <c r="I443" s="95" t="str">
        <f>IF(A443&lt;&gt;"",SUMIFS(deployment!$H$4:$H$502, deployment!$D$4:$D$502,"="&amp;A443, deployment!$D$4:$D$502,"&lt;&gt;"&amp;""),"")</f>
        <v/>
      </c>
      <c r="J443" s="96" t="str">
        <f>IF(A443&lt;&gt;"",SUMIFS(deployment!$I$4:$I$502, deployment!$D$4:$D$502,"="&amp;A443, deployment!$D$4:$D$502,"&lt;&gt;"&amp;""),"")</f>
        <v/>
      </c>
      <c r="K443" s="112" t="str">
        <f>IF(A443&lt;&gt;"",SUMIFS(deployment!$J$4:$J$502, deployment!$D$4:$D$502,"="&amp;A443, deployment!$D$4:$D$502,"&lt;&gt;"&amp;""),"")</f>
        <v/>
      </c>
      <c r="L443" s="112" t="str">
        <f>IF(A443&lt;&gt;"",SUMIFS(deployment!$K$4:$K$502, deployment!$D$4:$D$502,"="&amp;A443, deployment!$D$4:$D$502,"&lt;&gt;"&amp;""),"")</f>
        <v/>
      </c>
      <c r="M443" s="97" t="str">
        <f>IF(A443&lt;&gt;"",SUMIFS(deployment!$L$4:$L$502, deployment!$D$4:$D$502,"="&amp;A443, deployment!$D$4:$D$502,"&lt;&gt;"&amp;""),"")</f>
        <v/>
      </c>
      <c r="N443" s="97" t="str">
        <f>IF(A443&lt;&gt;"",SUMIFS(deployment!$M$4:$M$502, deployment!$D$4:$D$502,"="&amp;A443, deployment!$D$4:$D$502,"&lt;&gt;"&amp;""),"")</f>
        <v/>
      </c>
      <c r="O443" s="127" t="str">
        <f t="shared" si="83"/>
        <v/>
      </c>
      <c r="P443" s="104"/>
      <c r="Q443" s="99" t="str">
        <f t="shared" si="72"/>
        <v/>
      </c>
      <c r="R443" s="100" t="str">
        <f t="shared" si="73"/>
        <v/>
      </c>
      <c r="S443" s="100" t="str">
        <f t="shared" si="74"/>
        <v/>
      </c>
      <c r="T443" s="101" t="str">
        <f t="shared" si="75"/>
        <v/>
      </c>
      <c r="U443" s="101" t="str">
        <f t="shared" si="76"/>
        <v/>
      </c>
      <c r="V443" s="128" t="str">
        <f t="shared" si="77"/>
        <v/>
      </c>
      <c r="W443" s="128" t="str">
        <f t="shared" si="78"/>
        <v/>
      </c>
      <c r="X443" s="101" t="str">
        <f t="shared" si="79"/>
        <v/>
      </c>
      <c r="Y443" s="101" t="str">
        <f t="shared" si="80"/>
        <v/>
      </c>
      <c r="Z443" s="102" t="str">
        <f t="shared" si="81"/>
        <v/>
      </c>
      <c r="AA443" s="103" t="str">
        <f t="shared" si="82"/>
        <v/>
      </c>
      <c r="AB443" s="142" t="str">
        <f>IF(A443&lt;&gt;"", SUMIFS(node!$J$2:$J$500, node!$C$2:$C$500,"="&amp;A443)/P443, "")</f>
        <v/>
      </c>
      <c r="AC443" s="134" t="str">
        <f>IF(A443&lt;&gt;"", SUMIFS(node!$K$2:$K$500, node!$C$2:$C$500,"="&amp;A443)/P443, "")</f>
        <v/>
      </c>
      <c r="AD443" s="135" t="str">
        <f>IF(A443&lt;&gt;"", SUMIFS(node!$L$2:$L$500, node!$C$2:$C$500,"="&amp;A443), "")</f>
        <v/>
      </c>
      <c r="AE443" s="145" t="str">
        <f>IF(A443&lt;&gt;"", SUMIFS(node!$M$2:$M$500, node!$C$2:$C$500,"="&amp;A443), "")</f>
        <v/>
      </c>
    </row>
    <row r="444" spans="1:31" ht="15.75" customHeight="1" x14ac:dyDescent="0.25">
      <c r="A444" s="119" t="str">
        <f>IF(ISNONTEXT(node_raw[[#This Row],[Column2]]), "", node_raw[[#This Row],[Column2]])</f>
        <v/>
      </c>
      <c r="B444" s="116" t="str">
        <f>IF(A444&lt;&gt;"", VLOOKUP(A444, node!$C$2:$D$500, 2, FALSE), "")</f>
        <v/>
      </c>
      <c r="C444" s="117" t="str">
        <f>IF(A444&lt;&gt;"", VLOOKUP(A444, node!$C$2:$E$500, 3, FALSE), "")</f>
        <v/>
      </c>
      <c r="D444" s="118" t="str">
        <f>IF(A444&lt;&gt;"",COUNTIFS(node!$C$2:$C$500,"="&amp;A444, node!$C$2:$C$500,"&lt;&gt;"&amp;""),"")</f>
        <v/>
      </c>
      <c r="E444" s="122" t="str">
        <f>IF(A444&lt;&gt;"",SUMIFS(node!$F$2:$F$500, node!$C$2:$C$500,"="&amp;A444, node!$C$2:$C$500,"&lt;&gt;"&amp;"")/(B444*D444),"")</f>
        <v/>
      </c>
      <c r="F444" s="124" t="str">
        <f>IF(A444&lt;&gt;"",SUMIFS(node!$H$2:$H$500, node!$C$2:$C$500,"="&amp;A444, node!$C$2:$C$500,"&lt;&gt;"&amp;"")/(C444*D444),"")</f>
        <v/>
      </c>
      <c r="G444" s="93" t="str">
        <f>IF(A444&lt;&gt;"",SUMIFS(deployment!$F$4:$F$502, deployment!$D$4:$D$502,"="&amp;A444, deployment!$D$4:$D$502,"&lt;&gt;"&amp;""),"")</f>
        <v/>
      </c>
      <c r="H444" s="94" t="str">
        <f>IF(A444&lt;&gt;"",SUMIFS(deployment!$G$4:$G$502, deployment!$D$4:$D$502,"="&amp;A444, deployment!$D$4:$D$502,"&lt;&gt;"&amp;""),"")</f>
        <v/>
      </c>
      <c r="I444" s="95" t="str">
        <f>IF(A444&lt;&gt;"",SUMIFS(deployment!$H$4:$H$502, deployment!$D$4:$D$502,"="&amp;A444, deployment!$D$4:$D$502,"&lt;&gt;"&amp;""),"")</f>
        <v/>
      </c>
      <c r="J444" s="96" t="str">
        <f>IF(A444&lt;&gt;"",SUMIFS(deployment!$I$4:$I$502, deployment!$D$4:$D$502,"="&amp;A444, deployment!$D$4:$D$502,"&lt;&gt;"&amp;""),"")</f>
        <v/>
      </c>
      <c r="K444" s="112" t="str">
        <f>IF(A444&lt;&gt;"",SUMIFS(deployment!$J$4:$J$502, deployment!$D$4:$D$502,"="&amp;A444, deployment!$D$4:$D$502,"&lt;&gt;"&amp;""),"")</f>
        <v/>
      </c>
      <c r="L444" s="112" t="str">
        <f>IF(A444&lt;&gt;"",SUMIFS(deployment!$K$4:$K$502, deployment!$D$4:$D$502,"="&amp;A444, deployment!$D$4:$D$502,"&lt;&gt;"&amp;""),"")</f>
        <v/>
      </c>
      <c r="M444" s="97" t="str">
        <f>IF(A444&lt;&gt;"",SUMIFS(deployment!$L$4:$L$502, deployment!$D$4:$D$502,"="&amp;A444, deployment!$D$4:$D$502,"&lt;&gt;"&amp;""),"")</f>
        <v/>
      </c>
      <c r="N444" s="97" t="str">
        <f>IF(A444&lt;&gt;"",SUMIFS(deployment!$M$4:$M$502, deployment!$D$4:$D$502,"="&amp;A444, deployment!$D$4:$D$502,"&lt;&gt;"&amp;""),"")</f>
        <v/>
      </c>
      <c r="O444" s="127" t="str">
        <f t="shared" si="83"/>
        <v/>
      </c>
      <c r="P444" s="104"/>
      <c r="Q444" s="99" t="str">
        <f t="shared" si="72"/>
        <v/>
      </c>
      <c r="R444" s="100" t="str">
        <f t="shared" si="73"/>
        <v/>
      </c>
      <c r="S444" s="100" t="str">
        <f t="shared" si="74"/>
        <v/>
      </c>
      <c r="T444" s="101" t="str">
        <f t="shared" si="75"/>
        <v/>
      </c>
      <c r="U444" s="101" t="str">
        <f t="shared" si="76"/>
        <v/>
      </c>
      <c r="V444" s="128" t="str">
        <f t="shared" si="77"/>
        <v/>
      </c>
      <c r="W444" s="128" t="str">
        <f t="shared" si="78"/>
        <v/>
      </c>
      <c r="X444" s="101" t="str">
        <f t="shared" si="79"/>
        <v/>
      </c>
      <c r="Y444" s="101" t="str">
        <f t="shared" si="80"/>
        <v/>
      </c>
      <c r="Z444" s="102" t="str">
        <f t="shared" si="81"/>
        <v/>
      </c>
      <c r="AA444" s="103" t="str">
        <f t="shared" si="82"/>
        <v/>
      </c>
      <c r="AB444" s="142" t="str">
        <f>IF(A444&lt;&gt;"", SUMIFS(node!$J$2:$J$500, node!$C$2:$C$500,"="&amp;A444)/P444, "")</f>
        <v/>
      </c>
      <c r="AC444" s="134" t="str">
        <f>IF(A444&lt;&gt;"", SUMIFS(node!$K$2:$K$500, node!$C$2:$C$500,"="&amp;A444)/P444, "")</f>
        <v/>
      </c>
      <c r="AD444" s="135" t="str">
        <f>IF(A444&lt;&gt;"", SUMIFS(node!$L$2:$L$500, node!$C$2:$C$500,"="&amp;A444), "")</f>
        <v/>
      </c>
      <c r="AE444" s="145" t="str">
        <f>IF(A444&lt;&gt;"", SUMIFS(node!$M$2:$M$500, node!$C$2:$C$500,"="&amp;A444), "")</f>
        <v/>
      </c>
    </row>
    <row r="445" spans="1:31" ht="15.75" customHeight="1" x14ac:dyDescent="0.25">
      <c r="A445" s="119" t="str">
        <f>IF(ISNONTEXT(node_raw[[#This Row],[Column2]]), "", node_raw[[#This Row],[Column2]])</f>
        <v/>
      </c>
      <c r="B445" s="116" t="str">
        <f>IF(A445&lt;&gt;"", VLOOKUP(A445, node!$C$2:$D$500, 2, FALSE), "")</f>
        <v/>
      </c>
      <c r="C445" s="117" t="str">
        <f>IF(A445&lt;&gt;"", VLOOKUP(A445, node!$C$2:$E$500, 3, FALSE), "")</f>
        <v/>
      </c>
      <c r="D445" s="118" t="str">
        <f>IF(A445&lt;&gt;"",COUNTIFS(node!$C$2:$C$500,"="&amp;A445, node!$C$2:$C$500,"&lt;&gt;"&amp;""),"")</f>
        <v/>
      </c>
      <c r="E445" s="122" t="str">
        <f>IF(A445&lt;&gt;"",SUMIFS(node!$F$2:$F$500, node!$C$2:$C$500,"="&amp;A445, node!$C$2:$C$500,"&lt;&gt;"&amp;"")/(B445*D445),"")</f>
        <v/>
      </c>
      <c r="F445" s="124" t="str">
        <f>IF(A445&lt;&gt;"",SUMIFS(node!$H$2:$H$500, node!$C$2:$C$500,"="&amp;A445, node!$C$2:$C$500,"&lt;&gt;"&amp;"")/(C445*D445),"")</f>
        <v/>
      </c>
      <c r="G445" s="93" t="str">
        <f>IF(A445&lt;&gt;"",SUMIFS(deployment!$F$4:$F$502, deployment!$D$4:$D$502,"="&amp;A445, deployment!$D$4:$D$502,"&lt;&gt;"&amp;""),"")</f>
        <v/>
      </c>
      <c r="H445" s="94" t="str">
        <f>IF(A445&lt;&gt;"",SUMIFS(deployment!$G$4:$G$502, deployment!$D$4:$D$502,"="&amp;A445, deployment!$D$4:$D$502,"&lt;&gt;"&amp;""),"")</f>
        <v/>
      </c>
      <c r="I445" s="95" t="str">
        <f>IF(A445&lt;&gt;"",SUMIFS(deployment!$H$4:$H$502, deployment!$D$4:$D$502,"="&amp;A445, deployment!$D$4:$D$502,"&lt;&gt;"&amp;""),"")</f>
        <v/>
      </c>
      <c r="J445" s="96" t="str">
        <f>IF(A445&lt;&gt;"",SUMIFS(deployment!$I$4:$I$502, deployment!$D$4:$D$502,"="&amp;A445, deployment!$D$4:$D$502,"&lt;&gt;"&amp;""),"")</f>
        <v/>
      </c>
      <c r="K445" s="112" t="str">
        <f>IF(A445&lt;&gt;"",SUMIFS(deployment!$J$4:$J$502, deployment!$D$4:$D$502,"="&amp;A445, deployment!$D$4:$D$502,"&lt;&gt;"&amp;""),"")</f>
        <v/>
      </c>
      <c r="L445" s="112" t="str">
        <f>IF(A445&lt;&gt;"",SUMIFS(deployment!$K$4:$K$502, deployment!$D$4:$D$502,"="&amp;A445, deployment!$D$4:$D$502,"&lt;&gt;"&amp;""),"")</f>
        <v/>
      </c>
      <c r="M445" s="97" t="str">
        <f>IF(A445&lt;&gt;"",SUMIFS(deployment!$L$4:$L$502, deployment!$D$4:$D$502,"="&amp;A445, deployment!$D$4:$D$502,"&lt;&gt;"&amp;""),"")</f>
        <v/>
      </c>
      <c r="N445" s="97" t="str">
        <f>IF(A445&lt;&gt;"",SUMIFS(deployment!$M$4:$M$502, deployment!$D$4:$D$502,"="&amp;A445, deployment!$D$4:$D$502,"&lt;&gt;"&amp;""),"")</f>
        <v/>
      </c>
      <c r="O445" s="127" t="str">
        <f t="shared" si="83"/>
        <v/>
      </c>
      <c r="P445" s="104"/>
      <c r="Q445" s="99" t="str">
        <f t="shared" si="72"/>
        <v/>
      </c>
      <c r="R445" s="100" t="str">
        <f t="shared" si="73"/>
        <v/>
      </c>
      <c r="S445" s="100" t="str">
        <f t="shared" si="74"/>
        <v/>
      </c>
      <c r="T445" s="101" t="str">
        <f t="shared" si="75"/>
        <v/>
      </c>
      <c r="U445" s="101" t="str">
        <f t="shared" si="76"/>
        <v/>
      </c>
      <c r="V445" s="128" t="str">
        <f t="shared" si="77"/>
        <v/>
      </c>
      <c r="W445" s="128" t="str">
        <f t="shared" si="78"/>
        <v/>
      </c>
      <c r="X445" s="101" t="str">
        <f t="shared" si="79"/>
        <v/>
      </c>
      <c r="Y445" s="101" t="str">
        <f t="shared" si="80"/>
        <v/>
      </c>
      <c r="Z445" s="102" t="str">
        <f t="shared" si="81"/>
        <v/>
      </c>
      <c r="AA445" s="103" t="str">
        <f t="shared" si="82"/>
        <v/>
      </c>
      <c r="AB445" s="142" t="str">
        <f>IF(A445&lt;&gt;"", SUMIFS(node!$J$2:$J$500, node!$C$2:$C$500,"="&amp;A445)/P445, "")</f>
        <v/>
      </c>
      <c r="AC445" s="134" t="str">
        <f>IF(A445&lt;&gt;"", SUMIFS(node!$K$2:$K$500, node!$C$2:$C$500,"="&amp;A445)/P445, "")</f>
        <v/>
      </c>
      <c r="AD445" s="135" t="str">
        <f>IF(A445&lt;&gt;"", SUMIFS(node!$L$2:$L$500, node!$C$2:$C$500,"="&amp;A445), "")</f>
        <v/>
      </c>
      <c r="AE445" s="145" t="str">
        <f>IF(A445&lt;&gt;"", SUMIFS(node!$M$2:$M$500, node!$C$2:$C$500,"="&amp;A445), "")</f>
        <v/>
      </c>
    </row>
    <row r="446" spans="1:31" ht="15.75" customHeight="1" x14ac:dyDescent="0.25">
      <c r="A446" s="119" t="str">
        <f>IF(ISNONTEXT(node_raw[[#This Row],[Column2]]), "", node_raw[[#This Row],[Column2]])</f>
        <v/>
      </c>
      <c r="B446" s="116" t="str">
        <f>IF(A446&lt;&gt;"", VLOOKUP(A446, node!$C$2:$D$500, 2, FALSE), "")</f>
        <v/>
      </c>
      <c r="C446" s="117" t="str">
        <f>IF(A446&lt;&gt;"", VLOOKUP(A446, node!$C$2:$E$500, 3, FALSE), "")</f>
        <v/>
      </c>
      <c r="D446" s="118" t="str">
        <f>IF(A446&lt;&gt;"",COUNTIFS(node!$C$2:$C$500,"="&amp;A446, node!$C$2:$C$500,"&lt;&gt;"&amp;""),"")</f>
        <v/>
      </c>
      <c r="E446" s="122" t="str">
        <f>IF(A446&lt;&gt;"",SUMIFS(node!$F$2:$F$500, node!$C$2:$C$500,"="&amp;A446, node!$C$2:$C$500,"&lt;&gt;"&amp;"")/(B446*D446),"")</f>
        <v/>
      </c>
      <c r="F446" s="124" t="str">
        <f>IF(A446&lt;&gt;"",SUMIFS(node!$H$2:$H$500, node!$C$2:$C$500,"="&amp;A446, node!$C$2:$C$500,"&lt;&gt;"&amp;"")/(C446*D446),"")</f>
        <v/>
      </c>
      <c r="G446" s="93" t="str">
        <f>IF(A446&lt;&gt;"",SUMIFS(deployment!$F$4:$F$502, deployment!$D$4:$D$502,"="&amp;A446, deployment!$D$4:$D$502,"&lt;&gt;"&amp;""),"")</f>
        <v/>
      </c>
      <c r="H446" s="94" t="str">
        <f>IF(A446&lt;&gt;"",SUMIFS(deployment!$G$4:$G$502, deployment!$D$4:$D$502,"="&amp;A446, deployment!$D$4:$D$502,"&lt;&gt;"&amp;""),"")</f>
        <v/>
      </c>
      <c r="I446" s="95" t="str">
        <f>IF(A446&lt;&gt;"",SUMIFS(deployment!$H$4:$H$502, deployment!$D$4:$D$502,"="&amp;A446, deployment!$D$4:$D$502,"&lt;&gt;"&amp;""),"")</f>
        <v/>
      </c>
      <c r="J446" s="96" t="str">
        <f>IF(A446&lt;&gt;"",SUMIFS(deployment!$I$4:$I$502, deployment!$D$4:$D$502,"="&amp;A446, deployment!$D$4:$D$502,"&lt;&gt;"&amp;""),"")</f>
        <v/>
      </c>
      <c r="K446" s="112" t="str">
        <f>IF(A446&lt;&gt;"",SUMIFS(deployment!$J$4:$J$502, deployment!$D$4:$D$502,"="&amp;A446, deployment!$D$4:$D$502,"&lt;&gt;"&amp;""),"")</f>
        <v/>
      </c>
      <c r="L446" s="112" t="str">
        <f>IF(A446&lt;&gt;"",SUMIFS(deployment!$K$4:$K$502, deployment!$D$4:$D$502,"="&amp;A446, deployment!$D$4:$D$502,"&lt;&gt;"&amp;""),"")</f>
        <v/>
      </c>
      <c r="M446" s="97" t="str">
        <f>IF(A446&lt;&gt;"",SUMIFS(deployment!$L$4:$L$502, deployment!$D$4:$D$502,"="&amp;A446, deployment!$D$4:$D$502,"&lt;&gt;"&amp;""),"")</f>
        <v/>
      </c>
      <c r="N446" s="97" t="str">
        <f>IF(A446&lt;&gt;"",SUMIFS(deployment!$M$4:$M$502, deployment!$D$4:$D$502,"="&amp;A446, deployment!$D$4:$D$502,"&lt;&gt;"&amp;""),"")</f>
        <v/>
      </c>
      <c r="O446" s="127" t="str">
        <f t="shared" si="83"/>
        <v/>
      </c>
      <c r="P446" s="104"/>
      <c r="Q446" s="99" t="str">
        <f t="shared" si="72"/>
        <v/>
      </c>
      <c r="R446" s="100" t="str">
        <f t="shared" si="73"/>
        <v/>
      </c>
      <c r="S446" s="100" t="str">
        <f t="shared" si="74"/>
        <v/>
      </c>
      <c r="T446" s="101" t="str">
        <f t="shared" si="75"/>
        <v/>
      </c>
      <c r="U446" s="101" t="str">
        <f t="shared" si="76"/>
        <v/>
      </c>
      <c r="V446" s="128" t="str">
        <f t="shared" si="77"/>
        <v/>
      </c>
      <c r="W446" s="128" t="str">
        <f t="shared" si="78"/>
        <v/>
      </c>
      <c r="X446" s="101" t="str">
        <f t="shared" si="79"/>
        <v/>
      </c>
      <c r="Y446" s="101" t="str">
        <f t="shared" si="80"/>
        <v/>
      </c>
      <c r="Z446" s="102" t="str">
        <f t="shared" si="81"/>
        <v/>
      </c>
      <c r="AA446" s="103" t="str">
        <f t="shared" si="82"/>
        <v/>
      </c>
      <c r="AB446" s="142" t="str">
        <f>IF(A446&lt;&gt;"", SUMIFS(node!$J$2:$J$500, node!$C$2:$C$500,"="&amp;A446)/P446, "")</f>
        <v/>
      </c>
      <c r="AC446" s="134" t="str">
        <f>IF(A446&lt;&gt;"", SUMIFS(node!$K$2:$K$500, node!$C$2:$C$500,"="&amp;A446)/P446, "")</f>
        <v/>
      </c>
      <c r="AD446" s="135" t="str">
        <f>IF(A446&lt;&gt;"", SUMIFS(node!$L$2:$L$500, node!$C$2:$C$500,"="&amp;A446), "")</f>
        <v/>
      </c>
      <c r="AE446" s="145" t="str">
        <f>IF(A446&lt;&gt;"", SUMIFS(node!$M$2:$M$500, node!$C$2:$C$500,"="&amp;A446), "")</f>
        <v/>
      </c>
    </row>
    <row r="447" spans="1:31" ht="15.75" customHeight="1" x14ac:dyDescent="0.25">
      <c r="A447" s="119" t="str">
        <f>IF(ISNONTEXT(node_raw[[#This Row],[Column2]]), "", node_raw[[#This Row],[Column2]])</f>
        <v/>
      </c>
      <c r="B447" s="116" t="str">
        <f>IF(A447&lt;&gt;"", VLOOKUP(A447, node!$C$2:$D$500, 2, FALSE), "")</f>
        <v/>
      </c>
      <c r="C447" s="117" t="str">
        <f>IF(A447&lt;&gt;"", VLOOKUP(A447, node!$C$2:$E$500, 3, FALSE), "")</f>
        <v/>
      </c>
      <c r="D447" s="118" t="str">
        <f>IF(A447&lt;&gt;"",COUNTIFS(node!$C$2:$C$500,"="&amp;A447, node!$C$2:$C$500,"&lt;&gt;"&amp;""),"")</f>
        <v/>
      </c>
      <c r="E447" s="122" t="str">
        <f>IF(A447&lt;&gt;"",SUMIFS(node!$F$2:$F$500, node!$C$2:$C$500,"="&amp;A447, node!$C$2:$C$500,"&lt;&gt;"&amp;"")/(B447*D447),"")</f>
        <v/>
      </c>
      <c r="F447" s="124" t="str">
        <f>IF(A447&lt;&gt;"",SUMIFS(node!$H$2:$H$500, node!$C$2:$C$500,"="&amp;A447, node!$C$2:$C$500,"&lt;&gt;"&amp;"")/(C447*D447),"")</f>
        <v/>
      </c>
      <c r="G447" s="93" t="str">
        <f>IF(A447&lt;&gt;"",SUMIFS(deployment!$F$4:$F$502, deployment!$D$4:$D$502,"="&amp;A447, deployment!$D$4:$D$502,"&lt;&gt;"&amp;""),"")</f>
        <v/>
      </c>
      <c r="H447" s="94" t="str">
        <f>IF(A447&lt;&gt;"",SUMIFS(deployment!$G$4:$G$502, deployment!$D$4:$D$502,"="&amp;A447, deployment!$D$4:$D$502,"&lt;&gt;"&amp;""),"")</f>
        <v/>
      </c>
      <c r="I447" s="95" t="str">
        <f>IF(A447&lt;&gt;"",SUMIFS(deployment!$H$4:$H$502, deployment!$D$4:$D$502,"="&amp;A447, deployment!$D$4:$D$502,"&lt;&gt;"&amp;""),"")</f>
        <v/>
      </c>
      <c r="J447" s="96" t="str">
        <f>IF(A447&lt;&gt;"",SUMIFS(deployment!$I$4:$I$502, deployment!$D$4:$D$502,"="&amp;A447, deployment!$D$4:$D$502,"&lt;&gt;"&amp;""),"")</f>
        <v/>
      </c>
      <c r="K447" s="112" t="str">
        <f>IF(A447&lt;&gt;"",SUMIFS(deployment!$J$4:$J$502, deployment!$D$4:$D$502,"="&amp;A447, deployment!$D$4:$D$502,"&lt;&gt;"&amp;""),"")</f>
        <v/>
      </c>
      <c r="L447" s="112" t="str">
        <f>IF(A447&lt;&gt;"",SUMIFS(deployment!$K$4:$K$502, deployment!$D$4:$D$502,"="&amp;A447, deployment!$D$4:$D$502,"&lt;&gt;"&amp;""),"")</f>
        <v/>
      </c>
      <c r="M447" s="97" t="str">
        <f>IF(A447&lt;&gt;"",SUMIFS(deployment!$L$4:$L$502, deployment!$D$4:$D$502,"="&amp;A447, deployment!$D$4:$D$502,"&lt;&gt;"&amp;""),"")</f>
        <v/>
      </c>
      <c r="N447" s="97" t="str">
        <f>IF(A447&lt;&gt;"",SUMIFS(deployment!$M$4:$M$502, deployment!$D$4:$D$502,"="&amp;A447, deployment!$D$4:$D$502,"&lt;&gt;"&amp;""),"")</f>
        <v/>
      </c>
      <c r="O447" s="127" t="str">
        <f t="shared" si="83"/>
        <v/>
      </c>
      <c r="P447" s="104"/>
      <c r="Q447" s="99" t="str">
        <f t="shared" si="72"/>
        <v/>
      </c>
      <c r="R447" s="100" t="str">
        <f t="shared" si="73"/>
        <v/>
      </c>
      <c r="S447" s="100" t="str">
        <f t="shared" si="74"/>
        <v/>
      </c>
      <c r="T447" s="101" t="str">
        <f t="shared" si="75"/>
        <v/>
      </c>
      <c r="U447" s="101" t="str">
        <f t="shared" si="76"/>
        <v/>
      </c>
      <c r="V447" s="128" t="str">
        <f t="shared" si="77"/>
        <v/>
      </c>
      <c r="W447" s="128" t="str">
        <f t="shared" si="78"/>
        <v/>
      </c>
      <c r="X447" s="101" t="str">
        <f t="shared" si="79"/>
        <v/>
      </c>
      <c r="Y447" s="101" t="str">
        <f t="shared" si="80"/>
        <v/>
      </c>
      <c r="Z447" s="102" t="str">
        <f t="shared" si="81"/>
        <v/>
      </c>
      <c r="AA447" s="103" t="str">
        <f t="shared" si="82"/>
        <v/>
      </c>
      <c r="AB447" s="142" t="str">
        <f>IF(A447&lt;&gt;"", SUMIFS(node!$J$2:$J$500, node!$C$2:$C$500,"="&amp;A447)/P447, "")</f>
        <v/>
      </c>
      <c r="AC447" s="134" t="str">
        <f>IF(A447&lt;&gt;"", SUMIFS(node!$K$2:$K$500, node!$C$2:$C$500,"="&amp;A447)/P447, "")</f>
        <v/>
      </c>
      <c r="AD447" s="135" t="str">
        <f>IF(A447&lt;&gt;"", SUMIFS(node!$L$2:$L$500, node!$C$2:$C$500,"="&amp;A447), "")</f>
        <v/>
      </c>
      <c r="AE447" s="145" t="str">
        <f>IF(A447&lt;&gt;"", SUMIFS(node!$M$2:$M$500, node!$C$2:$C$500,"="&amp;A447), "")</f>
        <v/>
      </c>
    </row>
    <row r="448" spans="1:31" ht="15.75" customHeight="1" x14ac:dyDescent="0.25">
      <c r="A448" s="119" t="str">
        <f>IF(ISNONTEXT(node_raw[[#This Row],[Column2]]), "", node_raw[[#This Row],[Column2]])</f>
        <v/>
      </c>
      <c r="B448" s="116" t="str">
        <f>IF(A448&lt;&gt;"", VLOOKUP(A448, node!$C$2:$D$500, 2, FALSE), "")</f>
        <v/>
      </c>
      <c r="C448" s="117" t="str">
        <f>IF(A448&lt;&gt;"", VLOOKUP(A448, node!$C$2:$E$500, 3, FALSE), "")</f>
        <v/>
      </c>
      <c r="D448" s="118" t="str">
        <f>IF(A448&lt;&gt;"",COUNTIFS(node!$C$2:$C$500,"="&amp;A448, node!$C$2:$C$500,"&lt;&gt;"&amp;""),"")</f>
        <v/>
      </c>
      <c r="E448" s="122" t="str">
        <f>IF(A448&lt;&gt;"",SUMIFS(node!$F$2:$F$500, node!$C$2:$C$500,"="&amp;A448, node!$C$2:$C$500,"&lt;&gt;"&amp;"")/(B448*D448),"")</f>
        <v/>
      </c>
      <c r="F448" s="124" t="str">
        <f>IF(A448&lt;&gt;"",SUMIFS(node!$H$2:$H$500, node!$C$2:$C$500,"="&amp;A448, node!$C$2:$C$500,"&lt;&gt;"&amp;"")/(C448*D448),"")</f>
        <v/>
      </c>
      <c r="G448" s="93" t="str">
        <f>IF(A448&lt;&gt;"",SUMIFS(deployment!$F$4:$F$502, deployment!$D$4:$D$502,"="&amp;A448, deployment!$D$4:$D$502,"&lt;&gt;"&amp;""),"")</f>
        <v/>
      </c>
      <c r="H448" s="94" t="str">
        <f>IF(A448&lt;&gt;"",SUMIFS(deployment!$G$4:$G$502, deployment!$D$4:$D$502,"="&amp;A448, deployment!$D$4:$D$502,"&lt;&gt;"&amp;""),"")</f>
        <v/>
      </c>
      <c r="I448" s="95" t="str">
        <f>IF(A448&lt;&gt;"",SUMIFS(deployment!$H$4:$H$502, deployment!$D$4:$D$502,"="&amp;A448, deployment!$D$4:$D$502,"&lt;&gt;"&amp;""),"")</f>
        <v/>
      </c>
      <c r="J448" s="96" t="str">
        <f>IF(A448&lt;&gt;"",SUMIFS(deployment!$I$4:$I$502, deployment!$D$4:$D$502,"="&amp;A448, deployment!$D$4:$D$502,"&lt;&gt;"&amp;""),"")</f>
        <v/>
      </c>
      <c r="K448" s="112" t="str">
        <f>IF(A448&lt;&gt;"",SUMIFS(deployment!$J$4:$J$502, deployment!$D$4:$D$502,"="&amp;A448, deployment!$D$4:$D$502,"&lt;&gt;"&amp;""),"")</f>
        <v/>
      </c>
      <c r="L448" s="112" t="str">
        <f>IF(A448&lt;&gt;"",SUMIFS(deployment!$K$4:$K$502, deployment!$D$4:$D$502,"="&amp;A448, deployment!$D$4:$D$502,"&lt;&gt;"&amp;""),"")</f>
        <v/>
      </c>
      <c r="M448" s="97" t="str">
        <f>IF(A448&lt;&gt;"",SUMIFS(deployment!$L$4:$L$502, deployment!$D$4:$D$502,"="&amp;A448, deployment!$D$4:$D$502,"&lt;&gt;"&amp;""),"")</f>
        <v/>
      </c>
      <c r="N448" s="97" t="str">
        <f>IF(A448&lt;&gt;"",SUMIFS(deployment!$M$4:$M$502, deployment!$D$4:$D$502,"="&amp;A448, deployment!$D$4:$D$502,"&lt;&gt;"&amp;""),"")</f>
        <v/>
      </c>
      <c r="O448" s="127" t="str">
        <f t="shared" si="83"/>
        <v/>
      </c>
      <c r="P448" s="104"/>
      <c r="Q448" s="99" t="str">
        <f t="shared" si="72"/>
        <v/>
      </c>
      <c r="R448" s="100" t="str">
        <f t="shared" si="73"/>
        <v/>
      </c>
      <c r="S448" s="100" t="str">
        <f t="shared" si="74"/>
        <v/>
      </c>
      <c r="T448" s="101" t="str">
        <f t="shared" si="75"/>
        <v/>
      </c>
      <c r="U448" s="101" t="str">
        <f t="shared" si="76"/>
        <v/>
      </c>
      <c r="V448" s="128" t="str">
        <f t="shared" si="77"/>
        <v/>
      </c>
      <c r="W448" s="128" t="str">
        <f t="shared" si="78"/>
        <v/>
      </c>
      <c r="X448" s="101" t="str">
        <f t="shared" si="79"/>
        <v/>
      </c>
      <c r="Y448" s="101" t="str">
        <f t="shared" si="80"/>
        <v/>
      </c>
      <c r="Z448" s="102" t="str">
        <f t="shared" si="81"/>
        <v/>
      </c>
      <c r="AA448" s="103" t="str">
        <f t="shared" si="82"/>
        <v/>
      </c>
      <c r="AB448" s="142" t="str">
        <f>IF(A448&lt;&gt;"", SUMIFS(node!$J$2:$J$500, node!$C$2:$C$500,"="&amp;A448)/P448, "")</f>
        <v/>
      </c>
      <c r="AC448" s="134" t="str">
        <f>IF(A448&lt;&gt;"", SUMIFS(node!$K$2:$K$500, node!$C$2:$C$500,"="&amp;A448)/P448, "")</f>
        <v/>
      </c>
      <c r="AD448" s="135" t="str">
        <f>IF(A448&lt;&gt;"", SUMIFS(node!$L$2:$L$500, node!$C$2:$C$500,"="&amp;A448), "")</f>
        <v/>
      </c>
      <c r="AE448" s="145" t="str">
        <f>IF(A448&lt;&gt;"", SUMIFS(node!$M$2:$M$500, node!$C$2:$C$500,"="&amp;A448), "")</f>
        <v/>
      </c>
    </row>
    <row r="449" spans="1:31" ht="15.75" customHeight="1" x14ac:dyDescent="0.25">
      <c r="A449" s="119" t="str">
        <f>IF(ISNONTEXT(node_raw[[#This Row],[Column2]]), "", node_raw[[#This Row],[Column2]])</f>
        <v/>
      </c>
      <c r="B449" s="116" t="str">
        <f>IF(A449&lt;&gt;"", VLOOKUP(A449, node!$C$2:$D$500, 2, FALSE), "")</f>
        <v/>
      </c>
      <c r="C449" s="117" t="str">
        <f>IF(A449&lt;&gt;"", VLOOKUP(A449, node!$C$2:$E$500, 3, FALSE), "")</f>
        <v/>
      </c>
      <c r="D449" s="118" t="str">
        <f>IF(A449&lt;&gt;"",COUNTIFS(node!$C$2:$C$500,"="&amp;A449, node!$C$2:$C$500,"&lt;&gt;"&amp;""),"")</f>
        <v/>
      </c>
      <c r="E449" s="122" t="str">
        <f>IF(A449&lt;&gt;"",SUMIFS(node!$F$2:$F$500, node!$C$2:$C$500,"="&amp;A449, node!$C$2:$C$500,"&lt;&gt;"&amp;"")/(B449*D449),"")</f>
        <v/>
      </c>
      <c r="F449" s="124" t="str">
        <f>IF(A449&lt;&gt;"",SUMIFS(node!$H$2:$H$500, node!$C$2:$C$500,"="&amp;A449, node!$C$2:$C$500,"&lt;&gt;"&amp;"")/(C449*D449),"")</f>
        <v/>
      </c>
      <c r="G449" s="93" t="str">
        <f>IF(A449&lt;&gt;"",SUMIFS(deployment!$F$4:$F$502, deployment!$D$4:$D$502,"="&amp;A449, deployment!$D$4:$D$502,"&lt;&gt;"&amp;""),"")</f>
        <v/>
      </c>
      <c r="H449" s="94" t="str">
        <f>IF(A449&lt;&gt;"",SUMIFS(deployment!$G$4:$G$502, deployment!$D$4:$D$502,"="&amp;A449, deployment!$D$4:$D$502,"&lt;&gt;"&amp;""),"")</f>
        <v/>
      </c>
      <c r="I449" s="95" t="str">
        <f>IF(A449&lt;&gt;"",SUMIFS(deployment!$H$4:$H$502, deployment!$D$4:$D$502,"="&amp;A449, deployment!$D$4:$D$502,"&lt;&gt;"&amp;""),"")</f>
        <v/>
      </c>
      <c r="J449" s="96" t="str">
        <f>IF(A449&lt;&gt;"",SUMIFS(deployment!$I$4:$I$502, deployment!$D$4:$D$502,"="&amp;A449, deployment!$D$4:$D$502,"&lt;&gt;"&amp;""),"")</f>
        <v/>
      </c>
      <c r="K449" s="112" t="str">
        <f>IF(A449&lt;&gt;"",SUMIFS(deployment!$J$4:$J$502, deployment!$D$4:$D$502,"="&amp;A449, deployment!$D$4:$D$502,"&lt;&gt;"&amp;""),"")</f>
        <v/>
      </c>
      <c r="L449" s="112" t="str">
        <f>IF(A449&lt;&gt;"",SUMIFS(deployment!$K$4:$K$502, deployment!$D$4:$D$502,"="&amp;A449, deployment!$D$4:$D$502,"&lt;&gt;"&amp;""),"")</f>
        <v/>
      </c>
      <c r="M449" s="97" t="str">
        <f>IF(A449&lt;&gt;"",SUMIFS(deployment!$L$4:$L$502, deployment!$D$4:$D$502,"="&amp;A449, deployment!$D$4:$D$502,"&lt;&gt;"&amp;""),"")</f>
        <v/>
      </c>
      <c r="N449" s="97" t="str">
        <f>IF(A449&lt;&gt;"",SUMIFS(deployment!$M$4:$M$502, deployment!$D$4:$D$502,"="&amp;A449, deployment!$D$4:$D$502,"&lt;&gt;"&amp;""),"")</f>
        <v/>
      </c>
      <c r="O449" s="127" t="str">
        <f t="shared" si="83"/>
        <v/>
      </c>
      <c r="P449" s="104"/>
      <c r="Q449" s="99" t="str">
        <f t="shared" si="72"/>
        <v/>
      </c>
      <c r="R449" s="100" t="str">
        <f t="shared" si="73"/>
        <v/>
      </c>
      <c r="S449" s="100" t="str">
        <f t="shared" si="74"/>
        <v/>
      </c>
      <c r="T449" s="101" t="str">
        <f t="shared" si="75"/>
        <v/>
      </c>
      <c r="U449" s="101" t="str">
        <f t="shared" si="76"/>
        <v/>
      </c>
      <c r="V449" s="128" t="str">
        <f t="shared" si="77"/>
        <v/>
      </c>
      <c r="W449" s="128" t="str">
        <f t="shared" si="78"/>
        <v/>
      </c>
      <c r="X449" s="101" t="str">
        <f t="shared" si="79"/>
        <v/>
      </c>
      <c r="Y449" s="101" t="str">
        <f t="shared" si="80"/>
        <v/>
      </c>
      <c r="Z449" s="102" t="str">
        <f t="shared" si="81"/>
        <v/>
      </c>
      <c r="AA449" s="103" t="str">
        <f t="shared" si="82"/>
        <v/>
      </c>
      <c r="AB449" s="142" t="str">
        <f>IF(A449&lt;&gt;"", SUMIFS(node!$J$2:$J$500, node!$C$2:$C$500,"="&amp;A449)/P449, "")</f>
        <v/>
      </c>
      <c r="AC449" s="134" t="str">
        <f>IF(A449&lt;&gt;"", SUMIFS(node!$K$2:$K$500, node!$C$2:$C$500,"="&amp;A449)/P449, "")</f>
        <v/>
      </c>
      <c r="AD449" s="135" t="str">
        <f>IF(A449&lt;&gt;"", SUMIFS(node!$L$2:$L$500, node!$C$2:$C$500,"="&amp;A449), "")</f>
        <v/>
      </c>
      <c r="AE449" s="145" t="str">
        <f>IF(A449&lt;&gt;"", SUMIFS(node!$M$2:$M$500, node!$C$2:$C$500,"="&amp;A449), "")</f>
        <v/>
      </c>
    </row>
    <row r="450" spans="1:31" ht="15.75" customHeight="1" x14ac:dyDescent="0.25">
      <c r="A450" s="119" t="str">
        <f>IF(ISNONTEXT(node_raw[[#This Row],[Column2]]), "", node_raw[[#This Row],[Column2]])</f>
        <v/>
      </c>
      <c r="B450" s="116" t="str">
        <f>IF(A450&lt;&gt;"", VLOOKUP(A450, node!$C$2:$D$500, 2, FALSE), "")</f>
        <v/>
      </c>
      <c r="C450" s="117" t="str">
        <f>IF(A450&lt;&gt;"", VLOOKUP(A450, node!$C$2:$E$500, 3, FALSE), "")</f>
        <v/>
      </c>
      <c r="D450" s="118" t="str">
        <f>IF(A450&lt;&gt;"",COUNTIFS(node!$C$2:$C$500,"="&amp;A450, node!$C$2:$C$500,"&lt;&gt;"&amp;""),"")</f>
        <v/>
      </c>
      <c r="E450" s="122" t="str">
        <f>IF(A450&lt;&gt;"",SUMIFS(node!$F$2:$F$500, node!$C$2:$C$500,"="&amp;A450, node!$C$2:$C$500,"&lt;&gt;"&amp;"")/(B450*D450),"")</f>
        <v/>
      </c>
      <c r="F450" s="124" t="str">
        <f>IF(A450&lt;&gt;"",SUMIFS(node!$H$2:$H$500, node!$C$2:$C$500,"="&amp;A450, node!$C$2:$C$500,"&lt;&gt;"&amp;"")/(C450*D450),"")</f>
        <v/>
      </c>
      <c r="G450" s="93" t="str">
        <f>IF(A450&lt;&gt;"",SUMIFS(deployment!$F$4:$F$502, deployment!$D$4:$D$502,"="&amp;A450, deployment!$D$4:$D$502,"&lt;&gt;"&amp;""),"")</f>
        <v/>
      </c>
      <c r="H450" s="94" t="str">
        <f>IF(A450&lt;&gt;"",SUMIFS(deployment!$G$4:$G$502, deployment!$D$4:$D$502,"="&amp;A450, deployment!$D$4:$D$502,"&lt;&gt;"&amp;""),"")</f>
        <v/>
      </c>
      <c r="I450" s="95" t="str">
        <f>IF(A450&lt;&gt;"",SUMIFS(deployment!$H$4:$H$502, deployment!$D$4:$D$502,"="&amp;A450, deployment!$D$4:$D$502,"&lt;&gt;"&amp;""),"")</f>
        <v/>
      </c>
      <c r="J450" s="96" t="str">
        <f>IF(A450&lt;&gt;"",SUMIFS(deployment!$I$4:$I$502, deployment!$D$4:$D$502,"="&amp;A450, deployment!$D$4:$D$502,"&lt;&gt;"&amp;""),"")</f>
        <v/>
      </c>
      <c r="K450" s="112" t="str">
        <f>IF(A450&lt;&gt;"",SUMIFS(deployment!$J$4:$J$502, deployment!$D$4:$D$502,"="&amp;A450, deployment!$D$4:$D$502,"&lt;&gt;"&amp;""),"")</f>
        <v/>
      </c>
      <c r="L450" s="112" t="str">
        <f>IF(A450&lt;&gt;"",SUMIFS(deployment!$K$4:$K$502, deployment!$D$4:$D$502,"="&amp;A450, deployment!$D$4:$D$502,"&lt;&gt;"&amp;""),"")</f>
        <v/>
      </c>
      <c r="M450" s="97" t="str">
        <f>IF(A450&lt;&gt;"",SUMIFS(deployment!$L$4:$L$502, deployment!$D$4:$D$502,"="&amp;A450, deployment!$D$4:$D$502,"&lt;&gt;"&amp;""),"")</f>
        <v/>
      </c>
      <c r="N450" s="97" t="str">
        <f>IF(A450&lt;&gt;"",SUMIFS(deployment!$M$4:$M$502, deployment!$D$4:$D$502,"="&amp;A450, deployment!$D$4:$D$502,"&lt;&gt;"&amp;""),"")</f>
        <v/>
      </c>
      <c r="O450" s="127" t="str">
        <f t="shared" si="83"/>
        <v/>
      </c>
      <c r="P450" s="104"/>
      <c r="Q450" s="99" t="str">
        <f t="shared" si="72"/>
        <v/>
      </c>
      <c r="R450" s="100" t="str">
        <f t="shared" si="73"/>
        <v/>
      </c>
      <c r="S450" s="100" t="str">
        <f t="shared" si="74"/>
        <v/>
      </c>
      <c r="T450" s="101" t="str">
        <f t="shared" si="75"/>
        <v/>
      </c>
      <c r="U450" s="101" t="str">
        <f t="shared" si="76"/>
        <v/>
      </c>
      <c r="V450" s="128" t="str">
        <f t="shared" si="77"/>
        <v/>
      </c>
      <c r="W450" s="128" t="str">
        <f t="shared" si="78"/>
        <v/>
      </c>
      <c r="X450" s="101" t="str">
        <f t="shared" si="79"/>
        <v/>
      </c>
      <c r="Y450" s="101" t="str">
        <f t="shared" si="80"/>
        <v/>
      </c>
      <c r="Z450" s="102" t="str">
        <f t="shared" si="81"/>
        <v/>
      </c>
      <c r="AA450" s="103" t="str">
        <f t="shared" si="82"/>
        <v/>
      </c>
      <c r="AB450" s="142" t="str">
        <f>IF(A450&lt;&gt;"", SUMIFS(node!$J$2:$J$500, node!$C$2:$C$500,"="&amp;A450)/P450, "")</f>
        <v/>
      </c>
      <c r="AC450" s="134" t="str">
        <f>IF(A450&lt;&gt;"", SUMIFS(node!$K$2:$K$500, node!$C$2:$C$500,"="&amp;A450)/P450, "")</f>
        <v/>
      </c>
      <c r="AD450" s="135" t="str">
        <f>IF(A450&lt;&gt;"", SUMIFS(node!$L$2:$L$500, node!$C$2:$C$500,"="&amp;A450), "")</f>
        <v/>
      </c>
      <c r="AE450" s="145" t="str">
        <f>IF(A450&lt;&gt;"", SUMIFS(node!$M$2:$M$500, node!$C$2:$C$500,"="&amp;A450), "")</f>
        <v/>
      </c>
    </row>
    <row r="451" spans="1:31" ht="15.75" customHeight="1" x14ac:dyDescent="0.25">
      <c r="A451" s="119" t="str">
        <f>IF(ISNONTEXT(node_raw[[#This Row],[Column2]]), "", node_raw[[#This Row],[Column2]])</f>
        <v/>
      </c>
      <c r="B451" s="116" t="str">
        <f>IF(A451&lt;&gt;"", VLOOKUP(A451, node!$C$2:$D$500, 2, FALSE), "")</f>
        <v/>
      </c>
      <c r="C451" s="117" t="str">
        <f>IF(A451&lt;&gt;"", VLOOKUP(A451, node!$C$2:$E$500, 3, FALSE), "")</f>
        <v/>
      </c>
      <c r="D451" s="118" t="str">
        <f>IF(A451&lt;&gt;"",COUNTIFS(node!$C$2:$C$500,"="&amp;A451, node!$C$2:$C$500,"&lt;&gt;"&amp;""),"")</f>
        <v/>
      </c>
      <c r="E451" s="122" t="str">
        <f>IF(A451&lt;&gt;"",SUMIFS(node!$F$2:$F$500, node!$C$2:$C$500,"="&amp;A451, node!$C$2:$C$500,"&lt;&gt;"&amp;"")/(B451*D451),"")</f>
        <v/>
      </c>
      <c r="F451" s="124" t="str">
        <f>IF(A451&lt;&gt;"",SUMIFS(node!$H$2:$H$500, node!$C$2:$C$500,"="&amp;A451, node!$C$2:$C$500,"&lt;&gt;"&amp;"")/(C451*D451),"")</f>
        <v/>
      </c>
      <c r="G451" s="93" t="str">
        <f>IF(A451&lt;&gt;"",SUMIFS(deployment!$F$4:$F$502, deployment!$D$4:$D$502,"="&amp;A451, deployment!$D$4:$D$502,"&lt;&gt;"&amp;""),"")</f>
        <v/>
      </c>
      <c r="H451" s="94" t="str">
        <f>IF(A451&lt;&gt;"",SUMIFS(deployment!$G$4:$G$502, deployment!$D$4:$D$502,"="&amp;A451, deployment!$D$4:$D$502,"&lt;&gt;"&amp;""),"")</f>
        <v/>
      </c>
      <c r="I451" s="95" t="str">
        <f>IF(A451&lt;&gt;"",SUMIFS(deployment!$H$4:$H$502, deployment!$D$4:$D$502,"="&amp;A451, deployment!$D$4:$D$502,"&lt;&gt;"&amp;""),"")</f>
        <v/>
      </c>
      <c r="J451" s="96" t="str">
        <f>IF(A451&lt;&gt;"",SUMIFS(deployment!$I$4:$I$502, deployment!$D$4:$D$502,"="&amp;A451, deployment!$D$4:$D$502,"&lt;&gt;"&amp;""),"")</f>
        <v/>
      </c>
      <c r="K451" s="112" t="str">
        <f>IF(A451&lt;&gt;"",SUMIFS(deployment!$J$4:$J$502, deployment!$D$4:$D$502,"="&amp;A451, deployment!$D$4:$D$502,"&lt;&gt;"&amp;""),"")</f>
        <v/>
      </c>
      <c r="L451" s="112" t="str">
        <f>IF(A451&lt;&gt;"",SUMIFS(deployment!$K$4:$K$502, deployment!$D$4:$D$502,"="&amp;A451, deployment!$D$4:$D$502,"&lt;&gt;"&amp;""),"")</f>
        <v/>
      </c>
      <c r="M451" s="97" t="str">
        <f>IF(A451&lt;&gt;"",SUMIFS(deployment!$L$4:$L$502, deployment!$D$4:$D$502,"="&amp;A451, deployment!$D$4:$D$502,"&lt;&gt;"&amp;""),"")</f>
        <v/>
      </c>
      <c r="N451" s="97" t="str">
        <f>IF(A451&lt;&gt;"",SUMIFS(deployment!$M$4:$M$502, deployment!$D$4:$D$502,"="&amp;A451, deployment!$D$4:$D$502,"&lt;&gt;"&amp;""),"")</f>
        <v/>
      </c>
      <c r="O451" s="127" t="str">
        <f t="shared" si="83"/>
        <v/>
      </c>
      <c r="P451" s="104"/>
      <c r="Q451" s="99" t="str">
        <f t="shared" si="72"/>
        <v/>
      </c>
      <c r="R451" s="100" t="str">
        <f t="shared" si="73"/>
        <v/>
      </c>
      <c r="S451" s="100" t="str">
        <f t="shared" si="74"/>
        <v/>
      </c>
      <c r="T451" s="101" t="str">
        <f t="shared" si="75"/>
        <v/>
      </c>
      <c r="U451" s="101" t="str">
        <f t="shared" si="76"/>
        <v/>
      </c>
      <c r="V451" s="128" t="str">
        <f t="shared" si="77"/>
        <v/>
      </c>
      <c r="W451" s="128" t="str">
        <f t="shared" si="78"/>
        <v/>
      </c>
      <c r="X451" s="101" t="str">
        <f t="shared" si="79"/>
        <v/>
      </c>
      <c r="Y451" s="101" t="str">
        <f t="shared" si="80"/>
        <v/>
      </c>
      <c r="Z451" s="102" t="str">
        <f t="shared" si="81"/>
        <v/>
      </c>
      <c r="AA451" s="103" t="str">
        <f t="shared" si="82"/>
        <v/>
      </c>
      <c r="AB451" s="142" t="str">
        <f>IF(A451&lt;&gt;"", SUMIFS(node!$J$2:$J$500, node!$C$2:$C$500,"="&amp;A451)/P451, "")</f>
        <v/>
      </c>
      <c r="AC451" s="134" t="str">
        <f>IF(A451&lt;&gt;"", SUMIFS(node!$K$2:$K$500, node!$C$2:$C$500,"="&amp;A451)/P451, "")</f>
        <v/>
      </c>
      <c r="AD451" s="135" t="str">
        <f>IF(A451&lt;&gt;"", SUMIFS(node!$L$2:$L$500, node!$C$2:$C$500,"="&amp;A451), "")</f>
        <v/>
      </c>
      <c r="AE451" s="145" t="str">
        <f>IF(A451&lt;&gt;"", SUMIFS(node!$M$2:$M$500, node!$C$2:$C$500,"="&amp;A451), "")</f>
        <v/>
      </c>
    </row>
    <row r="452" spans="1:31" ht="15.75" customHeight="1" x14ac:dyDescent="0.25">
      <c r="A452" s="119" t="str">
        <f>IF(ISNONTEXT(node_raw[[#This Row],[Column2]]), "", node_raw[[#This Row],[Column2]])</f>
        <v/>
      </c>
      <c r="B452" s="116" t="str">
        <f>IF(A452&lt;&gt;"", VLOOKUP(A452, node!$C$2:$D$500, 2, FALSE), "")</f>
        <v/>
      </c>
      <c r="C452" s="117" t="str">
        <f>IF(A452&lt;&gt;"", VLOOKUP(A452, node!$C$2:$E$500, 3, FALSE), "")</f>
        <v/>
      </c>
      <c r="D452" s="118" t="str">
        <f>IF(A452&lt;&gt;"",COUNTIFS(node!$C$2:$C$500,"="&amp;A452, node!$C$2:$C$500,"&lt;&gt;"&amp;""),"")</f>
        <v/>
      </c>
      <c r="E452" s="122" t="str">
        <f>IF(A452&lt;&gt;"",SUMIFS(node!$F$2:$F$500, node!$C$2:$C$500,"="&amp;A452, node!$C$2:$C$500,"&lt;&gt;"&amp;"")/(B452*D452),"")</f>
        <v/>
      </c>
      <c r="F452" s="124" t="str">
        <f>IF(A452&lt;&gt;"",SUMIFS(node!$H$2:$H$500, node!$C$2:$C$500,"="&amp;A452, node!$C$2:$C$500,"&lt;&gt;"&amp;"")/(C452*D452),"")</f>
        <v/>
      </c>
      <c r="G452" s="93" t="str">
        <f>IF(A452&lt;&gt;"",SUMIFS(deployment!$F$4:$F$502, deployment!$D$4:$D$502,"="&amp;A452, deployment!$D$4:$D$502,"&lt;&gt;"&amp;""),"")</f>
        <v/>
      </c>
      <c r="H452" s="94" t="str">
        <f>IF(A452&lt;&gt;"",SUMIFS(deployment!$G$4:$G$502, deployment!$D$4:$D$502,"="&amp;A452, deployment!$D$4:$D$502,"&lt;&gt;"&amp;""),"")</f>
        <v/>
      </c>
      <c r="I452" s="95" t="str">
        <f>IF(A452&lt;&gt;"",SUMIFS(deployment!$H$4:$H$502, deployment!$D$4:$D$502,"="&amp;A452, deployment!$D$4:$D$502,"&lt;&gt;"&amp;""),"")</f>
        <v/>
      </c>
      <c r="J452" s="96" t="str">
        <f>IF(A452&lt;&gt;"",SUMIFS(deployment!$I$4:$I$502, deployment!$D$4:$D$502,"="&amp;A452, deployment!$D$4:$D$502,"&lt;&gt;"&amp;""),"")</f>
        <v/>
      </c>
      <c r="K452" s="112" t="str">
        <f>IF(A452&lt;&gt;"",SUMIFS(deployment!$J$4:$J$502, deployment!$D$4:$D$502,"="&amp;A452, deployment!$D$4:$D$502,"&lt;&gt;"&amp;""),"")</f>
        <v/>
      </c>
      <c r="L452" s="112" t="str">
        <f>IF(A452&lt;&gt;"",SUMIFS(deployment!$K$4:$K$502, deployment!$D$4:$D$502,"="&amp;A452, deployment!$D$4:$D$502,"&lt;&gt;"&amp;""),"")</f>
        <v/>
      </c>
      <c r="M452" s="97" t="str">
        <f>IF(A452&lt;&gt;"",SUMIFS(deployment!$L$4:$L$502, deployment!$D$4:$D$502,"="&amp;A452, deployment!$D$4:$D$502,"&lt;&gt;"&amp;""),"")</f>
        <v/>
      </c>
      <c r="N452" s="97" t="str">
        <f>IF(A452&lt;&gt;"",SUMIFS(deployment!$M$4:$M$502, deployment!$D$4:$D$502,"="&amp;A452, deployment!$D$4:$D$502,"&lt;&gt;"&amp;""),"")</f>
        <v/>
      </c>
      <c r="O452" s="127" t="str">
        <f t="shared" si="83"/>
        <v/>
      </c>
      <c r="P452" s="104"/>
      <c r="Q452" s="99" t="str">
        <f t="shared" ref="Q452:Q502" si="84">IF(A452&lt;&gt;"",(D452-P452)/D452,"")</f>
        <v/>
      </c>
      <c r="R452" s="100" t="str">
        <f t="shared" ref="R452:R502" si="85">IF(A452&lt;&gt;"",G452/(P452*B452),"")</f>
        <v/>
      </c>
      <c r="S452" s="100" t="str">
        <f t="shared" ref="S452:S502" si="86">IF(A452&lt;&gt;"",H452/(P452*C452),"")</f>
        <v/>
      </c>
      <c r="T452" s="101" t="str">
        <f t="shared" ref="T452:T502" si="87">IF(A452&lt;&gt;"",I452/(P452*B452),"")</f>
        <v/>
      </c>
      <c r="U452" s="101" t="str">
        <f t="shared" ref="U452:U502" si="88">IF(A452&lt;&gt;"",J452/(P452*C452),"")</f>
        <v/>
      </c>
      <c r="V452" s="128" t="str">
        <f t="shared" ref="V452:V502" si="89">IF(A452&lt;&gt;"",K452/(P452*B452),"")</f>
        <v/>
      </c>
      <c r="W452" s="128" t="str">
        <f t="shared" ref="W452:W502" si="90">IF(A452&lt;&gt;"",L452/(P452*C452),"")</f>
        <v/>
      </c>
      <c r="X452" s="101" t="str">
        <f t="shared" ref="X452:X502" si="91">IF(A452&lt;&gt;"",M452/(P452*B452),"")</f>
        <v/>
      </c>
      <c r="Y452" s="101" t="str">
        <f t="shared" ref="Y452:Y502" si="92">IF(A452&lt;&gt;"",N452/(P452*C452),"")</f>
        <v/>
      </c>
      <c r="Z452" s="102" t="str">
        <f t="shared" ref="Z452:Z502" si="93">IF(A452&lt;&gt;"",(D452*E452)/P452,"")</f>
        <v/>
      </c>
      <c r="AA452" s="103" t="str">
        <f t="shared" ref="AA452:AA502" si="94">IF(A452&lt;&gt;"",(D452*F452)/P452,"")</f>
        <v/>
      </c>
      <c r="AB452" s="142" t="str">
        <f>IF(A452&lt;&gt;"", SUMIFS(node!$J$2:$J$500, node!$C$2:$C$500,"="&amp;A452)/P452, "")</f>
        <v/>
      </c>
      <c r="AC452" s="134" t="str">
        <f>IF(A452&lt;&gt;"", SUMIFS(node!$K$2:$K$500, node!$C$2:$C$500,"="&amp;A452)/P452, "")</f>
        <v/>
      </c>
      <c r="AD452" s="135" t="str">
        <f>IF(A452&lt;&gt;"", SUMIFS(node!$L$2:$L$500, node!$C$2:$C$500,"="&amp;A452), "")</f>
        <v/>
      </c>
      <c r="AE452" s="145" t="str">
        <f>IF(A452&lt;&gt;"", SUMIFS(node!$M$2:$M$500, node!$C$2:$C$500,"="&amp;A452), "")</f>
        <v/>
      </c>
    </row>
    <row r="453" spans="1:31" ht="15.75" customHeight="1" x14ac:dyDescent="0.25">
      <c r="A453" s="119" t="str">
        <f>IF(ISNONTEXT(node_raw[[#This Row],[Column2]]), "", node_raw[[#This Row],[Column2]])</f>
        <v/>
      </c>
      <c r="B453" s="116" t="str">
        <f>IF(A453&lt;&gt;"", VLOOKUP(A453, node!$C$2:$D$500, 2, FALSE), "")</f>
        <v/>
      </c>
      <c r="C453" s="117" t="str">
        <f>IF(A453&lt;&gt;"", VLOOKUP(A453, node!$C$2:$E$500, 3, FALSE), "")</f>
        <v/>
      </c>
      <c r="D453" s="118" t="str">
        <f>IF(A453&lt;&gt;"",COUNTIFS(node!$C$2:$C$500,"="&amp;A453, node!$C$2:$C$500,"&lt;&gt;"&amp;""),"")</f>
        <v/>
      </c>
      <c r="E453" s="122" t="str">
        <f>IF(A453&lt;&gt;"",SUMIFS(node!$F$2:$F$500, node!$C$2:$C$500,"="&amp;A453, node!$C$2:$C$500,"&lt;&gt;"&amp;"")/(B453*D453),"")</f>
        <v/>
      </c>
      <c r="F453" s="124" t="str">
        <f>IF(A453&lt;&gt;"",SUMIFS(node!$H$2:$H$500, node!$C$2:$C$500,"="&amp;A453, node!$C$2:$C$500,"&lt;&gt;"&amp;"")/(C453*D453),"")</f>
        <v/>
      </c>
      <c r="G453" s="93" t="str">
        <f>IF(A453&lt;&gt;"",SUMIFS(deployment!$F$4:$F$502, deployment!$D$4:$D$502,"="&amp;A453, deployment!$D$4:$D$502,"&lt;&gt;"&amp;""),"")</f>
        <v/>
      </c>
      <c r="H453" s="94" t="str">
        <f>IF(A453&lt;&gt;"",SUMIFS(deployment!$G$4:$G$502, deployment!$D$4:$D$502,"="&amp;A453, deployment!$D$4:$D$502,"&lt;&gt;"&amp;""),"")</f>
        <v/>
      </c>
      <c r="I453" s="95" t="str">
        <f>IF(A453&lt;&gt;"",SUMIFS(deployment!$H$4:$H$502, deployment!$D$4:$D$502,"="&amp;A453, deployment!$D$4:$D$502,"&lt;&gt;"&amp;""),"")</f>
        <v/>
      </c>
      <c r="J453" s="96" t="str">
        <f>IF(A453&lt;&gt;"",SUMIFS(deployment!$I$4:$I$502, deployment!$D$4:$D$502,"="&amp;A453, deployment!$D$4:$D$502,"&lt;&gt;"&amp;""),"")</f>
        <v/>
      </c>
      <c r="K453" s="112" t="str">
        <f>IF(A453&lt;&gt;"",SUMIFS(deployment!$J$4:$J$502, deployment!$D$4:$D$502,"="&amp;A453, deployment!$D$4:$D$502,"&lt;&gt;"&amp;""),"")</f>
        <v/>
      </c>
      <c r="L453" s="112" t="str">
        <f>IF(A453&lt;&gt;"",SUMIFS(deployment!$K$4:$K$502, deployment!$D$4:$D$502,"="&amp;A453, deployment!$D$4:$D$502,"&lt;&gt;"&amp;""),"")</f>
        <v/>
      </c>
      <c r="M453" s="97" t="str">
        <f>IF(A453&lt;&gt;"",SUMIFS(deployment!$L$4:$L$502, deployment!$D$4:$D$502,"="&amp;A453, deployment!$D$4:$D$502,"&lt;&gt;"&amp;""),"")</f>
        <v/>
      </c>
      <c r="N453" s="97" t="str">
        <f>IF(A453&lt;&gt;"",SUMIFS(deployment!$M$4:$M$502, deployment!$D$4:$D$502,"="&amp;A453, deployment!$D$4:$D$502,"&lt;&gt;"&amp;""),"")</f>
        <v/>
      </c>
      <c r="O453" s="127" t="str">
        <f t="shared" ref="O453:O502" si="95">IF(A453&lt;&gt;"",MAX(ROUNDUP(K453/(B453*$B$2), 0), ROUNDUP(L453/(C453*$C$2), 0), ROUNDUP(M453/(B453*$B$2), 0), ROUNDUP(N453/(C453*$C$2), 0), 1),"")</f>
        <v/>
      </c>
      <c r="P453" s="104"/>
      <c r="Q453" s="99" t="str">
        <f t="shared" si="84"/>
        <v/>
      </c>
      <c r="R453" s="100" t="str">
        <f t="shared" si="85"/>
        <v/>
      </c>
      <c r="S453" s="100" t="str">
        <f t="shared" si="86"/>
        <v/>
      </c>
      <c r="T453" s="101" t="str">
        <f t="shared" si="87"/>
        <v/>
      </c>
      <c r="U453" s="101" t="str">
        <f t="shared" si="88"/>
        <v/>
      </c>
      <c r="V453" s="128" t="str">
        <f t="shared" si="89"/>
        <v/>
      </c>
      <c r="W453" s="128" t="str">
        <f t="shared" si="90"/>
        <v/>
      </c>
      <c r="X453" s="101" t="str">
        <f t="shared" si="91"/>
        <v/>
      </c>
      <c r="Y453" s="101" t="str">
        <f t="shared" si="92"/>
        <v/>
      </c>
      <c r="Z453" s="102" t="str">
        <f t="shared" si="93"/>
        <v/>
      </c>
      <c r="AA453" s="103" t="str">
        <f t="shared" si="94"/>
        <v/>
      </c>
      <c r="AB453" s="142" t="str">
        <f>IF(A453&lt;&gt;"", SUMIFS(node!$J$2:$J$500, node!$C$2:$C$500,"="&amp;A453)/P453, "")</f>
        <v/>
      </c>
      <c r="AC453" s="134" t="str">
        <f>IF(A453&lt;&gt;"", SUMIFS(node!$K$2:$K$500, node!$C$2:$C$500,"="&amp;A453)/P453, "")</f>
        <v/>
      </c>
      <c r="AD453" s="135" t="str">
        <f>IF(A453&lt;&gt;"", SUMIFS(node!$L$2:$L$500, node!$C$2:$C$500,"="&amp;A453), "")</f>
        <v/>
      </c>
      <c r="AE453" s="145" t="str">
        <f>IF(A453&lt;&gt;"", SUMIFS(node!$M$2:$M$500, node!$C$2:$C$500,"="&amp;A453), "")</f>
        <v/>
      </c>
    </row>
    <row r="454" spans="1:31" ht="15.75" customHeight="1" x14ac:dyDescent="0.25">
      <c r="A454" s="119" t="str">
        <f>IF(ISNONTEXT(node_raw[[#This Row],[Column2]]), "", node_raw[[#This Row],[Column2]])</f>
        <v/>
      </c>
      <c r="B454" s="116" t="str">
        <f>IF(A454&lt;&gt;"", VLOOKUP(A454, node!$C$2:$D$500, 2, FALSE), "")</f>
        <v/>
      </c>
      <c r="C454" s="117" t="str">
        <f>IF(A454&lt;&gt;"", VLOOKUP(A454, node!$C$2:$E$500, 3, FALSE), "")</f>
        <v/>
      </c>
      <c r="D454" s="118" t="str">
        <f>IF(A454&lt;&gt;"",COUNTIFS(node!$C$2:$C$500,"="&amp;A454, node!$C$2:$C$500,"&lt;&gt;"&amp;""),"")</f>
        <v/>
      </c>
      <c r="E454" s="122" t="str">
        <f>IF(A454&lt;&gt;"",SUMIFS(node!$F$2:$F$500, node!$C$2:$C$500,"="&amp;A454, node!$C$2:$C$500,"&lt;&gt;"&amp;"")/(B454*D454),"")</f>
        <v/>
      </c>
      <c r="F454" s="124" t="str">
        <f>IF(A454&lt;&gt;"",SUMIFS(node!$H$2:$H$500, node!$C$2:$C$500,"="&amp;A454, node!$C$2:$C$500,"&lt;&gt;"&amp;"")/(C454*D454),"")</f>
        <v/>
      </c>
      <c r="G454" s="93" t="str">
        <f>IF(A454&lt;&gt;"",SUMIFS(deployment!$F$4:$F$502, deployment!$D$4:$D$502,"="&amp;A454, deployment!$D$4:$D$502,"&lt;&gt;"&amp;""),"")</f>
        <v/>
      </c>
      <c r="H454" s="94" t="str">
        <f>IF(A454&lt;&gt;"",SUMIFS(deployment!$G$4:$G$502, deployment!$D$4:$D$502,"="&amp;A454, deployment!$D$4:$D$502,"&lt;&gt;"&amp;""),"")</f>
        <v/>
      </c>
      <c r="I454" s="95" t="str">
        <f>IF(A454&lt;&gt;"",SUMIFS(deployment!$H$4:$H$502, deployment!$D$4:$D$502,"="&amp;A454, deployment!$D$4:$D$502,"&lt;&gt;"&amp;""),"")</f>
        <v/>
      </c>
      <c r="J454" s="96" t="str">
        <f>IF(A454&lt;&gt;"",SUMIFS(deployment!$I$4:$I$502, deployment!$D$4:$D$502,"="&amp;A454, deployment!$D$4:$D$502,"&lt;&gt;"&amp;""),"")</f>
        <v/>
      </c>
      <c r="K454" s="112" t="str">
        <f>IF(A454&lt;&gt;"",SUMIFS(deployment!$J$4:$J$502, deployment!$D$4:$D$502,"="&amp;A454, deployment!$D$4:$D$502,"&lt;&gt;"&amp;""),"")</f>
        <v/>
      </c>
      <c r="L454" s="112" t="str">
        <f>IF(A454&lt;&gt;"",SUMIFS(deployment!$K$4:$K$502, deployment!$D$4:$D$502,"="&amp;A454, deployment!$D$4:$D$502,"&lt;&gt;"&amp;""),"")</f>
        <v/>
      </c>
      <c r="M454" s="97" t="str">
        <f>IF(A454&lt;&gt;"",SUMIFS(deployment!$L$4:$L$502, deployment!$D$4:$D$502,"="&amp;A454, deployment!$D$4:$D$502,"&lt;&gt;"&amp;""),"")</f>
        <v/>
      </c>
      <c r="N454" s="97" t="str">
        <f>IF(A454&lt;&gt;"",SUMIFS(deployment!$M$4:$M$502, deployment!$D$4:$D$502,"="&amp;A454, deployment!$D$4:$D$502,"&lt;&gt;"&amp;""),"")</f>
        <v/>
      </c>
      <c r="O454" s="127" t="str">
        <f t="shared" si="95"/>
        <v/>
      </c>
      <c r="P454" s="104"/>
      <c r="Q454" s="99" t="str">
        <f t="shared" si="84"/>
        <v/>
      </c>
      <c r="R454" s="100" t="str">
        <f t="shared" si="85"/>
        <v/>
      </c>
      <c r="S454" s="100" t="str">
        <f t="shared" si="86"/>
        <v/>
      </c>
      <c r="T454" s="101" t="str">
        <f t="shared" si="87"/>
        <v/>
      </c>
      <c r="U454" s="101" t="str">
        <f t="shared" si="88"/>
        <v/>
      </c>
      <c r="V454" s="128" t="str">
        <f t="shared" si="89"/>
        <v/>
      </c>
      <c r="W454" s="128" t="str">
        <f t="shared" si="90"/>
        <v/>
      </c>
      <c r="X454" s="101" t="str">
        <f t="shared" si="91"/>
        <v/>
      </c>
      <c r="Y454" s="101" t="str">
        <f t="shared" si="92"/>
        <v/>
      </c>
      <c r="Z454" s="102" t="str">
        <f t="shared" si="93"/>
        <v/>
      </c>
      <c r="AA454" s="103" t="str">
        <f t="shared" si="94"/>
        <v/>
      </c>
      <c r="AB454" s="142" t="str">
        <f>IF(A454&lt;&gt;"", SUMIFS(node!$J$2:$J$500, node!$C$2:$C$500,"="&amp;A454)/P454, "")</f>
        <v/>
      </c>
      <c r="AC454" s="134" t="str">
        <f>IF(A454&lt;&gt;"", SUMIFS(node!$K$2:$K$500, node!$C$2:$C$500,"="&amp;A454)/P454, "")</f>
        <v/>
      </c>
      <c r="AD454" s="135" t="str">
        <f>IF(A454&lt;&gt;"", SUMIFS(node!$L$2:$L$500, node!$C$2:$C$500,"="&amp;A454), "")</f>
        <v/>
      </c>
      <c r="AE454" s="145" t="str">
        <f>IF(A454&lt;&gt;"", SUMIFS(node!$M$2:$M$500, node!$C$2:$C$500,"="&amp;A454), "")</f>
        <v/>
      </c>
    </row>
    <row r="455" spans="1:31" ht="15.75" customHeight="1" x14ac:dyDescent="0.25">
      <c r="A455" s="119" t="str">
        <f>IF(ISNONTEXT(node_raw[[#This Row],[Column2]]), "", node_raw[[#This Row],[Column2]])</f>
        <v/>
      </c>
      <c r="B455" s="116" t="str">
        <f>IF(A455&lt;&gt;"", VLOOKUP(A455, node!$C$2:$D$500, 2, FALSE), "")</f>
        <v/>
      </c>
      <c r="C455" s="117" t="str">
        <f>IF(A455&lt;&gt;"", VLOOKUP(A455, node!$C$2:$E$500, 3, FALSE), "")</f>
        <v/>
      </c>
      <c r="D455" s="118" t="str">
        <f>IF(A455&lt;&gt;"",COUNTIFS(node!$C$2:$C$500,"="&amp;A455, node!$C$2:$C$500,"&lt;&gt;"&amp;""),"")</f>
        <v/>
      </c>
      <c r="E455" s="122" t="str">
        <f>IF(A455&lt;&gt;"",SUMIFS(node!$F$2:$F$500, node!$C$2:$C$500,"="&amp;A455, node!$C$2:$C$500,"&lt;&gt;"&amp;"")/(B455*D455),"")</f>
        <v/>
      </c>
      <c r="F455" s="124" t="str">
        <f>IF(A455&lt;&gt;"",SUMIFS(node!$H$2:$H$500, node!$C$2:$C$500,"="&amp;A455, node!$C$2:$C$500,"&lt;&gt;"&amp;"")/(C455*D455),"")</f>
        <v/>
      </c>
      <c r="G455" s="93" t="str">
        <f>IF(A455&lt;&gt;"",SUMIFS(deployment!$F$4:$F$502, deployment!$D$4:$D$502,"="&amp;A455, deployment!$D$4:$D$502,"&lt;&gt;"&amp;""),"")</f>
        <v/>
      </c>
      <c r="H455" s="94" t="str">
        <f>IF(A455&lt;&gt;"",SUMIFS(deployment!$G$4:$G$502, deployment!$D$4:$D$502,"="&amp;A455, deployment!$D$4:$D$502,"&lt;&gt;"&amp;""),"")</f>
        <v/>
      </c>
      <c r="I455" s="95" t="str">
        <f>IF(A455&lt;&gt;"",SUMIFS(deployment!$H$4:$H$502, deployment!$D$4:$D$502,"="&amp;A455, deployment!$D$4:$D$502,"&lt;&gt;"&amp;""),"")</f>
        <v/>
      </c>
      <c r="J455" s="96" t="str">
        <f>IF(A455&lt;&gt;"",SUMIFS(deployment!$I$4:$I$502, deployment!$D$4:$D$502,"="&amp;A455, deployment!$D$4:$D$502,"&lt;&gt;"&amp;""),"")</f>
        <v/>
      </c>
      <c r="K455" s="112" t="str">
        <f>IF(A455&lt;&gt;"",SUMIFS(deployment!$J$4:$J$502, deployment!$D$4:$D$502,"="&amp;A455, deployment!$D$4:$D$502,"&lt;&gt;"&amp;""),"")</f>
        <v/>
      </c>
      <c r="L455" s="112" t="str">
        <f>IF(A455&lt;&gt;"",SUMIFS(deployment!$K$4:$K$502, deployment!$D$4:$D$502,"="&amp;A455, deployment!$D$4:$D$502,"&lt;&gt;"&amp;""),"")</f>
        <v/>
      </c>
      <c r="M455" s="97" t="str">
        <f>IF(A455&lt;&gt;"",SUMIFS(deployment!$L$4:$L$502, deployment!$D$4:$D$502,"="&amp;A455, deployment!$D$4:$D$502,"&lt;&gt;"&amp;""),"")</f>
        <v/>
      </c>
      <c r="N455" s="97" t="str">
        <f>IF(A455&lt;&gt;"",SUMIFS(deployment!$M$4:$M$502, deployment!$D$4:$D$502,"="&amp;A455, deployment!$D$4:$D$502,"&lt;&gt;"&amp;""),"")</f>
        <v/>
      </c>
      <c r="O455" s="127" t="str">
        <f t="shared" si="95"/>
        <v/>
      </c>
      <c r="P455" s="104"/>
      <c r="Q455" s="99" t="str">
        <f t="shared" si="84"/>
        <v/>
      </c>
      <c r="R455" s="100" t="str">
        <f t="shared" si="85"/>
        <v/>
      </c>
      <c r="S455" s="100" t="str">
        <f t="shared" si="86"/>
        <v/>
      </c>
      <c r="T455" s="101" t="str">
        <f t="shared" si="87"/>
        <v/>
      </c>
      <c r="U455" s="101" t="str">
        <f t="shared" si="88"/>
        <v/>
      </c>
      <c r="V455" s="128" t="str">
        <f t="shared" si="89"/>
        <v/>
      </c>
      <c r="W455" s="128" t="str">
        <f t="shared" si="90"/>
        <v/>
      </c>
      <c r="X455" s="101" t="str">
        <f t="shared" si="91"/>
        <v/>
      </c>
      <c r="Y455" s="101" t="str">
        <f t="shared" si="92"/>
        <v/>
      </c>
      <c r="Z455" s="102" t="str">
        <f t="shared" si="93"/>
        <v/>
      </c>
      <c r="AA455" s="103" t="str">
        <f t="shared" si="94"/>
        <v/>
      </c>
      <c r="AB455" s="142" t="str">
        <f>IF(A455&lt;&gt;"", SUMIFS(node!$J$2:$J$500, node!$C$2:$C$500,"="&amp;A455)/P455, "")</f>
        <v/>
      </c>
      <c r="AC455" s="134" t="str">
        <f>IF(A455&lt;&gt;"", SUMIFS(node!$K$2:$K$500, node!$C$2:$C$500,"="&amp;A455)/P455, "")</f>
        <v/>
      </c>
      <c r="AD455" s="135" t="str">
        <f>IF(A455&lt;&gt;"", SUMIFS(node!$L$2:$L$500, node!$C$2:$C$500,"="&amp;A455), "")</f>
        <v/>
      </c>
      <c r="AE455" s="145" t="str">
        <f>IF(A455&lt;&gt;"", SUMIFS(node!$M$2:$M$500, node!$C$2:$C$500,"="&amp;A455), "")</f>
        <v/>
      </c>
    </row>
    <row r="456" spans="1:31" ht="15.75" customHeight="1" x14ac:dyDescent="0.25">
      <c r="A456" s="119" t="str">
        <f>IF(ISNONTEXT(node_raw[[#This Row],[Column2]]), "", node_raw[[#This Row],[Column2]])</f>
        <v/>
      </c>
      <c r="B456" s="116" t="str">
        <f>IF(A456&lt;&gt;"", VLOOKUP(A456, node!$C$2:$D$500, 2, FALSE), "")</f>
        <v/>
      </c>
      <c r="C456" s="117" t="str">
        <f>IF(A456&lt;&gt;"", VLOOKUP(A456, node!$C$2:$E$500, 3, FALSE), "")</f>
        <v/>
      </c>
      <c r="D456" s="118" t="str">
        <f>IF(A456&lt;&gt;"",COUNTIFS(node!$C$2:$C$500,"="&amp;A456, node!$C$2:$C$500,"&lt;&gt;"&amp;""),"")</f>
        <v/>
      </c>
      <c r="E456" s="122" t="str">
        <f>IF(A456&lt;&gt;"",SUMIFS(node!$F$2:$F$500, node!$C$2:$C$500,"="&amp;A456, node!$C$2:$C$500,"&lt;&gt;"&amp;"")/(B456*D456),"")</f>
        <v/>
      </c>
      <c r="F456" s="124" t="str">
        <f>IF(A456&lt;&gt;"",SUMIFS(node!$H$2:$H$500, node!$C$2:$C$500,"="&amp;A456, node!$C$2:$C$500,"&lt;&gt;"&amp;"")/(C456*D456),"")</f>
        <v/>
      </c>
      <c r="G456" s="93" t="str">
        <f>IF(A456&lt;&gt;"",SUMIFS(deployment!$F$4:$F$502, deployment!$D$4:$D$502,"="&amp;A456, deployment!$D$4:$D$502,"&lt;&gt;"&amp;""),"")</f>
        <v/>
      </c>
      <c r="H456" s="94" t="str">
        <f>IF(A456&lt;&gt;"",SUMIFS(deployment!$G$4:$G$502, deployment!$D$4:$D$502,"="&amp;A456, deployment!$D$4:$D$502,"&lt;&gt;"&amp;""),"")</f>
        <v/>
      </c>
      <c r="I456" s="95" t="str">
        <f>IF(A456&lt;&gt;"",SUMIFS(deployment!$H$4:$H$502, deployment!$D$4:$D$502,"="&amp;A456, deployment!$D$4:$D$502,"&lt;&gt;"&amp;""),"")</f>
        <v/>
      </c>
      <c r="J456" s="96" t="str">
        <f>IF(A456&lt;&gt;"",SUMIFS(deployment!$I$4:$I$502, deployment!$D$4:$D$502,"="&amp;A456, deployment!$D$4:$D$502,"&lt;&gt;"&amp;""),"")</f>
        <v/>
      </c>
      <c r="K456" s="112" t="str">
        <f>IF(A456&lt;&gt;"",SUMIFS(deployment!$J$4:$J$502, deployment!$D$4:$D$502,"="&amp;A456, deployment!$D$4:$D$502,"&lt;&gt;"&amp;""),"")</f>
        <v/>
      </c>
      <c r="L456" s="112" t="str">
        <f>IF(A456&lt;&gt;"",SUMIFS(deployment!$K$4:$K$502, deployment!$D$4:$D$502,"="&amp;A456, deployment!$D$4:$D$502,"&lt;&gt;"&amp;""),"")</f>
        <v/>
      </c>
      <c r="M456" s="97" t="str">
        <f>IF(A456&lt;&gt;"",SUMIFS(deployment!$L$4:$L$502, deployment!$D$4:$D$502,"="&amp;A456, deployment!$D$4:$D$502,"&lt;&gt;"&amp;""),"")</f>
        <v/>
      </c>
      <c r="N456" s="97" t="str">
        <f>IF(A456&lt;&gt;"",SUMIFS(deployment!$M$4:$M$502, deployment!$D$4:$D$502,"="&amp;A456, deployment!$D$4:$D$502,"&lt;&gt;"&amp;""),"")</f>
        <v/>
      </c>
      <c r="O456" s="127" t="str">
        <f t="shared" si="95"/>
        <v/>
      </c>
      <c r="P456" s="104"/>
      <c r="Q456" s="99" t="str">
        <f t="shared" si="84"/>
        <v/>
      </c>
      <c r="R456" s="100" t="str">
        <f t="shared" si="85"/>
        <v/>
      </c>
      <c r="S456" s="100" t="str">
        <f t="shared" si="86"/>
        <v/>
      </c>
      <c r="T456" s="101" t="str">
        <f t="shared" si="87"/>
        <v/>
      </c>
      <c r="U456" s="101" t="str">
        <f t="shared" si="88"/>
        <v/>
      </c>
      <c r="V456" s="128" t="str">
        <f t="shared" si="89"/>
        <v/>
      </c>
      <c r="W456" s="128" t="str">
        <f t="shared" si="90"/>
        <v/>
      </c>
      <c r="X456" s="101" t="str">
        <f t="shared" si="91"/>
        <v/>
      </c>
      <c r="Y456" s="101" t="str">
        <f t="shared" si="92"/>
        <v/>
      </c>
      <c r="Z456" s="102" t="str">
        <f t="shared" si="93"/>
        <v/>
      </c>
      <c r="AA456" s="103" t="str">
        <f t="shared" si="94"/>
        <v/>
      </c>
      <c r="AB456" s="142" t="str">
        <f>IF(A456&lt;&gt;"", SUMIFS(node!$J$2:$J$500, node!$C$2:$C$500,"="&amp;A456)/P456, "")</f>
        <v/>
      </c>
      <c r="AC456" s="134" t="str">
        <f>IF(A456&lt;&gt;"", SUMIFS(node!$K$2:$K$500, node!$C$2:$C$500,"="&amp;A456)/P456, "")</f>
        <v/>
      </c>
      <c r="AD456" s="135" t="str">
        <f>IF(A456&lt;&gt;"", SUMIFS(node!$L$2:$L$500, node!$C$2:$C$500,"="&amp;A456), "")</f>
        <v/>
      </c>
      <c r="AE456" s="145" t="str">
        <f>IF(A456&lt;&gt;"", SUMIFS(node!$M$2:$M$500, node!$C$2:$C$500,"="&amp;A456), "")</f>
        <v/>
      </c>
    </row>
    <row r="457" spans="1:31" ht="15.75" customHeight="1" x14ac:dyDescent="0.25">
      <c r="A457" s="119" t="str">
        <f>IF(ISNONTEXT(node_raw[[#This Row],[Column2]]), "", node_raw[[#This Row],[Column2]])</f>
        <v/>
      </c>
      <c r="B457" s="116" t="str">
        <f>IF(A457&lt;&gt;"", VLOOKUP(A457, node!$C$2:$D$500, 2, FALSE), "")</f>
        <v/>
      </c>
      <c r="C457" s="117" t="str">
        <f>IF(A457&lt;&gt;"", VLOOKUP(A457, node!$C$2:$E$500, 3, FALSE), "")</f>
        <v/>
      </c>
      <c r="D457" s="118" t="str">
        <f>IF(A457&lt;&gt;"",COUNTIFS(node!$C$2:$C$500,"="&amp;A457, node!$C$2:$C$500,"&lt;&gt;"&amp;""),"")</f>
        <v/>
      </c>
      <c r="E457" s="122" t="str">
        <f>IF(A457&lt;&gt;"",SUMIFS(node!$F$2:$F$500, node!$C$2:$C$500,"="&amp;A457, node!$C$2:$C$500,"&lt;&gt;"&amp;"")/(B457*D457),"")</f>
        <v/>
      </c>
      <c r="F457" s="124" t="str">
        <f>IF(A457&lt;&gt;"",SUMIFS(node!$H$2:$H$500, node!$C$2:$C$500,"="&amp;A457, node!$C$2:$C$500,"&lt;&gt;"&amp;"")/(C457*D457),"")</f>
        <v/>
      </c>
      <c r="G457" s="93" t="str">
        <f>IF(A457&lt;&gt;"",SUMIFS(deployment!$F$4:$F$502, deployment!$D$4:$D$502,"="&amp;A457, deployment!$D$4:$D$502,"&lt;&gt;"&amp;""),"")</f>
        <v/>
      </c>
      <c r="H457" s="94" t="str">
        <f>IF(A457&lt;&gt;"",SUMIFS(deployment!$G$4:$G$502, deployment!$D$4:$D$502,"="&amp;A457, deployment!$D$4:$D$502,"&lt;&gt;"&amp;""),"")</f>
        <v/>
      </c>
      <c r="I457" s="95" t="str">
        <f>IF(A457&lt;&gt;"",SUMIFS(deployment!$H$4:$H$502, deployment!$D$4:$D$502,"="&amp;A457, deployment!$D$4:$D$502,"&lt;&gt;"&amp;""),"")</f>
        <v/>
      </c>
      <c r="J457" s="96" t="str">
        <f>IF(A457&lt;&gt;"",SUMIFS(deployment!$I$4:$I$502, deployment!$D$4:$D$502,"="&amp;A457, deployment!$D$4:$D$502,"&lt;&gt;"&amp;""),"")</f>
        <v/>
      </c>
      <c r="K457" s="112" t="str">
        <f>IF(A457&lt;&gt;"",SUMIFS(deployment!$J$4:$J$502, deployment!$D$4:$D$502,"="&amp;A457, deployment!$D$4:$D$502,"&lt;&gt;"&amp;""),"")</f>
        <v/>
      </c>
      <c r="L457" s="112" t="str">
        <f>IF(A457&lt;&gt;"",SUMIFS(deployment!$K$4:$K$502, deployment!$D$4:$D$502,"="&amp;A457, deployment!$D$4:$D$502,"&lt;&gt;"&amp;""),"")</f>
        <v/>
      </c>
      <c r="M457" s="97" t="str">
        <f>IF(A457&lt;&gt;"",SUMIFS(deployment!$L$4:$L$502, deployment!$D$4:$D$502,"="&amp;A457, deployment!$D$4:$D$502,"&lt;&gt;"&amp;""),"")</f>
        <v/>
      </c>
      <c r="N457" s="97" t="str">
        <f>IF(A457&lt;&gt;"",SUMIFS(deployment!$M$4:$M$502, deployment!$D$4:$D$502,"="&amp;A457, deployment!$D$4:$D$502,"&lt;&gt;"&amp;""),"")</f>
        <v/>
      </c>
      <c r="O457" s="127" t="str">
        <f t="shared" si="95"/>
        <v/>
      </c>
      <c r="P457" s="104"/>
      <c r="Q457" s="99" t="str">
        <f t="shared" si="84"/>
        <v/>
      </c>
      <c r="R457" s="100" t="str">
        <f t="shared" si="85"/>
        <v/>
      </c>
      <c r="S457" s="100" t="str">
        <f t="shared" si="86"/>
        <v/>
      </c>
      <c r="T457" s="101" t="str">
        <f t="shared" si="87"/>
        <v/>
      </c>
      <c r="U457" s="101" t="str">
        <f t="shared" si="88"/>
        <v/>
      </c>
      <c r="V457" s="128" t="str">
        <f t="shared" si="89"/>
        <v/>
      </c>
      <c r="W457" s="128" t="str">
        <f t="shared" si="90"/>
        <v/>
      </c>
      <c r="X457" s="101" t="str">
        <f t="shared" si="91"/>
        <v/>
      </c>
      <c r="Y457" s="101" t="str">
        <f t="shared" si="92"/>
        <v/>
      </c>
      <c r="Z457" s="102" t="str">
        <f t="shared" si="93"/>
        <v/>
      </c>
      <c r="AA457" s="103" t="str">
        <f t="shared" si="94"/>
        <v/>
      </c>
      <c r="AB457" s="142" t="str">
        <f>IF(A457&lt;&gt;"", SUMIFS(node!$J$2:$J$500, node!$C$2:$C$500,"="&amp;A457)/P457, "")</f>
        <v/>
      </c>
      <c r="AC457" s="134" t="str">
        <f>IF(A457&lt;&gt;"", SUMIFS(node!$K$2:$K$500, node!$C$2:$C$500,"="&amp;A457)/P457, "")</f>
        <v/>
      </c>
      <c r="AD457" s="135" t="str">
        <f>IF(A457&lt;&gt;"", SUMIFS(node!$L$2:$L$500, node!$C$2:$C$500,"="&amp;A457), "")</f>
        <v/>
      </c>
      <c r="AE457" s="145" t="str">
        <f>IF(A457&lt;&gt;"", SUMIFS(node!$M$2:$M$500, node!$C$2:$C$500,"="&amp;A457), "")</f>
        <v/>
      </c>
    </row>
    <row r="458" spans="1:31" ht="15.75" customHeight="1" x14ac:dyDescent="0.25">
      <c r="A458" s="119" t="str">
        <f>IF(ISNONTEXT(node_raw[[#This Row],[Column2]]), "", node_raw[[#This Row],[Column2]])</f>
        <v/>
      </c>
      <c r="B458" s="116" t="str">
        <f>IF(A458&lt;&gt;"", VLOOKUP(A458, node!$C$2:$D$500, 2, FALSE), "")</f>
        <v/>
      </c>
      <c r="C458" s="117" t="str">
        <f>IF(A458&lt;&gt;"", VLOOKUP(A458, node!$C$2:$E$500, 3, FALSE), "")</f>
        <v/>
      </c>
      <c r="D458" s="118" t="str">
        <f>IF(A458&lt;&gt;"",COUNTIFS(node!$C$2:$C$500,"="&amp;A458, node!$C$2:$C$500,"&lt;&gt;"&amp;""),"")</f>
        <v/>
      </c>
      <c r="E458" s="122" t="str">
        <f>IF(A458&lt;&gt;"",SUMIFS(node!$F$2:$F$500, node!$C$2:$C$500,"="&amp;A458, node!$C$2:$C$500,"&lt;&gt;"&amp;"")/(B458*D458),"")</f>
        <v/>
      </c>
      <c r="F458" s="124" t="str">
        <f>IF(A458&lt;&gt;"",SUMIFS(node!$H$2:$H$500, node!$C$2:$C$500,"="&amp;A458, node!$C$2:$C$500,"&lt;&gt;"&amp;"")/(C458*D458),"")</f>
        <v/>
      </c>
      <c r="G458" s="93" t="str">
        <f>IF(A458&lt;&gt;"",SUMIFS(deployment!$F$4:$F$502, deployment!$D$4:$D$502,"="&amp;A458, deployment!$D$4:$D$502,"&lt;&gt;"&amp;""),"")</f>
        <v/>
      </c>
      <c r="H458" s="94" t="str">
        <f>IF(A458&lt;&gt;"",SUMIFS(deployment!$G$4:$G$502, deployment!$D$4:$D$502,"="&amp;A458, deployment!$D$4:$D$502,"&lt;&gt;"&amp;""),"")</f>
        <v/>
      </c>
      <c r="I458" s="95" t="str">
        <f>IF(A458&lt;&gt;"",SUMIFS(deployment!$H$4:$H$502, deployment!$D$4:$D$502,"="&amp;A458, deployment!$D$4:$D$502,"&lt;&gt;"&amp;""),"")</f>
        <v/>
      </c>
      <c r="J458" s="96" t="str">
        <f>IF(A458&lt;&gt;"",SUMIFS(deployment!$I$4:$I$502, deployment!$D$4:$D$502,"="&amp;A458, deployment!$D$4:$D$502,"&lt;&gt;"&amp;""),"")</f>
        <v/>
      </c>
      <c r="K458" s="112" t="str">
        <f>IF(A458&lt;&gt;"",SUMIFS(deployment!$J$4:$J$502, deployment!$D$4:$D$502,"="&amp;A458, deployment!$D$4:$D$502,"&lt;&gt;"&amp;""),"")</f>
        <v/>
      </c>
      <c r="L458" s="112" t="str">
        <f>IF(A458&lt;&gt;"",SUMIFS(deployment!$K$4:$K$502, deployment!$D$4:$D$502,"="&amp;A458, deployment!$D$4:$D$502,"&lt;&gt;"&amp;""),"")</f>
        <v/>
      </c>
      <c r="M458" s="97" t="str">
        <f>IF(A458&lt;&gt;"",SUMIFS(deployment!$L$4:$L$502, deployment!$D$4:$D$502,"="&amp;A458, deployment!$D$4:$D$502,"&lt;&gt;"&amp;""),"")</f>
        <v/>
      </c>
      <c r="N458" s="97" t="str">
        <f>IF(A458&lt;&gt;"",SUMIFS(deployment!$M$4:$M$502, deployment!$D$4:$D$502,"="&amp;A458, deployment!$D$4:$D$502,"&lt;&gt;"&amp;""),"")</f>
        <v/>
      </c>
      <c r="O458" s="127" t="str">
        <f t="shared" si="95"/>
        <v/>
      </c>
      <c r="P458" s="104"/>
      <c r="Q458" s="99" t="str">
        <f t="shared" si="84"/>
        <v/>
      </c>
      <c r="R458" s="100" t="str">
        <f t="shared" si="85"/>
        <v/>
      </c>
      <c r="S458" s="100" t="str">
        <f t="shared" si="86"/>
        <v/>
      </c>
      <c r="T458" s="101" t="str">
        <f t="shared" si="87"/>
        <v/>
      </c>
      <c r="U458" s="101" t="str">
        <f t="shared" si="88"/>
        <v/>
      </c>
      <c r="V458" s="128" t="str">
        <f t="shared" si="89"/>
        <v/>
      </c>
      <c r="W458" s="128" t="str">
        <f t="shared" si="90"/>
        <v/>
      </c>
      <c r="X458" s="101" t="str">
        <f t="shared" si="91"/>
        <v/>
      </c>
      <c r="Y458" s="101" t="str">
        <f t="shared" si="92"/>
        <v/>
      </c>
      <c r="Z458" s="102" t="str">
        <f t="shared" si="93"/>
        <v/>
      </c>
      <c r="AA458" s="103" t="str">
        <f t="shared" si="94"/>
        <v/>
      </c>
      <c r="AB458" s="142" t="str">
        <f>IF(A458&lt;&gt;"", SUMIFS(node!$J$2:$J$500, node!$C$2:$C$500,"="&amp;A458)/P458, "")</f>
        <v/>
      </c>
      <c r="AC458" s="134" t="str">
        <f>IF(A458&lt;&gt;"", SUMIFS(node!$K$2:$K$500, node!$C$2:$C$500,"="&amp;A458)/P458, "")</f>
        <v/>
      </c>
      <c r="AD458" s="135" t="str">
        <f>IF(A458&lt;&gt;"", SUMIFS(node!$L$2:$L$500, node!$C$2:$C$500,"="&amp;A458), "")</f>
        <v/>
      </c>
      <c r="AE458" s="145" t="str">
        <f>IF(A458&lt;&gt;"", SUMIFS(node!$M$2:$M$500, node!$C$2:$C$500,"="&amp;A458), "")</f>
        <v/>
      </c>
    </row>
    <row r="459" spans="1:31" ht="15.75" customHeight="1" x14ac:dyDescent="0.25">
      <c r="A459" s="119" t="str">
        <f>IF(ISNONTEXT(node_raw[[#This Row],[Column2]]), "", node_raw[[#This Row],[Column2]])</f>
        <v/>
      </c>
      <c r="B459" s="116" t="str">
        <f>IF(A459&lt;&gt;"", VLOOKUP(A459, node!$C$2:$D$500, 2, FALSE), "")</f>
        <v/>
      </c>
      <c r="C459" s="117" t="str">
        <f>IF(A459&lt;&gt;"", VLOOKUP(A459, node!$C$2:$E$500, 3, FALSE), "")</f>
        <v/>
      </c>
      <c r="D459" s="118" t="str">
        <f>IF(A459&lt;&gt;"",COUNTIFS(node!$C$2:$C$500,"="&amp;A459, node!$C$2:$C$500,"&lt;&gt;"&amp;""),"")</f>
        <v/>
      </c>
      <c r="E459" s="122" t="str">
        <f>IF(A459&lt;&gt;"",SUMIFS(node!$F$2:$F$500, node!$C$2:$C$500,"="&amp;A459, node!$C$2:$C$500,"&lt;&gt;"&amp;"")/(B459*D459),"")</f>
        <v/>
      </c>
      <c r="F459" s="124" t="str">
        <f>IF(A459&lt;&gt;"",SUMIFS(node!$H$2:$H$500, node!$C$2:$C$500,"="&amp;A459, node!$C$2:$C$500,"&lt;&gt;"&amp;"")/(C459*D459),"")</f>
        <v/>
      </c>
      <c r="G459" s="93" t="str">
        <f>IF(A459&lt;&gt;"",SUMIFS(deployment!$F$4:$F$502, deployment!$D$4:$D$502,"="&amp;A459, deployment!$D$4:$D$502,"&lt;&gt;"&amp;""),"")</f>
        <v/>
      </c>
      <c r="H459" s="94" t="str">
        <f>IF(A459&lt;&gt;"",SUMIFS(deployment!$G$4:$G$502, deployment!$D$4:$D$502,"="&amp;A459, deployment!$D$4:$D$502,"&lt;&gt;"&amp;""),"")</f>
        <v/>
      </c>
      <c r="I459" s="95" t="str">
        <f>IF(A459&lt;&gt;"",SUMIFS(deployment!$H$4:$H$502, deployment!$D$4:$D$502,"="&amp;A459, deployment!$D$4:$D$502,"&lt;&gt;"&amp;""),"")</f>
        <v/>
      </c>
      <c r="J459" s="96" t="str">
        <f>IF(A459&lt;&gt;"",SUMIFS(deployment!$I$4:$I$502, deployment!$D$4:$D$502,"="&amp;A459, deployment!$D$4:$D$502,"&lt;&gt;"&amp;""),"")</f>
        <v/>
      </c>
      <c r="K459" s="112" t="str">
        <f>IF(A459&lt;&gt;"",SUMIFS(deployment!$J$4:$J$502, deployment!$D$4:$D$502,"="&amp;A459, deployment!$D$4:$D$502,"&lt;&gt;"&amp;""),"")</f>
        <v/>
      </c>
      <c r="L459" s="112" t="str">
        <f>IF(A459&lt;&gt;"",SUMIFS(deployment!$K$4:$K$502, deployment!$D$4:$D$502,"="&amp;A459, deployment!$D$4:$D$502,"&lt;&gt;"&amp;""),"")</f>
        <v/>
      </c>
      <c r="M459" s="97" t="str">
        <f>IF(A459&lt;&gt;"",SUMIFS(deployment!$L$4:$L$502, deployment!$D$4:$D$502,"="&amp;A459, deployment!$D$4:$D$502,"&lt;&gt;"&amp;""),"")</f>
        <v/>
      </c>
      <c r="N459" s="97" t="str">
        <f>IF(A459&lt;&gt;"",SUMIFS(deployment!$M$4:$M$502, deployment!$D$4:$D$502,"="&amp;A459, deployment!$D$4:$D$502,"&lt;&gt;"&amp;""),"")</f>
        <v/>
      </c>
      <c r="O459" s="127" t="str">
        <f t="shared" si="95"/>
        <v/>
      </c>
      <c r="P459" s="104"/>
      <c r="Q459" s="99" t="str">
        <f t="shared" si="84"/>
        <v/>
      </c>
      <c r="R459" s="100" t="str">
        <f t="shared" si="85"/>
        <v/>
      </c>
      <c r="S459" s="100" t="str">
        <f t="shared" si="86"/>
        <v/>
      </c>
      <c r="T459" s="101" t="str">
        <f t="shared" si="87"/>
        <v/>
      </c>
      <c r="U459" s="101" t="str">
        <f t="shared" si="88"/>
        <v/>
      </c>
      <c r="V459" s="128" t="str">
        <f t="shared" si="89"/>
        <v/>
      </c>
      <c r="W459" s="128" t="str">
        <f t="shared" si="90"/>
        <v/>
      </c>
      <c r="X459" s="101" t="str">
        <f t="shared" si="91"/>
        <v/>
      </c>
      <c r="Y459" s="101" t="str">
        <f t="shared" si="92"/>
        <v/>
      </c>
      <c r="Z459" s="102" t="str">
        <f t="shared" si="93"/>
        <v/>
      </c>
      <c r="AA459" s="103" t="str">
        <f t="shared" si="94"/>
        <v/>
      </c>
      <c r="AB459" s="142" t="str">
        <f>IF(A459&lt;&gt;"", SUMIFS(node!$J$2:$J$500, node!$C$2:$C$500,"="&amp;A459)/P459, "")</f>
        <v/>
      </c>
      <c r="AC459" s="134" t="str">
        <f>IF(A459&lt;&gt;"", SUMIFS(node!$K$2:$K$500, node!$C$2:$C$500,"="&amp;A459)/P459, "")</f>
        <v/>
      </c>
      <c r="AD459" s="135" t="str">
        <f>IF(A459&lt;&gt;"", SUMIFS(node!$L$2:$L$500, node!$C$2:$C$500,"="&amp;A459), "")</f>
        <v/>
      </c>
      <c r="AE459" s="145" t="str">
        <f>IF(A459&lt;&gt;"", SUMIFS(node!$M$2:$M$500, node!$C$2:$C$500,"="&amp;A459), "")</f>
        <v/>
      </c>
    </row>
    <row r="460" spans="1:31" ht="15.75" customHeight="1" x14ac:dyDescent="0.25">
      <c r="A460" s="119" t="str">
        <f>IF(ISNONTEXT(node_raw[[#This Row],[Column2]]), "", node_raw[[#This Row],[Column2]])</f>
        <v/>
      </c>
      <c r="B460" s="116" t="str">
        <f>IF(A460&lt;&gt;"", VLOOKUP(A460, node!$C$2:$D$500, 2, FALSE), "")</f>
        <v/>
      </c>
      <c r="C460" s="117" t="str">
        <f>IF(A460&lt;&gt;"", VLOOKUP(A460, node!$C$2:$E$500, 3, FALSE), "")</f>
        <v/>
      </c>
      <c r="D460" s="118" t="str">
        <f>IF(A460&lt;&gt;"",COUNTIFS(node!$C$2:$C$500,"="&amp;A460, node!$C$2:$C$500,"&lt;&gt;"&amp;""),"")</f>
        <v/>
      </c>
      <c r="E460" s="122" t="str">
        <f>IF(A460&lt;&gt;"",SUMIFS(node!$F$2:$F$500, node!$C$2:$C$500,"="&amp;A460, node!$C$2:$C$500,"&lt;&gt;"&amp;"")/(B460*D460),"")</f>
        <v/>
      </c>
      <c r="F460" s="124" t="str">
        <f>IF(A460&lt;&gt;"",SUMIFS(node!$H$2:$H$500, node!$C$2:$C$500,"="&amp;A460, node!$C$2:$C$500,"&lt;&gt;"&amp;"")/(C460*D460),"")</f>
        <v/>
      </c>
      <c r="G460" s="93" t="str">
        <f>IF(A460&lt;&gt;"",SUMIFS(deployment!$F$4:$F$502, deployment!$D$4:$D$502,"="&amp;A460, deployment!$D$4:$D$502,"&lt;&gt;"&amp;""),"")</f>
        <v/>
      </c>
      <c r="H460" s="94" t="str">
        <f>IF(A460&lt;&gt;"",SUMIFS(deployment!$G$4:$G$502, deployment!$D$4:$D$502,"="&amp;A460, deployment!$D$4:$D$502,"&lt;&gt;"&amp;""),"")</f>
        <v/>
      </c>
      <c r="I460" s="95" t="str">
        <f>IF(A460&lt;&gt;"",SUMIFS(deployment!$H$4:$H$502, deployment!$D$4:$D$502,"="&amp;A460, deployment!$D$4:$D$502,"&lt;&gt;"&amp;""),"")</f>
        <v/>
      </c>
      <c r="J460" s="96" t="str">
        <f>IF(A460&lt;&gt;"",SUMIFS(deployment!$I$4:$I$502, deployment!$D$4:$D$502,"="&amp;A460, deployment!$D$4:$D$502,"&lt;&gt;"&amp;""),"")</f>
        <v/>
      </c>
      <c r="K460" s="112" t="str">
        <f>IF(A460&lt;&gt;"",SUMIFS(deployment!$J$4:$J$502, deployment!$D$4:$D$502,"="&amp;A460, deployment!$D$4:$D$502,"&lt;&gt;"&amp;""),"")</f>
        <v/>
      </c>
      <c r="L460" s="112" t="str">
        <f>IF(A460&lt;&gt;"",SUMIFS(deployment!$K$4:$K$502, deployment!$D$4:$D$502,"="&amp;A460, deployment!$D$4:$D$502,"&lt;&gt;"&amp;""),"")</f>
        <v/>
      </c>
      <c r="M460" s="97" t="str">
        <f>IF(A460&lt;&gt;"",SUMIFS(deployment!$L$4:$L$502, deployment!$D$4:$D$502,"="&amp;A460, deployment!$D$4:$D$502,"&lt;&gt;"&amp;""),"")</f>
        <v/>
      </c>
      <c r="N460" s="97" t="str">
        <f>IF(A460&lt;&gt;"",SUMIFS(deployment!$M$4:$M$502, deployment!$D$4:$D$502,"="&amp;A460, deployment!$D$4:$D$502,"&lt;&gt;"&amp;""),"")</f>
        <v/>
      </c>
      <c r="O460" s="127" t="str">
        <f t="shared" si="95"/>
        <v/>
      </c>
      <c r="P460" s="104"/>
      <c r="Q460" s="99" t="str">
        <f t="shared" si="84"/>
        <v/>
      </c>
      <c r="R460" s="100" t="str">
        <f t="shared" si="85"/>
        <v/>
      </c>
      <c r="S460" s="100" t="str">
        <f t="shared" si="86"/>
        <v/>
      </c>
      <c r="T460" s="101" t="str">
        <f t="shared" si="87"/>
        <v/>
      </c>
      <c r="U460" s="101" t="str">
        <f t="shared" si="88"/>
        <v/>
      </c>
      <c r="V460" s="128" t="str">
        <f t="shared" si="89"/>
        <v/>
      </c>
      <c r="W460" s="128" t="str">
        <f t="shared" si="90"/>
        <v/>
      </c>
      <c r="X460" s="101" t="str">
        <f t="shared" si="91"/>
        <v/>
      </c>
      <c r="Y460" s="101" t="str">
        <f t="shared" si="92"/>
        <v/>
      </c>
      <c r="Z460" s="102" t="str">
        <f t="shared" si="93"/>
        <v/>
      </c>
      <c r="AA460" s="103" t="str">
        <f t="shared" si="94"/>
        <v/>
      </c>
      <c r="AB460" s="142" t="str">
        <f>IF(A460&lt;&gt;"", SUMIFS(node!$J$2:$J$500, node!$C$2:$C$500,"="&amp;A460)/P460, "")</f>
        <v/>
      </c>
      <c r="AC460" s="134" t="str">
        <f>IF(A460&lt;&gt;"", SUMIFS(node!$K$2:$K$500, node!$C$2:$C$500,"="&amp;A460)/P460, "")</f>
        <v/>
      </c>
      <c r="AD460" s="135" t="str">
        <f>IF(A460&lt;&gt;"", SUMIFS(node!$L$2:$L$500, node!$C$2:$C$500,"="&amp;A460), "")</f>
        <v/>
      </c>
      <c r="AE460" s="145" t="str">
        <f>IF(A460&lt;&gt;"", SUMIFS(node!$M$2:$M$500, node!$C$2:$C$500,"="&amp;A460), "")</f>
        <v/>
      </c>
    </row>
    <row r="461" spans="1:31" ht="15.75" customHeight="1" x14ac:dyDescent="0.25">
      <c r="A461" s="119" t="str">
        <f>IF(ISNONTEXT(node_raw[[#This Row],[Column2]]), "", node_raw[[#This Row],[Column2]])</f>
        <v/>
      </c>
      <c r="B461" s="116" t="str">
        <f>IF(A461&lt;&gt;"", VLOOKUP(A461, node!$C$2:$D$500, 2, FALSE), "")</f>
        <v/>
      </c>
      <c r="C461" s="117" t="str">
        <f>IF(A461&lt;&gt;"", VLOOKUP(A461, node!$C$2:$E$500, 3, FALSE), "")</f>
        <v/>
      </c>
      <c r="D461" s="118" t="str">
        <f>IF(A461&lt;&gt;"",COUNTIFS(node!$C$2:$C$500,"="&amp;A461, node!$C$2:$C$500,"&lt;&gt;"&amp;""),"")</f>
        <v/>
      </c>
      <c r="E461" s="122" t="str">
        <f>IF(A461&lt;&gt;"",SUMIFS(node!$F$2:$F$500, node!$C$2:$C$500,"="&amp;A461, node!$C$2:$C$500,"&lt;&gt;"&amp;"")/(B461*D461),"")</f>
        <v/>
      </c>
      <c r="F461" s="124" t="str">
        <f>IF(A461&lt;&gt;"",SUMIFS(node!$H$2:$H$500, node!$C$2:$C$500,"="&amp;A461, node!$C$2:$C$500,"&lt;&gt;"&amp;"")/(C461*D461),"")</f>
        <v/>
      </c>
      <c r="G461" s="93" t="str">
        <f>IF(A461&lt;&gt;"",SUMIFS(deployment!$F$4:$F$502, deployment!$D$4:$D$502,"="&amp;A461, deployment!$D$4:$D$502,"&lt;&gt;"&amp;""),"")</f>
        <v/>
      </c>
      <c r="H461" s="94" t="str">
        <f>IF(A461&lt;&gt;"",SUMIFS(deployment!$G$4:$G$502, deployment!$D$4:$D$502,"="&amp;A461, deployment!$D$4:$D$502,"&lt;&gt;"&amp;""),"")</f>
        <v/>
      </c>
      <c r="I461" s="95" t="str">
        <f>IF(A461&lt;&gt;"",SUMIFS(deployment!$H$4:$H$502, deployment!$D$4:$D$502,"="&amp;A461, deployment!$D$4:$D$502,"&lt;&gt;"&amp;""),"")</f>
        <v/>
      </c>
      <c r="J461" s="96" t="str">
        <f>IF(A461&lt;&gt;"",SUMIFS(deployment!$I$4:$I$502, deployment!$D$4:$D$502,"="&amp;A461, deployment!$D$4:$D$502,"&lt;&gt;"&amp;""),"")</f>
        <v/>
      </c>
      <c r="K461" s="112" t="str">
        <f>IF(A461&lt;&gt;"",SUMIFS(deployment!$J$4:$J$502, deployment!$D$4:$D$502,"="&amp;A461, deployment!$D$4:$D$502,"&lt;&gt;"&amp;""),"")</f>
        <v/>
      </c>
      <c r="L461" s="112" t="str">
        <f>IF(A461&lt;&gt;"",SUMIFS(deployment!$K$4:$K$502, deployment!$D$4:$D$502,"="&amp;A461, deployment!$D$4:$D$502,"&lt;&gt;"&amp;""),"")</f>
        <v/>
      </c>
      <c r="M461" s="97" t="str">
        <f>IF(A461&lt;&gt;"",SUMIFS(deployment!$L$4:$L$502, deployment!$D$4:$D$502,"="&amp;A461, deployment!$D$4:$D$502,"&lt;&gt;"&amp;""),"")</f>
        <v/>
      </c>
      <c r="N461" s="97" t="str">
        <f>IF(A461&lt;&gt;"",SUMIFS(deployment!$M$4:$M$502, deployment!$D$4:$D$502,"="&amp;A461, deployment!$D$4:$D$502,"&lt;&gt;"&amp;""),"")</f>
        <v/>
      </c>
      <c r="O461" s="127" t="str">
        <f t="shared" si="95"/>
        <v/>
      </c>
      <c r="P461" s="104"/>
      <c r="Q461" s="99" t="str">
        <f t="shared" si="84"/>
        <v/>
      </c>
      <c r="R461" s="100" t="str">
        <f t="shared" si="85"/>
        <v/>
      </c>
      <c r="S461" s="100" t="str">
        <f t="shared" si="86"/>
        <v/>
      </c>
      <c r="T461" s="101" t="str">
        <f t="shared" si="87"/>
        <v/>
      </c>
      <c r="U461" s="101" t="str">
        <f t="shared" si="88"/>
        <v/>
      </c>
      <c r="V461" s="128" t="str">
        <f t="shared" si="89"/>
        <v/>
      </c>
      <c r="W461" s="128" t="str">
        <f t="shared" si="90"/>
        <v/>
      </c>
      <c r="X461" s="101" t="str">
        <f t="shared" si="91"/>
        <v/>
      </c>
      <c r="Y461" s="101" t="str">
        <f t="shared" si="92"/>
        <v/>
      </c>
      <c r="Z461" s="102" t="str">
        <f t="shared" si="93"/>
        <v/>
      </c>
      <c r="AA461" s="103" t="str">
        <f t="shared" si="94"/>
        <v/>
      </c>
      <c r="AB461" s="142" t="str">
        <f>IF(A461&lt;&gt;"", SUMIFS(node!$J$2:$J$500, node!$C$2:$C$500,"="&amp;A461)/P461, "")</f>
        <v/>
      </c>
      <c r="AC461" s="134" t="str">
        <f>IF(A461&lt;&gt;"", SUMIFS(node!$K$2:$K$500, node!$C$2:$C$500,"="&amp;A461)/P461, "")</f>
        <v/>
      </c>
      <c r="AD461" s="135" t="str">
        <f>IF(A461&lt;&gt;"", SUMIFS(node!$L$2:$L$500, node!$C$2:$C$500,"="&amp;A461), "")</f>
        <v/>
      </c>
      <c r="AE461" s="145" t="str">
        <f>IF(A461&lt;&gt;"", SUMIFS(node!$M$2:$M$500, node!$C$2:$C$500,"="&amp;A461), "")</f>
        <v/>
      </c>
    </row>
    <row r="462" spans="1:31" ht="15.75" customHeight="1" x14ac:dyDescent="0.25">
      <c r="A462" s="119" t="str">
        <f>IF(ISNONTEXT(node_raw[[#This Row],[Column2]]), "", node_raw[[#This Row],[Column2]])</f>
        <v/>
      </c>
      <c r="B462" s="116" t="str">
        <f>IF(A462&lt;&gt;"", VLOOKUP(A462, node!$C$2:$D$500, 2, FALSE), "")</f>
        <v/>
      </c>
      <c r="C462" s="117" t="str">
        <f>IF(A462&lt;&gt;"", VLOOKUP(A462, node!$C$2:$E$500, 3, FALSE), "")</f>
        <v/>
      </c>
      <c r="D462" s="118" t="str">
        <f>IF(A462&lt;&gt;"",COUNTIFS(node!$C$2:$C$500,"="&amp;A462, node!$C$2:$C$500,"&lt;&gt;"&amp;""),"")</f>
        <v/>
      </c>
      <c r="E462" s="122" t="str">
        <f>IF(A462&lt;&gt;"",SUMIFS(node!$F$2:$F$500, node!$C$2:$C$500,"="&amp;A462, node!$C$2:$C$500,"&lt;&gt;"&amp;"")/(B462*D462),"")</f>
        <v/>
      </c>
      <c r="F462" s="124" t="str">
        <f>IF(A462&lt;&gt;"",SUMIFS(node!$H$2:$H$500, node!$C$2:$C$500,"="&amp;A462, node!$C$2:$C$500,"&lt;&gt;"&amp;"")/(C462*D462),"")</f>
        <v/>
      </c>
      <c r="G462" s="93" t="str">
        <f>IF(A462&lt;&gt;"",SUMIFS(deployment!$F$4:$F$502, deployment!$D$4:$D$502,"="&amp;A462, deployment!$D$4:$D$502,"&lt;&gt;"&amp;""),"")</f>
        <v/>
      </c>
      <c r="H462" s="94" t="str">
        <f>IF(A462&lt;&gt;"",SUMIFS(deployment!$G$4:$G$502, deployment!$D$4:$D$502,"="&amp;A462, deployment!$D$4:$D$502,"&lt;&gt;"&amp;""),"")</f>
        <v/>
      </c>
      <c r="I462" s="95" t="str">
        <f>IF(A462&lt;&gt;"",SUMIFS(deployment!$H$4:$H$502, deployment!$D$4:$D$502,"="&amp;A462, deployment!$D$4:$D$502,"&lt;&gt;"&amp;""),"")</f>
        <v/>
      </c>
      <c r="J462" s="96" t="str">
        <f>IF(A462&lt;&gt;"",SUMIFS(deployment!$I$4:$I$502, deployment!$D$4:$D$502,"="&amp;A462, deployment!$D$4:$D$502,"&lt;&gt;"&amp;""),"")</f>
        <v/>
      </c>
      <c r="K462" s="112" t="str">
        <f>IF(A462&lt;&gt;"",SUMIFS(deployment!$J$4:$J$502, deployment!$D$4:$D$502,"="&amp;A462, deployment!$D$4:$D$502,"&lt;&gt;"&amp;""),"")</f>
        <v/>
      </c>
      <c r="L462" s="112" t="str">
        <f>IF(A462&lt;&gt;"",SUMIFS(deployment!$K$4:$K$502, deployment!$D$4:$D$502,"="&amp;A462, deployment!$D$4:$D$502,"&lt;&gt;"&amp;""),"")</f>
        <v/>
      </c>
      <c r="M462" s="97" t="str">
        <f>IF(A462&lt;&gt;"",SUMIFS(deployment!$L$4:$L$502, deployment!$D$4:$D$502,"="&amp;A462, deployment!$D$4:$D$502,"&lt;&gt;"&amp;""),"")</f>
        <v/>
      </c>
      <c r="N462" s="97" t="str">
        <f>IF(A462&lt;&gt;"",SUMIFS(deployment!$M$4:$M$502, deployment!$D$4:$D$502,"="&amp;A462, deployment!$D$4:$D$502,"&lt;&gt;"&amp;""),"")</f>
        <v/>
      </c>
      <c r="O462" s="127" t="str">
        <f t="shared" si="95"/>
        <v/>
      </c>
      <c r="P462" s="104"/>
      <c r="Q462" s="99" t="str">
        <f t="shared" si="84"/>
        <v/>
      </c>
      <c r="R462" s="100" t="str">
        <f t="shared" si="85"/>
        <v/>
      </c>
      <c r="S462" s="100" t="str">
        <f t="shared" si="86"/>
        <v/>
      </c>
      <c r="T462" s="101" t="str">
        <f t="shared" si="87"/>
        <v/>
      </c>
      <c r="U462" s="101" t="str">
        <f t="shared" si="88"/>
        <v/>
      </c>
      <c r="V462" s="128" t="str">
        <f t="shared" si="89"/>
        <v/>
      </c>
      <c r="W462" s="128" t="str">
        <f t="shared" si="90"/>
        <v/>
      </c>
      <c r="X462" s="101" t="str">
        <f t="shared" si="91"/>
        <v/>
      </c>
      <c r="Y462" s="101" t="str">
        <f t="shared" si="92"/>
        <v/>
      </c>
      <c r="Z462" s="102" t="str">
        <f t="shared" si="93"/>
        <v/>
      </c>
      <c r="AA462" s="103" t="str">
        <f t="shared" si="94"/>
        <v/>
      </c>
      <c r="AB462" s="142" t="str">
        <f>IF(A462&lt;&gt;"", SUMIFS(node!$J$2:$J$500, node!$C$2:$C$500,"="&amp;A462)/P462, "")</f>
        <v/>
      </c>
      <c r="AC462" s="134" t="str">
        <f>IF(A462&lt;&gt;"", SUMIFS(node!$K$2:$K$500, node!$C$2:$C$500,"="&amp;A462)/P462, "")</f>
        <v/>
      </c>
      <c r="AD462" s="135" t="str">
        <f>IF(A462&lt;&gt;"", SUMIFS(node!$L$2:$L$500, node!$C$2:$C$500,"="&amp;A462), "")</f>
        <v/>
      </c>
      <c r="AE462" s="145" t="str">
        <f>IF(A462&lt;&gt;"", SUMIFS(node!$M$2:$M$500, node!$C$2:$C$500,"="&amp;A462), "")</f>
        <v/>
      </c>
    </row>
    <row r="463" spans="1:31" ht="15.75" customHeight="1" x14ac:dyDescent="0.25">
      <c r="A463" s="119" t="str">
        <f>IF(ISNONTEXT(node_raw[[#This Row],[Column2]]), "", node_raw[[#This Row],[Column2]])</f>
        <v/>
      </c>
      <c r="B463" s="116" t="str">
        <f>IF(A463&lt;&gt;"", VLOOKUP(A463, node!$C$2:$D$500, 2, FALSE), "")</f>
        <v/>
      </c>
      <c r="C463" s="117" t="str">
        <f>IF(A463&lt;&gt;"", VLOOKUP(A463, node!$C$2:$E$500, 3, FALSE), "")</f>
        <v/>
      </c>
      <c r="D463" s="118" t="str">
        <f>IF(A463&lt;&gt;"",COUNTIFS(node!$C$2:$C$500,"="&amp;A463, node!$C$2:$C$500,"&lt;&gt;"&amp;""),"")</f>
        <v/>
      </c>
      <c r="E463" s="122" t="str">
        <f>IF(A463&lt;&gt;"",SUMIFS(node!$F$2:$F$500, node!$C$2:$C$500,"="&amp;A463, node!$C$2:$C$500,"&lt;&gt;"&amp;"")/(B463*D463),"")</f>
        <v/>
      </c>
      <c r="F463" s="124" t="str">
        <f>IF(A463&lt;&gt;"",SUMIFS(node!$H$2:$H$500, node!$C$2:$C$500,"="&amp;A463, node!$C$2:$C$500,"&lt;&gt;"&amp;"")/(C463*D463),"")</f>
        <v/>
      </c>
      <c r="G463" s="93" t="str">
        <f>IF(A463&lt;&gt;"",SUMIFS(deployment!$F$4:$F$502, deployment!$D$4:$D$502,"="&amp;A463, deployment!$D$4:$D$502,"&lt;&gt;"&amp;""),"")</f>
        <v/>
      </c>
      <c r="H463" s="94" t="str">
        <f>IF(A463&lt;&gt;"",SUMIFS(deployment!$G$4:$G$502, deployment!$D$4:$D$502,"="&amp;A463, deployment!$D$4:$D$502,"&lt;&gt;"&amp;""),"")</f>
        <v/>
      </c>
      <c r="I463" s="95" t="str">
        <f>IF(A463&lt;&gt;"",SUMIFS(deployment!$H$4:$H$502, deployment!$D$4:$D$502,"="&amp;A463, deployment!$D$4:$D$502,"&lt;&gt;"&amp;""),"")</f>
        <v/>
      </c>
      <c r="J463" s="96" t="str">
        <f>IF(A463&lt;&gt;"",SUMIFS(deployment!$I$4:$I$502, deployment!$D$4:$D$502,"="&amp;A463, deployment!$D$4:$D$502,"&lt;&gt;"&amp;""),"")</f>
        <v/>
      </c>
      <c r="K463" s="112" t="str">
        <f>IF(A463&lt;&gt;"",SUMIFS(deployment!$J$4:$J$502, deployment!$D$4:$D$502,"="&amp;A463, deployment!$D$4:$D$502,"&lt;&gt;"&amp;""),"")</f>
        <v/>
      </c>
      <c r="L463" s="112" t="str">
        <f>IF(A463&lt;&gt;"",SUMIFS(deployment!$K$4:$K$502, deployment!$D$4:$D$502,"="&amp;A463, deployment!$D$4:$D$502,"&lt;&gt;"&amp;""),"")</f>
        <v/>
      </c>
      <c r="M463" s="97" t="str">
        <f>IF(A463&lt;&gt;"",SUMIFS(deployment!$L$4:$L$502, deployment!$D$4:$D$502,"="&amp;A463, deployment!$D$4:$D$502,"&lt;&gt;"&amp;""),"")</f>
        <v/>
      </c>
      <c r="N463" s="97" t="str">
        <f>IF(A463&lt;&gt;"",SUMIFS(deployment!$M$4:$M$502, deployment!$D$4:$D$502,"="&amp;A463, deployment!$D$4:$D$502,"&lt;&gt;"&amp;""),"")</f>
        <v/>
      </c>
      <c r="O463" s="127" t="str">
        <f t="shared" si="95"/>
        <v/>
      </c>
      <c r="P463" s="104"/>
      <c r="Q463" s="99" t="str">
        <f t="shared" si="84"/>
        <v/>
      </c>
      <c r="R463" s="100" t="str">
        <f t="shared" si="85"/>
        <v/>
      </c>
      <c r="S463" s="100" t="str">
        <f t="shared" si="86"/>
        <v/>
      </c>
      <c r="T463" s="101" t="str">
        <f t="shared" si="87"/>
        <v/>
      </c>
      <c r="U463" s="101" t="str">
        <f t="shared" si="88"/>
        <v/>
      </c>
      <c r="V463" s="128" t="str">
        <f t="shared" si="89"/>
        <v/>
      </c>
      <c r="W463" s="128" t="str">
        <f t="shared" si="90"/>
        <v/>
      </c>
      <c r="X463" s="101" t="str">
        <f t="shared" si="91"/>
        <v/>
      </c>
      <c r="Y463" s="101" t="str">
        <f t="shared" si="92"/>
        <v/>
      </c>
      <c r="Z463" s="102" t="str">
        <f t="shared" si="93"/>
        <v/>
      </c>
      <c r="AA463" s="103" t="str">
        <f t="shared" si="94"/>
        <v/>
      </c>
      <c r="AB463" s="142" t="str">
        <f>IF(A463&lt;&gt;"", SUMIFS(node!$J$2:$J$500, node!$C$2:$C$500,"="&amp;A463)/P463, "")</f>
        <v/>
      </c>
      <c r="AC463" s="134" t="str">
        <f>IF(A463&lt;&gt;"", SUMIFS(node!$K$2:$K$500, node!$C$2:$C$500,"="&amp;A463)/P463, "")</f>
        <v/>
      </c>
      <c r="AD463" s="135" t="str">
        <f>IF(A463&lt;&gt;"", SUMIFS(node!$L$2:$L$500, node!$C$2:$C$500,"="&amp;A463), "")</f>
        <v/>
      </c>
      <c r="AE463" s="145" t="str">
        <f>IF(A463&lt;&gt;"", SUMIFS(node!$M$2:$M$500, node!$C$2:$C$500,"="&amp;A463), "")</f>
        <v/>
      </c>
    </row>
    <row r="464" spans="1:31" ht="15.75" customHeight="1" x14ac:dyDescent="0.25">
      <c r="A464" s="119" t="str">
        <f>IF(ISNONTEXT(node_raw[[#This Row],[Column2]]), "", node_raw[[#This Row],[Column2]])</f>
        <v/>
      </c>
      <c r="B464" s="116" t="str">
        <f>IF(A464&lt;&gt;"", VLOOKUP(A464, node!$C$2:$D$500, 2, FALSE), "")</f>
        <v/>
      </c>
      <c r="C464" s="117" t="str">
        <f>IF(A464&lt;&gt;"", VLOOKUP(A464, node!$C$2:$E$500, 3, FALSE), "")</f>
        <v/>
      </c>
      <c r="D464" s="118" t="str">
        <f>IF(A464&lt;&gt;"",COUNTIFS(node!$C$2:$C$500,"="&amp;A464, node!$C$2:$C$500,"&lt;&gt;"&amp;""),"")</f>
        <v/>
      </c>
      <c r="E464" s="122" t="str">
        <f>IF(A464&lt;&gt;"",SUMIFS(node!$F$2:$F$500, node!$C$2:$C$500,"="&amp;A464, node!$C$2:$C$500,"&lt;&gt;"&amp;"")/(B464*D464),"")</f>
        <v/>
      </c>
      <c r="F464" s="124" t="str">
        <f>IF(A464&lt;&gt;"",SUMIFS(node!$H$2:$H$500, node!$C$2:$C$500,"="&amp;A464, node!$C$2:$C$500,"&lt;&gt;"&amp;"")/(C464*D464),"")</f>
        <v/>
      </c>
      <c r="G464" s="93" t="str">
        <f>IF(A464&lt;&gt;"",SUMIFS(deployment!$F$4:$F$502, deployment!$D$4:$D$502,"="&amp;A464, deployment!$D$4:$D$502,"&lt;&gt;"&amp;""),"")</f>
        <v/>
      </c>
      <c r="H464" s="94" t="str">
        <f>IF(A464&lt;&gt;"",SUMIFS(deployment!$G$4:$G$502, deployment!$D$4:$D$502,"="&amp;A464, deployment!$D$4:$D$502,"&lt;&gt;"&amp;""),"")</f>
        <v/>
      </c>
      <c r="I464" s="95" t="str">
        <f>IF(A464&lt;&gt;"",SUMIFS(deployment!$H$4:$H$502, deployment!$D$4:$D$502,"="&amp;A464, deployment!$D$4:$D$502,"&lt;&gt;"&amp;""),"")</f>
        <v/>
      </c>
      <c r="J464" s="96" t="str">
        <f>IF(A464&lt;&gt;"",SUMIFS(deployment!$I$4:$I$502, deployment!$D$4:$D$502,"="&amp;A464, deployment!$D$4:$D$502,"&lt;&gt;"&amp;""),"")</f>
        <v/>
      </c>
      <c r="K464" s="112" t="str">
        <f>IF(A464&lt;&gt;"",SUMIFS(deployment!$J$4:$J$502, deployment!$D$4:$D$502,"="&amp;A464, deployment!$D$4:$D$502,"&lt;&gt;"&amp;""),"")</f>
        <v/>
      </c>
      <c r="L464" s="112" t="str">
        <f>IF(A464&lt;&gt;"",SUMIFS(deployment!$K$4:$K$502, deployment!$D$4:$D$502,"="&amp;A464, deployment!$D$4:$D$502,"&lt;&gt;"&amp;""),"")</f>
        <v/>
      </c>
      <c r="M464" s="97" t="str">
        <f>IF(A464&lt;&gt;"",SUMIFS(deployment!$L$4:$L$502, deployment!$D$4:$D$502,"="&amp;A464, deployment!$D$4:$D$502,"&lt;&gt;"&amp;""),"")</f>
        <v/>
      </c>
      <c r="N464" s="97" t="str">
        <f>IF(A464&lt;&gt;"",SUMIFS(deployment!$M$4:$M$502, deployment!$D$4:$D$502,"="&amp;A464, deployment!$D$4:$D$502,"&lt;&gt;"&amp;""),"")</f>
        <v/>
      </c>
      <c r="O464" s="127" t="str">
        <f t="shared" si="95"/>
        <v/>
      </c>
      <c r="P464" s="104"/>
      <c r="Q464" s="99" t="str">
        <f t="shared" si="84"/>
        <v/>
      </c>
      <c r="R464" s="100" t="str">
        <f t="shared" si="85"/>
        <v/>
      </c>
      <c r="S464" s="100" t="str">
        <f t="shared" si="86"/>
        <v/>
      </c>
      <c r="T464" s="101" t="str">
        <f t="shared" si="87"/>
        <v/>
      </c>
      <c r="U464" s="101" t="str">
        <f t="shared" si="88"/>
        <v/>
      </c>
      <c r="V464" s="128" t="str">
        <f t="shared" si="89"/>
        <v/>
      </c>
      <c r="W464" s="128" t="str">
        <f t="shared" si="90"/>
        <v/>
      </c>
      <c r="X464" s="101" t="str">
        <f t="shared" si="91"/>
        <v/>
      </c>
      <c r="Y464" s="101" t="str">
        <f t="shared" si="92"/>
        <v/>
      </c>
      <c r="Z464" s="102" t="str">
        <f t="shared" si="93"/>
        <v/>
      </c>
      <c r="AA464" s="103" t="str">
        <f t="shared" si="94"/>
        <v/>
      </c>
      <c r="AB464" s="142" t="str">
        <f>IF(A464&lt;&gt;"", SUMIFS(node!$J$2:$J$500, node!$C$2:$C$500,"="&amp;A464)/P464, "")</f>
        <v/>
      </c>
      <c r="AC464" s="134" t="str">
        <f>IF(A464&lt;&gt;"", SUMIFS(node!$K$2:$K$500, node!$C$2:$C$500,"="&amp;A464)/P464, "")</f>
        <v/>
      </c>
      <c r="AD464" s="135" t="str">
        <f>IF(A464&lt;&gt;"", SUMIFS(node!$L$2:$L$500, node!$C$2:$C$500,"="&amp;A464), "")</f>
        <v/>
      </c>
      <c r="AE464" s="145" t="str">
        <f>IF(A464&lt;&gt;"", SUMIFS(node!$M$2:$M$500, node!$C$2:$C$500,"="&amp;A464), "")</f>
        <v/>
      </c>
    </row>
    <row r="465" spans="1:31" ht="15.75" customHeight="1" x14ac:dyDescent="0.25">
      <c r="A465" s="119" t="str">
        <f>IF(ISNONTEXT(node_raw[[#This Row],[Column2]]), "", node_raw[[#This Row],[Column2]])</f>
        <v/>
      </c>
      <c r="B465" s="116" t="str">
        <f>IF(A465&lt;&gt;"", VLOOKUP(A465, node!$C$2:$D$500, 2, FALSE), "")</f>
        <v/>
      </c>
      <c r="C465" s="117" t="str">
        <f>IF(A465&lt;&gt;"", VLOOKUP(A465, node!$C$2:$E$500, 3, FALSE), "")</f>
        <v/>
      </c>
      <c r="D465" s="118" t="str">
        <f>IF(A465&lt;&gt;"",COUNTIFS(node!$C$2:$C$500,"="&amp;A465, node!$C$2:$C$500,"&lt;&gt;"&amp;""),"")</f>
        <v/>
      </c>
      <c r="E465" s="122" t="str">
        <f>IF(A465&lt;&gt;"",SUMIFS(node!$F$2:$F$500, node!$C$2:$C$500,"="&amp;A465, node!$C$2:$C$500,"&lt;&gt;"&amp;"")/(B465*D465),"")</f>
        <v/>
      </c>
      <c r="F465" s="124" t="str">
        <f>IF(A465&lt;&gt;"",SUMIFS(node!$H$2:$H$500, node!$C$2:$C$500,"="&amp;A465, node!$C$2:$C$500,"&lt;&gt;"&amp;"")/(C465*D465),"")</f>
        <v/>
      </c>
      <c r="G465" s="93" t="str">
        <f>IF(A465&lt;&gt;"",SUMIFS(deployment!$F$4:$F$502, deployment!$D$4:$D$502,"="&amp;A465, deployment!$D$4:$D$502,"&lt;&gt;"&amp;""),"")</f>
        <v/>
      </c>
      <c r="H465" s="94" t="str">
        <f>IF(A465&lt;&gt;"",SUMIFS(deployment!$G$4:$G$502, deployment!$D$4:$D$502,"="&amp;A465, deployment!$D$4:$D$502,"&lt;&gt;"&amp;""),"")</f>
        <v/>
      </c>
      <c r="I465" s="95" t="str">
        <f>IF(A465&lt;&gt;"",SUMIFS(deployment!$H$4:$H$502, deployment!$D$4:$D$502,"="&amp;A465, deployment!$D$4:$D$502,"&lt;&gt;"&amp;""),"")</f>
        <v/>
      </c>
      <c r="J465" s="96" t="str">
        <f>IF(A465&lt;&gt;"",SUMIFS(deployment!$I$4:$I$502, deployment!$D$4:$D$502,"="&amp;A465, deployment!$D$4:$D$502,"&lt;&gt;"&amp;""),"")</f>
        <v/>
      </c>
      <c r="K465" s="112" t="str">
        <f>IF(A465&lt;&gt;"",SUMIFS(deployment!$J$4:$J$502, deployment!$D$4:$D$502,"="&amp;A465, deployment!$D$4:$D$502,"&lt;&gt;"&amp;""),"")</f>
        <v/>
      </c>
      <c r="L465" s="112" t="str">
        <f>IF(A465&lt;&gt;"",SUMIFS(deployment!$K$4:$K$502, deployment!$D$4:$D$502,"="&amp;A465, deployment!$D$4:$D$502,"&lt;&gt;"&amp;""),"")</f>
        <v/>
      </c>
      <c r="M465" s="97" t="str">
        <f>IF(A465&lt;&gt;"",SUMIFS(deployment!$L$4:$L$502, deployment!$D$4:$D$502,"="&amp;A465, deployment!$D$4:$D$502,"&lt;&gt;"&amp;""),"")</f>
        <v/>
      </c>
      <c r="N465" s="97" t="str">
        <f>IF(A465&lt;&gt;"",SUMIFS(deployment!$M$4:$M$502, deployment!$D$4:$D$502,"="&amp;A465, deployment!$D$4:$D$502,"&lt;&gt;"&amp;""),"")</f>
        <v/>
      </c>
      <c r="O465" s="127" t="str">
        <f t="shared" si="95"/>
        <v/>
      </c>
      <c r="P465" s="104"/>
      <c r="Q465" s="99" t="str">
        <f t="shared" si="84"/>
        <v/>
      </c>
      <c r="R465" s="100" t="str">
        <f t="shared" si="85"/>
        <v/>
      </c>
      <c r="S465" s="100" t="str">
        <f t="shared" si="86"/>
        <v/>
      </c>
      <c r="T465" s="101" t="str">
        <f t="shared" si="87"/>
        <v/>
      </c>
      <c r="U465" s="101" t="str">
        <f t="shared" si="88"/>
        <v/>
      </c>
      <c r="V465" s="128" t="str">
        <f t="shared" si="89"/>
        <v/>
      </c>
      <c r="W465" s="128" t="str">
        <f t="shared" si="90"/>
        <v/>
      </c>
      <c r="X465" s="101" t="str">
        <f t="shared" si="91"/>
        <v/>
      </c>
      <c r="Y465" s="101" t="str">
        <f t="shared" si="92"/>
        <v/>
      </c>
      <c r="Z465" s="102" t="str">
        <f t="shared" si="93"/>
        <v/>
      </c>
      <c r="AA465" s="103" t="str">
        <f t="shared" si="94"/>
        <v/>
      </c>
      <c r="AB465" s="142" t="str">
        <f>IF(A465&lt;&gt;"", SUMIFS(node!$J$2:$J$500, node!$C$2:$C$500,"="&amp;A465)/P465, "")</f>
        <v/>
      </c>
      <c r="AC465" s="134" t="str">
        <f>IF(A465&lt;&gt;"", SUMIFS(node!$K$2:$K$500, node!$C$2:$C$500,"="&amp;A465)/P465, "")</f>
        <v/>
      </c>
      <c r="AD465" s="135" t="str">
        <f>IF(A465&lt;&gt;"", SUMIFS(node!$L$2:$L$500, node!$C$2:$C$500,"="&amp;A465), "")</f>
        <v/>
      </c>
      <c r="AE465" s="145" t="str">
        <f>IF(A465&lt;&gt;"", SUMIFS(node!$M$2:$M$500, node!$C$2:$C$500,"="&amp;A465), "")</f>
        <v/>
      </c>
    </row>
    <row r="466" spans="1:31" ht="15.75" customHeight="1" x14ac:dyDescent="0.25">
      <c r="A466" s="119" t="str">
        <f>IF(ISNONTEXT(node_raw[[#This Row],[Column2]]), "", node_raw[[#This Row],[Column2]])</f>
        <v/>
      </c>
      <c r="B466" s="116" t="str">
        <f>IF(A466&lt;&gt;"", VLOOKUP(A466, node!$C$2:$D$500, 2, FALSE), "")</f>
        <v/>
      </c>
      <c r="C466" s="117" t="str">
        <f>IF(A466&lt;&gt;"", VLOOKUP(A466, node!$C$2:$E$500, 3, FALSE), "")</f>
        <v/>
      </c>
      <c r="D466" s="118" t="str">
        <f>IF(A466&lt;&gt;"",COUNTIFS(node!$C$2:$C$500,"="&amp;A466, node!$C$2:$C$500,"&lt;&gt;"&amp;""),"")</f>
        <v/>
      </c>
      <c r="E466" s="122" t="str">
        <f>IF(A466&lt;&gt;"",SUMIFS(node!$F$2:$F$500, node!$C$2:$C$500,"="&amp;A466, node!$C$2:$C$500,"&lt;&gt;"&amp;"")/(B466*D466),"")</f>
        <v/>
      </c>
      <c r="F466" s="124" t="str">
        <f>IF(A466&lt;&gt;"",SUMIFS(node!$H$2:$H$500, node!$C$2:$C$500,"="&amp;A466, node!$C$2:$C$500,"&lt;&gt;"&amp;"")/(C466*D466),"")</f>
        <v/>
      </c>
      <c r="G466" s="93" t="str">
        <f>IF(A466&lt;&gt;"",SUMIFS(deployment!$F$4:$F$502, deployment!$D$4:$D$502,"="&amp;A466, deployment!$D$4:$D$502,"&lt;&gt;"&amp;""),"")</f>
        <v/>
      </c>
      <c r="H466" s="94" t="str">
        <f>IF(A466&lt;&gt;"",SUMIFS(deployment!$G$4:$G$502, deployment!$D$4:$D$502,"="&amp;A466, deployment!$D$4:$D$502,"&lt;&gt;"&amp;""),"")</f>
        <v/>
      </c>
      <c r="I466" s="95" t="str">
        <f>IF(A466&lt;&gt;"",SUMIFS(deployment!$H$4:$H$502, deployment!$D$4:$D$502,"="&amp;A466, deployment!$D$4:$D$502,"&lt;&gt;"&amp;""),"")</f>
        <v/>
      </c>
      <c r="J466" s="96" t="str">
        <f>IF(A466&lt;&gt;"",SUMIFS(deployment!$I$4:$I$502, deployment!$D$4:$D$502,"="&amp;A466, deployment!$D$4:$D$502,"&lt;&gt;"&amp;""),"")</f>
        <v/>
      </c>
      <c r="K466" s="112" t="str">
        <f>IF(A466&lt;&gt;"",SUMIFS(deployment!$J$4:$J$502, deployment!$D$4:$D$502,"="&amp;A466, deployment!$D$4:$D$502,"&lt;&gt;"&amp;""),"")</f>
        <v/>
      </c>
      <c r="L466" s="112" t="str">
        <f>IF(A466&lt;&gt;"",SUMIFS(deployment!$K$4:$K$502, deployment!$D$4:$D$502,"="&amp;A466, deployment!$D$4:$D$502,"&lt;&gt;"&amp;""),"")</f>
        <v/>
      </c>
      <c r="M466" s="97" t="str">
        <f>IF(A466&lt;&gt;"",SUMIFS(deployment!$L$4:$L$502, deployment!$D$4:$D$502,"="&amp;A466, deployment!$D$4:$D$502,"&lt;&gt;"&amp;""),"")</f>
        <v/>
      </c>
      <c r="N466" s="97" t="str">
        <f>IF(A466&lt;&gt;"",SUMIFS(deployment!$M$4:$M$502, deployment!$D$4:$D$502,"="&amp;A466, deployment!$D$4:$D$502,"&lt;&gt;"&amp;""),"")</f>
        <v/>
      </c>
      <c r="O466" s="127" t="str">
        <f t="shared" si="95"/>
        <v/>
      </c>
      <c r="P466" s="104"/>
      <c r="Q466" s="99" t="str">
        <f t="shared" si="84"/>
        <v/>
      </c>
      <c r="R466" s="100" t="str">
        <f t="shared" si="85"/>
        <v/>
      </c>
      <c r="S466" s="100" t="str">
        <f t="shared" si="86"/>
        <v/>
      </c>
      <c r="T466" s="101" t="str">
        <f t="shared" si="87"/>
        <v/>
      </c>
      <c r="U466" s="101" t="str">
        <f t="shared" si="88"/>
        <v/>
      </c>
      <c r="V466" s="128" t="str">
        <f t="shared" si="89"/>
        <v/>
      </c>
      <c r="W466" s="128" t="str">
        <f t="shared" si="90"/>
        <v/>
      </c>
      <c r="X466" s="101" t="str">
        <f t="shared" si="91"/>
        <v/>
      </c>
      <c r="Y466" s="101" t="str">
        <f t="shared" si="92"/>
        <v/>
      </c>
      <c r="Z466" s="102" t="str">
        <f t="shared" si="93"/>
        <v/>
      </c>
      <c r="AA466" s="103" t="str">
        <f t="shared" si="94"/>
        <v/>
      </c>
      <c r="AB466" s="142" t="str">
        <f>IF(A466&lt;&gt;"", SUMIFS(node!$J$2:$J$500, node!$C$2:$C$500,"="&amp;A466)/P466, "")</f>
        <v/>
      </c>
      <c r="AC466" s="134" t="str">
        <f>IF(A466&lt;&gt;"", SUMIFS(node!$K$2:$K$500, node!$C$2:$C$500,"="&amp;A466)/P466, "")</f>
        <v/>
      </c>
      <c r="AD466" s="135" t="str">
        <f>IF(A466&lt;&gt;"", SUMIFS(node!$L$2:$L$500, node!$C$2:$C$500,"="&amp;A466), "")</f>
        <v/>
      </c>
      <c r="AE466" s="145" t="str">
        <f>IF(A466&lt;&gt;"", SUMIFS(node!$M$2:$M$500, node!$C$2:$C$500,"="&amp;A466), "")</f>
        <v/>
      </c>
    </row>
    <row r="467" spans="1:31" ht="15.75" customHeight="1" x14ac:dyDescent="0.25">
      <c r="A467" s="119" t="str">
        <f>IF(ISNONTEXT(node_raw[[#This Row],[Column2]]), "", node_raw[[#This Row],[Column2]])</f>
        <v/>
      </c>
      <c r="B467" s="116" t="str">
        <f>IF(A467&lt;&gt;"", VLOOKUP(A467, node!$C$2:$D$500, 2, FALSE), "")</f>
        <v/>
      </c>
      <c r="C467" s="117" t="str">
        <f>IF(A467&lt;&gt;"", VLOOKUP(A467, node!$C$2:$E$500, 3, FALSE), "")</f>
        <v/>
      </c>
      <c r="D467" s="118" t="str">
        <f>IF(A467&lt;&gt;"",COUNTIFS(node!$C$2:$C$500,"="&amp;A467, node!$C$2:$C$500,"&lt;&gt;"&amp;""),"")</f>
        <v/>
      </c>
      <c r="E467" s="122" t="str">
        <f>IF(A467&lt;&gt;"",SUMIFS(node!$F$2:$F$500, node!$C$2:$C$500,"="&amp;A467, node!$C$2:$C$500,"&lt;&gt;"&amp;"")/(B467*D467),"")</f>
        <v/>
      </c>
      <c r="F467" s="124" t="str">
        <f>IF(A467&lt;&gt;"",SUMIFS(node!$H$2:$H$500, node!$C$2:$C$500,"="&amp;A467, node!$C$2:$C$500,"&lt;&gt;"&amp;"")/(C467*D467),"")</f>
        <v/>
      </c>
      <c r="G467" s="93" t="str">
        <f>IF(A467&lt;&gt;"",SUMIFS(deployment!$F$4:$F$502, deployment!$D$4:$D$502,"="&amp;A467, deployment!$D$4:$D$502,"&lt;&gt;"&amp;""),"")</f>
        <v/>
      </c>
      <c r="H467" s="94" t="str">
        <f>IF(A467&lt;&gt;"",SUMIFS(deployment!$G$4:$G$502, deployment!$D$4:$D$502,"="&amp;A467, deployment!$D$4:$D$502,"&lt;&gt;"&amp;""),"")</f>
        <v/>
      </c>
      <c r="I467" s="95" t="str">
        <f>IF(A467&lt;&gt;"",SUMIFS(deployment!$H$4:$H$502, deployment!$D$4:$D$502,"="&amp;A467, deployment!$D$4:$D$502,"&lt;&gt;"&amp;""),"")</f>
        <v/>
      </c>
      <c r="J467" s="96" t="str">
        <f>IF(A467&lt;&gt;"",SUMIFS(deployment!$I$4:$I$502, deployment!$D$4:$D$502,"="&amp;A467, deployment!$D$4:$D$502,"&lt;&gt;"&amp;""),"")</f>
        <v/>
      </c>
      <c r="K467" s="112" t="str">
        <f>IF(A467&lt;&gt;"",SUMIFS(deployment!$J$4:$J$502, deployment!$D$4:$D$502,"="&amp;A467, deployment!$D$4:$D$502,"&lt;&gt;"&amp;""),"")</f>
        <v/>
      </c>
      <c r="L467" s="112" t="str">
        <f>IF(A467&lt;&gt;"",SUMIFS(deployment!$K$4:$K$502, deployment!$D$4:$D$502,"="&amp;A467, deployment!$D$4:$D$502,"&lt;&gt;"&amp;""),"")</f>
        <v/>
      </c>
      <c r="M467" s="97" t="str">
        <f>IF(A467&lt;&gt;"",SUMIFS(deployment!$L$4:$L$502, deployment!$D$4:$D$502,"="&amp;A467, deployment!$D$4:$D$502,"&lt;&gt;"&amp;""),"")</f>
        <v/>
      </c>
      <c r="N467" s="97" t="str">
        <f>IF(A467&lt;&gt;"",SUMIFS(deployment!$M$4:$M$502, deployment!$D$4:$D$502,"="&amp;A467, deployment!$D$4:$D$502,"&lt;&gt;"&amp;""),"")</f>
        <v/>
      </c>
      <c r="O467" s="127" t="str">
        <f t="shared" si="95"/>
        <v/>
      </c>
      <c r="P467" s="104"/>
      <c r="Q467" s="99" t="str">
        <f t="shared" si="84"/>
        <v/>
      </c>
      <c r="R467" s="100" t="str">
        <f t="shared" si="85"/>
        <v/>
      </c>
      <c r="S467" s="100" t="str">
        <f t="shared" si="86"/>
        <v/>
      </c>
      <c r="T467" s="101" t="str">
        <f t="shared" si="87"/>
        <v/>
      </c>
      <c r="U467" s="101" t="str">
        <f t="shared" si="88"/>
        <v/>
      </c>
      <c r="V467" s="128" t="str">
        <f t="shared" si="89"/>
        <v/>
      </c>
      <c r="W467" s="128" t="str">
        <f t="shared" si="90"/>
        <v/>
      </c>
      <c r="X467" s="101" t="str">
        <f t="shared" si="91"/>
        <v/>
      </c>
      <c r="Y467" s="101" t="str">
        <f t="shared" si="92"/>
        <v/>
      </c>
      <c r="Z467" s="102" t="str">
        <f t="shared" si="93"/>
        <v/>
      </c>
      <c r="AA467" s="103" t="str">
        <f t="shared" si="94"/>
        <v/>
      </c>
      <c r="AB467" s="142" t="str">
        <f>IF(A467&lt;&gt;"", SUMIFS(node!$J$2:$J$500, node!$C$2:$C$500,"="&amp;A467)/P467, "")</f>
        <v/>
      </c>
      <c r="AC467" s="134" t="str">
        <f>IF(A467&lt;&gt;"", SUMIFS(node!$K$2:$K$500, node!$C$2:$C$500,"="&amp;A467)/P467, "")</f>
        <v/>
      </c>
      <c r="AD467" s="135" t="str">
        <f>IF(A467&lt;&gt;"", SUMIFS(node!$L$2:$L$500, node!$C$2:$C$500,"="&amp;A467), "")</f>
        <v/>
      </c>
      <c r="AE467" s="145" t="str">
        <f>IF(A467&lt;&gt;"", SUMIFS(node!$M$2:$M$500, node!$C$2:$C$500,"="&amp;A467), "")</f>
        <v/>
      </c>
    </row>
    <row r="468" spans="1:31" ht="15.75" customHeight="1" x14ac:dyDescent="0.25">
      <c r="A468" s="119" t="str">
        <f>IF(ISNONTEXT(node_raw[[#This Row],[Column2]]), "", node_raw[[#This Row],[Column2]])</f>
        <v/>
      </c>
      <c r="B468" s="116" t="str">
        <f>IF(A468&lt;&gt;"", VLOOKUP(A468, node!$C$2:$D$500, 2, FALSE), "")</f>
        <v/>
      </c>
      <c r="C468" s="117" t="str">
        <f>IF(A468&lt;&gt;"", VLOOKUP(A468, node!$C$2:$E$500, 3, FALSE), "")</f>
        <v/>
      </c>
      <c r="D468" s="118" t="str">
        <f>IF(A468&lt;&gt;"",COUNTIFS(node!$C$2:$C$500,"="&amp;A468, node!$C$2:$C$500,"&lt;&gt;"&amp;""),"")</f>
        <v/>
      </c>
      <c r="E468" s="122" t="str">
        <f>IF(A468&lt;&gt;"",SUMIFS(node!$F$2:$F$500, node!$C$2:$C$500,"="&amp;A468, node!$C$2:$C$500,"&lt;&gt;"&amp;"")/(B468*D468),"")</f>
        <v/>
      </c>
      <c r="F468" s="124" t="str">
        <f>IF(A468&lt;&gt;"",SUMIFS(node!$H$2:$H$500, node!$C$2:$C$500,"="&amp;A468, node!$C$2:$C$500,"&lt;&gt;"&amp;"")/(C468*D468),"")</f>
        <v/>
      </c>
      <c r="G468" s="93" t="str">
        <f>IF(A468&lt;&gt;"",SUMIFS(deployment!$F$4:$F$502, deployment!$D$4:$D$502,"="&amp;A468, deployment!$D$4:$D$502,"&lt;&gt;"&amp;""),"")</f>
        <v/>
      </c>
      <c r="H468" s="94" t="str">
        <f>IF(A468&lt;&gt;"",SUMIFS(deployment!$G$4:$G$502, deployment!$D$4:$D$502,"="&amp;A468, deployment!$D$4:$D$502,"&lt;&gt;"&amp;""),"")</f>
        <v/>
      </c>
      <c r="I468" s="95" t="str">
        <f>IF(A468&lt;&gt;"",SUMIFS(deployment!$H$4:$H$502, deployment!$D$4:$D$502,"="&amp;A468, deployment!$D$4:$D$502,"&lt;&gt;"&amp;""),"")</f>
        <v/>
      </c>
      <c r="J468" s="96" t="str">
        <f>IF(A468&lt;&gt;"",SUMIFS(deployment!$I$4:$I$502, deployment!$D$4:$D$502,"="&amp;A468, deployment!$D$4:$D$502,"&lt;&gt;"&amp;""),"")</f>
        <v/>
      </c>
      <c r="K468" s="112" t="str">
        <f>IF(A468&lt;&gt;"",SUMIFS(deployment!$J$4:$J$502, deployment!$D$4:$D$502,"="&amp;A468, deployment!$D$4:$D$502,"&lt;&gt;"&amp;""),"")</f>
        <v/>
      </c>
      <c r="L468" s="112" t="str">
        <f>IF(A468&lt;&gt;"",SUMIFS(deployment!$K$4:$K$502, deployment!$D$4:$D$502,"="&amp;A468, deployment!$D$4:$D$502,"&lt;&gt;"&amp;""),"")</f>
        <v/>
      </c>
      <c r="M468" s="97" t="str">
        <f>IF(A468&lt;&gt;"",SUMIFS(deployment!$L$4:$L$502, deployment!$D$4:$D$502,"="&amp;A468, deployment!$D$4:$D$502,"&lt;&gt;"&amp;""),"")</f>
        <v/>
      </c>
      <c r="N468" s="97" t="str">
        <f>IF(A468&lt;&gt;"",SUMIFS(deployment!$M$4:$M$502, deployment!$D$4:$D$502,"="&amp;A468, deployment!$D$4:$D$502,"&lt;&gt;"&amp;""),"")</f>
        <v/>
      </c>
      <c r="O468" s="127" t="str">
        <f t="shared" si="95"/>
        <v/>
      </c>
      <c r="P468" s="104"/>
      <c r="Q468" s="99" t="str">
        <f t="shared" si="84"/>
        <v/>
      </c>
      <c r="R468" s="100" t="str">
        <f t="shared" si="85"/>
        <v/>
      </c>
      <c r="S468" s="100" t="str">
        <f t="shared" si="86"/>
        <v/>
      </c>
      <c r="T468" s="101" t="str">
        <f t="shared" si="87"/>
        <v/>
      </c>
      <c r="U468" s="101" t="str">
        <f t="shared" si="88"/>
        <v/>
      </c>
      <c r="V468" s="128" t="str">
        <f t="shared" si="89"/>
        <v/>
      </c>
      <c r="W468" s="128" t="str">
        <f t="shared" si="90"/>
        <v/>
      </c>
      <c r="X468" s="101" t="str">
        <f t="shared" si="91"/>
        <v/>
      </c>
      <c r="Y468" s="101" t="str">
        <f t="shared" si="92"/>
        <v/>
      </c>
      <c r="Z468" s="102" t="str">
        <f t="shared" si="93"/>
        <v/>
      </c>
      <c r="AA468" s="103" t="str">
        <f t="shared" si="94"/>
        <v/>
      </c>
      <c r="AB468" s="142" t="str">
        <f>IF(A468&lt;&gt;"", SUMIFS(node!$J$2:$J$500, node!$C$2:$C$500,"="&amp;A468)/P468, "")</f>
        <v/>
      </c>
      <c r="AC468" s="134" t="str">
        <f>IF(A468&lt;&gt;"", SUMIFS(node!$K$2:$K$500, node!$C$2:$C$500,"="&amp;A468)/P468, "")</f>
        <v/>
      </c>
      <c r="AD468" s="135" t="str">
        <f>IF(A468&lt;&gt;"", SUMIFS(node!$L$2:$L$500, node!$C$2:$C$500,"="&amp;A468), "")</f>
        <v/>
      </c>
      <c r="AE468" s="145" t="str">
        <f>IF(A468&lt;&gt;"", SUMIFS(node!$M$2:$M$500, node!$C$2:$C$500,"="&amp;A468), "")</f>
        <v/>
      </c>
    </row>
    <row r="469" spans="1:31" ht="15.75" customHeight="1" x14ac:dyDescent="0.25">
      <c r="A469" s="119" t="str">
        <f>IF(ISNONTEXT(node_raw[[#This Row],[Column2]]), "", node_raw[[#This Row],[Column2]])</f>
        <v/>
      </c>
      <c r="B469" s="116" t="str">
        <f>IF(A469&lt;&gt;"", VLOOKUP(A469, node!$C$2:$D$500, 2, FALSE), "")</f>
        <v/>
      </c>
      <c r="C469" s="117" t="str">
        <f>IF(A469&lt;&gt;"", VLOOKUP(A469, node!$C$2:$E$500, 3, FALSE), "")</f>
        <v/>
      </c>
      <c r="D469" s="118" t="str">
        <f>IF(A469&lt;&gt;"",COUNTIFS(node!$C$2:$C$500,"="&amp;A469, node!$C$2:$C$500,"&lt;&gt;"&amp;""),"")</f>
        <v/>
      </c>
      <c r="E469" s="122" t="str">
        <f>IF(A469&lt;&gt;"",SUMIFS(node!$F$2:$F$500, node!$C$2:$C$500,"="&amp;A469, node!$C$2:$C$500,"&lt;&gt;"&amp;"")/(B469*D469),"")</f>
        <v/>
      </c>
      <c r="F469" s="124" t="str">
        <f>IF(A469&lt;&gt;"",SUMIFS(node!$H$2:$H$500, node!$C$2:$C$500,"="&amp;A469, node!$C$2:$C$500,"&lt;&gt;"&amp;"")/(C469*D469),"")</f>
        <v/>
      </c>
      <c r="G469" s="93" t="str">
        <f>IF(A469&lt;&gt;"",SUMIFS(deployment!$F$4:$F$502, deployment!$D$4:$D$502,"="&amp;A469, deployment!$D$4:$D$502,"&lt;&gt;"&amp;""),"")</f>
        <v/>
      </c>
      <c r="H469" s="94" t="str">
        <f>IF(A469&lt;&gt;"",SUMIFS(deployment!$G$4:$G$502, deployment!$D$4:$D$502,"="&amp;A469, deployment!$D$4:$D$502,"&lt;&gt;"&amp;""),"")</f>
        <v/>
      </c>
      <c r="I469" s="95" t="str">
        <f>IF(A469&lt;&gt;"",SUMIFS(deployment!$H$4:$H$502, deployment!$D$4:$D$502,"="&amp;A469, deployment!$D$4:$D$502,"&lt;&gt;"&amp;""),"")</f>
        <v/>
      </c>
      <c r="J469" s="96" t="str">
        <f>IF(A469&lt;&gt;"",SUMIFS(deployment!$I$4:$I$502, deployment!$D$4:$D$502,"="&amp;A469, deployment!$D$4:$D$502,"&lt;&gt;"&amp;""),"")</f>
        <v/>
      </c>
      <c r="K469" s="112" t="str">
        <f>IF(A469&lt;&gt;"",SUMIFS(deployment!$J$4:$J$502, deployment!$D$4:$D$502,"="&amp;A469, deployment!$D$4:$D$502,"&lt;&gt;"&amp;""),"")</f>
        <v/>
      </c>
      <c r="L469" s="112" t="str">
        <f>IF(A469&lt;&gt;"",SUMIFS(deployment!$K$4:$K$502, deployment!$D$4:$D$502,"="&amp;A469, deployment!$D$4:$D$502,"&lt;&gt;"&amp;""),"")</f>
        <v/>
      </c>
      <c r="M469" s="97" t="str">
        <f>IF(A469&lt;&gt;"",SUMIFS(deployment!$L$4:$L$502, deployment!$D$4:$D$502,"="&amp;A469, deployment!$D$4:$D$502,"&lt;&gt;"&amp;""),"")</f>
        <v/>
      </c>
      <c r="N469" s="97" t="str">
        <f>IF(A469&lt;&gt;"",SUMIFS(deployment!$M$4:$M$502, deployment!$D$4:$D$502,"="&amp;A469, deployment!$D$4:$D$502,"&lt;&gt;"&amp;""),"")</f>
        <v/>
      </c>
      <c r="O469" s="127" t="str">
        <f t="shared" si="95"/>
        <v/>
      </c>
      <c r="P469" s="104"/>
      <c r="Q469" s="99" t="str">
        <f t="shared" si="84"/>
        <v/>
      </c>
      <c r="R469" s="100" t="str">
        <f t="shared" si="85"/>
        <v/>
      </c>
      <c r="S469" s="100" t="str">
        <f t="shared" si="86"/>
        <v/>
      </c>
      <c r="T469" s="101" t="str">
        <f t="shared" si="87"/>
        <v/>
      </c>
      <c r="U469" s="101" t="str">
        <f t="shared" si="88"/>
        <v/>
      </c>
      <c r="V469" s="128" t="str">
        <f t="shared" si="89"/>
        <v/>
      </c>
      <c r="W469" s="128" t="str">
        <f t="shared" si="90"/>
        <v/>
      </c>
      <c r="X469" s="101" t="str">
        <f t="shared" si="91"/>
        <v/>
      </c>
      <c r="Y469" s="101" t="str">
        <f t="shared" si="92"/>
        <v/>
      </c>
      <c r="Z469" s="102" t="str">
        <f t="shared" si="93"/>
        <v/>
      </c>
      <c r="AA469" s="103" t="str">
        <f t="shared" si="94"/>
        <v/>
      </c>
      <c r="AB469" s="142" t="str">
        <f>IF(A469&lt;&gt;"", SUMIFS(node!$J$2:$J$500, node!$C$2:$C$500,"="&amp;A469)/P469, "")</f>
        <v/>
      </c>
      <c r="AC469" s="134" t="str">
        <f>IF(A469&lt;&gt;"", SUMIFS(node!$K$2:$K$500, node!$C$2:$C$500,"="&amp;A469)/P469, "")</f>
        <v/>
      </c>
      <c r="AD469" s="135" t="str">
        <f>IF(A469&lt;&gt;"", SUMIFS(node!$L$2:$L$500, node!$C$2:$C$500,"="&amp;A469), "")</f>
        <v/>
      </c>
      <c r="AE469" s="145" t="str">
        <f>IF(A469&lt;&gt;"", SUMIFS(node!$M$2:$M$500, node!$C$2:$C$500,"="&amp;A469), "")</f>
        <v/>
      </c>
    </row>
    <row r="470" spans="1:31" ht="15.75" customHeight="1" x14ac:dyDescent="0.25">
      <c r="A470" s="119" t="str">
        <f>IF(ISNONTEXT(node_raw[[#This Row],[Column2]]), "", node_raw[[#This Row],[Column2]])</f>
        <v/>
      </c>
      <c r="B470" s="116" t="str">
        <f>IF(A470&lt;&gt;"", VLOOKUP(A470, node!$C$2:$D$500, 2, FALSE), "")</f>
        <v/>
      </c>
      <c r="C470" s="117" t="str">
        <f>IF(A470&lt;&gt;"", VLOOKUP(A470, node!$C$2:$E$500, 3, FALSE), "")</f>
        <v/>
      </c>
      <c r="D470" s="118" t="str">
        <f>IF(A470&lt;&gt;"",COUNTIFS(node!$C$2:$C$500,"="&amp;A470, node!$C$2:$C$500,"&lt;&gt;"&amp;""),"")</f>
        <v/>
      </c>
      <c r="E470" s="122" t="str">
        <f>IF(A470&lt;&gt;"",SUMIFS(node!$F$2:$F$500, node!$C$2:$C$500,"="&amp;A470, node!$C$2:$C$500,"&lt;&gt;"&amp;"")/(B470*D470),"")</f>
        <v/>
      </c>
      <c r="F470" s="124" t="str">
        <f>IF(A470&lt;&gt;"",SUMIFS(node!$H$2:$H$500, node!$C$2:$C$500,"="&amp;A470, node!$C$2:$C$500,"&lt;&gt;"&amp;"")/(C470*D470),"")</f>
        <v/>
      </c>
      <c r="G470" s="93" t="str">
        <f>IF(A470&lt;&gt;"",SUMIFS(deployment!$F$4:$F$502, deployment!$D$4:$D$502,"="&amp;A470, deployment!$D$4:$D$502,"&lt;&gt;"&amp;""),"")</f>
        <v/>
      </c>
      <c r="H470" s="94" t="str">
        <f>IF(A470&lt;&gt;"",SUMIFS(deployment!$G$4:$G$502, deployment!$D$4:$D$502,"="&amp;A470, deployment!$D$4:$D$502,"&lt;&gt;"&amp;""),"")</f>
        <v/>
      </c>
      <c r="I470" s="95" t="str">
        <f>IF(A470&lt;&gt;"",SUMIFS(deployment!$H$4:$H$502, deployment!$D$4:$D$502,"="&amp;A470, deployment!$D$4:$D$502,"&lt;&gt;"&amp;""),"")</f>
        <v/>
      </c>
      <c r="J470" s="96" t="str">
        <f>IF(A470&lt;&gt;"",SUMIFS(deployment!$I$4:$I$502, deployment!$D$4:$D$502,"="&amp;A470, deployment!$D$4:$D$502,"&lt;&gt;"&amp;""),"")</f>
        <v/>
      </c>
      <c r="K470" s="112" t="str">
        <f>IF(A470&lt;&gt;"",SUMIFS(deployment!$J$4:$J$502, deployment!$D$4:$D$502,"="&amp;A470, deployment!$D$4:$D$502,"&lt;&gt;"&amp;""),"")</f>
        <v/>
      </c>
      <c r="L470" s="112" t="str">
        <f>IF(A470&lt;&gt;"",SUMIFS(deployment!$K$4:$K$502, deployment!$D$4:$D$502,"="&amp;A470, deployment!$D$4:$D$502,"&lt;&gt;"&amp;""),"")</f>
        <v/>
      </c>
      <c r="M470" s="97" t="str">
        <f>IF(A470&lt;&gt;"",SUMIFS(deployment!$L$4:$L$502, deployment!$D$4:$D$502,"="&amp;A470, deployment!$D$4:$D$502,"&lt;&gt;"&amp;""),"")</f>
        <v/>
      </c>
      <c r="N470" s="97" t="str">
        <f>IF(A470&lt;&gt;"",SUMIFS(deployment!$M$4:$M$502, deployment!$D$4:$D$502,"="&amp;A470, deployment!$D$4:$D$502,"&lt;&gt;"&amp;""),"")</f>
        <v/>
      </c>
      <c r="O470" s="127" t="str">
        <f t="shared" si="95"/>
        <v/>
      </c>
      <c r="P470" s="104"/>
      <c r="Q470" s="99" t="str">
        <f t="shared" si="84"/>
        <v/>
      </c>
      <c r="R470" s="100" t="str">
        <f t="shared" si="85"/>
        <v/>
      </c>
      <c r="S470" s="100" t="str">
        <f t="shared" si="86"/>
        <v/>
      </c>
      <c r="T470" s="101" t="str">
        <f t="shared" si="87"/>
        <v/>
      </c>
      <c r="U470" s="101" t="str">
        <f t="shared" si="88"/>
        <v/>
      </c>
      <c r="V470" s="128" t="str">
        <f t="shared" si="89"/>
        <v/>
      </c>
      <c r="W470" s="128" t="str">
        <f t="shared" si="90"/>
        <v/>
      </c>
      <c r="X470" s="101" t="str">
        <f t="shared" si="91"/>
        <v/>
      </c>
      <c r="Y470" s="101" t="str">
        <f t="shared" si="92"/>
        <v/>
      </c>
      <c r="Z470" s="102" t="str">
        <f t="shared" si="93"/>
        <v/>
      </c>
      <c r="AA470" s="103" t="str">
        <f t="shared" si="94"/>
        <v/>
      </c>
      <c r="AB470" s="142" t="str">
        <f>IF(A470&lt;&gt;"", SUMIFS(node!$J$2:$J$500, node!$C$2:$C$500,"="&amp;A470)/P470, "")</f>
        <v/>
      </c>
      <c r="AC470" s="134" t="str">
        <f>IF(A470&lt;&gt;"", SUMIFS(node!$K$2:$K$500, node!$C$2:$C$500,"="&amp;A470)/P470, "")</f>
        <v/>
      </c>
      <c r="AD470" s="135" t="str">
        <f>IF(A470&lt;&gt;"", SUMIFS(node!$L$2:$L$500, node!$C$2:$C$500,"="&amp;A470), "")</f>
        <v/>
      </c>
      <c r="AE470" s="145" t="str">
        <f>IF(A470&lt;&gt;"", SUMIFS(node!$M$2:$M$500, node!$C$2:$C$500,"="&amp;A470), "")</f>
        <v/>
      </c>
    </row>
    <row r="471" spans="1:31" ht="15.75" customHeight="1" x14ac:dyDescent="0.25">
      <c r="A471" s="119" t="str">
        <f>IF(ISNONTEXT(node_raw[[#This Row],[Column2]]), "", node_raw[[#This Row],[Column2]])</f>
        <v/>
      </c>
      <c r="B471" s="116" t="str">
        <f>IF(A471&lt;&gt;"", VLOOKUP(A471, node!$C$2:$D$500, 2, FALSE), "")</f>
        <v/>
      </c>
      <c r="C471" s="117" t="str">
        <f>IF(A471&lt;&gt;"", VLOOKUP(A471, node!$C$2:$E$500, 3, FALSE), "")</f>
        <v/>
      </c>
      <c r="D471" s="118" t="str">
        <f>IF(A471&lt;&gt;"",COUNTIFS(node!$C$2:$C$500,"="&amp;A471, node!$C$2:$C$500,"&lt;&gt;"&amp;""),"")</f>
        <v/>
      </c>
      <c r="E471" s="122" t="str">
        <f>IF(A471&lt;&gt;"",SUMIFS(node!$F$2:$F$500, node!$C$2:$C$500,"="&amp;A471, node!$C$2:$C$500,"&lt;&gt;"&amp;"")/(B471*D471),"")</f>
        <v/>
      </c>
      <c r="F471" s="124" t="str">
        <f>IF(A471&lt;&gt;"",SUMIFS(node!$H$2:$H$500, node!$C$2:$C$500,"="&amp;A471, node!$C$2:$C$500,"&lt;&gt;"&amp;"")/(C471*D471),"")</f>
        <v/>
      </c>
      <c r="G471" s="93" t="str">
        <f>IF(A471&lt;&gt;"",SUMIFS(deployment!$F$4:$F$502, deployment!$D$4:$D$502,"="&amp;A471, deployment!$D$4:$D$502,"&lt;&gt;"&amp;""),"")</f>
        <v/>
      </c>
      <c r="H471" s="94" t="str">
        <f>IF(A471&lt;&gt;"",SUMIFS(deployment!$G$4:$G$502, deployment!$D$4:$D$502,"="&amp;A471, deployment!$D$4:$D$502,"&lt;&gt;"&amp;""),"")</f>
        <v/>
      </c>
      <c r="I471" s="95" t="str">
        <f>IF(A471&lt;&gt;"",SUMIFS(deployment!$H$4:$H$502, deployment!$D$4:$D$502,"="&amp;A471, deployment!$D$4:$D$502,"&lt;&gt;"&amp;""),"")</f>
        <v/>
      </c>
      <c r="J471" s="96" t="str">
        <f>IF(A471&lt;&gt;"",SUMIFS(deployment!$I$4:$I$502, deployment!$D$4:$D$502,"="&amp;A471, deployment!$D$4:$D$502,"&lt;&gt;"&amp;""),"")</f>
        <v/>
      </c>
      <c r="K471" s="112" t="str">
        <f>IF(A471&lt;&gt;"",SUMIFS(deployment!$J$4:$J$502, deployment!$D$4:$D$502,"="&amp;A471, deployment!$D$4:$D$502,"&lt;&gt;"&amp;""),"")</f>
        <v/>
      </c>
      <c r="L471" s="112" t="str">
        <f>IF(A471&lt;&gt;"",SUMIFS(deployment!$K$4:$K$502, deployment!$D$4:$D$502,"="&amp;A471, deployment!$D$4:$D$502,"&lt;&gt;"&amp;""),"")</f>
        <v/>
      </c>
      <c r="M471" s="97" t="str">
        <f>IF(A471&lt;&gt;"",SUMIFS(deployment!$L$4:$L$502, deployment!$D$4:$D$502,"="&amp;A471, deployment!$D$4:$D$502,"&lt;&gt;"&amp;""),"")</f>
        <v/>
      </c>
      <c r="N471" s="97" t="str">
        <f>IF(A471&lt;&gt;"",SUMIFS(deployment!$M$4:$M$502, deployment!$D$4:$D$502,"="&amp;A471, deployment!$D$4:$D$502,"&lt;&gt;"&amp;""),"")</f>
        <v/>
      </c>
      <c r="O471" s="127" t="str">
        <f t="shared" si="95"/>
        <v/>
      </c>
      <c r="P471" s="104"/>
      <c r="Q471" s="99" t="str">
        <f t="shared" si="84"/>
        <v/>
      </c>
      <c r="R471" s="100" t="str">
        <f t="shared" si="85"/>
        <v/>
      </c>
      <c r="S471" s="100" t="str">
        <f t="shared" si="86"/>
        <v/>
      </c>
      <c r="T471" s="101" t="str">
        <f t="shared" si="87"/>
        <v/>
      </c>
      <c r="U471" s="101" t="str">
        <f t="shared" si="88"/>
        <v/>
      </c>
      <c r="V471" s="128" t="str">
        <f t="shared" si="89"/>
        <v/>
      </c>
      <c r="W471" s="128" t="str">
        <f t="shared" si="90"/>
        <v/>
      </c>
      <c r="X471" s="101" t="str">
        <f t="shared" si="91"/>
        <v/>
      </c>
      <c r="Y471" s="101" t="str">
        <f t="shared" si="92"/>
        <v/>
      </c>
      <c r="Z471" s="102" t="str">
        <f t="shared" si="93"/>
        <v/>
      </c>
      <c r="AA471" s="103" t="str">
        <f t="shared" si="94"/>
        <v/>
      </c>
      <c r="AB471" s="142" t="str">
        <f>IF(A471&lt;&gt;"", SUMIFS(node!$J$2:$J$500, node!$C$2:$C$500,"="&amp;A471)/P471, "")</f>
        <v/>
      </c>
      <c r="AC471" s="134" t="str">
        <f>IF(A471&lt;&gt;"", SUMIFS(node!$K$2:$K$500, node!$C$2:$C$500,"="&amp;A471)/P471, "")</f>
        <v/>
      </c>
      <c r="AD471" s="135" t="str">
        <f>IF(A471&lt;&gt;"", SUMIFS(node!$L$2:$L$500, node!$C$2:$C$500,"="&amp;A471), "")</f>
        <v/>
      </c>
      <c r="AE471" s="145" t="str">
        <f>IF(A471&lt;&gt;"", SUMIFS(node!$M$2:$M$500, node!$C$2:$C$500,"="&amp;A471), "")</f>
        <v/>
      </c>
    </row>
    <row r="472" spans="1:31" ht="15.75" customHeight="1" x14ac:dyDescent="0.25">
      <c r="A472" s="119" t="str">
        <f>IF(ISNONTEXT(node_raw[[#This Row],[Column2]]), "", node_raw[[#This Row],[Column2]])</f>
        <v/>
      </c>
      <c r="B472" s="116" t="str">
        <f>IF(A472&lt;&gt;"", VLOOKUP(A472, node!$C$2:$D$500, 2, FALSE), "")</f>
        <v/>
      </c>
      <c r="C472" s="117" t="str">
        <f>IF(A472&lt;&gt;"", VLOOKUP(A472, node!$C$2:$E$500, 3, FALSE), "")</f>
        <v/>
      </c>
      <c r="D472" s="118" t="str">
        <f>IF(A472&lt;&gt;"",COUNTIFS(node!$C$2:$C$500,"="&amp;A472, node!$C$2:$C$500,"&lt;&gt;"&amp;""),"")</f>
        <v/>
      </c>
      <c r="E472" s="122" t="str">
        <f>IF(A472&lt;&gt;"",SUMIFS(node!$F$2:$F$500, node!$C$2:$C$500,"="&amp;A472, node!$C$2:$C$500,"&lt;&gt;"&amp;"")/(B472*D472),"")</f>
        <v/>
      </c>
      <c r="F472" s="124" t="str">
        <f>IF(A472&lt;&gt;"",SUMIFS(node!$H$2:$H$500, node!$C$2:$C$500,"="&amp;A472, node!$C$2:$C$500,"&lt;&gt;"&amp;"")/(C472*D472),"")</f>
        <v/>
      </c>
      <c r="G472" s="93" t="str">
        <f>IF(A472&lt;&gt;"",SUMIFS(deployment!$F$4:$F$502, deployment!$D$4:$D$502,"="&amp;A472, deployment!$D$4:$D$502,"&lt;&gt;"&amp;""),"")</f>
        <v/>
      </c>
      <c r="H472" s="94" t="str">
        <f>IF(A472&lt;&gt;"",SUMIFS(deployment!$G$4:$G$502, deployment!$D$4:$D$502,"="&amp;A472, deployment!$D$4:$D$502,"&lt;&gt;"&amp;""),"")</f>
        <v/>
      </c>
      <c r="I472" s="95" t="str">
        <f>IF(A472&lt;&gt;"",SUMIFS(deployment!$H$4:$H$502, deployment!$D$4:$D$502,"="&amp;A472, deployment!$D$4:$D$502,"&lt;&gt;"&amp;""),"")</f>
        <v/>
      </c>
      <c r="J472" s="96" t="str">
        <f>IF(A472&lt;&gt;"",SUMIFS(deployment!$I$4:$I$502, deployment!$D$4:$D$502,"="&amp;A472, deployment!$D$4:$D$502,"&lt;&gt;"&amp;""),"")</f>
        <v/>
      </c>
      <c r="K472" s="112" t="str">
        <f>IF(A472&lt;&gt;"",SUMIFS(deployment!$J$4:$J$502, deployment!$D$4:$D$502,"="&amp;A472, deployment!$D$4:$D$502,"&lt;&gt;"&amp;""),"")</f>
        <v/>
      </c>
      <c r="L472" s="112" t="str">
        <f>IF(A472&lt;&gt;"",SUMIFS(deployment!$K$4:$K$502, deployment!$D$4:$D$502,"="&amp;A472, deployment!$D$4:$D$502,"&lt;&gt;"&amp;""),"")</f>
        <v/>
      </c>
      <c r="M472" s="97" t="str">
        <f>IF(A472&lt;&gt;"",SUMIFS(deployment!$L$4:$L$502, deployment!$D$4:$D$502,"="&amp;A472, deployment!$D$4:$D$502,"&lt;&gt;"&amp;""),"")</f>
        <v/>
      </c>
      <c r="N472" s="97" t="str">
        <f>IF(A472&lt;&gt;"",SUMIFS(deployment!$M$4:$M$502, deployment!$D$4:$D$502,"="&amp;A472, deployment!$D$4:$D$502,"&lt;&gt;"&amp;""),"")</f>
        <v/>
      </c>
      <c r="O472" s="127" t="str">
        <f t="shared" si="95"/>
        <v/>
      </c>
      <c r="P472" s="104"/>
      <c r="Q472" s="99" t="str">
        <f t="shared" si="84"/>
        <v/>
      </c>
      <c r="R472" s="100" t="str">
        <f t="shared" si="85"/>
        <v/>
      </c>
      <c r="S472" s="100" t="str">
        <f t="shared" si="86"/>
        <v/>
      </c>
      <c r="T472" s="101" t="str">
        <f t="shared" si="87"/>
        <v/>
      </c>
      <c r="U472" s="101" t="str">
        <f t="shared" si="88"/>
        <v/>
      </c>
      <c r="V472" s="128" t="str">
        <f t="shared" si="89"/>
        <v/>
      </c>
      <c r="W472" s="128" t="str">
        <f t="shared" si="90"/>
        <v/>
      </c>
      <c r="X472" s="101" t="str">
        <f t="shared" si="91"/>
        <v/>
      </c>
      <c r="Y472" s="101" t="str">
        <f t="shared" si="92"/>
        <v/>
      </c>
      <c r="Z472" s="102" t="str">
        <f t="shared" si="93"/>
        <v/>
      </c>
      <c r="AA472" s="103" t="str">
        <f t="shared" si="94"/>
        <v/>
      </c>
      <c r="AB472" s="142" t="str">
        <f>IF(A472&lt;&gt;"", SUMIFS(node!$J$2:$J$500, node!$C$2:$C$500,"="&amp;A472)/P472, "")</f>
        <v/>
      </c>
      <c r="AC472" s="134" t="str">
        <f>IF(A472&lt;&gt;"", SUMIFS(node!$K$2:$K$500, node!$C$2:$C$500,"="&amp;A472)/P472, "")</f>
        <v/>
      </c>
      <c r="AD472" s="135" t="str">
        <f>IF(A472&lt;&gt;"", SUMIFS(node!$L$2:$L$500, node!$C$2:$C$500,"="&amp;A472), "")</f>
        <v/>
      </c>
      <c r="AE472" s="145" t="str">
        <f>IF(A472&lt;&gt;"", SUMIFS(node!$M$2:$M$500, node!$C$2:$C$500,"="&amp;A472), "")</f>
        <v/>
      </c>
    </row>
    <row r="473" spans="1:31" ht="15.75" customHeight="1" x14ac:dyDescent="0.25">
      <c r="A473" s="119" t="str">
        <f>IF(ISNONTEXT(node_raw[[#This Row],[Column2]]), "", node_raw[[#This Row],[Column2]])</f>
        <v/>
      </c>
      <c r="B473" s="116" t="str">
        <f>IF(A473&lt;&gt;"", VLOOKUP(A473, node!$C$2:$D$500, 2, FALSE), "")</f>
        <v/>
      </c>
      <c r="C473" s="117" t="str">
        <f>IF(A473&lt;&gt;"", VLOOKUP(A473, node!$C$2:$E$500, 3, FALSE), "")</f>
        <v/>
      </c>
      <c r="D473" s="118" t="str">
        <f>IF(A473&lt;&gt;"",COUNTIFS(node!$C$2:$C$500,"="&amp;A473, node!$C$2:$C$500,"&lt;&gt;"&amp;""),"")</f>
        <v/>
      </c>
      <c r="E473" s="122" t="str">
        <f>IF(A473&lt;&gt;"",SUMIFS(node!$F$2:$F$500, node!$C$2:$C$500,"="&amp;A473, node!$C$2:$C$500,"&lt;&gt;"&amp;"")/(B473*D473),"")</f>
        <v/>
      </c>
      <c r="F473" s="124" t="str">
        <f>IF(A473&lt;&gt;"",SUMIFS(node!$H$2:$H$500, node!$C$2:$C$500,"="&amp;A473, node!$C$2:$C$500,"&lt;&gt;"&amp;"")/(C473*D473),"")</f>
        <v/>
      </c>
      <c r="G473" s="93" t="str">
        <f>IF(A473&lt;&gt;"",SUMIFS(deployment!$F$4:$F$502, deployment!$D$4:$D$502,"="&amp;A473, deployment!$D$4:$D$502,"&lt;&gt;"&amp;""),"")</f>
        <v/>
      </c>
      <c r="H473" s="94" t="str">
        <f>IF(A473&lt;&gt;"",SUMIFS(deployment!$G$4:$G$502, deployment!$D$4:$D$502,"="&amp;A473, deployment!$D$4:$D$502,"&lt;&gt;"&amp;""),"")</f>
        <v/>
      </c>
      <c r="I473" s="95" t="str">
        <f>IF(A473&lt;&gt;"",SUMIFS(deployment!$H$4:$H$502, deployment!$D$4:$D$502,"="&amp;A473, deployment!$D$4:$D$502,"&lt;&gt;"&amp;""),"")</f>
        <v/>
      </c>
      <c r="J473" s="96" t="str">
        <f>IF(A473&lt;&gt;"",SUMIFS(deployment!$I$4:$I$502, deployment!$D$4:$D$502,"="&amp;A473, deployment!$D$4:$D$502,"&lt;&gt;"&amp;""),"")</f>
        <v/>
      </c>
      <c r="K473" s="112" t="str">
        <f>IF(A473&lt;&gt;"",SUMIFS(deployment!$J$4:$J$502, deployment!$D$4:$D$502,"="&amp;A473, deployment!$D$4:$D$502,"&lt;&gt;"&amp;""),"")</f>
        <v/>
      </c>
      <c r="L473" s="112" t="str">
        <f>IF(A473&lt;&gt;"",SUMIFS(deployment!$K$4:$K$502, deployment!$D$4:$D$502,"="&amp;A473, deployment!$D$4:$D$502,"&lt;&gt;"&amp;""),"")</f>
        <v/>
      </c>
      <c r="M473" s="97" t="str">
        <f>IF(A473&lt;&gt;"",SUMIFS(deployment!$L$4:$L$502, deployment!$D$4:$D$502,"="&amp;A473, deployment!$D$4:$D$502,"&lt;&gt;"&amp;""),"")</f>
        <v/>
      </c>
      <c r="N473" s="97" t="str">
        <f>IF(A473&lt;&gt;"",SUMIFS(deployment!$M$4:$M$502, deployment!$D$4:$D$502,"="&amp;A473, deployment!$D$4:$D$502,"&lt;&gt;"&amp;""),"")</f>
        <v/>
      </c>
      <c r="O473" s="127" t="str">
        <f t="shared" si="95"/>
        <v/>
      </c>
      <c r="P473" s="104"/>
      <c r="Q473" s="99" t="str">
        <f t="shared" si="84"/>
        <v/>
      </c>
      <c r="R473" s="100" t="str">
        <f t="shared" si="85"/>
        <v/>
      </c>
      <c r="S473" s="100" t="str">
        <f t="shared" si="86"/>
        <v/>
      </c>
      <c r="T473" s="101" t="str">
        <f t="shared" si="87"/>
        <v/>
      </c>
      <c r="U473" s="101" t="str">
        <f t="shared" si="88"/>
        <v/>
      </c>
      <c r="V473" s="128" t="str">
        <f t="shared" si="89"/>
        <v/>
      </c>
      <c r="W473" s="128" t="str">
        <f t="shared" si="90"/>
        <v/>
      </c>
      <c r="X473" s="101" t="str">
        <f t="shared" si="91"/>
        <v/>
      </c>
      <c r="Y473" s="101" t="str">
        <f t="shared" si="92"/>
        <v/>
      </c>
      <c r="Z473" s="102" t="str">
        <f t="shared" si="93"/>
        <v/>
      </c>
      <c r="AA473" s="103" t="str">
        <f t="shared" si="94"/>
        <v/>
      </c>
      <c r="AB473" s="142" t="str">
        <f>IF(A473&lt;&gt;"", SUMIFS(node!$J$2:$J$500, node!$C$2:$C$500,"="&amp;A473)/P473, "")</f>
        <v/>
      </c>
      <c r="AC473" s="134" t="str">
        <f>IF(A473&lt;&gt;"", SUMIFS(node!$K$2:$K$500, node!$C$2:$C$500,"="&amp;A473)/P473, "")</f>
        <v/>
      </c>
      <c r="AD473" s="135" t="str">
        <f>IF(A473&lt;&gt;"", SUMIFS(node!$L$2:$L$500, node!$C$2:$C$500,"="&amp;A473), "")</f>
        <v/>
      </c>
      <c r="AE473" s="145" t="str">
        <f>IF(A473&lt;&gt;"", SUMIFS(node!$M$2:$M$500, node!$C$2:$C$500,"="&amp;A473), "")</f>
        <v/>
      </c>
    </row>
    <row r="474" spans="1:31" ht="15.75" customHeight="1" x14ac:dyDescent="0.25">
      <c r="A474" s="119" t="str">
        <f>IF(ISNONTEXT(node_raw[[#This Row],[Column2]]), "", node_raw[[#This Row],[Column2]])</f>
        <v/>
      </c>
      <c r="B474" s="116" t="str">
        <f>IF(A474&lt;&gt;"", VLOOKUP(A474, node!$C$2:$D$500, 2, FALSE), "")</f>
        <v/>
      </c>
      <c r="C474" s="117" t="str">
        <f>IF(A474&lt;&gt;"", VLOOKUP(A474, node!$C$2:$E$500, 3, FALSE), "")</f>
        <v/>
      </c>
      <c r="D474" s="118" t="str">
        <f>IF(A474&lt;&gt;"",COUNTIFS(node!$C$2:$C$500,"="&amp;A474, node!$C$2:$C$500,"&lt;&gt;"&amp;""),"")</f>
        <v/>
      </c>
      <c r="E474" s="122" t="str">
        <f>IF(A474&lt;&gt;"",SUMIFS(node!$F$2:$F$500, node!$C$2:$C$500,"="&amp;A474, node!$C$2:$C$500,"&lt;&gt;"&amp;"")/(B474*D474),"")</f>
        <v/>
      </c>
      <c r="F474" s="124" t="str">
        <f>IF(A474&lt;&gt;"",SUMIFS(node!$H$2:$H$500, node!$C$2:$C$500,"="&amp;A474, node!$C$2:$C$500,"&lt;&gt;"&amp;"")/(C474*D474),"")</f>
        <v/>
      </c>
      <c r="G474" s="93" t="str">
        <f>IF(A474&lt;&gt;"",SUMIFS(deployment!$F$4:$F$502, deployment!$D$4:$D$502,"="&amp;A474, deployment!$D$4:$D$502,"&lt;&gt;"&amp;""),"")</f>
        <v/>
      </c>
      <c r="H474" s="94" t="str">
        <f>IF(A474&lt;&gt;"",SUMIFS(deployment!$G$4:$G$502, deployment!$D$4:$D$502,"="&amp;A474, deployment!$D$4:$D$502,"&lt;&gt;"&amp;""),"")</f>
        <v/>
      </c>
      <c r="I474" s="95" t="str">
        <f>IF(A474&lt;&gt;"",SUMIFS(deployment!$H$4:$H$502, deployment!$D$4:$D$502,"="&amp;A474, deployment!$D$4:$D$502,"&lt;&gt;"&amp;""),"")</f>
        <v/>
      </c>
      <c r="J474" s="96" t="str">
        <f>IF(A474&lt;&gt;"",SUMIFS(deployment!$I$4:$I$502, deployment!$D$4:$D$502,"="&amp;A474, deployment!$D$4:$D$502,"&lt;&gt;"&amp;""),"")</f>
        <v/>
      </c>
      <c r="K474" s="112" t="str">
        <f>IF(A474&lt;&gt;"",SUMIFS(deployment!$J$4:$J$502, deployment!$D$4:$D$502,"="&amp;A474, deployment!$D$4:$D$502,"&lt;&gt;"&amp;""),"")</f>
        <v/>
      </c>
      <c r="L474" s="112" t="str">
        <f>IF(A474&lt;&gt;"",SUMIFS(deployment!$K$4:$K$502, deployment!$D$4:$D$502,"="&amp;A474, deployment!$D$4:$D$502,"&lt;&gt;"&amp;""),"")</f>
        <v/>
      </c>
      <c r="M474" s="97" t="str">
        <f>IF(A474&lt;&gt;"",SUMIFS(deployment!$L$4:$L$502, deployment!$D$4:$D$502,"="&amp;A474, deployment!$D$4:$D$502,"&lt;&gt;"&amp;""),"")</f>
        <v/>
      </c>
      <c r="N474" s="97" t="str">
        <f>IF(A474&lt;&gt;"",SUMIFS(deployment!$M$4:$M$502, deployment!$D$4:$D$502,"="&amp;A474, deployment!$D$4:$D$502,"&lt;&gt;"&amp;""),"")</f>
        <v/>
      </c>
      <c r="O474" s="127" t="str">
        <f t="shared" si="95"/>
        <v/>
      </c>
      <c r="P474" s="104"/>
      <c r="Q474" s="99" t="str">
        <f t="shared" si="84"/>
        <v/>
      </c>
      <c r="R474" s="100" t="str">
        <f t="shared" si="85"/>
        <v/>
      </c>
      <c r="S474" s="100" t="str">
        <f t="shared" si="86"/>
        <v/>
      </c>
      <c r="T474" s="101" t="str">
        <f t="shared" si="87"/>
        <v/>
      </c>
      <c r="U474" s="101" t="str">
        <f t="shared" si="88"/>
        <v/>
      </c>
      <c r="V474" s="128" t="str">
        <f t="shared" si="89"/>
        <v/>
      </c>
      <c r="W474" s="128" t="str">
        <f t="shared" si="90"/>
        <v/>
      </c>
      <c r="X474" s="101" t="str">
        <f t="shared" si="91"/>
        <v/>
      </c>
      <c r="Y474" s="101" t="str">
        <f t="shared" si="92"/>
        <v/>
      </c>
      <c r="Z474" s="102" t="str">
        <f t="shared" si="93"/>
        <v/>
      </c>
      <c r="AA474" s="103" t="str">
        <f t="shared" si="94"/>
        <v/>
      </c>
      <c r="AB474" s="142" t="str">
        <f>IF(A474&lt;&gt;"", SUMIFS(node!$J$2:$J$500, node!$C$2:$C$500,"="&amp;A474)/P474, "")</f>
        <v/>
      </c>
      <c r="AC474" s="134" t="str">
        <f>IF(A474&lt;&gt;"", SUMIFS(node!$K$2:$K$500, node!$C$2:$C$500,"="&amp;A474)/P474, "")</f>
        <v/>
      </c>
      <c r="AD474" s="135" t="str">
        <f>IF(A474&lt;&gt;"", SUMIFS(node!$L$2:$L$500, node!$C$2:$C$500,"="&amp;A474), "")</f>
        <v/>
      </c>
      <c r="AE474" s="145" t="str">
        <f>IF(A474&lt;&gt;"", SUMIFS(node!$M$2:$M$500, node!$C$2:$C$500,"="&amp;A474), "")</f>
        <v/>
      </c>
    </row>
    <row r="475" spans="1:31" ht="15.75" customHeight="1" x14ac:dyDescent="0.25">
      <c r="A475" s="119" t="str">
        <f>IF(ISNONTEXT(node_raw[[#This Row],[Column2]]), "", node_raw[[#This Row],[Column2]])</f>
        <v/>
      </c>
      <c r="B475" s="116" t="str">
        <f>IF(A475&lt;&gt;"", VLOOKUP(A475, node!$C$2:$D$500, 2, FALSE), "")</f>
        <v/>
      </c>
      <c r="C475" s="117" t="str">
        <f>IF(A475&lt;&gt;"", VLOOKUP(A475, node!$C$2:$E$500, 3, FALSE), "")</f>
        <v/>
      </c>
      <c r="D475" s="118" t="str">
        <f>IF(A475&lt;&gt;"",COUNTIFS(node!$C$2:$C$500,"="&amp;A475, node!$C$2:$C$500,"&lt;&gt;"&amp;""),"")</f>
        <v/>
      </c>
      <c r="E475" s="122" t="str">
        <f>IF(A475&lt;&gt;"",SUMIFS(node!$F$2:$F$500, node!$C$2:$C$500,"="&amp;A475, node!$C$2:$C$500,"&lt;&gt;"&amp;"")/(B475*D475),"")</f>
        <v/>
      </c>
      <c r="F475" s="124" t="str">
        <f>IF(A475&lt;&gt;"",SUMIFS(node!$H$2:$H$500, node!$C$2:$C$500,"="&amp;A475, node!$C$2:$C$500,"&lt;&gt;"&amp;"")/(C475*D475),"")</f>
        <v/>
      </c>
      <c r="G475" s="93" t="str">
        <f>IF(A475&lt;&gt;"",SUMIFS(deployment!$F$4:$F$502, deployment!$D$4:$D$502,"="&amp;A475, deployment!$D$4:$D$502,"&lt;&gt;"&amp;""),"")</f>
        <v/>
      </c>
      <c r="H475" s="94" t="str">
        <f>IF(A475&lt;&gt;"",SUMIFS(deployment!$G$4:$G$502, deployment!$D$4:$D$502,"="&amp;A475, deployment!$D$4:$D$502,"&lt;&gt;"&amp;""),"")</f>
        <v/>
      </c>
      <c r="I475" s="95" t="str">
        <f>IF(A475&lt;&gt;"",SUMIFS(deployment!$H$4:$H$502, deployment!$D$4:$D$502,"="&amp;A475, deployment!$D$4:$D$502,"&lt;&gt;"&amp;""),"")</f>
        <v/>
      </c>
      <c r="J475" s="96" t="str">
        <f>IF(A475&lt;&gt;"",SUMIFS(deployment!$I$4:$I$502, deployment!$D$4:$D$502,"="&amp;A475, deployment!$D$4:$D$502,"&lt;&gt;"&amp;""),"")</f>
        <v/>
      </c>
      <c r="K475" s="112" t="str">
        <f>IF(A475&lt;&gt;"",SUMIFS(deployment!$J$4:$J$502, deployment!$D$4:$D$502,"="&amp;A475, deployment!$D$4:$D$502,"&lt;&gt;"&amp;""),"")</f>
        <v/>
      </c>
      <c r="L475" s="112" t="str">
        <f>IF(A475&lt;&gt;"",SUMIFS(deployment!$K$4:$K$502, deployment!$D$4:$D$502,"="&amp;A475, deployment!$D$4:$D$502,"&lt;&gt;"&amp;""),"")</f>
        <v/>
      </c>
      <c r="M475" s="97" t="str">
        <f>IF(A475&lt;&gt;"",SUMIFS(deployment!$L$4:$L$502, deployment!$D$4:$D$502,"="&amp;A475, deployment!$D$4:$D$502,"&lt;&gt;"&amp;""),"")</f>
        <v/>
      </c>
      <c r="N475" s="97" t="str">
        <f>IF(A475&lt;&gt;"",SUMIFS(deployment!$M$4:$M$502, deployment!$D$4:$D$502,"="&amp;A475, deployment!$D$4:$D$502,"&lt;&gt;"&amp;""),"")</f>
        <v/>
      </c>
      <c r="O475" s="127" t="str">
        <f t="shared" si="95"/>
        <v/>
      </c>
      <c r="P475" s="104"/>
      <c r="Q475" s="99" t="str">
        <f t="shared" si="84"/>
        <v/>
      </c>
      <c r="R475" s="100" t="str">
        <f t="shared" si="85"/>
        <v/>
      </c>
      <c r="S475" s="100" t="str">
        <f t="shared" si="86"/>
        <v/>
      </c>
      <c r="T475" s="101" t="str">
        <f t="shared" si="87"/>
        <v/>
      </c>
      <c r="U475" s="101" t="str">
        <f t="shared" si="88"/>
        <v/>
      </c>
      <c r="V475" s="128" t="str">
        <f t="shared" si="89"/>
        <v/>
      </c>
      <c r="W475" s="128" t="str">
        <f t="shared" si="90"/>
        <v/>
      </c>
      <c r="X475" s="101" t="str">
        <f t="shared" si="91"/>
        <v/>
      </c>
      <c r="Y475" s="101" t="str">
        <f t="shared" si="92"/>
        <v/>
      </c>
      <c r="Z475" s="102" t="str">
        <f t="shared" si="93"/>
        <v/>
      </c>
      <c r="AA475" s="103" t="str">
        <f t="shared" si="94"/>
        <v/>
      </c>
      <c r="AB475" s="142" t="str">
        <f>IF(A475&lt;&gt;"", SUMIFS(node!$J$2:$J$500, node!$C$2:$C$500,"="&amp;A475)/P475, "")</f>
        <v/>
      </c>
      <c r="AC475" s="134" t="str">
        <f>IF(A475&lt;&gt;"", SUMIFS(node!$K$2:$K$500, node!$C$2:$C$500,"="&amp;A475)/P475, "")</f>
        <v/>
      </c>
      <c r="AD475" s="135" t="str">
        <f>IF(A475&lt;&gt;"", SUMIFS(node!$L$2:$L$500, node!$C$2:$C$500,"="&amp;A475), "")</f>
        <v/>
      </c>
      <c r="AE475" s="145" t="str">
        <f>IF(A475&lt;&gt;"", SUMIFS(node!$M$2:$M$500, node!$C$2:$C$500,"="&amp;A475), "")</f>
        <v/>
      </c>
    </row>
    <row r="476" spans="1:31" ht="15.75" customHeight="1" x14ac:dyDescent="0.25">
      <c r="A476" s="119" t="str">
        <f>IF(ISNONTEXT(node_raw[[#This Row],[Column2]]), "", node_raw[[#This Row],[Column2]])</f>
        <v/>
      </c>
      <c r="B476" s="116" t="str">
        <f>IF(A476&lt;&gt;"", VLOOKUP(A476, node!$C$2:$D$500, 2, FALSE), "")</f>
        <v/>
      </c>
      <c r="C476" s="117" t="str">
        <f>IF(A476&lt;&gt;"", VLOOKUP(A476, node!$C$2:$E$500, 3, FALSE), "")</f>
        <v/>
      </c>
      <c r="D476" s="118" t="str">
        <f>IF(A476&lt;&gt;"",COUNTIFS(node!$C$2:$C$500,"="&amp;A476, node!$C$2:$C$500,"&lt;&gt;"&amp;""),"")</f>
        <v/>
      </c>
      <c r="E476" s="122" t="str">
        <f>IF(A476&lt;&gt;"",SUMIFS(node!$F$2:$F$500, node!$C$2:$C$500,"="&amp;A476, node!$C$2:$C$500,"&lt;&gt;"&amp;"")/(B476*D476),"")</f>
        <v/>
      </c>
      <c r="F476" s="124" t="str">
        <f>IF(A476&lt;&gt;"",SUMIFS(node!$H$2:$H$500, node!$C$2:$C$500,"="&amp;A476, node!$C$2:$C$500,"&lt;&gt;"&amp;"")/(C476*D476),"")</f>
        <v/>
      </c>
      <c r="G476" s="93" t="str">
        <f>IF(A476&lt;&gt;"",SUMIFS(deployment!$F$4:$F$502, deployment!$D$4:$D$502,"="&amp;A476, deployment!$D$4:$D$502,"&lt;&gt;"&amp;""),"")</f>
        <v/>
      </c>
      <c r="H476" s="94" t="str">
        <f>IF(A476&lt;&gt;"",SUMIFS(deployment!$G$4:$G$502, deployment!$D$4:$D$502,"="&amp;A476, deployment!$D$4:$D$502,"&lt;&gt;"&amp;""),"")</f>
        <v/>
      </c>
      <c r="I476" s="95" t="str">
        <f>IF(A476&lt;&gt;"",SUMIFS(deployment!$H$4:$H$502, deployment!$D$4:$D$502,"="&amp;A476, deployment!$D$4:$D$502,"&lt;&gt;"&amp;""),"")</f>
        <v/>
      </c>
      <c r="J476" s="96" t="str">
        <f>IF(A476&lt;&gt;"",SUMIFS(deployment!$I$4:$I$502, deployment!$D$4:$D$502,"="&amp;A476, deployment!$D$4:$D$502,"&lt;&gt;"&amp;""),"")</f>
        <v/>
      </c>
      <c r="K476" s="112" t="str">
        <f>IF(A476&lt;&gt;"",SUMIFS(deployment!$J$4:$J$502, deployment!$D$4:$D$502,"="&amp;A476, deployment!$D$4:$D$502,"&lt;&gt;"&amp;""),"")</f>
        <v/>
      </c>
      <c r="L476" s="112" t="str">
        <f>IF(A476&lt;&gt;"",SUMIFS(deployment!$K$4:$K$502, deployment!$D$4:$D$502,"="&amp;A476, deployment!$D$4:$D$502,"&lt;&gt;"&amp;""),"")</f>
        <v/>
      </c>
      <c r="M476" s="97" t="str">
        <f>IF(A476&lt;&gt;"",SUMIFS(deployment!$L$4:$L$502, deployment!$D$4:$D$502,"="&amp;A476, deployment!$D$4:$D$502,"&lt;&gt;"&amp;""),"")</f>
        <v/>
      </c>
      <c r="N476" s="97" t="str">
        <f>IF(A476&lt;&gt;"",SUMIFS(deployment!$M$4:$M$502, deployment!$D$4:$D$502,"="&amp;A476, deployment!$D$4:$D$502,"&lt;&gt;"&amp;""),"")</f>
        <v/>
      </c>
      <c r="O476" s="127" t="str">
        <f t="shared" si="95"/>
        <v/>
      </c>
      <c r="P476" s="104"/>
      <c r="Q476" s="99" t="str">
        <f t="shared" si="84"/>
        <v/>
      </c>
      <c r="R476" s="100" t="str">
        <f t="shared" si="85"/>
        <v/>
      </c>
      <c r="S476" s="100" t="str">
        <f t="shared" si="86"/>
        <v/>
      </c>
      <c r="T476" s="101" t="str">
        <f t="shared" si="87"/>
        <v/>
      </c>
      <c r="U476" s="101" t="str">
        <f t="shared" si="88"/>
        <v/>
      </c>
      <c r="V476" s="128" t="str">
        <f t="shared" si="89"/>
        <v/>
      </c>
      <c r="W476" s="128" t="str">
        <f t="shared" si="90"/>
        <v/>
      </c>
      <c r="X476" s="101" t="str">
        <f t="shared" si="91"/>
        <v/>
      </c>
      <c r="Y476" s="101" t="str">
        <f t="shared" si="92"/>
        <v/>
      </c>
      <c r="Z476" s="102" t="str">
        <f t="shared" si="93"/>
        <v/>
      </c>
      <c r="AA476" s="103" t="str">
        <f t="shared" si="94"/>
        <v/>
      </c>
      <c r="AB476" s="142" t="str">
        <f>IF(A476&lt;&gt;"", SUMIFS(node!$J$2:$J$500, node!$C$2:$C$500,"="&amp;A476)/P476, "")</f>
        <v/>
      </c>
      <c r="AC476" s="134" t="str">
        <f>IF(A476&lt;&gt;"", SUMIFS(node!$K$2:$K$500, node!$C$2:$C$500,"="&amp;A476)/P476, "")</f>
        <v/>
      </c>
      <c r="AD476" s="135" t="str">
        <f>IF(A476&lt;&gt;"", SUMIFS(node!$L$2:$L$500, node!$C$2:$C$500,"="&amp;A476), "")</f>
        <v/>
      </c>
      <c r="AE476" s="145" t="str">
        <f>IF(A476&lt;&gt;"", SUMIFS(node!$M$2:$M$500, node!$C$2:$C$500,"="&amp;A476), "")</f>
        <v/>
      </c>
    </row>
    <row r="477" spans="1:31" ht="15.75" customHeight="1" x14ac:dyDescent="0.25">
      <c r="A477" s="119" t="str">
        <f>IF(ISNONTEXT(node_raw[[#This Row],[Column2]]), "", node_raw[[#This Row],[Column2]])</f>
        <v/>
      </c>
      <c r="B477" s="116" t="str">
        <f>IF(A477&lt;&gt;"", VLOOKUP(A477, node!$C$2:$D$500, 2, FALSE), "")</f>
        <v/>
      </c>
      <c r="C477" s="117" t="str">
        <f>IF(A477&lt;&gt;"", VLOOKUP(A477, node!$C$2:$E$500, 3, FALSE), "")</f>
        <v/>
      </c>
      <c r="D477" s="118" t="str">
        <f>IF(A477&lt;&gt;"",COUNTIFS(node!$C$2:$C$500,"="&amp;A477, node!$C$2:$C$500,"&lt;&gt;"&amp;""),"")</f>
        <v/>
      </c>
      <c r="E477" s="122" t="str">
        <f>IF(A477&lt;&gt;"",SUMIFS(node!$F$2:$F$500, node!$C$2:$C$500,"="&amp;A477, node!$C$2:$C$500,"&lt;&gt;"&amp;"")/(B477*D477),"")</f>
        <v/>
      </c>
      <c r="F477" s="124" t="str">
        <f>IF(A477&lt;&gt;"",SUMIFS(node!$H$2:$H$500, node!$C$2:$C$500,"="&amp;A477, node!$C$2:$C$500,"&lt;&gt;"&amp;"")/(C477*D477),"")</f>
        <v/>
      </c>
      <c r="G477" s="93" t="str">
        <f>IF(A477&lt;&gt;"",SUMIFS(deployment!$F$4:$F$502, deployment!$D$4:$D$502,"="&amp;A477, deployment!$D$4:$D$502,"&lt;&gt;"&amp;""),"")</f>
        <v/>
      </c>
      <c r="H477" s="94" t="str">
        <f>IF(A477&lt;&gt;"",SUMIFS(deployment!$G$4:$G$502, deployment!$D$4:$D$502,"="&amp;A477, deployment!$D$4:$D$502,"&lt;&gt;"&amp;""),"")</f>
        <v/>
      </c>
      <c r="I477" s="95" t="str">
        <f>IF(A477&lt;&gt;"",SUMIFS(deployment!$H$4:$H$502, deployment!$D$4:$D$502,"="&amp;A477, deployment!$D$4:$D$502,"&lt;&gt;"&amp;""),"")</f>
        <v/>
      </c>
      <c r="J477" s="96" t="str">
        <f>IF(A477&lt;&gt;"",SUMIFS(deployment!$I$4:$I$502, deployment!$D$4:$D$502,"="&amp;A477, deployment!$D$4:$D$502,"&lt;&gt;"&amp;""),"")</f>
        <v/>
      </c>
      <c r="K477" s="112" t="str">
        <f>IF(A477&lt;&gt;"",SUMIFS(deployment!$J$4:$J$502, deployment!$D$4:$D$502,"="&amp;A477, deployment!$D$4:$D$502,"&lt;&gt;"&amp;""),"")</f>
        <v/>
      </c>
      <c r="L477" s="112" t="str">
        <f>IF(A477&lt;&gt;"",SUMIFS(deployment!$K$4:$K$502, deployment!$D$4:$D$502,"="&amp;A477, deployment!$D$4:$D$502,"&lt;&gt;"&amp;""),"")</f>
        <v/>
      </c>
      <c r="M477" s="97" t="str">
        <f>IF(A477&lt;&gt;"",SUMIFS(deployment!$L$4:$L$502, deployment!$D$4:$D$502,"="&amp;A477, deployment!$D$4:$D$502,"&lt;&gt;"&amp;""),"")</f>
        <v/>
      </c>
      <c r="N477" s="97" t="str">
        <f>IF(A477&lt;&gt;"",SUMIFS(deployment!$M$4:$M$502, deployment!$D$4:$D$502,"="&amp;A477, deployment!$D$4:$D$502,"&lt;&gt;"&amp;""),"")</f>
        <v/>
      </c>
      <c r="O477" s="127" t="str">
        <f t="shared" si="95"/>
        <v/>
      </c>
      <c r="P477" s="104"/>
      <c r="Q477" s="99" t="str">
        <f t="shared" si="84"/>
        <v/>
      </c>
      <c r="R477" s="100" t="str">
        <f t="shared" si="85"/>
        <v/>
      </c>
      <c r="S477" s="100" t="str">
        <f t="shared" si="86"/>
        <v/>
      </c>
      <c r="T477" s="101" t="str">
        <f t="shared" si="87"/>
        <v/>
      </c>
      <c r="U477" s="101" t="str">
        <f t="shared" si="88"/>
        <v/>
      </c>
      <c r="V477" s="128" t="str">
        <f t="shared" si="89"/>
        <v/>
      </c>
      <c r="W477" s="128" t="str">
        <f t="shared" si="90"/>
        <v/>
      </c>
      <c r="X477" s="101" t="str">
        <f t="shared" si="91"/>
        <v/>
      </c>
      <c r="Y477" s="101" t="str">
        <f t="shared" si="92"/>
        <v/>
      </c>
      <c r="Z477" s="102" t="str">
        <f t="shared" si="93"/>
        <v/>
      </c>
      <c r="AA477" s="103" t="str">
        <f t="shared" si="94"/>
        <v/>
      </c>
      <c r="AB477" s="142" t="str">
        <f>IF(A477&lt;&gt;"", SUMIFS(node!$J$2:$J$500, node!$C$2:$C$500,"="&amp;A477)/P477, "")</f>
        <v/>
      </c>
      <c r="AC477" s="134" t="str">
        <f>IF(A477&lt;&gt;"", SUMIFS(node!$K$2:$K$500, node!$C$2:$C$500,"="&amp;A477)/P477, "")</f>
        <v/>
      </c>
      <c r="AD477" s="135" t="str">
        <f>IF(A477&lt;&gt;"", SUMIFS(node!$L$2:$L$500, node!$C$2:$C$500,"="&amp;A477), "")</f>
        <v/>
      </c>
      <c r="AE477" s="145" t="str">
        <f>IF(A477&lt;&gt;"", SUMIFS(node!$M$2:$M$500, node!$C$2:$C$500,"="&amp;A477), "")</f>
        <v/>
      </c>
    </row>
    <row r="478" spans="1:31" ht="15.75" customHeight="1" x14ac:dyDescent="0.25">
      <c r="A478" s="119" t="str">
        <f>IF(ISNONTEXT(node_raw[[#This Row],[Column2]]), "", node_raw[[#This Row],[Column2]])</f>
        <v/>
      </c>
      <c r="B478" s="116" t="str">
        <f>IF(A478&lt;&gt;"", VLOOKUP(A478, node!$C$2:$D$500, 2, FALSE), "")</f>
        <v/>
      </c>
      <c r="C478" s="117" t="str">
        <f>IF(A478&lt;&gt;"", VLOOKUP(A478, node!$C$2:$E$500, 3, FALSE), "")</f>
        <v/>
      </c>
      <c r="D478" s="118" t="str">
        <f>IF(A478&lt;&gt;"",COUNTIFS(node!$C$2:$C$500,"="&amp;A478, node!$C$2:$C$500,"&lt;&gt;"&amp;""),"")</f>
        <v/>
      </c>
      <c r="E478" s="122" t="str">
        <f>IF(A478&lt;&gt;"",SUMIFS(node!$F$2:$F$500, node!$C$2:$C$500,"="&amp;A478, node!$C$2:$C$500,"&lt;&gt;"&amp;"")/(B478*D478),"")</f>
        <v/>
      </c>
      <c r="F478" s="124" t="str">
        <f>IF(A478&lt;&gt;"",SUMIFS(node!$H$2:$H$500, node!$C$2:$C$500,"="&amp;A478, node!$C$2:$C$500,"&lt;&gt;"&amp;"")/(C478*D478),"")</f>
        <v/>
      </c>
      <c r="G478" s="93" t="str">
        <f>IF(A478&lt;&gt;"",SUMIFS(deployment!$F$4:$F$502, deployment!$D$4:$D$502,"="&amp;A478, deployment!$D$4:$D$502,"&lt;&gt;"&amp;""),"")</f>
        <v/>
      </c>
      <c r="H478" s="94" t="str">
        <f>IF(A478&lt;&gt;"",SUMIFS(deployment!$G$4:$G$502, deployment!$D$4:$D$502,"="&amp;A478, deployment!$D$4:$D$502,"&lt;&gt;"&amp;""),"")</f>
        <v/>
      </c>
      <c r="I478" s="95" t="str">
        <f>IF(A478&lt;&gt;"",SUMIFS(deployment!$H$4:$H$502, deployment!$D$4:$D$502,"="&amp;A478, deployment!$D$4:$D$502,"&lt;&gt;"&amp;""),"")</f>
        <v/>
      </c>
      <c r="J478" s="96" t="str">
        <f>IF(A478&lt;&gt;"",SUMIFS(deployment!$I$4:$I$502, deployment!$D$4:$D$502,"="&amp;A478, deployment!$D$4:$D$502,"&lt;&gt;"&amp;""),"")</f>
        <v/>
      </c>
      <c r="K478" s="112" t="str">
        <f>IF(A478&lt;&gt;"",SUMIFS(deployment!$J$4:$J$502, deployment!$D$4:$D$502,"="&amp;A478, deployment!$D$4:$D$502,"&lt;&gt;"&amp;""),"")</f>
        <v/>
      </c>
      <c r="L478" s="112" t="str">
        <f>IF(A478&lt;&gt;"",SUMIFS(deployment!$K$4:$K$502, deployment!$D$4:$D$502,"="&amp;A478, deployment!$D$4:$D$502,"&lt;&gt;"&amp;""),"")</f>
        <v/>
      </c>
      <c r="M478" s="97" t="str">
        <f>IF(A478&lt;&gt;"",SUMIFS(deployment!$L$4:$L$502, deployment!$D$4:$D$502,"="&amp;A478, deployment!$D$4:$D$502,"&lt;&gt;"&amp;""),"")</f>
        <v/>
      </c>
      <c r="N478" s="97" t="str">
        <f>IF(A478&lt;&gt;"",SUMIFS(deployment!$M$4:$M$502, deployment!$D$4:$D$502,"="&amp;A478, deployment!$D$4:$D$502,"&lt;&gt;"&amp;""),"")</f>
        <v/>
      </c>
      <c r="O478" s="127" t="str">
        <f t="shared" si="95"/>
        <v/>
      </c>
      <c r="P478" s="104"/>
      <c r="Q478" s="99" t="str">
        <f t="shared" si="84"/>
        <v/>
      </c>
      <c r="R478" s="100" t="str">
        <f t="shared" si="85"/>
        <v/>
      </c>
      <c r="S478" s="100" t="str">
        <f t="shared" si="86"/>
        <v/>
      </c>
      <c r="T478" s="101" t="str">
        <f t="shared" si="87"/>
        <v/>
      </c>
      <c r="U478" s="101" t="str">
        <f t="shared" si="88"/>
        <v/>
      </c>
      <c r="V478" s="128" t="str">
        <f t="shared" si="89"/>
        <v/>
      </c>
      <c r="W478" s="128" t="str">
        <f t="shared" si="90"/>
        <v/>
      </c>
      <c r="X478" s="101" t="str">
        <f t="shared" si="91"/>
        <v/>
      </c>
      <c r="Y478" s="101" t="str">
        <f t="shared" si="92"/>
        <v/>
      </c>
      <c r="Z478" s="102" t="str">
        <f t="shared" si="93"/>
        <v/>
      </c>
      <c r="AA478" s="103" t="str">
        <f t="shared" si="94"/>
        <v/>
      </c>
      <c r="AB478" s="142" t="str">
        <f>IF(A478&lt;&gt;"", SUMIFS(node!$J$2:$J$500, node!$C$2:$C$500,"="&amp;A478)/P478, "")</f>
        <v/>
      </c>
      <c r="AC478" s="134" t="str">
        <f>IF(A478&lt;&gt;"", SUMIFS(node!$K$2:$K$500, node!$C$2:$C$500,"="&amp;A478)/P478, "")</f>
        <v/>
      </c>
      <c r="AD478" s="135" t="str">
        <f>IF(A478&lt;&gt;"", SUMIFS(node!$L$2:$L$500, node!$C$2:$C$500,"="&amp;A478), "")</f>
        <v/>
      </c>
      <c r="AE478" s="145" t="str">
        <f>IF(A478&lt;&gt;"", SUMIFS(node!$M$2:$M$500, node!$C$2:$C$500,"="&amp;A478), "")</f>
        <v/>
      </c>
    </row>
    <row r="479" spans="1:31" ht="15.75" customHeight="1" x14ac:dyDescent="0.25">
      <c r="A479" s="119" t="str">
        <f>IF(ISNONTEXT(node_raw[[#This Row],[Column2]]), "", node_raw[[#This Row],[Column2]])</f>
        <v/>
      </c>
      <c r="B479" s="116" t="str">
        <f>IF(A479&lt;&gt;"", VLOOKUP(A479, node!$C$2:$D$500, 2, FALSE), "")</f>
        <v/>
      </c>
      <c r="C479" s="117" t="str">
        <f>IF(A479&lt;&gt;"", VLOOKUP(A479, node!$C$2:$E$500, 3, FALSE), "")</f>
        <v/>
      </c>
      <c r="D479" s="118" t="str">
        <f>IF(A479&lt;&gt;"",COUNTIFS(node!$C$2:$C$500,"="&amp;A479, node!$C$2:$C$500,"&lt;&gt;"&amp;""),"")</f>
        <v/>
      </c>
      <c r="E479" s="122" t="str">
        <f>IF(A479&lt;&gt;"",SUMIFS(node!$F$2:$F$500, node!$C$2:$C$500,"="&amp;A479, node!$C$2:$C$500,"&lt;&gt;"&amp;"")/(B479*D479),"")</f>
        <v/>
      </c>
      <c r="F479" s="124" t="str">
        <f>IF(A479&lt;&gt;"",SUMIFS(node!$H$2:$H$500, node!$C$2:$C$500,"="&amp;A479, node!$C$2:$C$500,"&lt;&gt;"&amp;"")/(C479*D479),"")</f>
        <v/>
      </c>
      <c r="G479" s="93" t="str">
        <f>IF(A479&lt;&gt;"",SUMIFS(deployment!$F$4:$F$502, deployment!$D$4:$D$502,"="&amp;A479, deployment!$D$4:$D$502,"&lt;&gt;"&amp;""),"")</f>
        <v/>
      </c>
      <c r="H479" s="94" t="str">
        <f>IF(A479&lt;&gt;"",SUMIFS(deployment!$G$4:$G$502, deployment!$D$4:$D$502,"="&amp;A479, deployment!$D$4:$D$502,"&lt;&gt;"&amp;""),"")</f>
        <v/>
      </c>
      <c r="I479" s="95" t="str">
        <f>IF(A479&lt;&gt;"",SUMIFS(deployment!$H$4:$H$502, deployment!$D$4:$D$502,"="&amp;A479, deployment!$D$4:$D$502,"&lt;&gt;"&amp;""),"")</f>
        <v/>
      </c>
      <c r="J479" s="96" t="str">
        <f>IF(A479&lt;&gt;"",SUMIFS(deployment!$I$4:$I$502, deployment!$D$4:$D$502,"="&amp;A479, deployment!$D$4:$D$502,"&lt;&gt;"&amp;""),"")</f>
        <v/>
      </c>
      <c r="K479" s="112" t="str">
        <f>IF(A479&lt;&gt;"",SUMIFS(deployment!$J$4:$J$502, deployment!$D$4:$D$502,"="&amp;A479, deployment!$D$4:$D$502,"&lt;&gt;"&amp;""),"")</f>
        <v/>
      </c>
      <c r="L479" s="112" t="str">
        <f>IF(A479&lt;&gt;"",SUMIFS(deployment!$K$4:$K$502, deployment!$D$4:$D$502,"="&amp;A479, deployment!$D$4:$D$502,"&lt;&gt;"&amp;""),"")</f>
        <v/>
      </c>
      <c r="M479" s="97" t="str">
        <f>IF(A479&lt;&gt;"",SUMIFS(deployment!$L$4:$L$502, deployment!$D$4:$D$502,"="&amp;A479, deployment!$D$4:$D$502,"&lt;&gt;"&amp;""),"")</f>
        <v/>
      </c>
      <c r="N479" s="97" t="str">
        <f>IF(A479&lt;&gt;"",SUMIFS(deployment!$M$4:$M$502, deployment!$D$4:$D$502,"="&amp;A479, deployment!$D$4:$D$502,"&lt;&gt;"&amp;""),"")</f>
        <v/>
      </c>
      <c r="O479" s="127" t="str">
        <f t="shared" si="95"/>
        <v/>
      </c>
      <c r="P479" s="104"/>
      <c r="Q479" s="99" t="str">
        <f t="shared" si="84"/>
        <v/>
      </c>
      <c r="R479" s="100" t="str">
        <f t="shared" si="85"/>
        <v/>
      </c>
      <c r="S479" s="100" t="str">
        <f t="shared" si="86"/>
        <v/>
      </c>
      <c r="T479" s="101" t="str">
        <f t="shared" si="87"/>
        <v/>
      </c>
      <c r="U479" s="101" t="str">
        <f t="shared" si="88"/>
        <v/>
      </c>
      <c r="V479" s="128" t="str">
        <f t="shared" si="89"/>
        <v/>
      </c>
      <c r="W479" s="128" t="str">
        <f t="shared" si="90"/>
        <v/>
      </c>
      <c r="X479" s="101" t="str">
        <f t="shared" si="91"/>
        <v/>
      </c>
      <c r="Y479" s="101" t="str">
        <f t="shared" si="92"/>
        <v/>
      </c>
      <c r="Z479" s="102" t="str">
        <f t="shared" si="93"/>
        <v/>
      </c>
      <c r="AA479" s="103" t="str">
        <f t="shared" si="94"/>
        <v/>
      </c>
      <c r="AB479" s="142" t="str">
        <f>IF(A479&lt;&gt;"", SUMIFS(node!$J$2:$J$500, node!$C$2:$C$500,"="&amp;A479)/P479, "")</f>
        <v/>
      </c>
      <c r="AC479" s="134" t="str">
        <f>IF(A479&lt;&gt;"", SUMIFS(node!$K$2:$K$500, node!$C$2:$C$500,"="&amp;A479)/P479, "")</f>
        <v/>
      </c>
      <c r="AD479" s="135" t="str">
        <f>IF(A479&lt;&gt;"", SUMIFS(node!$L$2:$L$500, node!$C$2:$C$500,"="&amp;A479), "")</f>
        <v/>
      </c>
      <c r="AE479" s="145" t="str">
        <f>IF(A479&lt;&gt;"", SUMIFS(node!$M$2:$M$500, node!$C$2:$C$500,"="&amp;A479), "")</f>
        <v/>
      </c>
    </row>
    <row r="480" spans="1:31" ht="15.75" customHeight="1" x14ac:dyDescent="0.25">
      <c r="A480" s="119" t="str">
        <f>IF(ISNONTEXT(node_raw[[#This Row],[Column2]]), "", node_raw[[#This Row],[Column2]])</f>
        <v/>
      </c>
      <c r="B480" s="116" t="str">
        <f>IF(A480&lt;&gt;"", VLOOKUP(A480, node!$C$2:$D$500, 2, FALSE), "")</f>
        <v/>
      </c>
      <c r="C480" s="117" t="str">
        <f>IF(A480&lt;&gt;"", VLOOKUP(A480, node!$C$2:$E$500, 3, FALSE), "")</f>
        <v/>
      </c>
      <c r="D480" s="118" t="str">
        <f>IF(A480&lt;&gt;"",COUNTIFS(node!$C$2:$C$500,"="&amp;A480, node!$C$2:$C$500,"&lt;&gt;"&amp;""),"")</f>
        <v/>
      </c>
      <c r="E480" s="122" t="str">
        <f>IF(A480&lt;&gt;"",SUMIFS(node!$F$2:$F$500, node!$C$2:$C$500,"="&amp;A480, node!$C$2:$C$500,"&lt;&gt;"&amp;"")/(B480*D480),"")</f>
        <v/>
      </c>
      <c r="F480" s="124" t="str">
        <f>IF(A480&lt;&gt;"",SUMIFS(node!$H$2:$H$500, node!$C$2:$C$500,"="&amp;A480, node!$C$2:$C$500,"&lt;&gt;"&amp;"")/(C480*D480),"")</f>
        <v/>
      </c>
      <c r="G480" s="93" t="str">
        <f>IF(A480&lt;&gt;"",SUMIFS(deployment!$F$4:$F$502, deployment!$D$4:$D$502,"="&amp;A480, deployment!$D$4:$D$502,"&lt;&gt;"&amp;""),"")</f>
        <v/>
      </c>
      <c r="H480" s="94" t="str">
        <f>IF(A480&lt;&gt;"",SUMIFS(deployment!$G$4:$G$502, deployment!$D$4:$D$502,"="&amp;A480, deployment!$D$4:$D$502,"&lt;&gt;"&amp;""),"")</f>
        <v/>
      </c>
      <c r="I480" s="95" t="str">
        <f>IF(A480&lt;&gt;"",SUMIFS(deployment!$H$4:$H$502, deployment!$D$4:$D$502,"="&amp;A480, deployment!$D$4:$D$502,"&lt;&gt;"&amp;""),"")</f>
        <v/>
      </c>
      <c r="J480" s="96" t="str">
        <f>IF(A480&lt;&gt;"",SUMIFS(deployment!$I$4:$I$502, deployment!$D$4:$D$502,"="&amp;A480, deployment!$D$4:$D$502,"&lt;&gt;"&amp;""),"")</f>
        <v/>
      </c>
      <c r="K480" s="112" t="str">
        <f>IF(A480&lt;&gt;"",SUMIFS(deployment!$J$4:$J$502, deployment!$D$4:$D$502,"="&amp;A480, deployment!$D$4:$D$502,"&lt;&gt;"&amp;""),"")</f>
        <v/>
      </c>
      <c r="L480" s="112" t="str">
        <f>IF(A480&lt;&gt;"",SUMIFS(deployment!$K$4:$K$502, deployment!$D$4:$D$502,"="&amp;A480, deployment!$D$4:$D$502,"&lt;&gt;"&amp;""),"")</f>
        <v/>
      </c>
      <c r="M480" s="97" t="str">
        <f>IF(A480&lt;&gt;"",SUMIFS(deployment!$L$4:$L$502, deployment!$D$4:$D$502,"="&amp;A480, deployment!$D$4:$D$502,"&lt;&gt;"&amp;""),"")</f>
        <v/>
      </c>
      <c r="N480" s="97" t="str">
        <f>IF(A480&lt;&gt;"",SUMIFS(deployment!$M$4:$M$502, deployment!$D$4:$D$502,"="&amp;A480, deployment!$D$4:$D$502,"&lt;&gt;"&amp;""),"")</f>
        <v/>
      </c>
      <c r="O480" s="127" t="str">
        <f t="shared" si="95"/>
        <v/>
      </c>
      <c r="P480" s="104"/>
      <c r="Q480" s="99" t="str">
        <f t="shared" si="84"/>
        <v/>
      </c>
      <c r="R480" s="100" t="str">
        <f t="shared" si="85"/>
        <v/>
      </c>
      <c r="S480" s="100" t="str">
        <f t="shared" si="86"/>
        <v/>
      </c>
      <c r="T480" s="101" t="str">
        <f t="shared" si="87"/>
        <v/>
      </c>
      <c r="U480" s="101" t="str">
        <f t="shared" si="88"/>
        <v/>
      </c>
      <c r="V480" s="128" t="str">
        <f t="shared" si="89"/>
        <v/>
      </c>
      <c r="W480" s="128" t="str">
        <f t="shared" si="90"/>
        <v/>
      </c>
      <c r="X480" s="101" t="str">
        <f t="shared" si="91"/>
        <v/>
      </c>
      <c r="Y480" s="101" t="str">
        <f t="shared" si="92"/>
        <v/>
      </c>
      <c r="Z480" s="102" t="str">
        <f t="shared" si="93"/>
        <v/>
      </c>
      <c r="AA480" s="103" t="str">
        <f t="shared" si="94"/>
        <v/>
      </c>
      <c r="AB480" s="142" t="str">
        <f>IF(A480&lt;&gt;"", SUMIFS(node!$J$2:$J$500, node!$C$2:$C$500,"="&amp;A480)/P480, "")</f>
        <v/>
      </c>
      <c r="AC480" s="134" t="str">
        <f>IF(A480&lt;&gt;"", SUMIFS(node!$K$2:$K$500, node!$C$2:$C$500,"="&amp;A480)/P480, "")</f>
        <v/>
      </c>
      <c r="AD480" s="135" t="str">
        <f>IF(A480&lt;&gt;"", SUMIFS(node!$L$2:$L$500, node!$C$2:$C$500,"="&amp;A480), "")</f>
        <v/>
      </c>
      <c r="AE480" s="145" t="str">
        <f>IF(A480&lt;&gt;"", SUMIFS(node!$M$2:$M$500, node!$C$2:$C$500,"="&amp;A480), "")</f>
        <v/>
      </c>
    </row>
    <row r="481" spans="1:31" ht="15.75" customHeight="1" x14ac:dyDescent="0.25">
      <c r="A481" s="119" t="str">
        <f>IF(ISNONTEXT(node_raw[[#This Row],[Column2]]), "", node_raw[[#This Row],[Column2]])</f>
        <v/>
      </c>
      <c r="B481" s="116" t="str">
        <f>IF(A481&lt;&gt;"", VLOOKUP(A481, node!$C$2:$D$500, 2, FALSE), "")</f>
        <v/>
      </c>
      <c r="C481" s="117" t="str">
        <f>IF(A481&lt;&gt;"", VLOOKUP(A481, node!$C$2:$E$500, 3, FALSE), "")</f>
        <v/>
      </c>
      <c r="D481" s="118" t="str">
        <f>IF(A481&lt;&gt;"",COUNTIFS(node!$C$2:$C$500,"="&amp;A481, node!$C$2:$C$500,"&lt;&gt;"&amp;""),"")</f>
        <v/>
      </c>
      <c r="E481" s="122" t="str">
        <f>IF(A481&lt;&gt;"",SUMIFS(node!$F$2:$F$500, node!$C$2:$C$500,"="&amp;A481, node!$C$2:$C$500,"&lt;&gt;"&amp;"")/(B481*D481),"")</f>
        <v/>
      </c>
      <c r="F481" s="124" t="str">
        <f>IF(A481&lt;&gt;"",SUMIFS(node!$H$2:$H$500, node!$C$2:$C$500,"="&amp;A481, node!$C$2:$C$500,"&lt;&gt;"&amp;"")/(C481*D481),"")</f>
        <v/>
      </c>
      <c r="G481" s="93" t="str">
        <f>IF(A481&lt;&gt;"",SUMIFS(deployment!$F$4:$F$502, deployment!$D$4:$D$502,"="&amp;A481, deployment!$D$4:$D$502,"&lt;&gt;"&amp;""),"")</f>
        <v/>
      </c>
      <c r="H481" s="94" t="str">
        <f>IF(A481&lt;&gt;"",SUMIFS(deployment!$G$4:$G$502, deployment!$D$4:$D$502,"="&amp;A481, deployment!$D$4:$D$502,"&lt;&gt;"&amp;""),"")</f>
        <v/>
      </c>
      <c r="I481" s="95" t="str">
        <f>IF(A481&lt;&gt;"",SUMIFS(deployment!$H$4:$H$502, deployment!$D$4:$D$502,"="&amp;A481, deployment!$D$4:$D$502,"&lt;&gt;"&amp;""),"")</f>
        <v/>
      </c>
      <c r="J481" s="96" t="str">
        <f>IF(A481&lt;&gt;"",SUMIFS(deployment!$I$4:$I$502, deployment!$D$4:$D$502,"="&amp;A481, deployment!$D$4:$D$502,"&lt;&gt;"&amp;""),"")</f>
        <v/>
      </c>
      <c r="K481" s="112" t="str">
        <f>IF(A481&lt;&gt;"",SUMIFS(deployment!$J$4:$J$502, deployment!$D$4:$D$502,"="&amp;A481, deployment!$D$4:$D$502,"&lt;&gt;"&amp;""),"")</f>
        <v/>
      </c>
      <c r="L481" s="112" t="str">
        <f>IF(A481&lt;&gt;"",SUMIFS(deployment!$K$4:$K$502, deployment!$D$4:$D$502,"="&amp;A481, deployment!$D$4:$D$502,"&lt;&gt;"&amp;""),"")</f>
        <v/>
      </c>
      <c r="M481" s="97" t="str">
        <f>IF(A481&lt;&gt;"",SUMIFS(deployment!$L$4:$L$502, deployment!$D$4:$D$502,"="&amp;A481, deployment!$D$4:$D$502,"&lt;&gt;"&amp;""),"")</f>
        <v/>
      </c>
      <c r="N481" s="97" t="str">
        <f>IF(A481&lt;&gt;"",SUMIFS(deployment!$M$4:$M$502, deployment!$D$4:$D$502,"="&amp;A481, deployment!$D$4:$D$502,"&lt;&gt;"&amp;""),"")</f>
        <v/>
      </c>
      <c r="O481" s="127" t="str">
        <f t="shared" si="95"/>
        <v/>
      </c>
      <c r="P481" s="104"/>
      <c r="Q481" s="99" t="str">
        <f t="shared" si="84"/>
        <v/>
      </c>
      <c r="R481" s="100" t="str">
        <f t="shared" si="85"/>
        <v/>
      </c>
      <c r="S481" s="100" t="str">
        <f t="shared" si="86"/>
        <v/>
      </c>
      <c r="T481" s="101" t="str">
        <f t="shared" si="87"/>
        <v/>
      </c>
      <c r="U481" s="101" t="str">
        <f t="shared" si="88"/>
        <v/>
      </c>
      <c r="V481" s="128" t="str">
        <f t="shared" si="89"/>
        <v/>
      </c>
      <c r="W481" s="128" t="str">
        <f t="shared" si="90"/>
        <v/>
      </c>
      <c r="X481" s="101" t="str">
        <f t="shared" si="91"/>
        <v/>
      </c>
      <c r="Y481" s="101" t="str">
        <f t="shared" si="92"/>
        <v/>
      </c>
      <c r="Z481" s="102" t="str">
        <f t="shared" si="93"/>
        <v/>
      </c>
      <c r="AA481" s="103" t="str">
        <f t="shared" si="94"/>
        <v/>
      </c>
      <c r="AB481" s="142" t="str">
        <f>IF(A481&lt;&gt;"", SUMIFS(node!$J$2:$J$500, node!$C$2:$C$500,"="&amp;A481)/P481, "")</f>
        <v/>
      </c>
      <c r="AC481" s="134" t="str">
        <f>IF(A481&lt;&gt;"", SUMIFS(node!$K$2:$K$500, node!$C$2:$C$500,"="&amp;A481)/P481, "")</f>
        <v/>
      </c>
      <c r="AD481" s="135" t="str">
        <f>IF(A481&lt;&gt;"", SUMIFS(node!$L$2:$L$500, node!$C$2:$C$500,"="&amp;A481), "")</f>
        <v/>
      </c>
      <c r="AE481" s="145" t="str">
        <f>IF(A481&lt;&gt;"", SUMIFS(node!$M$2:$M$500, node!$C$2:$C$500,"="&amp;A481), "")</f>
        <v/>
      </c>
    </row>
    <row r="482" spans="1:31" ht="15.75" customHeight="1" x14ac:dyDescent="0.25">
      <c r="A482" s="119" t="str">
        <f>IF(ISNONTEXT(node_raw[[#This Row],[Column2]]), "", node_raw[[#This Row],[Column2]])</f>
        <v/>
      </c>
      <c r="B482" s="116" t="str">
        <f>IF(A482&lt;&gt;"", VLOOKUP(A482, node!$C$2:$D$500, 2, FALSE), "")</f>
        <v/>
      </c>
      <c r="C482" s="117" t="str">
        <f>IF(A482&lt;&gt;"", VLOOKUP(A482, node!$C$2:$E$500, 3, FALSE), "")</f>
        <v/>
      </c>
      <c r="D482" s="118" t="str">
        <f>IF(A482&lt;&gt;"",COUNTIFS(node!$C$2:$C$500,"="&amp;A482, node!$C$2:$C$500,"&lt;&gt;"&amp;""),"")</f>
        <v/>
      </c>
      <c r="E482" s="122" t="str">
        <f>IF(A482&lt;&gt;"",SUMIFS(node!$F$2:$F$500, node!$C$2:$C$500,"="&amp;A482, node!$C$2:$C$500,"&lt;&gt;"&amp;"")/(B482*D482),"")</f>
        <v/>
      </c>
      <c r="F482" s="124" t="str">
        <f>IF(A482&lt;&gt;"",SUMIFS(node!$H$2:$H$500, node!$C$2:$C$500,"="&amp;A482, node!$C$2:$C$500,"&lt;&gt;"&amp;"")/(C482*D482),"")</f>
        <v/>
      </c>
      <c r="G482" s="93" t="str">
        <f>IF(A482&lt;&gt;"",SUMIFS(deployment!$F$4:$F$502, deployment!$D$4:$D$502,"="&amp;A482, deployment!$D$4:$D$502,"&lt;&gt;"&amp;""),"")</f>
        <v/>
      </c>
      <c r="H482" s="94" t="str">
        <f>IF(A482&lt;&gt;"",SUMIFS(deployment!$G$4:$G$502, deployment!$D$4:$D$502,"="&amp;A482, deployment!$D$4:$D$502,"&lt;&gt;"&amp;""),"")</f>
        <v/>
      </c>
      <c r="I482" s="95" t="str">
        <f>IF(A482&lt;&gt;"",SUMIFS(deployment!$H$4:$H$502, deployment!$D$4:$D$502,"="&amp;A482, deployment!$D$4:$D$502,"&lt;&gt;"&amp;""),"")</f>
        <v/>
      </c>
      <c r="J482" s="96" t="str">
        <f>IF(A482&lt;&gt;"",SUMIFS(deployment!$I$4:$I$502, deployment!$D$4:$D$502,"="&amp;A482, deployment!$D$4:$D$502,"&lt;&gt;"&amp;""),"")</f>
        <v/>
      </c>
      <c r="K482" s="112" t="str">
        <f>IF(A482&lt;&gt;"",SUMIFS(deployment!$J$4:$J$502, deployment!$D$4:$D$502,"="&amp;A482, deployment!$D$4:$D$502,"&lt;&gt;"&amp;""),"")</f>
        <v/>
      </c>
      <c r="L482" s="112" t="str">
        <f>IF(A482&lt;&gt;"",SUMIFS(deployment!$K$4:$K$502, deployment!$D$4:$D$502,"="&amp;A482, deployment!$D$4:$D$502,"&lt;&gt;"&amp;""),"")</f>
        <v/>
      </c>
      <c r="M482" s="97" t="str">
        <f>IF(A482&lt;&gt;"",SUMIFS(deployment!$L$4:$L$502, deployment!$D$4:$D$502,"="&amp;A482, deployment!$D$4:$D$502,"&lt;&gt;"&amp;""),"")</f>
        <v/>
      </c>
      <c r="N482" s="97" t="str">
        <f>IF(A482&lt;&gt;"",SUMIFS(deployment!$M$4:$M$502, deployment!$D$4:$D$502,"="&amp;A482, deployment!$D$4:$D$502,"&lt;&gt;"&amp;""),"")</f>
        <v/>
      </c>
      <c r="O482" s="127" t="str">
        <f t="shared" si="95"/>
        <v/>
      </c>
      <c r="P482" s="104"/>
      <c r="Q482" s="99" t="str">
        <f t="shared" si="84"/>
        <v/>
      </c>
      <c r="R482" s="100" t="str">
        <f t="shared" si="85"/>
        <v/>
      </c>
      <c r="S482" s="100" t="str">
        <f t="shared" si="86"/>
        <v/>
      </c>
      <c r="T482" s="101" t="str">
        <f t="shared" si="87"/>
        <v/>
      </c>
      <c r="U482" s="101" t="str">
        <f t="shared" si="88"/>
        <v/>
      </c>
      <c r="V482" s="128" t="str">
        <f t="shared" si="89"/>
        <v/>
      </c>
      <c r="W482" s="128" t="str">
        <f t="shared" si="90"/>
        <v/>
      </c>
      <c r="X482" s="101" t="str">
        <f t="shared" si="91"/>
        <v/>
      </c>
      <c r="Y482" s="101" t="str">
        <f t="shared" si="92"/>
        <v/>
      </c>
      <c r="Z482" s="102" t="str">
        <f t="shared" si="93"/>
        <v/>
      </c>
      <c r="AA482" s="103" t="str">
        <f t="shared" si="94"/>
        <v/>
      </c>
      <c r="AB482" s="142" t="str">
        <f>IF(A482&lt;&gt;"", SUMIFS(node!$J$2:$J$500, node!$C$2:$C$500,"="&amp;A482)/P482, "")</f>
        <v/>
      </c>
      <c r="AC482" s="134" t="str">
        <f>IF(A482&lt;&gt;"", SUMIFS(node!$K$2:$K$500, node!$C$2:$C$500,"="&amp;A482)/P482, "")</f>
        <v/>
      </c>
      <c r="AD482" s="135" t="str">
        <f>IF(A482&lt;&gt;"", SUMIFS(node!$L$2:$L$500, node!$C$2:$C$500,"="&amp;A482), "")</f>
        <v/>
      </c>
      <c r="AE482" s="145" t="str">
        <f>IF(A482&lt;&gt;"", SUMIFS(node!$M$2:$M$500, node!$C$2:$C$500,"="&amp;A482), "")</f>
        <v/>
      </c>
    </row>
    <row r="483" spans="1:31" ht="15.75" customHeight="1" x14ac:dyDescent="0.25">
      <c r="A483" s="119" t="str">
        <f>IF(ISNONTEXT(node_raw[[#This Row],[Column2]]), "", node_raw[[#This Row],[Column2]])</f>
        <v/>
      </c>
      <c r="B483" s="116" t="str">
        <f>IF(A483&lt;&gt;"", VLOOKUP(A483, node!$C$2:$D$500, 2, FALSE), "")</f>
        <v/>
      </c>
      <c r="C483" s="117" t="str">
        <f>IF(A483&lt;&gt;"", VLOOKUP(A483, node!$C$2:$E$500, 3, FALSE), "")</f>
        <v/>
      </c>
      <c r="D483" s="118" t="str">
        <f>IF(A483&lt;&gt;"",COUNTIFS(node!$C$2:$C$500,"="&amp;A483, node!$C$2:$C$500,"&lt;&gt;"&amp;""),"")</f>
        <v/>
      </c>
      <c r="E483" s="122" t="str">
        <f>IF(A483&lt;&gt;"",SUMIFS(node!$F$2:$F$500, node!$C$2:$C$500,"="&amp;A483, node!$C$2:$C$500,"&lt;&gt;"&amp;"")/(B483*D483),"")</f>
        <v/>
      </c>
      <c r="F483" s="124" t="str">
        <f>IF(A483&lt;&gt;"",SUMIFS(node!$H$2:$H$500, node!$C$2:$C$500,"="&amp;A483, node!$C$2:$C$500,"&lt;&gt;"&amp;"")/(C483*D483),"")</f>
        <v/>
      </c>
      <c r="G483" s="93" t="str">
        <f>IF(A483&lt;&gt;"",SUMIFS(deployment!$F$4:$F$502, deployment!$D$4:$D$502,"="&amp;A483, deployment!$D$4:$D$502,"&lt;&gt;"&amp;""),"")</f>
        <v/>
      </c>
      <c r="H483" s="94" t="str">
        <f>IF(A483&lt;&gt;"",SUMIFS(deployment!$G$4:$G$502, deployment!$D$4:$D$502,"="&amp;A483, deployment!$D$4:$D$502,"&lt;&gt;"&amp;""),"")</f>
        <v/>
      </c>
      <c r="I483" s="95" t="str">
        <f>IF(A483&lt;&gt;"",SUMIFS(deployment!$H$4:$H$502, deployment!$D$4:$D$502,"="&amp;A483, deployment!$D$4:$D$502,"&lt;&gt;"&amp;""),"")</f>
        <v/>
      </c>
      <c r="J483" s="96" t="str">
        <f>IF(A483&lt;&gt;"",SUMIFS(deployment!$I$4:$I$502, deployment!$D$4:$D$502,"="&amp;A483, deployment!$D$4:$D$502,"&lt;&gt;"&amp;""),"")</f>
        <v/>
      </c>
      <c r="K483" s="112" t="str">
        <f>IF(A483&lt;&gt;"",SUMIFS(deployment!$J$4:$J$502, deployment!$D$4:$D$502,"="&amp;A483, deployment!$D$4:$D$502,"&lt;&gt;"&amp;""),"")</f>
        <v/>
      </c>
      <c r="L483" s="112" t="str">
        <f>IF(A483&lt;&gt;"",SUMIFS(deployment!$K$4:$K$502, deployment!$D$4:$D$502,"="&amp;A483, deployment!$D$4:$D$502,"&lt;&gt;"&amp;""),"")</f>
        <v/>
      </c>
      <c r="M483" s="97" t="str">
        <f>IF(A483&lt;&gt;"",SUMIFS(deployment!$L$4:$L$502, deployment!$D$4:$D$502,"="&amp;A483, deployment!$D$4:$D$502,"&lt;&gt;"&amp;""),"")</f>
        <v/>
      </c>
      <c r="N483" s="97" t="str">
        <f>IF(A483&lt;&gt;"",SUMIFS(deployment!$M$4:$M$502, deployment!$D$4:$D$502,"="&amp;A483, deployment!$D$4:$D$502,"&lt;&gt;"&amp;""),"")</f>
        <v/>
      </c>
      <c r="O483" s="127" t="str">
        <f t="shared" si="95"/>
        <v/>
      </c>
      <c r="P483" s="104"/>
      <c r="Q483" s="99" t="str">
        <f t="shared" si="84"/>
        <v/>
      </c>
      <c r="R483" s="100" t="str">
        <f t="shared" si="85"/>
        <v/>
      </c>
      <c r="S483" s="100" t="str">
        <f t="shared" si="86"/>
        <v/>
      </c>
      <c r="T483" s="101" t="str">
        <f t="shared" si="87"/>
        <v/>
      </c>
      <c r="U483" s="101" t="str">
        <f t="shared" si="88"/>
        <v/>
      </c>
      <c r="V483" s="128" t="str">
        <f t="shared" si="89"/>
        <v/>
      </c>
      <c r="W483" s="128" t="str">
        <f t="shared" si="90"/>
        <v/>
      </c>
      <c r="X483" s="101" t="str">
        <f t="shared" si="91"/>
        <v/>
      </c>
      <c r="Y483" s="101" t="str">
        <f t="shared" si="92"/>
        <v/>
      </c>
      <c r="Z483" s="102" t="str">
        <f t="shared" si="93"/>
        <v/>
      </c>
      <c r="AA483" s="103" t="str">
        <f t="shared" si="94"/>
        <v/>
      </c>
      <c r="AB483" s="142" t="str">
        <f>IF(A483&lt;&gt;"", SUMIFS(node!$J$2:$J$500, node!$C$2:$C$500,"="&amp;A483)/P483, "")</f>
        <v/>
      </c>
      <c r="AC483" s="134" t="str">
        <f>IF(A483&lt;&gt;"", SUMIFS(node!$K$2:$K$500, node!$C$2:$C$500,"="&amp;A483)/P483, "")</f>
        <v/>
      </c>
      <c r="AD483" s="135" t="str">
        <f>IF(A483&lt;&gt;"", SUMIFS(node!$L$2:$L$500, node!$C$2:$C$500,"="&amp;A483), "")</f>
        <v/>
      </c>
      <c r="AE483" s="145" t="str">
        <f>IF(A483&lt;&gt;"", SUMIFS(node!$M$2:$M$500, node!$C$2:$C$500,"="&amp;A483), "")</f>
        <v/>
      </c>
    </row>
    <row r="484" spans="1:31" ht="15.75" customHeight="1" x14ac:dyDescent="0.25">
      <c r="A484" s="119" t="str">
        <f>IF(ISNONTEXT(node_raw[[#This Row],[Column2]]), "", node_raw[[#This Row],[Column2]])</f>
        <v/>
      </c>
      <c r="B484" s="116" t="str">
        <f>IF(A484&lt;&gt;"", VLOOKUP(A484, node!$C$2:$D$500, 2, FALSE), "")</f>
        <v/>
      </c>
      <c r="C484" s="117" t="str">
        <f>IF(A484&lt;&gt;"", VLOOKUP(A484, node!$C$2:$E$500, 3, FALSE), "")</f>
        <v/>
      </c>
      <c r="D484" s="118" t="str">
        <f>IF(A484&lt;&gt;"",COUNTIFS(node!$C$2:$C$500,"="&amp;A484, node!$C$2:$C$500,"&lt;&gt;"&amp;""),"")</f>
        <v/>
      </c>
      <c r="E484" s="122" t="str">
        <f>IF(A484&lt;&gt;"",SUMIFS(node!$F$2:$F$500, node!$C$2:$C$500,"="&amp;A484, node!$C$2:$C$500,"&lt;&gt;"&amp;"")/(B484*D484),"")</f>
        <v/>
      </c>
      <c r="F484" s="124" t="str">
        <f>IF(A484&lt;&gt;"",SUMIFS(node!$H$2:$H$500, node!$C$2:$C$500,"="&amp;A484, node!$C$2:$C$500,"&lt;&gt;"&amp;"")/(C484*D484),"")</f>
        <v/>
      </c>
      <c r="G484" s="93" t="str">
        <f>IF(A484&lt;&gt;"",SUMIFS(deployment!$F$4:$F$502, deployment!$D$4:$D$502,"="&amp;A484, deployment!$D$4:$D$502,"&lt;&gt;"&amp;""),"")</f>
        <v/>
      </c>
      <c r="H484" s="94" t="str">
        <f>IF(A484&lt;&gt;"",SUMIFS(deployment!$G$4:$G$502, deployment!$D$4:$D$502,"="&amp;A484, deployment!$D$4:$D$502,"&lt;&gt;"&amp;""),"")</f>
        <v/>
      </c>
      <c r="I484" s="95" t="str">
        <f>IF(A484&lt;&gt;"",SUMIFS(deployment!$H$4:$H$502, deployment!$D$4:$D$502,"="&amp;A484, deployment!$D$4:$D$502,"&lt;&gt;"&amp;""),"")</f>
        <v/>
      </c>
      <c r="J484" s="96" t="str">
        <f>IF(A484&lt;&gt;"",SUMIFS(deployment!$I$4:$I$502, deployment!$D$4:$D$502,"="&amp;A484, deployment!$D$4:$D$502,"&lt;&gt;"&amp;""),"")</f>
        <v/>
      </c>
      <c r="K484" s="112" t="str">
        <f>IF(A484&lt;&gt;"",SUMIFS(deployment!$J$4:$J$502, deployment!$D$4:$D$502,"="&amp;A484, deployment!$D$4:$D$502,"&lt;&gt;"&amp;""),"")</f>
        <v/>
      </c>
      <c r="L484" s="112" t="str">
        <f>IF(A484&lt;&gt;"",SUMIFS(deployment!$K$4:$K$502, deployment!$D$4:$D$502,"="&amp;A484, deployment!$D$4:$D$502,"&lt;&gt;"&amp;""),"")</f>
        <v/>
      </c>
      <c r="M484" s="97" t="str">
        <f>IF(A484&lt;&gt;"",SUMIFS(deployment!$L$4:$L$502, deployment!$D$4:$D$502,"="&amp;A484, deployment!$D$4:$D$502,"&lt;&gt;"&amp;""),"")</f>
        <v/>
      </c>
      <c r="N484" s="97" t="str">
        <f>IF(A484&lt;&gt;"",SUMIFS(deployment!$M$4:$M$502, deployment!$D$4:$D$502,"="&amp;A484, deployment!$D$4:$D$502,"&lt;&gt;"&amp;""),"")</f>
        <v/>
      </c>
      <c r="O484" s="127" t="str">
        <f t="shared" si="95"/>
        <v/>
      </c>
      <c r="P484" s="104"/>
      <c r="Q484" s="99" t="str">
        <f t="shared" si="84"/>
        <v/>
      </c>
      <c r="R484" s="100" t="str">
        <f t="shared" si="85"/>
        <v/>
      </c>
      <c r="S484" s="100" t="str">
        <f t="shared" si="86"/>
        <v/>
      </c>
      <c r="T484" s="101" t="str">
        <f t="shared" si="87"/>
        <v/>
      </c>
      <c r="U484" s="101" t="str">
        <f t="shared" si="88"/>
        <v/>
      </c>
      <c r="V484" s="128" t="str">
        <f t="shared" si="89"/>
        <v/>
      </c>
      <c r="W484" s="128" t="str">
        <f t="shared" si="90"/>
        <v/>
      </c>
      <c r="X484" s="101" t="str">
        <f t="shared" si="91"/>
        <v/>
      </c>
      <c r="Y484" s="101" t="str">
        <f t="shared" si="92"/>
        <v/>
      </c>
      <c r="Z484" s="102" t="str">
        <f t="shared" si="93"/>
        <v/>
      </c>
      <c r="AA484" s="103" t="str">
        <f t="shared" si="94"/>
        <v/>
      </c>
      <c r="AB484" s="142" t="str">
        <f>IF(A484&lt;&gt;"", SUMIFS(node!$J$2:$J$500, node!$C$2:$C$500,"="&amp;A484)/P484, "")</f>
        <v/>
      </c>
      <c r="AC484" s="134" t="str">
        <f>IF(A484&lt;&gt;"", SUMIFS(node!$K$2:$K$500, node!$C$2:$C$500,"="&amp;A484)/P484, "")</f>
        <v/>
      </c>
      <c r="AD484" s="135" t="str">
        <f>IF(A484&lt;&gt;"", SUMIFS(node!$L$2:$L$500, node!$C$2:$C$500,"="&amp;A484), "")</f>
        <v/>
      </c>
      <c r="AE484" s="145" t="str">
        <f>IF(A484&lt;&gt;"", SUMIFS(node!$M$2:$M$500, node!$C$2:$C$500,"="&amp;A484), "")</f>
        <v/>
      </c>
    </row>
    <row r="485" spans="1:31" ht="15.75" customHeight="1" x14ac:dyDescent="0.25">
      <c r="A485" s="119" t="str">
        <f>IF(ISNONTEXT(node_raw[[#This Row],[Column2]]), "", node_raw[[#This Row],[Column2]])</f>
        <v/>
      </c>
      <c r="B485" s="116" t="str">
        <f>IF(A485&lt;&gt;"", VLOOKUP(A485, node!$C$2:$D$500, 2, FALSE), "")</f>
        <v/>
      </c>
      <c r="C485" s="117" t="str">
        <f>IF(A485&lt;&gt;"", VLOOKUP(A485, node!$C$2:$E$500, 3, FALSE), "")</f>
        <v/>
      </c>
      <c r="D485" s="118" t="str">
        <f>IF(A485&lt;&gt;"",COUNTIFS(node!$C$2:$C$500,"="&amp;A485, node!$C$2:$C$500,"&lt;&gt;"&amp;""),"")</f>
        <v/>
      </c>
      <c r="E485" s="122" t="str">
        <f>IF(A485&lt;&gt;"",SUMIFS(node!$F$2:$F$500, node!$C$2:$C$500,"="&amp;A485, node!$C$2:$C$500,"&lt;&gt;"&amp;"")/(B485*D485),"")</f>
        <v/>
      </c>
      <c r="F485" s="124" t="str">
        <f>IF(A485&lt;&gt;"",SUMIFS(node!$H$2:$H$500, node!$C$2:$C$500,"="&amp;A485, node!$C$2:$C$500,"&lt;&gt;"&amp;"")/(C485*D485),"")</f>
        <v/>
      </c>
      <c r="G485" s="93" t="str">
        <f>IF(A485&lt;&gt;"",SUMIFS(deployment!$F$4:$F$502, deployment!$D$4:$D$502,"="&amp;A485, deployment!$D$4:$D$502,"&lt;&gt;"&amp;""),"")</f>
        <v/>
      </c>
      <c r="H485" s="94" t="str">
        <f>IF(A485&lt;&gt;"",SUMIFS(deployment!$G$4:$G$502, deployment!$D$4:$D$502,"="&amp;A485, deployment!$D$4:$D$502,"&lt;&gt;"&amp;""),"")</f>
        <v/>
      </c>
      <c r="I485" s="95" t="str">
        <f>IF(A485&lt;&gt;"",SUMIFS(deployment!$H$4:$H$502, deployment!$D$4:$D$502,"="&amp;A485, deployment!$D$4:$D$502,"&lt;&gt;"&amp;""),"")</f>
        <v/>
      </c>
      <c r="J485" s="96" t="str">
        <f>IF(A485&lt;&gt;"",SUMIFS(deployment!$I$4:$I$502, deployment!$D$4:$D$502,"="&amp;A485, deployment!$D$4:$D$502,"&lt;&gt;"&amp;""),"")</f>
        <v/>
      </c>
      <c r="K485" s="112" t="str">
        <f>IF(A485&lt;&gt;"",SUMIFS(deployment!$J$4:$J$502, deployment!$D$4:$D$502,"="&amp;A485, deployment!$D$4:$D$502,"&lt;&gt;"&amp;""),"")</f>
        <v/>
      </c>
      <c r="L485" s="112" t="str">
        <f>IF(A485&lt;&gt;"",SUMIFS(deployment!$K$4:$K$502, deployment!$D$4:$D$502,"="&amp;A485, deployment!$D$4:$D$502,"&lt;&gt;"&amp;""),"")</f>
        <v/>
      </c>
      <c r="M485" s="97" t="str">
        <f>IF(A485&lt;&gt;"",SUMIFS(deployment!$L$4:$L$502, deployment!$D$4:$D$502,"="&amp;A485, deployment!$D$4:$D$502,"&lt;&gt;"&amp;""),"")</f>
        <v/>
      </c>
      <c r="N485" s="97" t="str">
        <f>IF(A485&lt;&gt;"",SUMIFS(deployment!$M$4:$M$502, deployment!$D$4:$D$502,"="&amp;A485, deployment!$D$4:$D$502,"&lt;&gt;"&amp;""),"")</f>
        <v/>
      </c>
      <c r="O485" s="127" t="str">
        <f t="shared" si="95"/>
        <v/>
      </c>
      <c r="P485" s="104"/>
      <c r="Q485" s="99" t="str">
        <f t="shared" si="84"/>
        <v/>
      </c>
      <c r="R485" s="100" t="str">
        <f t="shared" si="85"/>
        <v/>
      </c>
      <c r="S485" s="100" t="str">
        <f t="shared" si="86"/>
        <v/>
      </c>
      <c r="T485" s="101" t="str">
        <f t="shared" si="87"/>
        <v/>
      </c>
      <c r="U485" s="101" t="str">
        <f t="shared" si="88"/>
        <v/>
      </c>
      <c r="V485" s="128" t="str">
        <f t="shared" si="89"/>
        <v/>
      </c>
      <c r="W485" s="128" t="str">
        <f t="shared" si="90"/>
        <v/>
      </c>
      <c r="X485" s="101" t="str">
        <f t="shared" si="91"/>
        <v/>
      </c>
      <c r="Y485" s="101" t="str">
        <f t="shared" si="92"/>
        <v/>
      </c>
      <c r="Z485" s="102" t="str">
        <f t="shared" si="93"/>
        <v/>
      </c>
      <c r="AA485" s="103" t="str">
        <f t="shared" si="94"/>
        <v/>
      </c>
      <c r="AB485" s="142" t="str">
        <f>IF(A485&lt;&gt;"", SUMIFS(node!$J$2:$J$500, node!$C$2:$C$500,"="&amp;A485)/P485, "")</f>
        <v/>
      </c>
      <c r="AC485" s="134" t="str">
        <f>IF(A485&lt;&gt;"", SUMIFS(node!$K$2:$K$500, node!$C$2:$C$500,"="&amp;A485)/P485, "")</f>
        <v/>
      </c>
      <c r="AD485" s="135" t="str">
        <f>IF(A485&lt;&gt;"", SUMIFS(node!$L$2:$L$500, node!$C$2:$C$500,"="&amp;A485), "")</f>
        <v/>
      </c>
      <c r="AE485" s="145" t="str">
        <f>IF(A485&lt;&gt;"", SUMIFS(node!$M$2:$M$500, node!$C$2:$C$500,"="&amp;A485), "")</f>
        <v/>
      </c>
    </row>
    <row r="486" spans="1:31" ht="15.75" customHeight="1" x14ac:dyDescent="0.25">
      <c r="A486" s="119" t="str">
        <f>IF(ISNONTEXT(node_raw[[#This Row],[Column2]]), "", node_raw[[#This Row],[Column2]])</f>
        <v/>
      </c>
      <c r="B486" s="116" t="str">
        <f>IF(A486&lt;&gt;"", VLOOKUP(A486, node!$C$2:$D$500, 2, FALSE), "")</f>
        <v/>
      </c>
      <c r="C486" s="117" t="str">
        <f>IF(A486&lt;&gt;"", VLOOKUP(A486, node!$C$2:$E$500, 3, FALSE), "")</f>
        <v/>
      </c>
      <c r="D486" s="118" t="str">
        <f>IF(A486&lt;&gt;"",COUNTIFS(node!$C$2:$C$500,"="&amp;A486, node!$C$2:$C$500,"&lt;&gt;"&amp;""),"")</f>
        <v/>
      </c>
      <c r="E486" s="122" t="str">
        <f>IF(A486&lt;&gt;"",SUMIFS(node!$F$2:$F$500, node!$C$2:$C$500,"="&amp;A486, node!$C$2:$C$500,"&lt;&gt;"&amp;"")/(B486*D486),"")</f>
        <v/>
      </c>
      <c r="F486" s="124" t="str">
        <f>IF(A486&lt;&gt;"",SUMIFS(node!$H$2:$H$500, node!$C$2:$C$500,"="&amp;A486, node!$C$2:$C$500,"&lt;&gt;"&amp;"")/(C486*D486),"")</f>
        <v/>
      </c>
      <c r="G486" s="93" t="str">
        <f>IF(A486&lt;&gt;"",SUMIFS(deployment!$F$4:$F$502, deployment!$D$4:$D$502,"="&amp;A486, deployment!$D$4:$D$502,"&lt;&gt;"&amp;""),"")</f>
        <v/>
      </c>
      <c r="H486" s="94" t="str">
        <f>IF(A486&lt;&gt;"",SUMIFS(deployment!$G$4:$G$502, deployment!$D$4:$D$502,"="&amp;A486, deployment!$D$4:$D$502,"&lt;&gt;"&amp;""),"")</f>
        <v/>
      </c>
      <c r="I486" s="95" t="str">
        <f>IF(A486&lt;&gt;"",SUMIFS(deployment!$H$4:$H$502, deployment!$D$4:$D$502,"="&amp;A486, deployment!$D$4:$D$502,"&lt;&gt;"&amp;""),"")</f>
        <v/>
      </c>
      <c r="J486" s="96" t="str">
        <f>IF(A486&lt;&gt;"",SUMIFS(deployment!$I$4:$I$502, deployment!$D$4:$D$502,"="&amp;A486, deployment!$D$4:$D$502,"&lt;&gt;"&amp;""),"")</f>
        <v/>
      </c>
      <c r="K486" s="112" t="str">
        <f>IF(A486&lt;&gt;"",SUMIFS(deployment!$J$4:$J$502, deployment!$D$4:$D$502,"="&amp;A486, deployment!$D$4:$D$502,"&lt;&gt;"&amp;""),"")</f>
        <v/>
      </c>
      <c r="L486" s="112" t="str">
        <f>IF(A486&lt;&gt;"",SUMIFS(deployment!$K$4:$K$502, deployment!$D$4:$D$502,"="&amp;A486, deployment!$D$4:$D$502,"&lt;&gt;"&amp;""),"")</f>
        <v/>
      </c>
      <c r="M486" s="97" t="str">
        <f>IF(A486&lt;&gt;"",SUMIFS(deployment!$L$4:$L$502, deployment!$D$4:$D$502,"="&amp;A486, deployment!$D$4:$D$502,"&lt;&gt;"&amp;""),"")</f>
        <v/>
      </c>
      <c r="N486" s="97" t="str">
        <f>IF(A486&lt;&gt;"",SUMIFS(deployment!$M$4:$M$502, deployment!$D$4:$D$502,"="&amp;A486, deployment!$D$4:$D$502,"&lt;&gt;"&amp;""),"")</f>
        <v/>
      </c>
      <c r="O486" s="127" t="str">
        <f t="shared" si="95"/>
        <v/>
      </c>
      <c r="P486" s="104"/>
      <c r="Q486" s="99" t="str">
        <f t="shared" si="84"/>
        <v/>
      </c>
      <c r="R486" s="100" t="str">
        <f t="shared" si="85"/>
        <v/>
      </c>
      <c r="S486" s="100" t="str">
        <f t="shared" si="86"/>
        <v/>
      </c>
      <c r="T486" s="101" t="str">
        <f t="shared" si="87"/>
        <v/>
      </c>
      <c r="U486" s="101" t="str">
        <f t="shared" si="88"/>
        <v/>
      </c>
      <c r="V486" s="128" t="str">
        <f t="shared" si="89"/>
        <v/>
      </c>
      <c r="W486" s="128" t="str">
        <f t="shared" si="90"/>
        <v/>
      </c>
      <c r="X486" s="101" t="str">
        <f t="shared" si="91"/>
        <v/>
      </c>
      <c r="Y486" s="101" t="str">
        <f t="shared" si="92"/>
        <v/>
      </c>
      <c r="Z486" s="102" t="str">
        <f t="shared" si="93"/>
        <v/>
      </c>
      <c r="AA486" s="103" t="str">
        <f t="shared" si="94"/>
        <v/>
      </c>
      <c r="AB486" s="142" t="str">
        <f>IF(A486&lt;&gt;"", SUMIFS(node!$J$2:$J$500, node!$C$2:$C$500,"="&amp;A486)/P486, "")</f>
        <v/>
      </c>
      <c r="AC486" s="134" t="str">
        <f>IF(A486&lt;&gt;"", SUMIFS(node!$K$2:$K$500, node!$C$2:$C$500,"="&amp;A486)/P486, "")</f>
        <v/>
      </c>
      <c r="AD486" s="135" t="str">
        <f>IF(A486&lt;&gt;"", SUMIFS(node!$L$2:$L$500, node!$C$2:$C$500,"="&amp;A486), "")</f>
        <v/>
      </c>
      <c r="AE486" s="145" t="str">
        <f>IF(A486&lt;&gt;"", SUMIFS(node!$M$2:$M$500, node!$C$2:$C$500,"="&amp;A486), "")</f>
        <v/>
      </c>
    </row>
    <row r="487" spans="1:31" ht="15.75" customHeight="1" x14ac:dyDescent="0.25">
      <c r="A487" s="119" t="str">
        <f>IF(ISNONTEXT(node_raw[[#This Row],[Column2]]), "", node_raw[[#This Row],[Column2]])</f>
        <v/>
      </c>
      <c r="B487" s="116" t="str">
        <f>IF(A487&lt;&gt;"", VLOOKUP(A487, node!$C$2:$D$500, 2, FALSE), "")</f>
        <v/>
      </c>
      <c r="C487" s="117" t="str">
        <f>IF(A487&lt;&gt;"", VLOOKUP(A487, node!$C$2:$E$500, 3, FALSE), "")</f>
        <v/>
      </c>
      <c r="D487" s="118" t="str">
        <f>IF(A487&lt;&gt;"",COUNTIFS(node!$C$2:$C$500,"="&amp;A487, node!$C$2:$C$500,"&lt;&gt;"&amp;""),"")</f>
        <v/>
      </c>
      <c r="E487" s="122" t="str">
        <f>IF(A487&lt;&gt;"",SUMIFS(node!$F$2:$F$500, node!$C$2:$C$500,"="&amp;A487, node!$C$2:$C$500,"&lt;&gt;"&amp;"")/(B487*D487),"")</f>
        <v/>
      </c>
      <c r="F487" s="124" t="str">
        <f>IF(A487&lt;&gt;"",SUMIFS(node!$H$2:$H$500, node!$C$2:$C$500,"="&amp;A487, node!$C$2:$C$500,"&lt;&gt;"&amp;"")/(C487*D487),"")</f>
        <v/>
      </c>
      <c r="G487" s="93" t="str">
        <f>IF(A487&lt;&gt;"",SUMIFS(deployment!$F$4:$F$502, deployment!$D$4:$D$502,"="&amp;A487, deployment!$D$4:$D$502,"&lt;&gt;"&amp;""),"")</f>
        <v/>
      </c>
      <c r="H487" s="94" t="str">
        <f>IF(A487&lt;&gt;"",SUMIFS(deployment!$G$4:$G$502, deployment!$D$4:$D$502,"="&amp;A487, deployment!$D$4:$D$502,"&lt;&gt;"&amp;""),"")</f>
        <v/>
      </c>
      <c r="I487" s="95" t="str">
        <f>IF(A487&lt;&gt;"",SUMIFS(deployment!$H$4:$H$502, deployment!$D$4:$D$502,"="&amp;A487, deployment!$D$4:$D$502,"&lt;&gt;"&amp;""),"")</f>
        <v/>
      </c>
      <c r="J487" s="96" t="str">
        <f>IF(A487&lt;&gt;"",SUMIFS(deployment!$I$4:$I$502, deployment!$D$4:$D$502,"="&amp;A487, deployment!$D$4:$D$502,"&lt;&gt;"&amp;""),"")</f>
        <v/>
      </c>
      <c r="K487" s="112" t="str">
        <f>IF(A487&lt;&gt;"",SUMIFS(deployment!$J$4:$J$502, deployment!$D$4:$D$502,"="&amp;A487, deployment!$D$4:$D$502,"&lt;&gt;"&amp;""),"")</f>
        <v/>
      </c>
      <c r="L487" s="112" t="str">
        <f>IF(A487&lt;&gt;"",SUMIFS(deployment!$K$4:$K$502, deployment!$D$4:$D$502,"="&amp;A487, deployment!$D$4:$D$502,"&lt;&gt;"&amp;""),"")</f>
        <v/>
      </c>
      <c r="M487" s="97" t="str">
        <f>IF(A487&lt;&gt;"",SUMIFS(deployment!$L$4:$L$502, deployment!$D$4:$D$502,"="&amp;A487, deployment!$D$4:$D$502,"&lt;&gt;"&amp;""),"")</f>
        <v/>
      </c>
      <c r="N487" s="97" t="str">
        <f>IF(A487&lt;&gt;"",SUMIFS(deployment!$M$4:$M$502, deployment!$D$4:$D$502,"="&amp;A487, deployment!$D$4:$D$502,"&lt;&gt;"&amp;""),"")</f>
        <v/>
      </c>
      <c r="O487" s="127" t="str">
        <f t="shared" si="95"/>
        <v/>
      </c>
      <c r="P487" s="104"/>
      <c r="Q487" s="99" t="str">
        <f t="shared" si="84"/>
        <v/>
      </c>
      <c r="R487" s="100" t="str">
        <f t="shared" si="85"/>
        <v/>
      </c>
      <c r="S487" s="100" t="str">
        <f t="shared" si="86"/>
        <v/>
      </c>
      <c r="T487" s="101" t="str">
        <f t="shared" si="87"/>
        <v/>
      </c>
      <c r="U487" s="101" t="str">
        <f t="shared" si="88"/>
        <v/>
      </c>
      <c r="V487" s="128" t="str">
        <f t="shared" si="89"/>
        <v/>
      </c>
      <c r="W487" s="128" t="str">
        <f t="shared" si="90"/>
        <v/>
      </c>
      <c r="X487" s="101" t="str">
        <f t="shared" si="91"/>
        <v/>
      </c>
      <c r="Y487" s="101" t="str">
        <f t="shared" si="92"/>
        <v/>
      </c>
      <c r="Z487" s="102" t="str">
        <f t="shared" si="93"/>
        <v/>
      </c>
      <c r="AA487" s="103" t="str">
        <f t="shared" si="94"/>
        <v/>
      </c>
      <c r="AB487" s="142" t="str">
        <f>IF(A487&lt;&gt;"", SUMIFS(node!$J$2:$J$500, node!$C$2:$C$500,"="&amp;A487)/P487, "")</f>
        <v/>
      </c>
      <c r="AC487" s="134" t="str">
        <f>IF(A487&lt;&gt;"", SUMIFS(node!$K$2:$K$500, node!$C$2:$C$500,"="&amp;A487)/P487, "")</f>
        <v/>
      </c>
      <c r="AD487" s="135" t="str">
        <f>IF(A487&lt;&gt;"", SUMIFS(node!$L$2:$L$500, node!$C$2:$C$500,"="&amp;A487), "")</f>
        <v/>
      </c>
      <c r="AE487" s="145" t="str">
        <f>IF(A487&lt;&gt;"", SUMIFS(node!$M$2:$M$500, node!$C$2:$C$500,"="&amp;A487), "")</f>
        <v/>
      </c>
    </row>
    <row r="488" spans="1:31" ht="15.75" customHeight="1" x14ac:dyDescent="0.25">
      <c r="A488" s="119" t="str">
        <f>IF(ISNONTEXT(node_raw[[#This Row],[Column2]]), "", node_raw[[#This Row],[Column2]])</f>
        <v/>
      </c>
      <c r="B488" s="116" t="str">
        <f>IF(A488&lt;&gt;"", VLOOKUP(A488, node!$C$2:$D$500, 2, FALSE), "")</f>
        <v/>
      </c>
      <c r="C488" s="117" t="str">
        <f>IF(A488&lt;&gt;"", VLOOKUP(A488, node!$C$2:$E$500, 3, FALSE), "")</f>
        <v/>
      </c>
      <c r="D488" s="118" t="str">
        <f>IF(A488&lt;&gt;"",COUNTIFS(node!$C$2:$C$500,"="&amp;A488, node!$C$2:$C$500,"&lt;&gt;"&amp;""),"")</f>
        <v/>
      </c>
      <c r="E488" s="122" t="str">
        <f>IF(A488&lt;&gt;"",SUMIFS(node!$F$2:$F$500, node!$C$2:$C$500,"="&amp;A488, node!$C$2:$C$500,"&lt;&gt;"&amp;"")/(B488*D488),"")</f>
        <v/>
      </c>
      <c r="F488" s="124" t="str">
        <f>IF(A488&lt;&gt;"",SUMIFS(node!$H$2:$H$500, node!$C$2:$C$500,"="&amp;A488, node!$C$2:$C$500,"&lt;&gt;"&amp;"")/(C488*D488),"")</f>
        <v/>
      </c>
      <c r="G488" s="93" t="str">
        <f>IF(A488&lt;&gt;"",SUMIFS(deployment!$F$4:$F$502, deployment!$D$4:$D$502,"="&amp;A488, deployment!$D$4:$D$502,"&lt;&gt;"&amp;""),"")</f>
        <v/>
      </c>
      <c r="H488" s="94" t="str">
        <f>IF(A488&lt;&gt;"",SUMIFS(deployment!$G$4:$G$502, deployment!$D$4:$D$502,"="&amp;A488, deployment!$D$4:$D$502,"&lt;&gt;"&amp;""),"")</f>
        <v/>
      </c>
      <c r="I488" s="95" t="str">
        <f>IF(A488&lt;&gt;"",SUMIFS(deployment!$H$4:$H$502, deployment!$D$4:$D$502,"="&amp;A488, deployment!$D$4:$D$502,"&lt;&gt;"&amp;""),"")</f>
        <v/>
      </c>
      <c r="J488" s="96" t="str">
        <f>IF(A488&lt;&gt;"",SUMIFS(deployment!$I$4:$I$502, deployment!$D$4:$D$502,"="&amp;A488, deployment!$D$4:$D$502,"&lt;&gt;"&amp;""),"")</f>
        <v/>
      </c>
      <c r="K488" s="112" t="str">
        <f>IF(A488&lt;&gt;"",SUMIFS(deployment!$J$4:$J$502, deployment!$D$4:$D$502,"="&amp;A488, deployment!$D$4:$D$502,"&lt;&gt;"&amp;""),"")</f>
        <v/>
      </c>
      <c r="L488" s="112" t="str">
        <f>IF(A488&lt;&gt;"",SUMIFS(deployment!$K$4:$K$502, deployment!$D$4:$D$502,"="&amp;A488, deployment!$D$4:$D$502,"&lt;&gt;"&amp;""),"")</f>
        <v/>
      </c>
      <c r="M488" s="97" t="str">
        <f>IF(A488&lt;&gt;"",SUMIFS(deployment!$L$4:$L$502, deployment!$D$4:$D$502,"="&amp;A488, deployment!$D$4:$D$502,"&lt;&gt;"&amp;""),"")</f>
        <v/>
      </c>
      <c r="N488" s="97" t="str">
        <f>IF(A488&lt;&gt;"",SUMIFS(deployment!$M$4:$M$502, deployment!$D$4:$D$502,"="&amp;A488, deployment!$D$4:$D$502,"&lt;&gt;"&amp;""),"")</f>
        <v/>
      </c>
      <c r="O488" s="127" t="str">
        <f t="shared" si="95"/>
        <v/>
      </c>
      <c r="P488" s="104"/>
      <c r="Q488" s="99" t="str">
        <f t="shared" si="84"/>
        <v/>
      </c>
      <c r="R488" s="100" t="str">
        <f t="shared" si="85"/>
        <v/>
      </c>
      <c r="S488" s="100" t="str">
        <f t="shared" si="86"/>
        <v/>
      </c>
      <c r="T488" s="101" t="str">
        <f t="shared" si="87"/>
        <v/>
      </c>
      <c r="U488" s="101" t="str">
        <f t="shared" si="88"/>
        <v/>
      </c>
      <c r="V488" s="128" t="str">
        <f t="shared" si="89"/>
        <v/>
      </c>
      <c r="W488" s="128" t="str">
        <f t="shared" si="90"/>
        <v/>
      </c>
      <c r="X488" s="101" t="str">
        <f t="shared" si="91"/>
        <v/>
      </c>
      <c r="Y488" s="101" t="str">
        <f t="shared" si="92"/>
        <v/>
      </c>
      <c r="Z488" s="102" t="str">
        <f t="shared" si="93"/>
        <v/>
      </c>
      <c r="AA488" s="103" t="str">
        <f t="shared" si="94"/>
        <v/>
      </c>
      <c r="AB488" s="142" t="str">
        <f>IF(A488&lt;&gt;"", SUMIFS(node!$J$2:$J$500, node!$C$2:$C$500,"="&amp;A488)/P488, "")</f>
        <v/>
      </c>
      <c r="AC488" s="134" t="str">
        <f>IF(A488&lt;&gt;"", SUMIFS(node!$K$2:$K$500, node!$C$2:$C$500,"="&amp;A488)/P488, "")</f>
        <v/>
      </c>
      <c r="AD488" s="135" t="str">
        <f>IF(A488&lt;&gt;"", SUMIFS(node!$L$2:$L$500, node!$C$2:$C$500,"="&amp;A488), "")</f>
        <v/>
      </c>
      <c r="AE488" s="145" t="str">
        <f>IF(A488&lt;&gt;"", SUMIFS(node!$M$2:$M$500, node!$C$2:$C$500,"="&amp;A488), "")</f>
        <v/>
      </c>
    </row>
    <row r="489" spans="1:31" ht="15.75" customHeight="1" x14ac:dyDescent="0.25">
      <c r="A489" s="119" t="str">
        <f>IF(ISNONTEXT(node_raw[[#This Row],[Column2]]), "", node_raw[[#This Row],[Column2]])</f>
        <v/>
      </c>
      <c r="B489" s="116" t="str">
        <f>IF(A489&lt;&gt;"", VLOOKUP(A489, node!$C$2:$D$500, 2, FALSE), "")</f>
        <v/>
      </c>
      <c r="C489" s="117" t="str">
        <f>IF(A489&lt;&gt;"", VLOOKUP(A489, node!$C$2:$E$500, 3, FALSE), "")</f>
        <v/>
      </c>
      <c r="D489" s="118" t="str">
        <f>IF(A489&lt;&gt;"",COUNTIFS(node!$C$2:$C$500,"="&amp;A489, node!$C$2:$C$500,"&lt;&gt;"&amp;""),"")</f>
        <v/>
      </c>
      <c r="E489" s="122" t="str">
        <f>IF(A489&lt;&gt;"",SUMIFS(node!$F$2:$F$500, node!$C$2:$C$500,"="&amp;A489, node!$C$2:$C$500,"&lt;&gt;"&amp;"")/(B489*D489),"")</f>
        <v/>
      </c>
      <c r="F489" s="124" t="str">
        <f>IF(A489&lt;&gt;"",SUMIFS(node!$H$2:$H$500, node!$C$2:$C$500,"="&amp;A489, node!$C$2:$C$500,"&lt;&gt;"&amp;"")/(C489*D489),"")</f>
        <v/>
      </c>
      <c r="G489" s="93" t="str">
        <f>IF(A489&lt;&gt;"",SUMIFS(deployment!$F$4:$F$502, deployment!$D$4:$D$502,"="&amp;A489, deployment!$D$4:$D$502,"&lt;&gt;"&amp;""),"")</f>
        <v/>
      </c>
      <c r="H489" s="94" t="str">
        <f>IF(A489&lt;&gt;"",SUMIFS(deployment!$G$4:$G$502, deployment!$D$4:$D$502,"="&amp;A489, deployment!$D$4:$D$502,"&lt;&gt;"&amp;""),"")</f>
        <v/>
      </c>
      <c r="I489" s="95" t="str">
        <f>IF(A489&lt;&gt;"",SUMIFS(deployment!$H$4:$H$502, deployment!$D$4:$D$502,"="&amp;A489, deployment!$D$4:$D$502,"&lt;&gt;"&amp;""),"")</f>
        <v/>
      </c>
      <c r="J489" s="96" t="str">
        <f>IF(A489&lt;&gt;"",SUMIFS(deployment!$I$4:$I$502, deployment!$D$4:$D$502,"="&amp;A489, deployment!$D$4:$D$502,"&lt;&gt;"&amp;""),"")</f>
        <v/>
      </c>
      <c r="K489" s="112" t="str">
        <f>IF(A489&lt;&gt;"",SUMIFS(deployment!$J$4:$J$502, deployment!$D$4:$D$502,"="&amp;A489, deployment!$D$4:$D$502,"&lt;&gt;"&amp;""),"")</f>
        <v/>
      </c>
      <c r="L489" s="112" t="str">
        <f>IF(A489&lt;&gt;"",SUMIFS(deployment!$K$4:$K$502, deployment!$D$4:$D$502,"="&amp;A489, deployment!$D$4:$D$502,"&lt;&gt;"&amp;""),"")</f>
        <v/>
      </c>
      <c r="M489" s="97" t="str">
        <f>IF(A489&lt;&gt;"",SUMIFS(deployment!$L$4:$L$502, deployment!$D$4:$D$502,"="&amp;A489, deployment!$D$4:$D$502,"&lt;&gt;"&amp;""),"")</f>
        <v/>
      </c>
      <c r="N489" s="97" t="str">
        <f>IF(A489&lt;&gt;"",SUMIFS(deployment!$M$4:$M$502, deployment!$D$4:$D$502,"="&amp;A489, deployment!$D$4:$D$502,"&lt;&gt;"&amp;""),"")</f>
        <v/>
      </c>
      <c r="O489" s="127" t="str">
        <f t="shared" si="95"/>
        <v/>
      </c>
      <c r="P489" s="104"/>
      <c r="Q489" s="99" t="str">
        <f t="shared" si="84"/>
        <v/>
      </c>
      <c r="R489" s="100" t="str">
        <f t="shared" si="85"/>
        <v/>
      </c>
      <c r="S489" s="100" t="str">
        <f t="shared" si="86"/>
        <v/>
      </c>
      <c r="T489" s="101" t="str">
        <f t="shared" si="87"/>
        <v/>
      </c>
      <c r="U489" s="101" t="str">
        <f t="shared" si="88"/>
        <v/>
      </c>
      <c r="V489" s="128" t="str">
        <f t="shared" si="89"/>
        <v/>
      </c>
      <c r="W489" s="128" t="str">
        <f t="shared" si="90"/>
        <v/>
      </c>
      <c r="X489" s="101" t="str">
        <f t="shared" si="91"/>
        <v/>
      </c>
      <c r="Y489" s="101" t="str">
        <f t="shared" si="92"/>
        <v/>
      </c>
      <c r="Z489" s="102" t="str">
        <f t="shared" si="93"/>
        <v/>
      </c>
      <c r="AA489" s="103" t="str">
        <f t="shared" si="94"/>
        <v/>
      </c>
      <c r="AB489" s="142" t="str">
        <f>IF(A489&lt;&gt;"", SUMIFS(node!$J$2:$J$500, node!$C$2:$C$500,"="&amp;A489)/P489, "")</f>
        <v/>
      </c>
      <c r="AC489" s="134" t="str">
        <f>IF(A489&lt;&gt;"", SUMIFS(node!$K$2:$K$500, node!$C$2:$C$500,"="&amp;A489)/P489, "")</f>
        <v/>
      </c>
      <c r="AD489" s="135" t="str">
        <f>IF(A489&lt;&gt;"", SUMIFS(node!$L$2:$L$500, node!$C$2:$C$500,"="&amp;A489), "")</f>
        <v/>
      </c>
      <c r="AE489" s="145" t="str">
        <f>IF(A489&lt;&gt;"", SUMIFS(node!$M$2:$M$500, node!$C$2:$C$500,"="&amp;A489), "")</f>
        <v/>
      </c>
    </row>
    <row r="490" spans="1:31" ht="15.75" customHeight="1" x14ac:dyDescent="0.25">
      <c r="A490" s="119" t="str">
        <f>IF(ISNONTEXT(node_raw[[#This Row],[Column2]]), "", node_raw[[#This Row],[Column2]])</f>
        <v/>
      </c>
      <c r="B490" s="116" t="str">
        <f>IF(A490&lt;&gt;"", VLOOKUP(A490, node!$C$2:$D$500, 2, FALSE), "")</f>
        <v/>
      </c>
      <c r="C490" s="117" t="str">
        <f>IF(A490&lt;&gt;"", VLOOKUP(A490, node!$C$2:$E$500, 3, FALSE), "")</f>
        <v/>
      </c>
      <c r="D490" s="118" t="str">
        <f>IF(A490&lt;&gt;"",COUNTIFS(node!$C$2:$C$500,"="&amp;A490, node!$C$2:$C$500,"&lt;&gt;"&amp;""),"")</f>
        <v/>
      </c>
      <c r="E490" s="122" t="str">
        <f>IF(A490&lt;&gt;"",SUMIFS(node!$F$2:$F$500, node!$C$2:$C$500,"="&amp;A490, node!$C$2:$C$500,"&lt;&gt;"&amp;"")/(B490*D490),"")</f>
        <v/>
      </c>
      <c r="F490" s="124" t="str">
        <f>IF(A490&lt;&gt;"",SUMIFS(node!$H$2:$H$500, node!$C$2:$C$500,"="&amp;A490, node!$C$2:$C$500,"&lt;&gt;"&amp;"")/(C490*D490),"")</f>
        <v/>
      </c>
      <c r="G490" s="93" t="str">
        <f>IF(A490&lt;&gt;"",SUMIFS(deployment!$F$4:$F$502, deployment!$D$4:$D$502,"="&amp;A490, deployment!$D$4:$D$502,"&lt;&gt;"&amp;""),"")</f>
        <v/>
      </c>
      <c r="H490" s="94" t="str">
        <f>IF(A490&lt;&gt;"",SUMIFS(deployment!$G$4:$G$502, deployment!$D$4:$D$502,"="&amp;A490, deployment!$D$4:$D$502,"&lt;&gt;"&amp;""),"")</f>
        <v/>
      </c>
      <c r="I490" s="95" t="str">
        <f>IF(A490&lt;&gt;"",SUMIFS(deployment!$H$4:$H$502, deployment!$D$4:$D$502,"="&amp;A490, deployment!$D$4:$D$502,"&lt;&gt;"&amp;""),"")</f>
        <v/>
      </c>
      <c r="J490" s="96" t="str">
        <f>IF(A490&lt;&gt;"",SUMIFS(deployment!$I$4:$I$502, deployment!$D$4:$D$502,"="&amp;A490, deployment!$D$4:$D$502,"&lt;&gt;"&amp;""),"")</f>
        <v/>
      </c>
      <c r="K490" s="112" t="str">
        <f>IF(A490&lt;&gt;"",SUMIFS(deployment!$J$4:$J$502, deployment!$D$4:$D$502,"="&amp;A490, deployment!$D$4:$D$502,"&lt;&gt;"&amp;""),"")</f>
        <v/>
      </c>
      <c r="L490" s="112" t="str">
        <f>IF(A490&lt;&gt;"",SUMIFS(deployment!$K$4:$K$502, deployment!$D$4:$D$502,"="&amp;A490, deployment!$D$4:$D$502,"&lt;&gt;"&amp;""),"")</f>
        <v/>
      </c>
      <c r="M490" s="97" t="str">
        <f>IF(A490&lt;&gt;"",SUMIFS(deployment!$L$4:$L$502, deployment!$D$4:$D$502,"="&amp;A490, deployment!$D$4:$D$502,"&lt;&gt;"&amp;""),"")</f>
        <v/>
      </c>
      <c r="N490" s="97" t="str">
        <f>IF(A490&lt;&gt;"",SUMIFS(deployment!$M$4:$M$502, deployment!$D$4:$D$502,"="&amp;A490, deployment!$D$4:$D$502,"&lt;&gt;"&amp;""),"")</f>
        <v/>
      </c>
      <c r="O490" s="127" t="str">
        <f t="shared" si="95"/>
        <v/>
      </c>
      <c r="P490" s="104"/>
      <c r="Q490" s="99" t="str">
        <f t="shared" si="84"/>
        <v/>
      </c>
      <c r="R490" s="100" t="str">
        <f t="shared" si="85"/>
        <v/>
      </c>
      <c r="S490" s="100" t="str">
        <f t="shared" si="86"/>
        <v/>
      </c>
      <c r="T490" s="101" t="str">
        <f t="shared" si="87"/>
        <v/>
      </c>
      <c r="U490" s="101" t="str">
        <f t="shared" si="88"/>
        <v/>
      </c>
      <c r="V490" s="128" t="str">
        <f t="shared" si="89"/>
        <v/>
      </c>
      <c r="W490" s="128" t="str">
        <f t="shared" si="90"/>
        <v/>
      </c>
      <c r="X490" s="101" t="str">
        <f t="shared" si="91"/>
        <v/>
      </c>
      <c r="Y490" s="101" t="str">
        <f t="shared" si="92"/>
        <v/>
      </c>
      <c r="Z490" s="102" t="str">
        <f t="shared" si="93"/>
        <v/>
      </c>
      <c r="AA490" s="103" t="str">
        <f t="shared" si="94"/>
        <v/>
      </c>
      <c r="AB490" s="142" t="str">
        <f>IF(A490&lt;&gt;"", SUMIFS(node!$J$2:$J$500, node!$C$2:$C$500,"="&amp;A490)/P490, "")</f>
        <v/>
      </c>
      <c r="AC490" s="134" t="str">
        <f>IF(A490&lt;&gt;"", SUMIFS(node!$K$2:$K$500, node!$C$2:$C$500,"="&amp;A490)/P490, "")</f>
        <v/>
      </c>
      <c r="AD490" s="135" t="str">
        <f>IF(A490&lt;&gt;"", SUMIFS(node!$L$2:$L$500, node!$C$2:$C$500,"="&amp;A490), "")</f>
        <v/>
      </c>
      <c r="AE490" s="145" t="str">
        <f>IF(A490&lt;&gt;"", SUMIFS(node!$M$2:$M$500, node!$C$2:$C$500,"="&amp;A490), "")</f>
        <v/>
      </c>
    </row>
    <row r="491" spans="1:31" ht="15.75" customHeight="1" x14ac:dyDescent="0.25">
      <c r="A491" s="119" t="str">
        <f>IF(ISNONTEXT(node_raw[[#This Row],[Column2]]), "", node_raw[[#This Row],[Column2]])</f>
        <v/>
      </c>
      <c r="B491" s="116" t="str">
        <f>IF(A491&lt;&gt;"", VLOOKUP(A491, node!$C$2:$D$500, 2, FALSE), "")</f>
        <v/>
      </c>
      <c r="C491" s="117" t="str">
        <f>IF(A491&lt;&gt;"", VLOOKUP(A491, node!$C$2:$E$500, 3, FALSE), "")</f>
        <v/>
      </c>
      <c r="D491" s="118" t="str">
        <f>IF(A491&lt;&gt;"",COUNTIFS(node!$C$2:$C$500,"="&amp;A491, node!$C$2:$C$500,"&lt;&gt;"&amp;""),"")</f>
        <v/>
      </c>
      <c r="E491" s="122" t="str">
        <f>IF(A491&lt;&gt;"",SUMIFS(node!$F$2:$F$500, node!$C$2:$C$500,"="&amp;A491, node!$C$2:$C$500,"&lt;&gt;"&amp;"")/(B491*D491),"")</f>
        <v/>
      </c>
      <c r="F491" s="124" t="str">
        <f>IF(A491&lt;&gt;"",SUMIFS(node!$H$2:$H$500, node!$C$2:$C$500,"="&amp;A491, node!$C$2:$C$500,"&lt;&gt;"&amp;"")/(C491*D491),"")</f>
        <v/>
      </c>
      <c r="G491" s="93" t="str">
        <f>IF(A491&lt;&gt;"",SUMIFS(deployment!$F$4:$F$502, deployment!$D$4:$D$502,"="&amp;A491, deployment!$D$4:$D$502,"&lt;&gt;"&amp;""),"")</f>
        <v/>
      </c>
      <c r="H491" s="94" t="str">
        <f>IF(A491&lt;&gt;"",SUMIFS(deployment!$G$4:$G$502, deployment!$D$4:$D$502,"="&amp;A491, deployment!$D$4:$D$502,"&lt;&gt;"&amp;""),"")</f>
        <v/>
      </c>
      <c r="I491" s="95" t="str">
        <f>IF(A491&lt;&gt;"",SUMIFS(deployment!$H$4:$H$502, deployment!$D$4:$D$502,"="&amp;A491, deployment!$D$4:$D$502,"&lt;&gt;"&amp;""),"")</f>
        <v/>
      </c>
      <c r="J491" s="96" t="str">
        <f>IF(A491&lt;&gt;"",SUMIFS(deployment!$I$4:$I$502, deployment!$D$4:$D$502,"="&amp;A491, deployment!$D$4:$D$502,"&lt;&gt;"&amp;""),"")</f>
        <v/>
      </c>
      <c r="K491" s="112" t="str">
        <f>IF(A491&lt;&gt;"",SUMIFS(deployment!$J$4:$J$502, deployment!$D$4:$D$502,"="&amp;A491, deployment!$D$4:$D$502,"&lt;&gt;"&amp;""),"")</f>
        <v/>
      </c>
      <c r="L491" s="112" t="str">
        <f>IF(A491&lt;&gt;"",SUMIFS(deployment!$K$4:$K$502, deployment!$D$4:$D$502,"="&amp;A491, deployment!$D$4:$D$502,"&lt;&gt;"&amp;""),"")</f>
        <v/>
      </c>
      <c r="M491" s="97" t="str">
        <f>IF(A491&lt;&gt;"",SUMIFS(deployment!$L$4:$L$502, deployment!$D$4:$D$502,"="&amp;A491, deployment!$D$4:$D$502,"&lt;&gt;"&amp;""),"")</f>
        <v/>
      </c>
      <c r="N491" s="97" t="str">
        <f>IF(A491&lt;&gt;"",SUMIFS(deployment!$M$4:$M$502, deployment!$D$4:$D$502,"="&amp;A491, deployment!$D$4:$D$502,"&lt;&gt;"&amp;""),"")</f>
        <v/>
      </c>
      <c r="O491" s="127" t="str">
        <f t="shared" si="95"/>
        <v/>
      </c>
      <c r="P491" s="104"/>
      <c r="Q491" s="99" t="str">
        <f t="shared" si="84"/>
        <v/>
      </c>
      <c r="R491" s="100" t="str">
        <f t="shared" si="85"/>
        <v/>
      </c>
      <c r="S491" s="100" t="str">
        <f t="shared" si="86"/>
        <v/>
      </c>
      <c r="T491" s="101" t="str">
        <f t="shared" si="87"/>
        <v/>
      </c>
      <c r="U491" s="101" t="str">
        <f t="shared" si="88"/>
        <v/>
      </c>
      <c r="V491" s="128" t="str">
        <f t="shared" si="89"/>
        <v/>
      </c>
      <c r="W491" s="128" t="str">
        <f t="shared" si="90"/>
        <v/>
      </c>
      <c r="X491" s="101" t="str">
        <f t="shared" si="91"/>
        <v/>
      </c>
      <c r="Y491" s="101" t="str">
        <f t="shared" si="92"/>
        <v/>
      </c>
      <c r="Z491" s="102" t="str">
        <f t="shared" si="93"/>
        <v/>
      </c>
      <c r="AA491" s="103" t="str">
        <f t="shared" si="94"/>
        <v/>
      </c>
      <c r="AB491" s="142" t="str">
        <f>IF(A491&lt;&gt;"", SUMIFS(node!$J$2:$J$500, node!$C$2:$C$500,"="&amp;A491)/P491, "")</f>
        <v/>
      </c>
      <c r="AC491" s="134" t="str">
        <f>IF(A491&lt;&gt;"", SUMIFS(node!$K$2:$K$500, node!$C$2:$C$500,"="&amp;A491)/P491, "")</f>
        <v/>
      </c>
      <c r="AD491" s="135" t="str">
        <f>IF(A491&lt;&gt;"", SUMIFS(node!$L$2:$L$500, node!$C$2:$C$500,"="&amp;A491), "")</f>
        <v/>
      </c>
      <c r="AE491" s="145" t="str">
        <f>IF(A491&lt;&gt;"", SUMIFS(node!$M$2:$M$500, node!$C$2:$C$500,"="&amp;A491), "")</f>
        <v/>
      </c>
    </row>
    <row r="492" spans="1:31" ht="15.75" customHeight="1" x14ac:dyDescent="0.25">
      <c r="A492" s="119" t="str">
        <f>IF(ISNONTEXT(node_raw[[#This Row],[Column2]]), "", node_raw[[#This Row],[Column2]])</f>
        <v/>
      </c>
      <c r="B492" s="116" t="str">
        <f>IF(A492&lt;&gt;"", VLOOKUP(A492, node!$C$2:$D$500, 2, FALSE), "")</f>
        <v/>
      </c>
      <c r="C492" s="117" t="str">
        <f>IF(A492&lt;&gt;"", VLOOKUP(A492, node!$C$2:$E$500, 3, FALSE), "")</f>
        <v/>
      </c>
      <c r="D492" s="118" t="str">
        <f>IF(A492&lt;&gt;"",COUNTIFS(node!$C$2:$C$500,"="&amp;A492, node!$C$2:$C$500,"&lt;&gt;"&amp;""),"")</f>
        <v/>
      </c>
      <c r="E492" s="122" t="str">
        <f>IF(A492&lt;&gt;"",SUMIFS(node!$F$2:$F$500, node!$C$2:$C$500,"="&amp;A492, node!$C$2:$C$500,"&lt;&gt;"&amp;"")/(B492*D492),"")</f>
        <v/>
      </c>
      <c r="F492" s="124" t="str">
        <f>IF(A492&lt;&gt;"",SUMIFS(node!$H$2:$H$500, node!$C$2:$C$500,"="&amp;A492, node!$C$2:$C$500,"&lt;&gt;"&amp;"")/(C492*D492),"")</f>
        <v/>
      </c>
      <c r="G492" s="93" t="str">
        <f>IF(A492&lt;&gt;"",SUMIFS(deployment!$F$4:$F$502, deployment!$D$4:$D$502,"="&amp;A492, deployment!$D$4:$D$502,"&lt;&gt;"&amp;""),"")</f>
        <v/>
      </c>
      <c r="H492" s="94" t="str">
        <f>IF(A492&lt;&gt;"",SUMIFS(deployment!$G$4:$G$502, deployment!$D$4:$D$502,"="&amp;A492, deployment!$D$4:$D$502,"&lt;&gt;"&amp;""),"")</f>
        <v/>
      </c>
      <c r="I492" s="95" t="str">
        <f>IF(A492&lt;&gt;"",SUMIFS(deployment!$H$4:$H$502, deployment!$D$4:$D$502,"="&amp;A492, deployment!$D$4:$D$502,"&lt;&gt;"&amp;""),"")</f>
        <v/>
      </c>
      <c r="J492" s="96" t="str">
        <f>IF(A492&lt;&gt;"",SUMIFS(deployment!$I$4:$I$502, deployment!$D$4:$D$502,"="&amp;A492, deployment!$D$4:$D$502,"&lt;&gt;"&amp;""),"")</f>
        <v/>
      </c>
      <c r="K492" s="112" t="str">
        <f>IF(A492&lt;&gt;"",SUMIFS(deployment!$J$4:$J$502, deployment!$D$4:$D$502,"="&amp;A492, deployment!$D$4:$D$502,"&lt;&gt;"&amp;""),"")</f>
        <v/>
      </c>
      <c r="L492" s="112" t="str">
        <f>IF(A492&lt;&gt;"",SUMIFS(deployment!$K$4:$K$502, deployment!$D$4:$D$502,"="&amp;A492, deployment!$D$4:$D$502,"&lt;&gt;"&amp;""),"")</f>
        <v/>
      </c>
      <c r="M492" s="97" t="str">
        <f>IF(A492&lt;&gt;"",SUMIFS(deployment!$L$4:$L$502, deployment!$D$4:$D$502,"="&amp;A492, deployment!$D$4:$D$502,"&lt;&gt;"&amp;""),"")</f>
        <v/>
      </c>
      <c r="N492" s="97" t="str">
        <f>IF(A492&lt;&gt;"",SUMIFS(deployment!$M$4:$M$502, deployment!$D$4:$D$502,"="&amp;A492, deployment!$D$4:$D$502,"&lt;&gt;"&amp;""),"")</f>
        <v/>
      </c>
      <c r="O492" s="127" t="str">
        <f t="shared" si="95"/>
        <v/>
      </c>
      <c r="P492" s="104"/>
      <c r="Q492" s="99" t="str">
        <f t="shared" si="84"/>
        <v/>
      </c>
      <c r="R492" s="100" t="str">
        <f t="shared" si="85"/>
        <v/>
      </c>
      <c r="S492" s="100" t="str">
        <f t="shared" si="86"/>
        <v/>
      </c>
      <c r="T492" s="101" t="str">
        <f t="shared" si="87"/>
        <v/>
      </c>
      <c r="U492" s="101" t="str">
        <f t="shared" si="88"/>
        <v/>
      </c>
      <c r="V492" s="128" t="str">
        <f t="shared" si="89"/>
        <v/>
      </c>
      <c r="W492" s="128" t="str">
        <f t="shared" si="90"/>
        <v/>
      </c>
      <c r="X492" s="101" t="str">
        <f t="shared" si="91"/>
        <v/>
      </c>
      <c r="Y492" s="101" t="str">
        <f t="shared" si="92"/>
        <v/>
      </c>
      <c r="Z492" s="102" t="str">
        <f t="shared" si="93"/>
        <v/>
      </c>
      <c r="AA492" s="103" t="str">
        <f t="shared" si="94"/>
        <v/>
      </c>
      <c r="AB492" s="142" t="str">
        <f>IF(A492&lt;&gt;"", SUMIFS(node!$J$2:$J$500, node!$C$2:$C$500,"="&amp;A492)/P492, "")</f>
        <v/>
      </c>
      <c r="AC492" s="134" t="str">
        <f>IF(A492&lt;&gt;"", SUMIFS(node!$K$2:$K$500, node!$C$2:$C$500,"="&amp;A492)/P492, "")</f>
        <v/>
      </c>
      <c r="AD492" s="135" t="str">
        <f>IF(A492&lt;&gt;"", SUMIFS(node!$L$2:$L$500, node!$C$2:$C$500,"="&amp;A492), "")</f>
        <v/>
      </c>
      <c r="AE492" s="145" t="str">
        <f>IF(A492&lt;&gt;"", SUMIFS(node!$M$2:$M$500, node!$C$2:$C$500,"="&amp;A492), "")</f>
        <v/>
      </c>
    </row>
    <row r="493" spans="1:31" ht="15.75" customHeight="1" x14ac:dyDescent="0.25">
      <c r="A493" s="119" t="str">
        <f>IF(ISNONTEXT(node_raw[[#This Row],[Column2]]), "", node_raw[[#This Row],[Column2]])</f>
        <v/>
      </c>
      <c r="B493" s="116" t="str">
        <f>IF(A493&lt;&gt;"", VLOOKUP(A493, node!$C$2:$D$500, 2, FALSE), "")</f>
        <v/>
      </c>
      <c r="C493" s="117" t="str">
        <f>IF(A493&lt;&gt;"", VLOOKUP(A493, node!$C$2:$E$500, 3, FALSE), "")</f>
        <v/>
      </c>
      <c r="D493" s="118" t="str">
        <f>IF(A493&lt;&gt;"",COUNTIFS(node!$C$2:$C$500,"="&amp;A493, node!$C$2:$C$500,"&lt;&gt;"&amp;""),"")</f>
        <v/>
      </c>
      <c r="E493" s="122" t="str">
        <f>IF(A493&lt;&gt;"",SUMIFS(node!$F$2:$F$500, node!$C$2:$C$500,"="&amp;A493, node!$C$2:$C$500,"&lt;&gt;"&amp;"")/(B493*D493),"")</f>
        <v/>
      </c>
      <c r="F493" s="124" t="str">
        <f>IF(A493&lt;&gt;"",SUMIFS(node!$H$2:$H$500, node!$C$2:$C$500,"="&amp;A493, node!$C$2:$C$500,"&lt;&gt;"&amp;"")/(C493*D493),"")</f>
        <v/>
      </c>
      <c r="G493" s="93" t="str">
        <f>IF(A493&lt;&gt;"",SUMIFS(deployment!$F$4:$F$502, deployment!$D$4:$D$502,"="&amp;A493, deployment!$D$4:$D$502,"&lt;&gt;"&amp;""),"")</f>
        <v/>
      </c>
      <c r="H493" s="94" t="str">
        <f>IF(A493&lt;&gt;"",SUMIFS(deployment!$G$4:$G$502, deployment!$D$4:$D$502,"="&amp;A493, deployment!$D$4:$D$502,"&lt;&gt;"&amp;""),"")</f>
        <v/>
      </c>
      <c r="I493" s="95" t="str">
        <f>IF(A493&lt;&gt;"",SUMIFS(deployment!$H$4:$H$502, deployment!$D$4:$D$502,"="&amp;A493, deployment!$D$4:$D$502,"&lt;&gt;"&amp;""),"")</f>
        <v/>
      </c>
      <c r="J493" s="96" t="str">
        <f>IF(A493&lt;&gt;"",SUMIFS(deployment!$I$4:$I$502, deployment!$D$4:$D$502,"="&amp;A493, deployment!$D$4:$D$502,"&lt;&gt;"&amp;""),"")</f>
        <v/>
      </c>
      <c r="K493" s="112" t="str">
        <f>IF(A493&lt;&gt;"",SUMIFS(deployment!$J$4:$J$502, deployment!$D$4:$D$502,"="&amp;A493, deployment!$D$4:$D$502,"&lt;&gt;"&amp;""),"")</f>
        <v/>
      </c>
      <c r="L493" s="112" t="str">
        <f>IF(A493&lt;&gt;"",SUMIFS(deployment!$K$4:$K$502, deployment!$D$4:$D$502,"="&amp;A493, deployment!$D$4:$D$502,"&lt;&gt;"&amp;""),"")</f>
        <v/>
      </c>
      <c r="M493" s="97" t="str">
        <f>IF(A493&lt;&gt;"",SUMIFS(deployment!$L$4:$L$502, deployment!$D$4:$D$502,"="&amp;A493, deployment!$D$4:$D$502,"&lt;&gt;"&amp;""),"")</f>
        <v/>
      </c>
      <c r="N493" s="97" t="str">
        <f>IF(A493&lt;&gt;"",SUMIFS(deployment!$M$4:$M$502, deployment!$D$4:$D$502,"="&amp;A493, deployment!$D$4:$D$502,"&lt;&gt;"&amp;""),"")</f>
        <v/>
      </c>
      <c r="O493" s="127" t="str">
        <f t="shared" si="95"/>
        <v/>
      </c>
      <c r="P493" s="104"/>
      <c r="Q493" s="99" t="str">
        <f t="shared" si="84"/>
        <v/>
      </c>
      <c r="R493" s="100" t="str">
        <f t="shared" si="85"/>
        <v/>
      </c>
      <c r="S493" s="100" t="str">
        <f t="shared" si="86"/>
        <v/>
      </c>
      <c r="T493" s="101" t="str">
        <f t="shared" si="87"/>
        <v/>
      </c>
      <c r="U493" s="101" t="str">
        <f t="shared" si="88"/>
        <v/>
      </c>
      <c r="V493" s="128" t="str">
        <f t="shared" si="89"/>
        <v/>
      </c>
      <c r="W493" s="128" t="str">
        <f t="shared" si="90"/>
        <v/>
      </c>
      <c r="X493" s="101" t="str">
        <f t="shared" si="91"/>
        <v/>
      </c>
      <c r="Y493" s="101" t="str">
        <f t="shared" si="92"/>
        <v/>
      </c>
      <c r="Z493" s="102" t="str">
        <f t="shared" si="93"/>
        <v/>
      </c>
      <c r="AA493" s="103" t="str">
        <f t="shared" si="94"/>
        <v/>
      </c>
      <c r="AB493" s="142" t="str">
        <f>IF(A493&lt;&gt;"", SUMIFS(node!$J$2:$J$500, node!$C$2:$C$500,"="&amp;A493)/P493, "")</f>
        <v/>
      </c>
      <c r="AC493" s="134" t="str">
        <f>IF(A493&lt;&gt;"", SUMIFS(node!$K$2:$K$500, node!$C$2:$C$500,"="&amp;A493)/P493, "")</f>
        <v/>
      </c>
      <c r="AD493" s="135" t="str">
        <f>IF(A493&lt;&gt;"", SUMIFS(node!$L$2:$L$500, node!$C$2:$C$500,"="&amp;A493), "")</f>
        <v/>
      </c>
      <c r="AE493" s="145" t="str">
        <f>IF(A493&lt;&gt;"", SUMIFS(node!$M$2:$M$500, node!$C$2:$C$500,"="&amp;A493), "")</f>
        <v/>
      </c>
    </row>
    <row r="494" spans="1:31" ht="15.75" customHeight="1" x14ac:dyDescent="0.25">
      <c r="A494" s="119" t="str">
        <f>IF(ISNONTEXT(node_raw[[#This Row],[Column2]]), "", node_raw[[#This Row],[Column2]])</f>
        <v/>
      </c>
      <c r="B494" s="116" t="str">
        <f>IF(A494&lt;&gt;"", VLOOKUP(A494, node!$C$2:$D$500, 2, FALSE), "")</f>
        <v/>
      </c>
      <c r="C494" s="117" t="str">
        <f>IF(A494&lt;&gt;"", VLOOKUP(A494, node!$C$2:$E$500, 3, FALSE), "")</f>
        <v/>
      </c>
      <c r="D494" s="118" t="str">
        <f>IF(A494&lt;&gt;"",COUNTIFS(node!$C$2:$C$500,"="&amp;A494, node!$C$2:$C$500,"&lt;&gt;"&amp;""),"")</f>
        <v/>
      </c>
      <c r="E494" s="122" t="str">
        <f>IF(A494&lt;&gt;"",SUMIFS(node!$F$2:$F$500, node!$C$2:$C$500,"="&amp;A494, node!$C$2:$C$500,"&lt;&gt;"&amp;"")/(B494*D494),"")</f>
        <v/>
      </c>
      <c r="F494" s="124" t="str">
        <f>IF(A494&lt;&gt;"",SUMIFS(node!$H$2:$H$500, node!$C$2:$C$500,"="&amp;A494, node!$C$2:$C$500,"&lt;&gt;"&amp;"")/(C494*D494),"")</f>
        <v/>
      </c>
      <c r="G494" s="93" t="str">
        <f>IF(A494&lt;&gt;"",SUMIFS(deployment!$F$4:$F$502, deployment!$D$4:$D$502,"="&amp;A494, deployment!$D$4:$D$502,"&lt;&gt;"&amp;""),"")</f>
        <v/>
      </c>
      <c r="H494" s="94" t="str">
        <f>IF(A494&lt;&gt;"",SUMIFS(deployment!$G$4:$G$502, deployment!$D$4:$D$502,"="&amp;A494, deployment!$D$4:$D$502,"&lt;&gt;"&amp;""),"")</f>
        <v/>
      </c>
      <c r="I494" s="95" t="str">
        <f>IF(A494&lt;&gt;"",SUMIFS(deployment!$H$4:$H$502, deployment!$D$4:$D$502,"="&amp;A494, deployment!$D$4:$D$502,"&lt;&gt;"&amp;""),"")</f>
        <v/>
      </c>
      <c r="J494" s="96" t="str">
        <f>IF(A494&lt;&gt;"",SUMIFS(deployment!$I$4:$I$502, deployment!$D$4:$D$502,"="&amp;A494, deployment!$D$4:$D$502,"&lt;&gt;"&amp;""),"")</f>
        <v/>
      </c>
      <c r="K494" s="112" t="str">
        <f>IF(A494&lt;&gt;"",SUMIFS(deployment!$J$4:$J$502, deployment!$D$4:$D$502,"="&amp;A494, deployment!$D$4:$D$502,"&lt;&gt;"&amp;""),"")</f>
        <v/>
      </c>
      <c r="L494" s="112" t="str">
        <f>IF(A494&lt;&gt;"",SUMIFS(deployment!$K$4:$K$502, deployment!$D$4:$D$502,"="&amp;A494, deployment!$D$4:$D$502,"&lt;&gt;"&amp;""),"")</f>
        <v/>
      </c>
      <c r="M494" s="97" t="str">
        <f>IF(A494&lt;&gt;"",SUMIFS(deployment!$L$4:$L$502, deployment!$D$4:$D$502,"="&amp;A494, deployment!$D$4:$D$502,"&lt;&gt;"&amp;""),"")</f>
        <v/>
      </c>
      <c r="N494" s="97" t="str">
        <f>IF(A494&lt;&gt;"",SUMIFS(deployment!$M$4:$M$502, deployment!$D$4:$D$502,"="&amp;A494, deployment!$D$4:$D$502,"&lt;&gt;"&amp;""),"")</f>
        <v/>
      </c>
      <c r="O494" s="127" t="str">
        <f t="shared" si="95"/>
        <v/>
      </c>
      <c r="P494" s="104"/>
      <c r="Q494" s="99" t="str">
        <f t="shared" si="84"/>
        <v/>
      </c>
      <c r="R494" s="100" t="str">
        <f t="shared" si="85"/>
        <v/>
      </c>
      <c r="S494" s="100" t="str">
        <f t="shared" si="86"/>
        <v/>
      </c>
      <c r="T494" s="101" t="str">
        <f t="shared" si="87"/>
        <v/>
      </c>
      <c r="U494" s="101" t="str">
        <f t="shared" si="88"/>
        <v/>
      </c>
      <c r="V494" s="128" t="str">
        <f t="shared" si="89"/>
        <v/>
      </c>
      <c r="W494" s="128" t="str">
        <f t="shared" si="90"/>
        <v/>
      </c>
      <c r="X494" s="101" t="str">
        <f t="shared" si="91"/>
        <v/>
      </c>
      <c r="Y494" s="101" t="str">
        <f t="shared" si="92"/>
        <v/>
      </c>
      <c r="Z494" s="102" t="str">
        <f t="shared" si="93"/>
        <v/>
      </c>
      <c r="AA494" s="103" t="str">
        <f t="shared" si="94"/>
        <v/>
      </c>
      <c r="AB494" s="142" t="str">
        <f>IF(A494&lt;&gt;"", SUMIFS(node!$J$2:$J$500, node!$C$2:$C$500,"="&amp;A494)/P494, "")</f>
        <v/>
      </c>
      <c r="AC494" s="134" t="str">
        <f>IF(A494&lt;&gt;"", SUMIFS(node!$K$2:$K$500, node!$C$2:$C$500,"="&amp;A494)/P494, "")</f>
        <v/>
      </c>
      <c r="AD494" s="135" t="str">
        <f>IF(A494&lt;&gt;"", SUMIFS(node!$L$2:$L$500, node!$C$2:$C$500,"="&amp;A494), "")</f>
        <v/>
      </c>
      <c r="AE494" s="145" t="str">
        <f>IF(A494&lt;&gt;"", SUMIFS(node!$M$2:$M$500, node!$C$2:$C$500,"="&amp;A494), "")</f>
        <v/>
      </c>
    </row>
    <row r="495" spans="1:31" ht="15.75" customHeight="1" x14ac:dyDescent="0.25">
      <c r="A495" s="119" t="str">
        <f>IF(ISNONTEXT(node_raw[[#This Row],[Column2]]), "", node_raw[[#This Row],[Column2]])</f>
        <v/>
      </c>
      <c r="B495" s="116" t="str">
        <f>IF(A495&lt;&gt;"", VLOOKUP(A495, node!$C$2:$D$500, 2, FALSE), "")</f>
        <v/>
      </c>
      <c r="C495" s="117" t="str">
        <f>IF(A495&lt;&gt;"", VLOOKUP(A495, node!$C$2:$E$500, 3, FALSE), "")</f>
        <v/>
      </c>
      <c r="D495" s="118" t="str">
        <f>IF(A495&lt;&gt;"",COUNTIFS(node!$C$2:$C$500,"="&amp;A495, node!$C$2:$C$500,"&lt;&gt;"&amp;""),"")</f>
        <v/>
      </c>
      <c r="E495" s="122" t="str">
        <f>IF(A495&lt;&gt;"",SUMIFS(node!$F$2:$F$500, node!$C$2:$C$500,"="&amp;A495, node!$C$2:$C$500,"&lt;&gt;"&amp;"")/(B495*D495),"")</f>
        <v/>
      </c>
      <c r="F495" s="124" t="str">
        <f>IF(A495&lt;&gt;"",SUMIFS(node!$H$2:$H$500, node!$C$2:$C$500,"="&amp;A495, node!$C$2:$C$500,"&lt;&gt;"&amp;"")/(C495*D495),"")</f>
        <v/>
      </c>
      <c r="G495" s="93" t="str">
        <f>IF(A495&lt;&gt;"",SUMIFS(deployment!$F$4:$F$502, deployment!$D$4:$D$502,"="&amp;A495, deployment!$D$4:$D$502,"&lt;&gt;"&amp;""),"")</f>
        <v/>
      </c>
      <c r="H495" s="94" t="str">
        <f>IF(A495&lt;&gt;"",SUMIFS(deployment!$G$4:$G$502, deployment!$D$4:$D$502,"="&amp;A495, deployment!$D$4:$D$502,"&lt;&gt;"&amp;""),"")</f>
        <v/>
      </c>
      <c r="I495" s="95" t="str">
        <f>IF(A495&lt;&gt;"",SUMIFS(deployment!$H$4:$H$502, deployment!$D$4:$D$502,"="&amp;A495, deployment!$D$4:$D$502,"&lt;&gt;"&amp;""),"")</f>
        <v/>
      </c>
      <c r="J495" s="96" t="str">
        <f>IF(A495&lt;&gt;"",SUMIFS(deployment!$I$4:$I$502, deployment!$D$4:$D$502,"="&amp;A495, deployment!$D$4:$D$502,"&lt;&gt;"&amp;""),"")</f>
        <v/>
      </c>
      <c r="K495" s="112" t="str">
        <f>IF(A495&lt;&gt;"",SUMIFS(deployment!$J$4:$J$502, deployment!$D$4:$D$502,"="&amp;A495, deployment!$D$4:$D$502,"&lt;&gt;"&amp;""),"")</f>
        <v/>
      </c>
      <c r="L495" s="112" t="str">
        <f>IF(A495&lt;&gt;"",SUMIFS(deployment!$K$4:$K$502, deployment!$D$4:$D$502,"="&amp;A495, deployment!$D$4:$D$502,"&lt;&gt;"&amp;""),"")</f>
        <v/>
      </c>
      <c r="M495" s="97" t="str">
        <f>IF(A495&lt;&gt;"",SUMIFS(deployment!$L$4:$L$502, deployment!$D$4:$D$502,"="&amp;A495, deployment!$D$4:$D$502,"&lt;&gt;"&amp;""),"")</f>
        <v/>
      </c>
      <c r="N495" s="97" t="str">
        <f>IF(A495&lt;&gt;"",SUMIFS(deployment!$M$4:$M$502, deployment!$D$4:$D$502,"="&amp;A495, deployment!$D$4:$D$502,"&lt;&gt;"&amp;""),"")</f>
        <v/>
      </c>
      <c r="O495" s="127" t="str">
        <f t="shared" si="95"/>
        <v/>
      </c>
      <c r="P495" s="104"/>
      <c r="Q495" s="99" t="str">
        <f t="shared" si="84"/>
        <v/>
      </c>
      <c r="R495" s="100" t="str">
        <f t="shared" si="85"/>
        <v/>
      </c>
      <c r="S495" s="100" t="str">
        <f t="shared" si="86"/>
        <v/>
      </c>
      <c r="T495" s="101" t="str">
        <f t="shared" si="87"/>
        <v/>
      </c>
      <c r="U495" s="101" t="str">
        <f t="shared" si="88"/>
        <v/>
      </c>
      <c r="V495" s="128" t="str">
        <f t="shared" si="89"/>
        <v/>
      </c>
      <c r="W495" s="128" t="str">
        <f t="shared" si="90"/>
        <v/>
      </c>
      <c r="X495" s="101" t="str">
        <f t="shared" si="91"/>
        <v/>
      </c>
      <c r="Y495" s="101" t="str">
        <f t="shared" si="92"/>
        <v/>
      </c>
      <c r="Z495" s="102" t="str">
        <f t="shared" si="93"/>
        <v/>
      </c>
      <c r="AA495" s="103" t="str">
        <f t="shared" si="94"/>
        <v/>
      </c>
      <c r="AB495" s="142" t="str">
        <f>IF(A495&lt;&gt;"", SUMIFS(node!$J$2:$J$500, node!$C$2:$C$500,"="&amp;A495)/P495, "")</f>
        <v/>
      </c>
      <c r="AC495" s="134" t="str">
        <f>IF(A495&lt;&gt;"", SUMIFS(node!$K$2:$K$500, node!$C$2:$C$500,"="&amp;A495)/P495, "")</f>
        <v/>
      </c>
      <c r="AD495" s="135" t="str">
        <f>IF(A495&lt;&gt;"", SUMIFS(node!$L$2:$L$500, node!$C$2:$C$500,"="&amp;A495), "")</f>
        <v/>
      </c>
      <c r="AE495" s="145" t="str">
        <f>IF(A495&lt;&gt;"", SUMIFS(node!$M$2:$M$500, node!$C$2:$C$500,"="&amp;A495), "")</f>
        <v/>
      </c>
    </row>
    <row r="496" spans="1:31" ht="15.75" customHeight="1" x14ac:dyDescent="0.25">
      <c r="A496" s="119" t="str">
        <f>IF(ISNONTEXT(node_raw[[#This Row],[Column2]]), "", node_raw[[#This Row],[Column2]])</f>
        <v/>
      </c>
      <c r="B496" s="116" t="str">
        <f>IF(A496&lt;&gt;"", VLOOKUP(A496, node!$C$2:$D$500, 2, FALSE), "")</f>
        <v/>
      </c>
      <c r="C496" s="117" t="str">
        <f>IF(A496&lt;&gt;"", VLOOKUP(A496, node!$C$2:$E$500, 3, FALSE), "")</f>
        <v/>
      </c>
      <c r="D496" s="118" t="str">
        <f>IF(A496&lt;&gt;"",COUNTIFS(node!$C$2:$C$500,"="&amp;A496, node!$C$2:$C$500,"&lt;&gt;"&amp;""),"")</f>
        <v/>
      </c>
      <c r="E496" s="122" t="str">
        <f>IF(A496&lt;&gt;"",SUMIFS(node!$F$2:$F$500, node!$C$2:$C$500,"="&amp;A496, node!$C$2:$C$500,"&lt;&gt;"&amp;"")/(B496*D496),"")</f>
        <v/>
      </c>
      <c r="F496" s="124" t="str">
        <f>IF(A496&lt;&gt;"",SUMIFS(node!$H$2:$H$500, node!$C$2:$C$500,"="&amp;A496, node!$C$2:$C$500,"&lt;&gt;"&amp;"")/(C496*D496),"")</f>
        <v/>
      </c>
      <c r="G496" s="93" t="str">
        <f>IF(A496&lt;&gt;"",SUMIFS(deployment!$F$4:$F$502, deployment!$D$4:$D$502,"="&amp;A496, deployment!$D$4:$D$502,"&lt;&gt;"&amp;""),"")</f>
        <v/>
      </c>
      <c r="H496" s="94" t="str">
        <f>IF(A496&lt;&gt;"",SUMIFS(deployment!$G$4:$G$502, deployment!$D$4:$D$502,"="&amp;A496, deployment!$D$4:$D$502,"&lt;&gt;"&amp;""),"")</f>
        <v/>
      </c>
      <c r="I496" s="95" t="str">
        <f>IF(A496&lt;&gt;"",SUMIFS(deployment!$H$4:$H$502, deployment!$D$4:$D$502,"="&amp;A496, deployment!$D$4:$D$502,"&lt;&gt;"&amp;""),"")</f>
        <v/>
      </c>
      <c r="J496" s="96" t="str">
        <f>IF(A496&lt;&gt;"",SUMIFS(deployment!$I$4:$I$502, deployment!$D$4:$D$502,"="&amp;A496, deployment!$D$4:$D$502,"&lt;&gt;"&amp;""),"")</f>
        <v/>
      </c>
      <c r="K496" s="112" t="str">
        <f>IF(A496&lt;&gt;"",SUMIFS(deployment!$J$4:$J$502, deployment!$D$4:$D$502,"="&amp;A496, deployment!$D$4:$D$502,"&lt;&gt;"&amp;""),"")</f>
        <v/>
      </c>
      <c r="L496" s="112" t="str">
        <f>IF(A496&lt;&gt;"",SUMIFS(deployment!$K$4:$K$502, deployment!$D$4:$D$502,"="&amp;A496, deployment!$D$4:$D$502,"&lt;&gt;"&amp;""),"")</f>
        <v/>
      </c>
      <c r="M496" s="97" t="str">
        <f>IF(A496&lt;&gt;"",SUMIFS(deployment!$L$4:$L$502, deployment!$D$4:$D$502,"="&amp;A496, deployment!$D$4:$D$502,"&lt;&gt;"&amp;""),"")</f>
        <v/>
      </c>
      <c r="N496" s="97" t="str">
        <f>IF(A496&lt;&gt;"",SUMIFS(deployment!$M$4:$M$502, deployment!$D$4:$D$502,"="&amp;A496, deployment!$D$4:$D$502,"&lt;&gt;"&amp;""),"")</f>
        <v/>
      </c>
      <c r="O496" s="127" t="str">
        <f t="shared" si="95"/>
        <v/>
      </c>
      <c r="P496" s="104"/>
      <c r="Q496" s="99" t="str">
        <f t="shared" si="84"/>
        <v/>
      </c>
      <c r="R496" s="100" t="str">
        <f t="shared" si="85"/>
        <v/>
      </c>
      <c r="S496" s="100" t="str">
        <f t="shared" si="86"/>
        <v/>
      </c>
      <c r="T496" s="101" t="str">
        <f t="shared" si="87"/>
        <v/>
      </c>
      <c r="U496" s="101" t="str">
        <f t="shared" si="88"/>
        <v/>
      </c>
      <c r="V496" s="128" t="str">
        <f t="shared" si="89"/>
        <v/>
      </c>
      <c r="W496" s="128" t="str">
        <f t="shared" si="90"/>
        <v/>
      </c>
      <c r="X496" s="101" t="str">
        <f t="shared" si="91"/>
        <v/>
      </c>
      <c r="Y496" s="101" t="str">
        <f t="shared" si="92"/>
        <v/>
      </c>
      <c r="Z496" s="102" t="str">
        <f t="shared" si="93"/>
        <v/>
      </c>
      <c r="AA496" s="103" t="str">
        <f t="shared" si="94"/>
        <v/>
      </c>
      <c r="AB496" s="142" t="str">
        <f>IF(A496&lt;&gt;"", SUMIFS(node!$J$2:$J$500, node!$C$2:$C$500,"="&amp;A496)/P496, "")</f>
        <v/>
      </c>
      <c r="AC496" s="134" t="str">
        <f>IF(A496&lt;&gt;"", SUMIFS(node!$K$2:$K$500, node!$C$2:$C$500,"="&amp;A496)/P496, "")</f>
        <v/>
      </c>
      <c r="AD496" s="135" t="str">
        <f>IF(A496&lt;&gt;"", SUMIFS(node!$L$2:$L$500, node!$C$2:$C$500,"="&amp;A496), "")</f>
        <v/>
      </c>
      <c r="AE496" s="145" t="str">
        <f>IF(A496&lt;&gt;"", SUMIFS(node!$M$2:$M$500, node!$C$2:$C$500,"="&amp;A496), "")</f>
        <v/>
      </c>
    </row>
    <row r="497" spans="1:31" ht="15.75" customHeight="1" x14ac:dyDescent="0.25">
      <c r="A497" s="119" t="str">
        <f>IF(ISNONTEXT(node_raw[[#This Row],[Column2]]), "", node_raw[[#This Row],[Column2]])</f>
        <v/>
      </c>
      <c r="B497" s="116" t="str">
        <f>IF(A497&lt;&gt;"", VLOOKUP(A497, node!$C$2:$D$500, 2, FALSE), "")</f>
        <v/>
      </c>
      <c r="C497" s="117" t="str">
        <f>IF(A497&lt;&gt;"", VLOOKUP(A497, node!$C$2:$E$500, 3, FALSE), "")</f>
        <v/>
      </c>
      <c r="D497" s="118" t="str">
        <f>IF(A497&lt;&gt;"",COUNTIFS(node!$C$2:$C$500,"="&amp;A497, node!$C$2:$C$500,"&lt;&gt;"&amp;""),"")</f>
        <v/>
      </c>
      <c r="E497" s="122" t="str">
        <f>IF(A497&lt;&gt;"",SUMIFS(node!$F$2:$F$500, node!$C$2:$C$500,"="&amp;A497, node!$C$2:$C$500,"&lt;&gt;"&amp;"")/(B497*D497),"")</f>
        <v/>
      </c>
      <c r="F497" s="124" t="str">
        <f>IF(A497&lt;&gt;"",SUMIFS(node!$H$2:$H$500, node!$C$2:$C$500,"="&amp;A497, node!$C$2:$C$500,"&lt;&gt;"&amp;"")/(C497*D497),"")</f>
        <v/>
      </c>
      <c r="G497" s="93" t="str">
        <f>IF(A497&lt;&gt;"",SUMIFS(deployment!$F$4:$F$502, deployment!$D$4:$D$502,"="&amp;A497, deployment!$D$4:$D$502,"&lt;&gt;"&amp;""),"")</f>
        <v/>
      </c>
      <c r="H497" s="94" t="str">
        <f>IF(A497&lt;&gt;"",SUMIFS(deployment!$G$4:$G$502, deployment!$D$4:$D$502,"="&amp;A497, deployment!$D$4:$D$502,"&lt;&gt;"&amp;""),"")</f>
        <v/>
      </c>
      <c r="I497" s="95" t="str">
        <f>IF(A497&lt;&gt;"",SUMIFS(deployment!$H$4:$H$502, deployment!$D$4:$D$502,"="&amp;A497, deployment!$D$4:$D$502,"&lt;&gt;"&amp;""),"")</f>
        <v/>
      </c>
      <c r="J497" s="96" t="str">
        <f>IF(A497&lt;&gt;"",SUMIFS(deployment!$I$4:$I$502, deployment!$D$4:$D$502,"="&amp;A497, deployment!$D$4:$D$502,"&lt;&gt;"&amp;""),"")</f>
        <v/>
      </c>
      <c r="K497" s="112" t="str">
        <f>IF(A497&lt;&gt;"",SUMIFS(deployment!$J$4:$J$502, deployment!$D$4:$D$502,"="&amp;A497, deployment!$D$4:$D$502,"&lt;&gt;"&amp;""),"")</f>
        <v/>
      </c>
      <c r="L497" s="112" t="str">
        <f>IF(A497&lt;&gt;"",SUMIFS(deployment!$K$4:$K$502, deployment!$D$4:$D$502,"="&amp;A497, deployment!$D$4:$D$502,"&lt;&gt;"&amp;""),"")</f>
        <v/>
      </c>
      <c r="M497" s="97" t="str">
        <f>IF(A497&lt;&gt;"",SUMIFS(deployment!$L$4:$L$502, deployment!$D$4:$D$502,"="&amp;A497, deployment!$D$4:$D$502,"&lt;&gt;"&amp;""),"")</f>
        <v/>
      </c>
      <c r="N497" s="97" t="str">
        <f>IF(A497&lt;&gt;"",SUMIFS(deployment!$M$4:$M$502, deployment!$D$4:$D$502,"="&amp;A497, deployment!$D$4:$D$502,"&lt;&gt;"&amp;""),"")</f>
        <v/>
      </c>
      <c r="O497" s="127" t="str">
        <f t="shared" si="95"/>
        <v/>
      </c>
      <c r="P497" s="104"/>
      <c r="Q497" s="99" t="str">
        <f t="shared" si="84"/>
        <v/>
      </c>
      <c r="R497" s="100" t="str">
        <f t="shared" si="85"/>
        <v/>
      </c>
      <c r="S497" s="100" t="str">
        <f t="shared" si="86"/>
        <v/>
      </c>
      <c r="T497" s="101" t="str">
        <f t="shared" si="87"/>
        <v/>
      </c>
      <c r="U497" s="101" t="str">
        <f t="shared" si="88"/>
        <v/>
      </c>
      <c r="V497" s="128" t="str">
        <f t="shared" si="89"/>
        <v/>
      </c>
      <c r="W497" s="128" t="str">
        <f t="shared" si="90"/>
        <v/>
      </c>
      <c r="X497" s="101" t="str">
        <f t="shared" si="91"/>
        <v/>
      </c>
      <c r="Y497" s="101" t="str">
        <f t="shared" si="92"/>
        <v/>
      </c>
      <c r="Z497" s="102" t="str">
        <f t="shared" si="93"/>
        <v/>
      </c>
      <c r="AA497" s="103" t="str">
        <f t="shared" si="94"/>
        <v/>
      </c>
      <c r="AB497" s="142" t="str">
        <f>IF(A497&lt;&gt;"", SUMIFS(node!$J$2:$J$500, node!$C$2:$C$500,"="&amp;A497)/P497, "")</f>
        <v/>
      </c>
      <c r="AC497" s="134" t="str">
        <f>IF(A497&lt;&gt;"", SUMIFS(node!$K$2:$K$500, node!$C$2:$C$500,"="&amp;A497)/P497, "")</f>
        <v/>
      </c>
      <c r="AD497" s="135" t="str">
        <f>IF(A497&lt;&gt;"", SUMIFS(node!$L$2:$L$500, node!$C$2:$C$500,"="&amp;A497), "")</f>
        <v/>
      </c>
      <c r="AE497" s="145" t="str">
        <f>IF(A497&lt;&gt;"", SUMIFS(node!$M$2:$M$500, node!$C$2:$C$500,"="&amp;A497), "")</f>
        <v/>
      </c>
    </row>
    <row r="498" spans="1:31" ht="15.75" customHeight="1" x14ac:dyDescent="0.25">
      <c r="A498" s="119" t="str">
        <f>IF(ISNONTEXT(node_raw[[#This Row],[Column2]]), "", node_raw[[#This Row],[Column2]])</f>
        <v/>
      </c>
      <c r="B498" s="116" t="str">
        <f>IF(A498&lt;&gt;"", VLOOKUP(A498, node!$C$2:$D$500, 2, FALSE), "")</f>
        <v/>
      </c>
      <c r="C498" s="117" t="str">
        <f>IF(A498&lt;&gt;"", VLOOKUP(A498, node!$C$2:$E$500, 3, FALSE), "")</f>
        <v/>
      </c>
      <c r="D498" s="118" t="str">
        <f>IF(A498&lt;&gt;"",COUNTIFS(node!$C$2:$C$500,"="&amp;A498, node!$C$2:$C$500,"&lt;&gt;"&amp;""),"")</f>
        <v/>
      </c>
      <c r="E498" s="122" t="str">
        <f>IF(A498&lt;&gt;"",SUMIFS(node!$F$2:$F$500, node!$C$2:$C$500,"="&amp;A498, node!$C$2:$C$500,"&lt;&gt;"&amp;"")/(B498*D498),"")</f>
        <v/>
      </c>
      <c r="F498" s="124" t="str">
        <f>IF(A498&lt;&gt;"",SUMIFS(node!$H$2:$H$500, node!$C$2:$C$500,"="&amp;A498, node!$C$2:$C$500,"&lt;&gt;"&amp;"")/(C498*D498),"")</f>
        <v/>
      </c>
      <c r="G498" s="93" t="str">
        <f>IF(A498&lt;&gt;"",SUMIFS(deployment!$F$4:$F$502, deployment!$D$4:$D$502,"="&amp;A498, deployment!$D$4:$D$502,"&lt;&gt;"&amp;""),"")</f>
        <v/>
      </c>
      <c r="H498" s="94" t="str">
        <f>IF(A498&lt;&gt;"",SUMIFS(deployment!$G$4:$G$502, deployment!$D$4:$D$502,"="&amp;A498, deployment!$D$4:$D$502,"&lt;&gt;"&amp;""),"")</f>
        <v/>
      </c>
      <c r="I498" s="95" t="str">
        <f>IF(A498&lt;&gt;"",SUMIFS(deployment!$H$4:$H$502, deployment!$D$4:$D$502,"="&amp;A498, deployment!$D$4:$D$502,"&lt;&gt;"&amp;""),"")</f>
        <v/>
      </c>
      <c r="J498" s="96" t="str">
        <f>IF(A498&lt;&gt;"",SUMIFS(deployment!$I$4:$I$502, deployment!$D$4:$D$502,"="&amp;A498, deployment!$D$4:$D$502,"&lt;&gt;"&amp;""),"")</f>
        <v/>
      </c>
      <c r="K498" s="112" t="str">
        <f>IF(A498&lt;&gt;"",SUMIFS(deployment!$J$4:$J$502, deployment!$D$4:$D$502,"="&amp;A498, deployment!$D$4:$D$502,"&lt;&gt;"&amp;""),"")</f>
        <v/>
      </c>
      <c r="L498" s="112" t="str">
        <f>IF(A498&lt;&gt;"",SUMIFS(deployment!$K$4:$K$502, deployment!$D$4:$D$502,"="&amp;A498, deployment!$D$4:$D$502,"&lt;&gt;"&amp;""),"")</f>
        <v/>
      </c>
      <c r="M498" s="97" t="str">
        <f>IF(A498&lt;&gt;"",SUMIFS(deployment!$L$4:$L$502, deployment!$D$4:$D$502,"="&amp;A498, deployment!$D$4:$D$502,"&lt;&gt;"&amp;""),"")</f>
        <v/>
      </c>
      <c r="N498" s="97" t="str">
        <f>IF(A498&lt;&gt;"",SUMIFS(deployment!$M$4:$M$502, deployment!$D$4:$D$502,"="&amp;A498, deployment!$D$4:$D$502,"&lt;&gt;"&amp;""),"")</f>
        <v/>
      </c>
      <c r="O498" s="127" t="str">
        <f t="shared" si="95"/>
        <v/>
      </c>
      <c r="P498" s="104"/>
      <c r="Q498" s="99" t="str">
        <f t="shared" si="84"/>
        <v/>
      </c>
      <c r="R498" s="100" t="str">
        <f t="shared" si="85"/>
        <v/>
      </c>
      <c r="S498" s="100" t="str">
        <f t="shared" si="86"/>
        <v/>
      </c>
      <c r="T498" s="101" t="str">
        <f t="shared" si="87"/>
        <v/>
      </c>
      <c r="U498" s="101" t="str">
        <f t="shared" si="88"/>
        <v/>
      </c>
      <c r="V498" s="128" t="str">
        <f t="shared" si="89"/>
        <v/>
      </c>
      <c r="W498" s="128" t="str">
        <f t="shared" si="90"/>
        <v/>
      </c>
      <c r="X498" s="101" t="str">
        <f t="shared" si="91"/>
        <v/>
      </c>
      <c r="Y498" s="101" t="str">
        <f t="shared" si="92"/>
        <v/>
      </c>
      <c r="Z498" s="102" t="str">
        <f t="shared" si="93"/>
        <v/>
      </c>
      <c r="AA498" s="103" t="str">
        <f t="shared" si="94"/>
        <v/>
      </c>
      <c r="AB498" s="142" t="str">
        <f>IF(A498&lt;&gt;"", SUMIFS(node!$J$2:$J$500, node!$C$2:$C$500,"="&amp;A498)/P498, "")</f>
        <v/>
      </c>
      <c r="AC498" s="134" t="str">
        <f>IF(A498&lt;&gt;"", SUMIFS(node!$K$2:$K$500, node!$C$2:$C$500,"="&amp;A498)/P498, "")</f>
        <v/>
      </c>
      <c r="AD498" s="135" t="str">
        <f>IF(A498&lt;&gt;"", SUMIFS(node!$L$2:$L$500, node!$C$2:$C$500,"="&amp;A498), "")</f>
        <v/>
      </c>
      <c r="AE498" s="145" t="str">
        <f>IF(A498&lt;&gt;"", SUMIFS(node!$M$2:$M$500, node!$C$2:$C$500,"="&amp;A498), "")</f>
        <v/>
      </c>
    </row>
    <row r="499" spans="1:31" ht="15.75" customHeight="1" x14ac:dyDescent="0.25">
      <c r="A499" s="119" t="str">
        <f>IF(ISNONTEXT(node_raw[[#This Row],[Column2]]), "", node_raw[[#This Row],[Column2]])</f>
        <v/>
      </c>
      <c r="B499" s="116" t="str">
        <f>IF(A499&lt;&gt;"", VLOOKUP(A499, node!$C$2:$D$500, 2, FALSE), "")</f>
        <v/>
      </c>
      <c r="C499" s="117" t="str">
        <f>IF(A499&lt;&gt;"", VLOOKUP(A499, node!$C$2:$E$500, 3, FALSE), "")</f>
        <v/>
      </c>
      <c r="D499" s="118" t="str">
        <f>IF(A499&lt;&gt;"",COUNTIFS(node!$C$2:$C$500,"="&amp;A499, node!$C$2:$C$500,"&lt;&gt;"&amp;""),"")</f>
        <v/>
      </c>
      <c r="E499" s="122" t="str">
        <f>IF(A499&lt;&gt;"",SUMIFS(node!$F$2:$F$500, node!$C$2:$C$500,"="&amp;A499, node!$C$2:$C$500,"&lt;&gt;"&amp;"")/(B499*D499),"")</f>
        <v/>
      </c>
      <c r="F499" s="124" t="str">
        <f>IF(A499&lt;&gt;"",SUMIFS(node!$H$2:$H$500, node!$C$2:$C$500,"="&amp;A499, node!$C$2:$C$500,"&lt;&gt;"&amp;"")/(C499*D499),"")</f>
        <v/>
      </c>
      <c r="G499" s="93" t="str">
        <f>IF(A499&lt;&gt;"",SUMIFS(deployment!$F$4:$F$502, deployment!$D$4:$D$502,"="&amp;A499, deployment!$D$4:$D$502,"&lt;&gt;"&amp;""),"")</f>
        <v/>
      </c>
      <c r="H499" s="94" t="str">
        <f>IF(A499&lt;&gt;"",SUMIFS(deployment!$G$4:$G$502, deployment!$D$4:$D$502,"="&amp;A499, deployment!$D$4:$D$502,"&lt;&gt;"&amp;""),"")</f>
        <v/>
      </c>
      <c r="I499" s="95" t="str">
        <f>IF(A499&lt;&gt;"",SUMIFS(deployment!$H$4:$H$502, deployment!$D$4:$D$502,"="&amp;A499, deployment!$D$4:$D$502,"&lt;&gt;"&amp;""),"")</f>
        <v/>
      </c>
      <c r="J499" s="96" t="str">
        <f>IF(A499&lt;&gt;"",SUMIFS(deployment!$I$4:$I$502, deployment!$D$4:$D$502,"="&amp;A499, deployment!$D$4:$D$502,"&lt;&gt;"&amp;""),"")</f>
        <v/>
      </c>
      <c r="K499" s="112" t="str">
        <f>IF(A499&lt;&gt;"",SUMIFS(deployment!$J$4:$J$502, deployment!$D$4:$D$502,"="&amp;A499, deployment!$D$4:$D$502,"&lt;&gt;"&amp;""),"")</f>
        <v/>
      </c>
      <c r="L499" s="112" t="str">
        <f>IF(A499&lt;&gt;"",SUMIFS(deployment!$K$4:$K$502, deployment!$D$4:$D$502,"="&amp;A499, deployment!$D$4:$D$502,"&lt;&gt;"&amp;""),"")</f>
        <v/>
      </c>
      <c r="M499" s="97" t="str">
        <f>IF(A499&lt;&gt;"",SUMIFS(deployment!$L$4:$L$502, deployment!$D$4:$D$502,"="&amp;A499, deployment!$D$4:$D$502,"&lt;&gt;"&amp;""),"")</f>
        <v/>
      </c>
      <c r="N499" s="97" t="str">
        <f>IF(A499&lt;&gt;"",SUMIFS(deployment!$M$4:$M$502, deployment!$D$4:$D$502,"="&amp;A499, deployment!$D$4:$D$502,"&lt;&gt;"&amp;""),"")</f>
        <v/>
      </c>
      <c r="O499" s="127" t="str">
        <f t="shared" si="95"/>
        <v/>
      </c>
      <c r="P499" s="104"/>
      <c r="Q499" s="99" t="str">
        <f t="shared" si="84"/>
        <v/>
      </c>
      <c r="R499" s="100" t="str">
        <f t="shared" si="85"/>
        <v/>
      </c>
      <c r="S499" s="100" t="str">
        <f t="shared" si="86"/>
        <v/>
      </c>
      <c r="T499" s="101" t="str">
        <f t="shared" si="87"/>
        <v/>
      </c>
      <c r="U499" s="101" t="str">
        <f t="shared" si="88"/>
        <v/>
      </c>
      <c r="V499" s="128" t="str">
        <f t="shared" si="89"/>
        <v/>
      </c>
      <c r="W499" s="128" t="str">
        <f t="shared" si="90"/>
        <v/>
      </c>
      <c r="X499" s="101" t="str">
        <f t="shared" si="91"/>
        <v/>
      </c>
      <c r="Y499" s="101" t="str">
        <f t="shared" si="92"/>
        <v/>
      </c>
      <c r="Z499" s="102" t="str">
        <f t="shared" si="93"/>
        <v/>
      </c>
      <c r="AA499" s="103" t="str">
        <f t="shared" si="94"/>
        <v/>
      </c>
      <c r="AB499" s="142" t="str">
        <f>IF(A499&lt;&gt;"", SUMIFS(node!$J$2:$J$500, node!$C$2:$C$500,"="&amp;A499)/P499, "")</f>
        <v/>
      </c>
      <c r="AC499" s="134" t="str">
        <f>IF(A499&lt;&gt;"", SUMIFS(node!$K$2:$K$500, node!$C$2:$C$500,"="&amp;A499)/P499, "")</f>
        <v/>
      </c>
      <c r="AD499" s="135" t="str">
        <f>IF(A499&lt;&gt;"", SUMIFS(node!$L$2:$L$500, node!$C$2:$C$500,"="&amp;A499), "")</f>
        <v/>
      </c>
      <c r="AE499" s="145" t="str">
        <f>IF(A499&lt;&gt;"", SUMIFS(node!$M$2:$M$500, node!$C$2:$C$500,"="&amp;A499), "")</f>
        <v/>
      </c>
    </row>
    <row r="500" spans="1:31" ht="15.75" customHeight="1" x14ac:dyDescent="0.25">
      <c r="A500" s="119" t="str">
        <f>IF(ISNONTEXT(node_raw[[#This Row],[Column2]]), "", node_raw[[#This Row],[Column2]])</f>
        <v/>
      </c>
      <c r="B500" s="116" t="str">
        <f>IF(A500&lt;&gt;"", VLOOKUP(A500, node!$C$2:$D$500, 2, FALSE), "")</f>
        <v/>
      </c>
      <c r="C500" s="117" t="str">
        <f>IF(A500&lt;&gt;"", VLOOKUP(A500, node!$C$2:$E$500, 3, FALSE), "")</f>
        <v/>
      </c>
      <c r="D500" s="118" t="str">
        <f>IF(A500&lt;&gt;"",COUNTIFS(node!$C$2:$C$500,"="&amp;A500, node!$C$2:$C$500,"&lt;&gt;"&amp;""),"")</f>
        <v/>
      </c>
      <c r="E500" s="122" t="str">
        <f>IF(A500&lt;&gt;"",SUMIFS(node!$F$2:$F$500, node!$C$2:$C$500,"="&amp;A500, node!$C$2:$C$500,"&lt;&gt;"&amp;"")/(B500*D500),"")</f>
        <v/>
      </c>
      <c r="F500" s="124" t="str">
        <f>IF(A500&lt;&gt;"",SUMIFS(node!$H$2:$H$500, node!$C$2:$C$500,"="&amp;A500, node!$C$2:$C$500,"&lt;&gt;"&amp;"")/(C500*D500),"")</f>
        <v/>
      </c>
      <c r="G500" s="93" t="str">
        <f>IF(A500&lt;&gt;"",SUMIFS(deployment!$F$4:$F$502, deployment!$D$4:$D$502,"="&amp;A500, deployment!$D$4:$D$502,"&lt;&gt;"&amp;""),"")</f>
        <v/>
      </c>
      <c r="H500" s="94" t="str">
        <f>IF(A500&lt;&gt;"",SUMIFS(deployment!$G$4:$G$502, deployment!$D$4:$D$502,"="&amp;A500, deployment!$D$4:$D$502,"&lt;&gt;"&amp;""),"")</f>
        <v/>
      </c>
      <c r="I500" s="95" t="str">
        <f>IF(A500&lt;&gt;"",SUMIFS(deployment!$H$4:$H$502, deployment!$D$4:$D$502,"="&amp;A500, deployment!$D$4:$D$502,"&lt;&gt;"&amp;""),"")</f>
        <v/>
      </c>
      <c r="J500" s="96" t="str">
        <f>IF(A500&lt;&gt;"",SUMIFS(deployment!$I$4:$I$502, deployment!$D$4:$D$502,"="&amp;A500, deployment!$D$4:$D$502,"&lt;&gt;"&amp;""),"")</f>
        <v/>
      </c>
      <c r="K500" s="112" t="str">
        <f>IF(A500&lt;&gt;"",SUMIFS(deployment!$J$4:$J$502, deployment!$D$4:$D$502,"="&amp;A500, deployment!$D$4:$D$502,"&lt;&gt;"&amp;""),"")</f>
        <v/>
      </c>
      <c r="L500" s="112" t="str">
        <f>IF(A500&lt;&gt;"",SUMIFS(deployment!$K$4:$K$502, deployment!$D$4:$D$502,"="&amp;A500, deployment!$D$4:$D$502,"&lt;&gt;"&amp;""),"")</f>
        <v/>
      </c>
      <c r="M500" s="97" t="str">
        <f>IF(A500&lt;&gt;"",SUMIFS(deployment!$L$4:$L$502, deployment!$D$4:$D$502,"="&amp;A500, deployment!$D$4:$D$502,"&lt;&gt;"&amp;""),"")</f>
        <v/>
      </c>
      <c r="N500" s="97" t="str">
        <f>IF(A500&lt;&gt;"",SUMIFS(deployment!$M$4:$M$502, deployment!$D$4:$D$502,"="&amp;A500, deployment!$D$4:$D$502,"&lt;&gt;"&amp;""),"")</f>
        <v/>
      </c>
      <c r="O500" s="127" t="str">
        <f t="shared" si="95"/>
        <v/>
      </c>
      <c r="P500" s="104"/>
      <c r="Q500" s="99" t="str">
        <f t="shared" si="84"/>
        <v/>
      </c>
      <c r="R500" s="100" t="str">
        <f t="shared" si="85"/>
        <v/>
      </c>
      <c r="S500" s="100" t="str">
        <f t="shared" si="86"/>
        <v/>
      </c>
      <c r="T500" s="101" t="str">
        <f t="shared" si="87"/>
        <v/>
      </c>
      <c r="U500" s="101" t="str">
        <f t="shared" si="88"/>
        <v/>
      </c>
      <c r="V500" s="128" t="str">
        <f t="shared" si="89"/>
        <v/>
      </c>
      <c r="W500" s="128" t="str">
        <f t="shared" si="90"/>
        <v/>
      </c>
      <c r="X500" s="101" t="str">
        <f t="shared" si="91"/>
        <v/>
      </c>
      <c r="Y500" s="101" t="str">
        <f t="shared" si="92"/>
        <v/>
      </c>
      <c r="Z500" s="102" t="str">
        <f t="shared" si="93"/>
        <v/>
      </c>
      <c r="AA500" s="103" t="str">
        <f t="shared" si="94"/>
        <v/>
      </c>
      <c r="AB500" s="142" t="str">
        <f>IF(A500&lt;&gt;"", SUMIFS(node!$J$2:$J$500, node!$C$2:$C$500,"="&amp;A500)/P500, "")</f>
        <v/>
      </c>
      <c r="AC500" s="134" t="str">
        <f>IF(A500&lt;&gt;"", SUMIFS(node!$K$2:$K$500, node!$C$2:$C$500,"="&amp;A500)/P500, "")</f>
        <v/>
      </c>
      <c r="AD500" s="135" t="str">
        <f>IF(A500&lt;&gt;"", SUMIFS(node!$L$2:$L$500, node!$C$2:$C$500,"="&amp;A500), "")</f>
        <v/>
      </c>
      <c r="AE500" s="145" t="str">
        <f>IF(A500&lt;&gt;"", SUMIFS(node!$M$2:$M$500, node!$C$2:$C$500,"="&amp;A500), "")</f>
        <v/>
      </c>
    </row>
    <row r="501" spans="1:31" ht="15.75" customHeight="1" x14ac:dyDescent="0.25">
      <c r="A501" s="119" t="str">
        <f>IF(ISNONTEXT(node_raw[[#This Row],[Column2]]), "", node_raw[[#This Row],[Column2]])</f>
        <v/>
      </c>
      <c r="B501" s="116" t="str">
        <f>IF(A501&lt;&gt;"", VLOOKUP(A501, node!$C$2:$D$500, 2, FALSE), "")</f>
        <v/>
      </c>
      <c r="C501" s="117" t="str">
        <f>IF(A501&lt;&gt;"", VLOOKUP(A501, node!$C$2:$E$500, 3, FALSE), "")</f>
        <v/>
      </c>
      <c r="D501" s="118" t="str">
        <f>IF(A501&lt;&gt;"",COUNTIFS(node!$C$2:$C$500,"="&amp;A501, node!$C$2:$C$500,"&lt;&gt;"&amp;""),"")</f>
        <v/>
      </c>
      <c r="E501" s="122" t="str">
        <f>IF(A501&lt;&gt;"",SUMIFS(node!$F$2:$F$500, node!$C$2:$C$500,"="&amp;A501, node!$C$2:$C$500,"&lt;&gt;"&amp;"")/(B501*D501),"")</f>
        <v/>
      </c>
      <c r="F501" s="124" t="str">
        <f>IF(A501&lt;&gt;"",SUMIFS(node!$H$2:$H$500, node!$C$2:$C$500,"="&amp;A501, node!$C$2:$C$500,"&lt;&gt;"&amp;"")/(C501*D501),"")</f>
        <v/>
      </c>
      <c r="G501" s="93" t="str">
        <f>IF(A501&lt;&gt;"",SUMIFS(deployment!$F$4:$F$502, deployment!$D$4:$D$502,"="&amp;A501, deployment!$D$4:$D$502,"&lt;&gt;"&amp;""),"")</f>
        <v/>
      </c>
      <c r="H501" s="94" t="str">
        <f>IF(A501&lt;&gt;"",SUMIFS(deployment!$G$4:$G$502, deployment!$D$4:$D$502,"="&amp;A501, deployment!$D$4:$D$502,"&lt;&gt;"&amp;""),"")</f>
        <v/>
      </c>
      <c r="I501" s="95" t="str">
        <f>IF(A501&lt;&gt;"",SUMIFS(deployment!$H$4:$H$502, deployment!$D$4:$D$502,"="&amp;A501, deployment!$D$4:$D$502,"&lt;&gt;"&amp;""),"")</f>
        <v/>
      </c>
      <c r="J501" s="96" t="str">
        <f>IF(A501&lt;&gt;"",SUMIFS(deployment!$I$4:$I$502, deployment!$D$4:$D$502,"="&amp;A501, deployment!$D$4:$D$502,"&lt;&gt;"&amp;""),"")</f>
        <v/>
      </c>
      <c r="K501" s="112" t="str">
        <f>IF(A501&lt;&gt;"",SUMIFS(deployment!$J$4:$J$502, deployment!$D$4:$D$502,"="&amp;A501, deployment!$D$4:$D$502,"&lt;&gt;"&amp;""),"")</f>
        <v/>
      </c>
      <c r="L501" s="112" t="str">
        <f>IF(A501&lt;&gt;"",SUMIFS(deployment!$K$4:$K$502, deployment!$D$4:$D$502,"="&amp;A501, deployment!$D$4:$D$502,"&lt;&gt;"&amp;""),"")</f>
        <v/>
      </c>
      <c r="M501" s="97" t="str">
        <f>IF(A501&lt;&gt;"",SUMIFS(deployment!$L$4:$L$502, deployment!$D$4:$D$502,"="&amp;A501, deployment!$D$4:$D$502,"&lt;&gt;"&amp;""),"")</f>
        <v/>
      </c>
      <c r="N501" s="97" t="str">
        <f>IF(A501&lt;&gt;"",SUMIFS(deployment!$M$4:$M$502, deployment!$D$4:$D$502,"="&amp;A501, deployment!$D$4:$D$502,"&lt;&gt;"&amp;""),"")</f>
        <v/>
      </c>
      <c r="O501" s="127" t="str">
        <f t="shared" si="95"/>
        <v/>
      </c>
      <c r="P501" s="104"/>
      <c r="Q501" s="99" t="str">
        <f t="shared" si="84"/>
        <v/>
      </c>
      <c r="R501" s="100" t="str">
        <f t="shared" si="85"/>
        <v/>
      </c>
      <c r="S501" s="100" t="str">
        <f t="shared" si="86"/>
        <v/>
      </c>
      <c r="T501" s="101" t="str">
        <f t="shared" si="87"/>
        <v/>
      </c>
      <c r="U501" s="101" t="str">
        <f t="shared" si="88"/>
        <v/>
      </c>
      <c r="V501" s="128" t="str">
        <f t="shared" si="89"/>
        <v/>
      </c>
      <c r="W501" s="128" t="str">
        <f t="shared" si="90"/>
        <v/>
      </c>
      <c r="X501" s="101" t="str">
        <f t="shared" si="91"/>
        <v/>
      </c>
      <c r="Y501" s="101" t="str">
        <f t="shared" si="92"/>
        <v/>
      </c>
      <c r="Z501" s="102" t="str">
        <f t="shared" si="93"/>
        <v/>
      </c>
      <c r="AA501" s="103" t="str">
        <f t="shared" si="94"/>
        <v/>
      </c>
      <c r="AB501" s="142" t="str">
        <f>IF(A501&lt;&gt;"", SUMIFS(node!$J$2:$J$500, node!$C$2:$C$500,"="&amp;A501)/P501, "")</f>
        <v/>
      </c>
      <c r="AC501" s="134" t="str">
        <f>IF(A501&lt;&gt;"", SUMIFS(node!$K$2:$K$500, node!$C$2:$C$500,"="&amp;A501)/P501, "")</f>
        <v/>
      </c>
      <c r="AD501" s="135" t="str">
        <f>IF(A501&lt;&gt;"", SUMIFS(node!$L$2:$L$500, node!$C$2:$C$500,"="&amp;A501), "")</f>
        <v/>
      </c>
      <c r="AE501" s="145" t="str">
        <f>IF(A501&lt;&gt;"", SUMIFS(node!$M$2:$M$500, node!$C$2:$C$500,"="&amp;A501), "")</f>
        <v/>
      </c>
    </row>
    <row r="502" spans="1:31" ht="15.75" customHeight="1" x14ac:dyDescent="0.25">
      <c r="A502" s="119" t="str">
        <f>IF(ISNONTEXT(node_raw[[#This Row],[Column2]]), "", node_raw[[#This Row],[Column2]])</f>
        <v/>
      </c>
      <c r="B502" s="116" t="str">
        <f>IF(A502&lt;&gt;"", VLOOKUP(A502, node!$C$2:$D$500, 2, FALSE), "")</f>
        <v/>
      </c>
      <c r="C502" s="117" t="str">
        <f>IF(A502&lt;&gt;"", VLOOKUP(A502, node!$C$2:$E$500, 3, FALSE), "")</f>
        <v/>
      </c>
      <c r="D502" s="118" t="str">
        <f>IF(A502&lt;&gt;"",COUNTIFS(node!$C$2:$C$500,"="&amp;A502, node!$C$2:$C$500,"&lt;&gt;"&amp;""),"")</f>
        <v/>
      </c>
      <c r="E502" s="122" t="str">
        <f>IF(A502&lt;&gt;"",SUMIFS(node!$F$2:$F$500, node!$C$2:$C$500,"="&amp;A502, node!$C$2:$C$500,"&lt;&gt;"&amp;"")/(B502*D502),"")</f>
        <v/>
      </c>
      <c r="F502" s="124" t="str">
        <f>IF(A502&lt;&gt;"",SUMIFS(node!$H$2:$H$500, node!$C$2:$C$500,"="&amp;A502, node!$C$2:$C$500,"&lt;&gt;"&amp;"")/(C502*D502),"")</f>
        <v/>
      </c>
      <c r="G502" s="93" t="str">
        <f>IF(A502&lt;&gt;"",SUMIFS(deployment!$F$4:$F$502, deployment!$D$4:$D$502,"="&amp;A502, deployment!$D$4:$D$502,"&lt;&gt;"&amp;""),"")</f>
        <v/>
      </c>
      <c r="H502" s="94" t="str">
        <f>IF(A502&lt;&gt;"",SUMIFS(deployment!$G$4:$G$502, deployment!$D$4:$D$502,"="&amp;A502, deployment!$D$4:$D$502,"&lt;&gt;"&amp;""),"")</f>
        <v/>
      </c>
      <c r="I502" s="95" t="str">
        <f>IF(A502&lt;&gt;"",SUMIFS(deployment!$H$4:$H$502, deployment!$D$4:$D$502,"="&amp;A502, deployment!$D$4:$D$502,"&lt;&gt;"&amp;""),"")</f>
        <v/>
      </c>
      <c r="J502" s="96" t="str">
        <f>IF(A502&lt;&gt;"",SUMIFS(deployment!$I$4:$I$502, deployment!$D$4:$D$502,"="&amp;A502, deployment!$D$4:$D$502,"&lt;&gt;"&amp;""),"")</f>
        <v/>
      </c>
      <c r="K502" s="112" t="str">
        <f>IF(A502&lt;&gt;"",SUMIFS(deployment!$J$4:$J$502, deployment!$D$4:$D$502,"="&amp;A502, deployment!$D$4:$D$502,"&lt;&gt;"&amp;""),"")</f>
        <v/>
      </c>
      <c r="L502" s="112" t="str">
        <f>IF(A502&lt;&gt;"",SUMIFS(deployment!$K$4:$K$502, deployment!$D$4:$D$502,"="&amp;A502, deployment!$D$4:$D$502,"&lt;&gt;"&amp;""),"")</f>
        <v/>
      </c>
      <c r="M502" s="97" t="str">
        <f>IF(A502&lt;&gt;"",SUMIFS(deployment!$L$4:$L$502, deployment!$D$4:$D$502,"="&amp;A502, deployment!$D$4:$D$502,"&lt;&gt;"&amp;""),"")</f>
        <v/>
      </c>
      <c r="N502" s="97" t="str">
        <f>IF(A502&lt;&gt;"",SUMIFS(deployment!$M$4:$M$502, deployment!$D$4:$D$502,"="&amp;A502, deployment!$D$4:$D$502,"&lt;&gt;"&amp;""),"")</f>
        <v/>
      </c>
      <c r="O502" s="127" t="str">
        <f t="shared" si="95"/>
        <v/>
      </c>
      <c r="P502" s="104"/>
      <c r="Q502" s="99" t="str">
        <f t="shared" si="84"/>
        <v/>
      </c>
      <c r="R502" s="100" t="str">
        <f t="shared" si="85"/>
        <v/>
      </c>
      <c r="S502" s="100" t="str">
        <f t="shared" si="86"/>
        <v/>
      </c>
      <c r="T502" s="101" t="str">
        <f t="shared" si="87"/>
        <v/>
      </c>
      <c r="U502" s="101" t="str">
        <f t="shared" si="88"/>
        <v/>
      </c>
      <c r="V502" s="128" t="str">
        <f t="shared" si="89"/>
        <v/>
      </c>
      <c r="W502" s="128" t="str">
        <f t="shared" si="90"/>
        <v/>
      </c>
      <c r="X502" s="101" t="str">
        <f t="shared" si="91"/>
        <v/>
      </c>
      <c r="Y502" s="101" t="str">
        <f t="shared" si="92"/>
        <v/>
      </c>
      <c r="Z502" s="102" t="str">
        <f t="shared" si="93"/>
        <v/>
      </c>
      <c r="AA502" s="103" t="str">
        <f t="shared" si="94"/>
        <v/>
      </c>
      <c r="AB502" s="142" t="str">
        <f>IF(A502&lt;&gt;"", SUMIFS(node!$J$2:$J$500, node!$C$2:$C$500,"="&amp;A502)/P502, "")</f>
        <v/>
      </c>
      <c r="AC502" s="134" t="str">
        <f>IF(A502&lt;&gt;"", SUMIFS(node!$K$2:$K$500, node!$C$2:$C$500,"="&amp;A502)/P502, "")</f>
        <v/>
      </c>
      <c r="AD502" s="135" t="str">
        <f>IF(A502&lt;&gt;"", SUMIFS(node!$L$2:$L$500, node!$C$2:$C$500,"="&amp;A502), "")</f>
        <v/>
      </c>
      <c r="AE502" s="146" t="str">
        <f>IF(A502&lt;&gt;"",SUMIFS(node!$M$2:$M$500, node!$C$2:$C$500,"="&amp;A502, deployment!$C$4:$C$502,"&lt;&gt;"&amp;""),"")</f>
        <v/>
      </c>
    </row>
    <row r="503" spans="1:31" ht="15.75" customHeight="1" x14ac:dyDescent="0.25"/>
    <row r="504" spans="1:31" ht="15.75" customHeight="1" x14ac:dyDescent="0.25"/>
    <row r="505" spans="1:31" ht="15.75" customHeight="1" x14ac:dyDescent="0.25"/>
    <row r="506" spans="1:31" ht="15.75" customHeight="1" x14ac:dyDescent="0.25"/>
    <row r="507" spans="1:31" ht="15.75" customHeight="1" x14ac:dyDescent="0.25"/>
    <row r="508" spans="1:31" ht="15.75" customHeight="1" x14ac:dyDescent="0.25"/>
    <row r="509" spans="1:31" ht="15.75" customHeight="1" x14ac:dyDescent="0.25"/>
    <row r="510" spans="1:31" ht="15.75" customHeight="1" x14ac:dyDescent="0.25"/>
    <row r="511" spans="1:31" ht="15.75" customHeight="1" x14ac:dyDescent="0.25"/>
    <row r="512" spans="1:31"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sheetData>
  <mergeCells count="1">
    <mergeCell ref="A1:A2"/>
  </mergeCells>
  <dataValidations count="2">
    <dataValidation showInputMessage="1" showErrorMessage="1" sqref="P4:Q11" xr:uid="{5E3503F7-1E73-43A7-B7D4-B79E5891E0C7}"/>
    <dataValidation type="list" allowBlank="1" showInputMessage="1" showErrorMessage="1" sqref="B2:C2" xr:uid="{D4F0211F-EA78-4C2D-93DC-38FA61F367A9}">
      <formula1>"30%,40%,50%,55%,60%,65%,70%,75%,80%,85%,90%,95%"</formula1>
    </dataValidation>
  </dataValidations>
  <pageMargins left="0.7" right="0.7" top="0.75" bottom="0.75" header="0" footer="0"/>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5"/>
  <sheetViews>
    <sheetView workbookViewId="0">
      <selection activeCell="G6" sqref="G6"/>
    </sheetView>
  </sheetViews>
  <sheetFormatPr defaultRowHeight="15" x14ac:dyDescent="0.25"/>
  <cols>
    <col min="1" max="1" width="13.140625" bestFit="1" customWidth="1"/>
    <col min="2" max="3" width="11.140625" bestFit="1" customWidth="1"/>
    <col min="4" max="4" width="12" bestFit="1" customWidth="1"/>
    <col min="5" max="5" width="11.140625" bestFit="1" customWidth="1"/>
    <col min="6" max="6" width="12" bestFit="1" customWidth="1"/>
    <col min="7" max="8" width="11.140625" bestFit="1" customWidth="1"/>
    <col min="9" max="10" width="14.7109375" bestFit="1" customWidth="1"/>
  </cols>
  <sheetData>
    <row r="1" spans="1:10" x14ac:dyDescent="0.25">
      <c r="A1" t="s">
        <v>13</v>
      </c>
      <c r="B1" t="s">
        <v>14</v>
      </c>
      <c r="C1" t="s">
        <v>15</v>
      </c>
      <c r="D1" t="s">
        <v>16</v>
      </c>
      <c r="E1" t="s">
        <v>17</v>
      </c>
      <c r="F1" t="s">
        <v>18</v>
      </c>
      <c r="G1" t="s">
        <v>19</v>
      </c>
      <c r="H1" t="s">
        <v>20</v>
      </c>
      <c r="I1" t="s">
        <v>21</v>
      </c>
      <c r="J1" t="s">
        <v>22</v>
      </c>
    </row>
    <row r="2" spans="1:10" x14ac:dyDescent="0.25">
      <c r="A2" t="s">
        <v>86</v>
      </c>
      <c r="B2" t="s">
        <v>3</v>
      </c>
      <c r="C2">
        <v>8000</v>
      </c>
      <c r="D2">
        <v>33462550528</v>
      </c>
      <c r="E2">
        <v>6974</v>
      </c>
      <c r="F2">
        <v>11479810048</v>
      </c>
      <c r="G2" t="s">
        <v>87</v>
      </c>
      <c r="H2" t="s">
        <v>88</v>
      </c>
      <c r="I2" t="s">
        <v>89</v>
      </c>
      <c r="J2" t="s">
        <v>90</v>
      </c>
    </row>
    <row r="3" spans="1:10" x14ac:dyDescent="0.25">
      <c r="A3" t="s">
        <v>91</v>
      </c>
      <c r="B3" t="s">
        <v>3</v>
      </c>
      <c r="C3">
        <v>4000</v>
      </c>
      <c r="D3">
        <v>16552812544</v>
      </c>
      <c r="E3">
        <v>2794</v>
      </c>
      <c r="F3">
        <v>4951375872</v>
      </c>
      <c r="G3" t="s">
        <v>92</v>
      </c>
      <c r="H3" t="s">
        <v>93</v>
      </c>
      <c r="I3" t="s">
        <v>94</v>
      </c>
      <c r="J3" t="s">
        <v>95</v>
      </c>
    </row>
    <row r="4" spans="1:10" x14ac:dyDescent="0.25">
      <c r="A4" t="s">
        <v>96</v>
      </c>
      <c r="B4" t="s">
        <v>3</v>
      </c>
      <c r="C4">
        <v>4000</v>
      </c>
      <c r="D4">
        <v>16552812544</v>
      </c>
      <c r="E4">
        <v>442</v>
      </c>
      <c r="F4">
        <v>4497342464</v>
      </c>
      <c r="G4" t="s">
        <v>97</v>
      </c>
      <c r="H4" t="s">
        <v>98</v>
      </c>
      <c r="I4" t="s">
        <v>99</v>
      </c>
      <c r="J4" t="s">
        <v>100</v>
      </c>
    </row>
    <row r="5" spans="1:10" x14ac:dyDescent="0.25">
      <c r="A5" t="s">
        <v>101</v>
      </c>
      <c r="B5" t="s">
        <v>3</v>
      </c>
      <c r="C5">
        <v>4000</v>
      </c>
      <c r="D5">
        <v>16552812544</v>
      </c>
      <c r="E5">
        <v>2195</v>
      </c>
      <c r="F5">
        <v>13284409344</v>
      </c>
      <c r="G5" t="s">
        <v>102</v>
      </c>
      <c r="H5" t="s">
        <v>103</v>
      </c>
      <c r="I5" t="s">
        <v>104</v>
      </c>
      <c r="J5" t="s">
        <v>105</v>
      </c>
    </row>
  </sheetData>
  <phoneticPr fontId="17"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1:P51"/>
  <sheetViews>
    <sheetView workbookViewId="0">
      <selection sqref="A1:O51"/>
    </sheetView>
  </sheetViews>
  <sheetFormatPr defaultRowHeight="15" x14ac:dyDescent="0.25"/>
  <cols>
    <col min="1" max="1" width="54.28515625" bestFit="1" customWidth="1"/>
    <col min="2" max="2" width="11.85546875" bestFit="1" customWidth="1"/>
    <col min="3" max="3" width="17.42578125" bestFit="1" customWidth="1"/>
    <col min="4" max="9" width="11.140625" bestFit="1" customWidth="1"/>
    <col min="10" max="13" width="12.140625" bestFit="1" customWidth="1"/>
    <col min="14" max="16" width="12.140625" customWidth="1"/>
  </cols>
  <sheetData>
    <row r="1" spans="1:16" x14ac:dyDescent="0.25">
      <c r="A1" t="s">
        <v>13</v>
      </c>
      <c r="B1" t="s">
        <v>14</v>
      </c>
      <c r="C1" t="s">
        <v>15</v>
      </c>
      <c r="D1" t="s">
        <v>16</v>
      </c>
      <c r="E1" t="s">
        <v>17</v>
      </c>
      <c r="F1" t="s">
        <v>18</v>
      </c>
      <c r="G1" t="s">
        <v>19</v>
      </c>
      <c r="H1" t="s">
        <v>20</v>
      </c>
      <c r="I1" t="s">
        <v>21</v>
      </c>
      <c r="J1" t="s">
        <v>22</v>
      </c>
      <c r="K1" t="s">
        <v>23</v>
      </c>
      <c r="L1" t="s">
        <v>24</v>
      </c>
      <c r="M1" t="s">
        <v>31</v>
      </c>
      <c r="N1" t="s">
        <v>69</v>
      </c>
      <c r="O1" t="s">
        <v>70</v>
      </c>
      <c r="P1" t="s">
        <v>83</v>
      </c>
    </row>
    <row r="2" spans="1:16" x14ac:dyDescent="0.25">
      <c r="A2" t="s">
        <v>106</v>
      </c>
      <c r="B2" t="s">
        <v>25</v>
      </c>
      <c r="C2" t="s">
        <v>107</v>
      </c>
      <c r="D2" t="s">
        <v>3</v>
      </c>
      <c r="E2">
        <v>1</v>
      </c>
      <c r="F2">
        <v>100</v>
      </c>
      <c r="G2">
        <v>134217728</v>
      </c>
      <c r="H2">
        <v>250</v>
      </c>
      <c r="I2">
        <v>268435456</v>
      </c>
      <c r="J2">
        <v>100</v>
      </c>
      <c r="K2">
        <v>134217728</v>
      </c>
      <c r="L2">
        <v>250</v>
      </c>
      <c r="M2">
        <v>268435456</v>
      </c>
      <c r="N2">
        <v>0</v>
      </c>
      <c r="O2">
        <v>0</v>
      </c>
      <c r="P2">
        <v>28</v>
      </c>
    </row>
    <row r="3" spans="1:16" x14ac:dyDescent="0.25">
      <c r="A3" t="s">
        <v>108</v>
      </c>
      <c r="B3" t="s">
        <v>25</v>
      </c>
      <c r="C3" t="s">
        <v>109</v>
      </c>
      <c r="D3" t="s">
        <v>3</v>
      </c>
      <c r="E3">
        <v>1</v>
      </c>
      <c r="F3">
        <v>100</v>
      </c>
      <c r="G3">
        <v>134217728</v>
      </c>
      <c r="H3">
        <v>500</v>
      </c>
      <c r="I3">
        <v>536870912</v>
      </c>
      <c r="J3">
        <v>100</v>
      </c>
      <c r="K3">
        <v>134217728</v>
      </c>
      <c r="L3">
        <v>500</v>
      </c>
      <c r="M3">
        <v>536870912</v>
      </c>
      <c r="N3">
        <v>0</v>
      </c>
      <c r="O3">
        <v>0</v>
      </c>
      <c r="P3">
        <v>28</v>
      </c>
    </row>
    <row r="4" spans="1:16" x14ac:dyDescent="0.25">
      <c r="A4" t="s">
        <v>110</v>
      </c>
      <c r="B4" t="s">
        <v>25</v>
      </c>
      <c r="C4" t="s">
        <v>109</v>
      </c>
      <c r="D4" t="s">
        <v>3</v>
      </c>
      <c r="E4">
        <v>1</v>
      </c>
      <c r="F4">
        <v>0</v>
      </c>
      <c r="G4">
        <v>0</v>
      </c>
      <c r="H4">
        <v>0</v>
      </c>
      <c r="I4">
        <v>0</v>
      </c>
      <c r="J4">
        <v>0</v>
      </c>
      <c r="K4">
        <v>0</v>
      </c>
      <c r="L4">
        <v>0</v>
      </c>
      <c r="M4">
        <v>0</v>
      </c>
      <c r="N4">
        <v>0</v>
      </c>
      <c r="O4">
        <v>0</v>
      </c>
      <c r="P4">
        <v>28</v>
      </c>
    </row>
    <row r="5" spans="1:16" x14ac:dyDescent="0.25">
      <c r="A5" t="s">
        <v>111</v>
      </c>
      <c r="B5" t="s">
        <v>25</v>
      </c>
      <c r="C5" t="s">
        <v>109</v>
      </c>
      <c r="D5" t="s">
        <v>3</v>
      </c>
      <c r="E5">
        <v>1</v>
      </c>
      <c r="F5">
        <v>0</v>
      </c>
      <c r="G5">
        <v>0</v>
      </c>
      <c r="H5">
        <v>0</v>
      </c>
      <c r="I5">
        <v>0</v>
      </c>
      <c r="J5">
        <v>0</v>
      </c>
      <c r="K5">
        <v>0</v>
      </c>
      <c r="L5">
        <v>0</v>
      </c>
      <c r="M5">
        <v>0</v>
      </c>
      <c r="N5">
        <v>0</v>
      </c>
      <c r="O5">
        <v>0</v>
      </c>
      <c r="P5">
        <v>28</v>
      </c>
    </row>
    <row r="6" spans="1:16" x14ac:dyDescent="0.25">
      <c r="A6" t="s">
        <v>112</v>
      </c>
      <c r="B6" t="s">
        <v>25</v>
      </c>
      <c r="C6" t="s">
        <v>61</v>
      </c>
      <c r="D6" t="s">
        <v>3</v>
      </c>
      <c r="E6">
        <v>1</v>
      </c>
      <c r="F6">
        <v>0</v>
      </c>
      <c r="G6">
        <v>0</v>
      </c>
      <c r="H6">
        <v>0</v>
      </c>
      <c r="I6">
        <v>0</v>
      </c>
      <c r="J6">
        <v>0</v>
      </c>
      <c r="K6">
        <v>0</v>
      </c>
      <c r="L6">
        <v>0</v>
      </c>
      <c r="M6">
        <v>0</v>
      </c>
      <c r="N6">
        <v>0</v>
      </c>
      <c r="O6">
        <v>0</v>
      </c>
      <c r="P6">
        <v>28</v>
      </c>
    </row>
    <row r="7" spans="1:16" x14ac:dyDescent="0.25">
      <c r="A7" t="s">
        <v>68</v>
      </c>
      <c r="B7" t="s">
        <v>25</v>
      </c>
      <c r="C7" t="s">
        <v>61</v>
      </c>
      <c r="D7" t="s">
        <v>3</v>
      </c>
      <c r="E7">
        <v>2</v>
      </c>
      <c r="F7">
        <v>100</v>
      </c>
      <c r="G7">
        <v>73400320</v>
      </c>
      <c r="H7">
        <v>0</v>
      </c>
      <c r="I7">
        <v>178257920</v>
      </c>
      <c r="J7">
        <v>100</v>
      </c>
      <c r="K7">
        <v>73400320</v>
      </c>
      <c r="L7">
        <v>0</v>
      </c>
      <c r="M7">
        <v>178257920</v>
      </c>
      <c r="N7">
        <v>0</v>
      </c>
      <c r="O7">
        <v>0</v>
      </c>
      <c r="P7">
        <v>28</v>
      </c>
    </row>
    <row r="8" spans="1:16" x14ac:dyDescent="0.25">
      <c r="A8" t="s">
        <v>113</v>
      </c>
      <c r="B8" t="s">
        <v>25</v>
      </c>
      <c r="C8" t="s">
        <v>61</v>
      </c>
      <c r="D8" t="s">
        <v>3</v>
      </c>
      <c r="E8">
        <v>1</v>
      </c>
      <c r="F8">
        <v>0</v>
      </c>
      <c r="G8">
        <v>0</v>
      </c>
      <c r="H8">
        <v>0</v>
      </c>
      <c r="I8">
        <v>0</v>
      </c>
      <c r="J8">
        <v>0</v>
      </c>
      <c r="K8">
        <v>0</v>
      </c>
      <c r="L8">
        <v>0</v>
      </c>
      <c r="M8">
        <v>0</v>
      </c>
      <c r="N8">
        <v>0</v>
      </c>
      <c r="O8">
        <v>0</v>
      </c>
      <c r="P8">
        <v>28</v>
      </c>
    </row>
    <row r="9" spans="1:16" x14ac:dyDescent="0.25">
      <c r="A9" t="s">
        <v>114</v>
      </c>
      <c r="B9" t="s">
        <v>25</v>
      </c>
      <c r="C9" t="s">
        <v>115</v>
      </c>
      <c r="D9" t="s">
        <v>3</v>
      </c>
      <c r="E9">
        <v>1</v>
      </c>
      <c r="F9">
        <v>0</v>
      </c>
      <c r="G9">
        <v>0</v>
      </c>
      <c r="H9">
        <v>0</v>
      </c>
      <c r="I9">
        <v>0</v>
      </c>
      <c r="J9">
        <v>0</v>
      </c>
      <c r="K9">
        <v>0</v>
      </c>
      <c r="L9">
        <v>0</v>
      </c>
      <c r="M9">
        <v>0</v>
      </c>
      <c r="N9">
        <v>0</v>
      </c>
      <c r="O9">
        <v>0</v>
      </c>
      <c r="P9">
        <v>28</v>
      </c>
    </row>
    <row r="10" spans="1:16" x14ac:dyDescent="0.25">
      <c r="A10" t="s">
        <v>116</v>
      </c>
      <c r="B10" t="s">
        <v>25</v>
      </c>
      <c r="C10" t="s">
        <v>62</v>
      </c>
      <c r="D10" t="s">
        <v>3</v>
      </c>
      <c r="E10">
        <v>1</v>
      </c>
      <c r="F10">
        <v>0</v>
      </c>
      <c r="G10">
        <v>0</v>
      </c>
      <c r="H10">
        <v>0</v>
      </c>
      <c r="I10">
        <v>0</v>
      </c>
      <c r="J10">
        <v>0</v>
      </c>
      <c r="K10">
        <v>0</v>
      </c>
      <c r="L10">
        <v>0</v>
      </c>
      <c r="M10">
        <v>0</v>
      </c>
      <c r="N10">
        <v>0</v>
      </c>
      <c r="O10">
        <v>0</v>
      </c>
      <c r="P10">
        <v>28</v>
      </c>
    </row>
    <row r="11" spans="1:16" x14ac:dyDescent="0.25">
      <c r="A11" t="s">
        <v>117</v>
      </c>
      <c r="B11" t="s">
        <v>25</v>
      </c>
      <c r="C11" t="s">
        <v>62</v>
      </c>
      <c r="D11" t="s">
        <v>3</v>
      </c>
      <c r="E11">
        <v>1</v>
      </c>
      <c r="F11">
        <v>0</v>
      </c>
      <c r="G11">
        <v>0</v>
      </c>
      <c r="H11">
        <v>0</v>
      </c>
      <c r="I11">
        <v>0</v>
      </c>
      <c r="J11">
        <v>0</v>
      </c>
      <c r="K11">
        <v>0</v>
      </c>
      <c r="L11">
        <v>0</v>
      </c>
      <c r="M11">
        <v>0</v>
      </c>
      <c r="N11">
        <v>0</v>
      </c>
      <c r="O11">
        <v>0</v>
      </c>
      <c r="P11">
        <v>28</v>
      </c>
    </row>
    <row r="12" spans="1:16" x14ac:dyDescent="0.25">
      <c r="A12" t="s">
        <v>118</v>
      </c>
      <c r="B12" t="s">
        <v>25</v>
      </c>
      <c r="C12" t="s">
        <v>62</v>
      </c>
      <c r="D12" t="s">
        <v>3</v>
      </c>
      <c r="E12">
        <v>1</v>
      </c>
      <c r="F12">
        <v>0</v>
      </c>
      <c r="G12">
        <v>0</v>
      </c>
      <c r="H12">
        <v>0</v>
      </c>
      <c r="I12">
        <v>0</v>
      </c>
      <c r="J12">
        <v>0</v>
      </c>
      <c r="K12">
        <v>0</v>
      </c>
      <c r="L12">
        <v>0</v>
      </c>
      <c r="M12">
        <v>0</v>
      </c>
      <c r="N12">
        <v>0</v>
      </c>
      <c r="O12">
        <v>0</v>
      </c>
      <c r="P12">
        <v>28</v>
      </c>
    </row>
    <row r="13" spans="1:16" x14ac:dyDescent="0.25">
      <c r="A13" t="s">
        <v>119</v>
      </c>
      <c r="B13" t="s">
        <v>25</v>
      </c>
      <c r="C13" t="s">
        <v>120</v>
      </c>
      <c r="D13" t="s">
        <v>3</v>
      </c>
      <c r="E13">
        <v>1</v>
      </c>
      <c r="F13">
        <v>100</v>
      </c>
      <c r="G13">
        <v>524288000</v>
      </c>
      <c r="H13">
        <v>100</v>
      </c>
      <c r="I13">
        <v>524288000</v>
      </c>
      <c r="J13">
        <v>100</v>
      </c>
      <c r="K13">
        <v>524288000</v>
      </c>
      <c r="L13">
        <v>100</v>
      </c>
      <c r="M13">
        <v>524288000</v>
      </c>
      <c r="N13">
        <v>0</v>
      </c>
      <c r="O13">
        <v>0</v>
      </c>
      <c r="P13">
        <v>28</v>
      </c>
    </row>
    <row r="14" spans="1:16" x14ac:dyDescent="0.25">
      <c r="A14" t="s">
        <v>121</v>
      </c>
      <c r="B14" t="s">
        <v>25</v>
      </c>
      <c r="C14" t="s">
        <v>120</v>
      </c>
      <c r="D14" t="s">
        <v>3</v>
      </c>
      <c r="E14">
        <v>1</v>
      </c>
      <c r="F14">
        <v>0</v>
      </c>
      <c r="G14">
        <v>0</v>
      </c>
      <c r="H14">
        <v>0</v>
      </c>
      <c r="I14">
        <v>0</v>
      </c>
      <c r="J14">
        <v>0</v>
      </c>
      <c r="K14">
        <v>0</v>
      </c>
      <c r="L14">
        <v>0</v>
      </c>
      <c r="M14">
        <v>0</v>
      </c>
      <c r="N14">
        <v>0</v>
      </c>
      <c r="O14">
        <v>0</v>
      </c>
      <c r="P14">
        <v>28</v>
      </c>
    </row>
    <row r="15" spans="1:16" x14ac:dyDescent="0.25">
      <c r="A15" t="s">
        <v>122</v>
      </c>
      <c r="B15" t="s">
        <v>25</v>
      </c>
      <c r="C15" t="s">
        <v>120</v>
      </c>
      <c r="D15" t="s">
        <v>3</v>
      </c>
      <c r="E15">
        <v>1</v>
      </c>
      <c r="F15">
        <v>0</v>
      </c>
      <c r="G15">
        <v>0</v>
      </c>
      <c r="H15">
        <v>0</v>
      </c>
      <c r="I15">
        <v>0</v>
      </c>
      <c r="J15">
        <v>0</v>
      </c>
      <c r="K15">
        <v>0</v>
      </c>
      <c r="L15">
        <v>0</v>
      </c>
      <c r="M15">
        <v>0</v>
      </c>
      <c r="N15">
        <v>0</v>
      </c>
      <c r="O15">
        <v>0</v>
      </c>
      <c r="P15">
        <v>28</v>
      </c>
    </row>
    <row r="16" spans="1:16" x14ac:dyDescent="0.25">
      <c r="A16" t="s">
        <v>123</v>
      </c>
      <c r="B16" t="s">
        <v>25</v>
      </c>
      <c r="C16" t="s">
        <v>120</v>
      </c>
      <c r="D16" t="s">
        <v>3</v>
      </c>
      <c r="E16">
        <v>1</v>
      </c>
      <c r="F16">
        <v>0</v>
      </c>
      <c r="G16">
        <v>0</v>
      </c>
      <c r="H16">
        <v>0</v>
      </c>
      <c r="I16">
        <v>0</v>
      </c>
      <c r="J16">
        <v>0</v>
      </c>
      <c r="K16">
        <v>0</v>
      </c>
      <c r="L16">
        <v>0</v>
      </c>
      <c r="M16">
        <v>0</v>
      </c>
      <c r="N16">
        <v>0</v>
      </c>
      <c r="O16">
        <v>0</v>
      </c>
      <c r="P16">
        <v>28</v>
      </c>
    </row>
    <row r="17" spans="1:16" x14ac:dyDescent="0.25">
      <c r="A17" t="s">
        <v>124</v>
      </c>
      <c r="B17" t="s">
        <v>25</v>
      </c>
      <c r="C17" t="s">
        <v>120</v>
      </c>
      <c r="D17" t="s">
        <v>3</v>
      </c>
      <c r="E17">
        <v>1</v>
      </c>
      <c r="F17">
        <v>200</v>
      </c>
      <c r="G17">
        <v>268435456</v>
      </c>
      <c r="H17">
        <v>1000</v>
      </c>
      <c r="I17">
        <v>268435456</v>
      </c>
      <c r="J17">
        <v>200</v>
      </c>
      <c r="K17">
        <v>268435456</v>
      </c>
      <c r="L17">
        <v>1000</v>
      </c>
      <c r="M17">
        <v>268435456</v>
      </c>
      <c r="N17">
        <v>0</v>
      </c>
      <c r="O17">
        <v>0</v>
      </c>
      <c r="P17">
        <v>28</v>
      </c>
    </row>
    <row r="18" spans="1:16" x14ac:dyDescent="0.25">
      <c r="A18" t="s">
        <v>108</v>
      </c>
      <c r="B18" t="s">
        <v>25</v>
      </c>
      <c r="C18" t="s">
        <v>125</v>
      </c>
      <c r="D18" t="s">
        <v>3</v>
      </c>
      <c r="E18">
        <v>1</v>
      </c>
      <c r="F18">
        <v>100</v>
      </c>
      <c r="G18">
        <v>134217728</v>
      </c>
      <c r="H18">
        <v>500</v>
      </c>
      <c r="I18">
        <v>536870912</v>
      </c>
      <c r="J18">
        <v>100</v>
      </c>
      <c r="K18">
        <v>134217728</v>
      </c>
      <c r="L18">
        <v>500</v>
      </c>
      <c r="M18">
        <v>536870912</v>
      </c>
      <c r="N18">
        <v>0</v>
      </c>
      <c r="O18">
        <v>0</v>
      </c>
      <c r="P18">
        <v>28</v>
      </c>
    </row>
    <row r="19" spans="1:16" x14ac:dyDescent="0.25">
      <c r="A19" t="s">
        <v>126</v>
      </c>
      <c r="B19" t="s">
        <v>25</v>
      </c>
      <c r="C19" t="s">
        <v>127</v>
      </c>
      <c r="D19" t="s">
        <v>3</v>
      </c>
      <c r="E19">
        <v>1</v>
      </c>
      <c r="F19">
        <v>200</v>
      </c>
      <c r="G19">
        <v>104857600</v>
      </c>
      <c r="H19">
        <v>2000</v>
      </c>
      <c r="I19">
        <v>268435456</v>
      </c>
      <c r="J19">
        <v>1100</v>
      </c>
      <c r="K19">
        <v>100663296</v>
      </c>
      <c r="L19">
        <v>1700</v>
      </c>
      <c r="M19">
        <v>117440512</v>
      </c>
      <c r="N19">
        <v>916</v>
      </c>
      <c r="O19">
        <v>98351104</v>
      </c>
      <c r="P19">
        <v>28</v>
      </c>
    </row>
    <row r="20" spans="1:16" x14ac:dyDescent="0.25">
      <c r="A20" t="s">
        <v>128</v>
      </c>
      <c r="B20" t="s">
        <v>25</v>
      </c>
      <c r="C20" t="s">
        <v>127</v>
      </c>
      <c r="D20" t="s">
        <v>3</v>
      </c>
      <c r="E20">
        <v>1</v>
      </c>
      <c r="F20">
        <v>200</v>
      </c>
      <c r="G20">
        <v>104857600</v>
      </c>
      <c r="H20">
        <v>2200</v>
      </c>
      <c r="I20">
        <v>268435456</v>
      </c>
      <c r="J20">
        <v>1100</v>
      </c>
      <c r="K20">
        <v>117440512</v>
      </c>
      <c r="L20">
        <v>1700</v>
      </c>
      <c r="M20">
        <v>117440512</v>
      </c>
      <c r="N20">
        <v>908</v>
      </c>
      <c r="O20">
        <v>107806720</v>
      </c>
      <c r="P20">
        <v>28</v>
      </c>
    </row>
    <row r="21" spans="1:16" x14ac:dyDescent="0.25">
      <c r="A21" t="s">
        <v>129</v>
      </c>
      <c r="B21" t="s">
        <v>25</v>
      </c>
      <c r="C21" t="s">
        <v>127</v>
      </c>
      <c r="D21" t="s">
        <v>3</v>
      </c>
      <c r="E21">
        <v>1</v>
      </c>
      <c r="F21">
        <v>50</v>
      </c>
      <c r="G21">
        <v>104857600</v>
      </c>
      <c r="H21">
        <v>200</v>
      </c>
      <c r="I21">
        <v>104857600</v>
      </c>
      <c r="J21">
        <v>10</v>
      </c>
      <c r="K21">
        <v>33554432</v>
      </c>
      <c r="L21">
        <v>10</v>
      </c>
      <c r="M21">
        <v>33554432</v>
      </c>
      <c r="N21">
        <v>5</v>
      </c>
      <c r="O21">
        <v>29597696</v>
      </c>
      <c r="P21">
        <v>28</v>
      </c>
    </row>
    <row r="22" spans="1:16" x14ac:dyDescent="0.25">
      <c r="A22" t="s">
        <v>130</v>
      </c>
      <c r="B22" t="s">
        <v>25</v>
      </c>
      <c r="C22" t="s">
        <v>127</v>
      </c>
      <c r="D22" t="s">
        <v>3</v>
      </c>
      <c r="E22">
        <v>1</v>
      </c>
      <c r="F22">
        <v>100</v>
      </c>
      <c r="G22">
        <v>94371840</v>
      </c>
      <c r="H22">
        <v>0</v>
      </c>
      <c r="I22">
        <v>0</v>
      </c>
      <c r="J22">
        <v>1300</v>
      </c>
      <c r="K22">
        <v>201326592</v>
      </c>
      <c r="L22">
        <v>1800</v>
      </c>
      <c r="M22">
        <v>268435456</v>
      </c>
      <c r="N22">
        <v>1157</v>
      </c>
      <c r="O22">
        <v>189681664</v>
      </c>
      <c r="P22">
        <v>28</v>
      </c>
    </row>
    <row r="23" spans="1:16" x14ac:dyDescent="0.25">
      <c r="A23" t="s">
        <v>131</v>
      </c>
      <c r="B23" t="s">
        <v>25</v>
      </c>
      <c r="C23" t="s">
        <v>127</v>
      </c>
      <c r="D23" t="s">
        <v>3</v>
      </c>
      <c r="E23">
        <v>1</v>
      </c>
      <c r="F23">
        <v>0</v>
      </c>
      <c r="G23">
        <v>0</v>
      </c>
      <c r="H23">
        <v>0</v>
      </c>
      <c r="I23">
        <v>0</v>
      </c>
      <c r="J23">
        <v>10</v>
      </c>
      <c r="K23">
        <v>33554432</v>
      </c>
      <c r="L23">
        <v>10</v>
      </c>
      <c r="M23">
        <v>33554432</v>
      </c>
      <c r="N23">
        <v>1</v>
      </c>
      <c r="O23">
        <v>22196224</v>
      </c>
      <c r="P23">
        <v>28</v>
      </c>
    </row>
    <row r="24" spans="1:16" x14ac:dyDescent="0.25">
      <c r="A24" t="s">
        <v>132</v>
      </c>
      <c r="B24" t="s">
        <v>25</v>
      </c>
      <c r="C24" t="s">
        <v>127</v>
      </c>
      <c r="D24" t="s">
        <v>3</v>
      </c>
      <c r="E24">
        <v>1</v>
      </c>
      <c r="F24">
        <v>200</v>
      </c>
      <c r="G24">
        <v>209715200</v>
      </c>
      <c r="H24">
        <v>1400</v>
      </c>
      <c r="I24">
        <v>536870912</v>
      </c>
      <c r="J24">
        <v>400</v>
      </c>
      <c r="K24">
        <v>201326592</v>
      </c>
      <c r="L24">
        <v>600</v>
      </c>
      <c r="M24">
        <v>268435456</v>
      </c>
      <c r="N24">
        <v>348</v>
      </c>
      <c r="O24">
        <v>197382144</v>
      </c>
      <c r="P24">
        <v>28</v>
      </c>
    </row>
    <row r="25" spans="1:16" x14ac:dyDescent="0.25">
      <c r="A25" t="s">
        <v>133</v>
      </c>
      <c r="B25" t="s">
        <v>25</v>
      </c>
      <c r="C25" t="s">
        <v>127</v>
      </c>
      <c r="D25" t="s">
        <v>3</v>
      </c>
      <c r="E25">
        <v>1</v>
      </c>
      <c r="F25">
        <v>200</v>
      </c>
      <c r="G25">
        <v>1073741824</v>
      </c>
      <c r="H25">
        <v>400</v>
      </c>
      <c r="I25">
        <v>1073741824</v>
      </c>
      <c r="J25">
        <v>10</v>
      </c>
      <c r="K25">
        <v>402653184</v>
      </c>
      <c r="L25">
        <v>10</v>
      </c>
      <c r="M25">
        <v>469762048</v>
      </c>
      <c r="N25">
        <v>4</v>
      </c>
      <c r="O25">
        <v>369221632</v>
      </c>
      <c r="P25">
        <v>28</v>
      </c>
    </row>
    <row r="26" spans="1:16" x14ac:dyDescent="0.25">
      <c r="A26" t="s">
        <v>134</v>
      </c>
      <c r="B26" t="s">
        <v>25</v>
      </c>
      <c r="C26" t="s">
        <v>127</v>
      </c>
      <c r="D26" t="s">
        <v>3</v>
      </c>
      <c r="E26">
        <v>1</v>
      </c>
      <c r="F26">
        <v>0</v>
      </c>
      <c r="G26">
        <v>0</v>
      </c>
      <c r="H26">
        <v>0</v>
      </c>
      <c r="I26">
        <v>0</v>
      </c>
      <c r="J26">
        <v>10</v>
      </c>
      <c r="K26">
        <v>16777216</v>
      </c>
      <c r="L26">
        <v>10</v>
      </c>
      <c r="M26">
        <v>16777216</v>
      </c>
      <c r="N26">
        <v>4</v>
      </c>
      <c r="O26">
        <v>15126528</v>
      </c>
      <c r="P26">
        <v>28</v>
      </c>
    </row>
    <row r="27" spans="1:16" x14ac:dyDescent="0.25">
      <c r="A27" t="s">
        <v>135</v>
      </c>
      <c r="B27" t="s">
        <v>25</v>
      </c>
      <c r="C27" t="s">
        <v>127</v>
      </c>
      <c r="D27" t="s">
        <v>3</v>
      </c>
      <c r="E27">
        <v>1</v>
      </c>
      <c r="F27">
        <v>0</v>
      </c>
      <c r="G27">
        <v>0</v>
      </c>
      <c r="H27">
        <v>0</v>
      </c>
      <c r="I27">
        <v>0</v>
      </c>
      <c r="J27">
        <v>10</v>
      </c>
      <c r="K27">
        <v>16777216</v>
      </c>
      <c r="L27">
        <v>10</v>
      </c>
      <c r="M27">
        <v>33554432</v>
      </c>
      <c r="N27">
        <v>0</v>
      </c>
      <c r="O27">
        <v>16723968</v>
      </c>
      <c r="P27">
        <v>28</v>
      </c>
    </row>
    <row r="28" spans="1:16" x14ac:dyDescent="0.25">
      <c r="A28" t="s">
        <v>136</v>
      </c>
      <c r="B28" t="s">
        <v>25</v>
      </c>
      <c r="C28" t="s">
        <v>127</v>
      </c>
      <c r="D28" t="s">
        <v>3</v>
      </c>
      <c r="E28">
        <v>1</v>
      </c>
      <c r="F28">
        <v>200</v>
      </c>
      <c r="G28">
        <v>104857600</v>
      </c>
      <c r="H28">
        <v>3000</v>
      </c>
      <c r="I28">
        <v>524288000</v>
      </c>
      <c r="J28">
        <v>1200</v>
      </c>
      <c r="K28">
        <v>50331648</v>
      </c>
      <c r="L28">
        <v>1700</v>
      </c>
      <c r="M28">
        <v>67108864</v>
      </c>
      <c r="N28">
        <v>987</v>
      </c>
      <c r="O28">
        <v>47644672</v>
      </c>
      <c r="P28">
        <v>28</v>
      </c>
    </row>
    <row r="29" spans="1:16" x14ac:dyDescent="0.25">
      <c r="A29" t="s">
        <v>137</v>
      </c>
      <c r="B29" t="s">
        <v>25</v>
      </c>
      <c r="C29" t="s">
        <v>127</v>
      </c>
      <c r="D29" t="s">
        <v>3</v>
      </c>
      <c r="E29">
        <v>1</v>
      </c>
      <c r="F29">
        <v>100</v>
      </c>
      <c r="G29">
        <v>536870912</v>
      </c>
      <c r="H29">
        <v>150</v>
      </c>
      <c r="I29">
        <v>536870912</v>
      </c>
      <c r="J29">
        <v>30</v>
      </c>
      <c r="K29">
        <v>201326592</v>
      </c>
      <c r="L29">
        <v>40</v>
      </c>
      <c r="M29">
        <v>201326592</v>
      </c>
      <c r="N29">
        <v>30</v>
      </c>
      <c r="O29">
        <v>149200896</v>
      </c>
      <c r="P29">
        <v>28</v>
      </c>
    </row>
    <row r="30" spans="1:16" x14ac:dyDescent="0.25">
      <c r="A30" t="s">
        <v>138</v>
      </c>
      <c r="B30" t="s">
        <v>25</v>
      </c>
      <c r="C30" t="s">
        <v>127</v>
      </c>
      <c r="D30" t="s">
        <v>3</v>
      </c>
      <c r="E30">
        <v>1</v>
      </c>
      <c r="F30">
        <v>0</v>
      </c>
      <c r="G30">
        <v>0</v>
      </c>
      <c r="H30">
        <v>0</v>
      </c>
      <c r="I30">
        <v>0</v>
      </c>
      <c r="J30">
        <v>10</v>
      </c>
      <c r="K30">
        <v>16777216</v>
      </c>
      <c r="L30">
        <v>10</v>
      </c>
      <c r="M30">
        <v>16777216</v>
      </c>
      <c r="N30">
        <v>1</v>
      </c>
      <c r="O30">
        <v>11943936</v>
      </c>
      <c r="P30">
        <v>28</v>
      </c>
    </row>
    <row r="31" spans="1:16" x14ac:dyDescent="0.25">
      <c r="A31" t="s">
        <v>139</v>
      </c>
      <c r="B31" t="s">
        <v>25</v>
      </c>
      <c r="C31" t="s">
        <v>127</v>
      </c>
      <c r="D31" t="s">
        <v>3</v>
      </c>
      <c r="E31">
        <v>1</v>
      </c>
      <c r="F31">
        <v>50</v>
      </c>
      <c r="G31">
        <v>104857600</v>
      </c>
      <c r="H31">
        <v>100</v>
      </c>
      <c r="I31">
        <v>104857600</v>
      </c>
      <c r="J31">
        <v>10</v>
      </c>
      <c r="K31">
        <v>50331648</v>
      </c>
      <c r="L31">
        <v>10</v>
      </c>
      <c r="M31">
        <v>50331648</v>
      </c>
      <c r="N31">
        <v>2</v>
      </c>
      <c r="O31">
        <v>43638784</v>
      </c>
      <c r="P31">
        <v>28</v>
      </c>
    </row>
    <row r="32" spans="1:16" x14ac:dyDescent="0.25">
      <c r="A32" t="s">
        <v>140</v>
      </c>
      <c r="B32" t="s">
        <v>25</v>
      </c>
      <c r="C32" t="s">
        <v>127</v>
      </c>
      <c r="D32" t="s">
        <v>3</v>
      </c>
      <c r="E32">
        <v>1</v>
      </c>
      <c r="F32">
        <v>0</v>
      </c>
      <c r="G32">
        <v>0</v>
      </c>
      <c r="H32">
        <v>0</v>
      </c>
      <c r="I32">
        <v>0</v>
      </c>
      <c r="J32">
        <v>10</v>
      </c>
      <c r="K32">
        <v>33554432</v>
      </c>
      <c r="L32">
        <v>10</v>
      </c>
      <c r="M32">
        <v>33554432</v>
      </c>
      <c r="N32">
        <v>0</v>
      </c>
      <c r="O32">
        <v>21024768</v>
      </c>
      <c r="P32">
        <v>28</v>
      </c>
    </row>
    <row r="33" spans="1:16" x14ac:dyDescent="0.25">
      <c r="A33" t="s">
        <v>141</v>
      </c>
      <c r="B33" t="s">
        <v>25</v>
      </c>
      <c r="C33" t="s">
        <v>127</v>
      </c>
      <c r="D33" t="s">
        <v>3</v>
      </c>
      <c r="E33">
        <v>1</v>
      </c>
      <c r="F33">
        <v>200</v>
      </c>
      <c r="G33">
        <v>1048576000</v>
      </c>
      <c r="H33">
        <v>1000</v>
      </c>
      <c r="I33">
        <v>1048576000</v>
      </c>
      <c r="J33">
        <v>1100</v>
      </c>
      <c r="K33">
        <v>939524096</v>
      </c>
      <c r="L33">
        <v>1900</v>
      </c>
      <c r="M33">
        <v>1006632960</v>
      </c>
      <c r="N33">
        <v>974</v>
      </c>
      <c r="O33">
        <v>910002176</v>
      </c>
      <c r="P33">
        <v>28</v>
      </c>
    </row>
    <row r="34" spans="1:16" x14ac:dyDescent="0.25">
      <c r="A34" t="s">
        <v>142</v>
      </c>
      <c r="B34" t="s">
        <v>25</v>
      </c>
      <c r="C34" t="s">
        <v>127</v>
      </c>
      <c r="D34" t="s">
        <v>3</v>
      </c>
      <c r="E34">
        <v>1</v>
      </c>
      <c r="F34">
        <v>200</v>
      </c>
      <c r="G34">
        <v>104857600</v>
      </c>
      <c r="H34">
        <v>2000</v>
      </c>
      <c r="I34">
        <v>1073741824</v>
      </c>
      <c r="J34">
        <v>950</v>
      </c>
      <c r="K34">
        <v>117440512</v>
      </c>
      <c r="L34">
        <v>1600</v>
      </c>
      <c r="M34">
        <v>117440512</v>
      </c>
      <c r="N34">
        <v>895</v>
      </c>
      <c r="O34">
        <v>108273664</v>
      </c>
      <c r="P34">
        <v>28</v>
      </c>
    </row>
    <row r="35" spans="1:16" x14ac:dyDescent="0.25">
      <c r="A35" t="s">
        <v>143</v>
      </c>
      <c r="B35" t="s">
        <v>25</v>
      </c>
      <c r="C35" t="s">
        <v>127</v>
      </c>
      <c r="D35" t="s">
        <v>3</v>
      </c>
      <c r="E35">
        <v>1</v>
      </c>
      <c r="F35">
        <v>200</v>
      </c>
      <c r="G35">
        <v>104857600</v>
      </c>
      <c r="H35">
        <v>2000</v>
      </c>
      <c r="I35">
        <v>1073741824</v>
      </c>
      <c r="J35">
        <v>1100</v>
      </c>
      <c r="K35">
        <v>83886080</v>
      </c>
      <c r="L35">
        <v>1600</v>
      </c>
      <c r="M35">
        <v>100663296</v>
      </c>
      <c r="N35">
        <v>891</v>
      </c>
      <c r="O35">
        <v>77168640</v>
      </c>
      <c r="P35">
        <v>28</v>
      </c>
    </row>
    <row r="36" spans="1:16" x14ac:dyDescent="0.25">
      <c r="A36" t="s">
        <v>144</v>
      </c>
      <c r="B36" t="s">
        <v>25</v>
      </c>
      <c r="C36" t="s">
        <v>145</v>
      </c>
      <c r="D36" t="s">
        <v>3</v>
      </c>
      <c r="E36">
        <v>1</v>
      </c>
      <c r="F36">
        <v>0</v>
      </c>
      <c r="G36">
        <v>0</v>
      </c>
      <c r="H36">
        <v>0</v>
      </c>
      <c r="I36">
        <v>0</v>
      </c>
      <c r="J36">
        <v>0</v>
      </c>
      <c r="K36">
        <v>0</v>
      </c>
      <c r="L36">
        <v>0</v>
      </c>
      <c r="M36">
        <v>0</v>
      </c>
      <c r="N36">
        <v>0</v>
      </c>
      <c r="O36">
        <v>0</v>
      </c>
      <c r="P36">
        <v>28</v>
      </c>
    </row>
    <row r="37" spans="1:16" x14ac:dyDescent="0.25">
      <c r="A37" t="s">
        <v>146</v>
      </c>
      <c r="B37" t="s">
        <v>25</v>
      </c>
      <c r="C37" t="s">
        <v>145</v>
      </c>
      <c r="D37" t="s">
        <v>3</v>
      </c>
      <c r="E37">
        <v>1</v>
      </c>
      <c r="F37">
        <v>0</v>
      </c>
      <c r="G37">
        <v>0</v>
      </c>
      <c r="H37">
        <v>0</v>
      </c>
      <c r="I37">
        <v>0</v>
      </c>
      <c r="J37">
        <v>0</v>
      </c>
      <c r="K37">
        <v>0</v>
      </c>
      <c r="L37">
        <v>0</v>
      </c>
      <c r="M37">
        <v>0</v>
      </c>
      <c r="N37">
        <v>0</v>
      </c>
      <c r="O37">
        <v>0</v>
      </c>
      <c r="P37">
        <v>28</v>
      </c>
    </row>
    <row r="38" spans="1:16" x14ac:dyDescent="0.25">
      <c r="A38" t="s">
        <v>147</v>
      </c>
      <c r="B38" t="s">
        <v>25</v>
      </c>
      <c r="C38" t="s">
        <v>148</v>
      </c>
      <c r="D38" t="s">
        <v>3</v>
      </c>
      <c r="E38">
        <v>1</v>
      </c>
      <c r="F38">
        <v>0</v>
      </c>
      <c r="G38">
        <v>0</v>
      </c>
      <c r="H38">
        <v>0</v>
      </c>
      <c r="I38">
        <v>0</v>
      </c>
      <c r="J38">
        <v>0</v>
      </c>
      <c r="K38">
        <v>0</v>
      </c>
      <c r="L38">
        <v>0</v>
      </c>
      <c r="M38">
        <v>0</v>
      </c>
      <c r="N38">
        <v>0</v>
      </c>
      <c r="O38">
        <v>0</v>
      </c>
      <c r="P38">
        <v>28</v>
      </c>
    </row>
    <row r="39" spans="1:16" x14ac:dyDescent="0.25">
      <c r="A39" t="s">
        <v>149</v>
      </c>
      <c r="B39" t="s">
        <v>25</v>
      </c>
      <c r="C39" t="s">
        <v>150</v>
      </c>
      <c r="D39" t="s">
        <v>3</v>
      </c>
      <c r="E39">
        <v>4</v>
      </c>
      <c r="F39">
        <v>100</v>
      </c>
      <c r="G39">
        <v>104857600</v>
      </c>
      <c r="H39">
        <v>100</v>
      </c>
      <c r="I39">
        <v>104857600</v>
      </c>
      <c r="J39">
        <v>100</v>
      </c>
      <c r="K39">
        <v>104857600</v>
      </c>
      <c r="L39">
        <v>100</v>
      </c>
      <c r="M39">
        <v>104857600</v>
      </c>
      <c r="N39">
        <v>0</v>
      </c>
      <c r="O39">
        <v>0</v>
      </c>
      <c r="P39">
        <v>28</v>
      </c>
    </row>
    <row r="40" spans="1:16" x14ac:dyDescent="0.25">
      <c r="A40" t="s">
        <v>151</v>
      </c>
      <c r="B40" t="s">
        <v>25</v>
      </c>
      <c r="C40" t="s">
        <v>152</v>
      </c>
      <c r="D40" t="s">
        <v>3</v>
      </c>
      <c r="E40">
        <v>5</v>
      </c>
      <c r="F40">
        <v>50</v>
      </c>
      <c r="G40">
        <v>53687092</v>
      </c>
      <c r="H40">
        <v>50</v>
      </c>
      <c r="I40">
        <v>53687092</v>
      </c>
      <c r="J40">
        <v>50</v>
      </c>
      <c r="K40">
        <v>53687092</v>
      </c>
      <c r="L40">
        <v>50</v>
      </c>
      <c r="M40">
        <v>53687092</v>
      </c>
      <c r="N40">
        <v>0</v>
      </c>
      <c r="O40">
        <v>0</v>
      </c>
      <c r="P40">
        <v>28</v>
      </c>
    </row>
    <row r="41" spans="1:16" x14ac:dyDescent="0.25">
      <c r="A41" t="s">
        <v>153</v>
      </c>
      <c r="B41" t="s">
        <v>25</v>
      </c>
      <c r="C41" t="s">
        <v>154</v>
      </c>
      <c r="D41" t="s">
        <v>3</v>
      </c>
      <c r="E41">
        <v>1</v>
      </c>
      <c r="F41">
        <v>100</v>
      </c>
      <c r="G41">
        <v>134217728</v>
      </c>
      <c r="H41">
        <v>250</v>
      </c>
      <c r="I41">
        <v>268435456</v>
      </c>
      <c r="J41">
        <v>100</v>
      </c>
      <c r="K41">
        <v>134217728</v>
      </c>
      <c r="L41">
        <v>250</v>
      </c>
      <c r="M41">
        <v>268435456</v>
      </c>
      <c r="N41">
        <v>0</v>
      </c>
      <c r="O41">
        <v>0</v>
      </c>
      <c r="P41">
        <v>28</v>
      </c>
    </row>
    <row r="42" spans="1:16" x14ac:dyDescent="0.25">
      <c r="A42" t="s">
        <v>155</v>
      </c>
      <c r="B42" t="s">
        <v>25</v>
      </c>
      <c r="C42" t="s">
        <v>156</v>
      </c>
      <c r="D42" t="s">
        <v>3</v>
      </c>
      <c r="E42">
        <v>1</v>
      </c>
      <c r="F42">
        <v>0</v>
      </c>
      <c r="G42">
        <v>0</v>
      </c>
      <c r="H42">
        <v>0</v>
      </c>
      <c r="I42">
        <v>0</v>
      </c>
      <c r="J42">
        <v>0</v>
      </c>
      <c r="K42">
        <v>0</v>
      </c>
      <c r="L42">
        <v>0</v>
      </c>
      <c r="M42">
        <v>0</v>
      </c>
      <c r="N42">
        <v>0</v>
      </c>
      <c r="O42">
        <v>0</v>
      </c>
      <c r="P42">
        <v>28</v>
      </c>
    </row>
    <row r="43" spans="1:16" x14ac:dyDescent="0.25">
      <c r="A43" t="s">
        <v>157</v>
      </c>
      <c r="B43" t="s">
        <v>25</v>
      </c>
      <c r="C43" t="s">
        <v>158</v>
      </c>
      <c r="D43" t="s">
        <v>3</v>
      </c>
      <c r="E43">
        <v>1</v>
      </c>
      <c r="F43">
        <v>0</v>
      </c>
      <c r="G43">
        <v>0</v>
      </c>
      <c r="H43">
        <v>0</v>
      </c>
      <c r="I43">
        <v>0</v>
      </c>
      <c r="J43">
        <v>0</v>
      </c>
      <c r="K43">
        <v>0</v>
      </c>
      <c r="L43">
        <v>0</v>
      </c>
      <c r="M43">
        <v>0</v>
      </c>
      <c r="N43">
        <v>0</v>
      </c>
      <c r="O43">
        <v>0</v>
      </c>
      <c r="P43">
        <v>28</v>
      </c>
    </row>
    <row r="44" spans="1:16" x14ac:dyDescent="0.25">
      <c r="A44" t="s">
        <v>159</v>
      </c>
      <c r="B44" t="s">
        <v>63</v>
      </c>
      <c r="C44" t="s">
        <v>62</v>
      </c>
      <c r="D44" t="s">
        <v>3</v>
      </c>
      <c r="E44">
        <v>1</v>
      </c>
      <c r="F44">
        <v>100</v>
      </c>
      <c r="G44">
        <v>262144000</v>
      </c>
      <c r="H44">
        <v>100</v>
      </c>
      <c r="I44">
        <v>52428800</v>
      </c>
      <c r="J44">
        <v>100</v>
      </c>
      <c r="K44">
        <v>262144000</v>
      </c>
      <c r="L44">
        <v>100</v>
      </c>
      <c r="M44">
        <v>52428800</v>
      </c>
      <c r="N44">
        <v>0</v>
      </c>
      <c r="O44">
        <v>0</v>
      </c>
      <c r="P44">
        <v>28</v>
      </c>
    </row>
    <row r="45" spans="1:16" x14ac:dyDescent="0.25">
      <c r="A45" t="s">
        <v>160</v>
      </c>
      <c r="B45" t="s">
        <v>63</v>
      </c>
      <c r="C45" t="s">
        <v>62</v>
      </c>
      <c r="D45" t="s">
        <v>3</v>
      </c>
      <c r="E45">
        <v>1</v>
      </c>
      <c r="F45">
        <v>100</v>
      </c>
      <c r="G45">
        <v>52428800</v>
      </c>
      <c r="H45">
        <v>100</v>
      </c>
      <c r="I45">
        <v>52428800</v>
      </c>
      <c r="J45">
        <v>100</v>
      </c>
      <c r="K45">
        <v>52428800</v>
      </c>
      <c r="L45">
        <v>100</v>
      </c>
      <c r="M45">
        <v>52428800</v>
      </c>
      <c r="N45">
        <v>0</v>
      </c>
      <c r="O45">
        <v>0</v>
      </c>
      <c r="P45">
        <v>28</v>
      </c>
    </row>
    <row r="46" spans="1:16" x14ac:dyDescent="0.25">
      <c r="A46" t="s">
        <v>161</v>
      </c>
      <c r="B46" t="s">
        <v>63</v>
      </c>
      <c r="C46" t="s">
        <v>120</v>
      </c>
      <c r="D46" t="s">
        <v>3</v>
      </c>
      <c r="E46">
        <v>3</v>
      </c>
      <c r="F46">
        <v>0</v>
      </c>
      <c r="G46">
        <v>0</v>
      </c>
      <c r="H46">
        <v>0</v>
      </c>
      <c r="I46">
        <v>0</v>
      </c>
      <c r="J46">
        <v>0</v>
      </c>
      <c r="K46">
        <v>0</v>
      </c>
      <c r="L46">
        <v>0</v>
      </c>
      <c r="M46">
        <v>0</v>
      </c>
      <c r="N46">
        <v>0</v>
      </c>
      <c r="O46">
        <v>0</v>
      </c>
      <c r="P46">
        <v>28</v>
      </c>
    </row>
    <row r="47" spans="1:16" x14ac:dyDescent="0.25">
      <c r="A47" t="s">
        <v>162</v>
      </c>
      <c r="B47" t="s">
        <v>63</v>
      </c>
      <c r="C47" t="s">
        <v>120</v>
      </c>
      <c r="D47" t="s">
        <v>3</v>
      </c>
      <c r="E47">
        <v>3</v>
      </c>
      <c r="F47">
        <v>0</v>
      </c>
      <c r="G47">
        <v>0</v>
      </c>
      <c r="H47">
        <v>0</v>
      </c>
      <c r="I47">
        <v>0</v>
      </c>
      <c r="J47">
        <v>0</v>
      </c>
      <c r="K47">
        <v>0</v>
      </c>
      <c r="L47">
        <v>0</v>
      </c>
      <c r="M47">
        <v>0</v>
      </c>
      <c r="N47">
        <v>0</v>
      </c>
      <c r="O47">
        <v>0</v>
      </c>
      <c r="P47">
        <v>28</v>
      </c>
    </row>
    <row r="48" spans="1:16" x14ac:dyDescent="0.25">
      <c r="A48" t="s">
        <v>143</v>
      </c>
      <c r="B48" t="s">
        <v>63</v>
      </c>
      <c r="C48" t="s">
        <v>163</v>
      </c>
      <c r="D48" t="s">
        <v>3</v>
      </c>
      <c r="E48">
        <v>1</v>
      </c>
      <c r="F48">
        <v>100</v>
      </c>
      <c r="G48">
        <v>134217728</v>
      </c>
      <c r="H48">
        <v>250</v>
      </c>
      <c r="I48">
        <v>268435456</v>
      </c>
      <c r="J48">
        <v>100</v>
      </c>
      <c r="K48">
        <v>134217728</v>
      </c>
      <c r="L48">
        <v>250</v>
      </c>
      <c r="M48">
        <v>268435456</v>
      </c>
      <c r="N48">
        <v>0</v>
      </c>
      <c r="O48">
        <v>0</v>
      </c>
      <c r="P48">
        <v>28</v>
      </c>
    </row>
    <row r="49" spans="1:16" x14ac:dyDescent="0.25">
      <c r="A49" t="s">
        <v>164</v>
      </c>
      <c r="B49" t="s">
        <v>63</v>
      </c>
      <c r="C49" t="s">
        <v>165</v>
      </c>
      <c r="D49" t="s">
        <v>3</v>
      </c>
      <c r="E49">
        <v>1</v>
      </c>
      <c r="F49">
        <v>50</v>
      </c>
      <c r="G49">
        <v>67108864</v>
      </c>
      <c r="H49">
        <v>50</v>
      </c>
      <c r="I49">
        <v>67108864</v>
      </c>
      <c r="J49">
        <v>50</v>
      </c>
      <c r="K49">
        <v>67108864</v>
      </c>
      <c r="L49">
        <v>50</v>
      </c>
      <c r="M49">
        <v>67108864</v>
      </c>
      <c r="N49">
        <v>0</v>
      </c>
      <c r="O49">
        <v>0</v>
      </c>
      <c r="P49">
        <v>28</v>
      </c>
    </row>
    <row r="50" spans="1:16" x14ac:dyDescent="0.25">
      <c r="A50" t="s">
        <v>166</v>
      </c>
      <c r="B50" t="s">
        <v>63</v>
      </c>
      <c r="C50" t="s">
        <v>167</v>
      </c>
      <c r="D50" t="s">
        <v>3</v>
      </c>
      <c r="E50">
        <v>1</v>
      </c>
      <c r="F50">
        <v>100</v>
      </c>
      <c r="G50">
        <v>134217728</v>
      </c>
      <c r="H50">
        <v>250</v>
      </c>
      <c r="I50">
        <v>268435456</v>
      </c>
      <c r="J50">
        <v>100</v>
      </c>
      <c r="K50">
        <v>134217728</v>
      </c>
      <c r="L50">
        <v>250</v>
      </c>
      <c r="M50">
        <v>268435456</v>
      </c>
      <c r="N50">
        <v>0</v>
      </c>
      <c r="O50">
        <v>0</v>
      </c>
      <c r="P50">
        <v>28</v>
      </c>
    </row>
    <row r="51" spans="1:16" x14ac:dyDescent="0.25">
      <c r="A51" t="s">
        <v>168</v>
      </c>
      <c r="B51" t="s">
        <v>63</v>
      </c>
      <c r="C51" t="s">
        <v>127</v>
      </c>
      <c r="D51" t="s">
        <v>3</v>
      </c>
      <c r="E51">
        <v>1</v>
      </c>
      <c r="F51">
        <v>200</v>
      </c>
      <c r="G51">
        <v>104857600</v>
      </c>
      <c r="H51">
        <v>1000</v>
      </c>
      <c r="I51">
        <v>2147483648</v>
      </c>
      <c r="J51">
        <v>80</v>
      </c>
      <c r="K51">
        <v>16777216</v>
      </c>
      <c r="L51">
        <v>110</v>
      </c>
      <c r="M51">
        <v>16777216</v>
      </c>
      <c r="N51">
        <v>71</v>
      </c>
      <c r="O51">
        <v>8773632</v>
      </c>
      <c r="P51">
        <v>28</v>
      </c>
    </row>
  </sheetData>
  <phoneticPr fontId="17"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20230714</cp:keywords>
  <cp:lastModifiedBy>Sheng-Lin Wu</cp:lastModifiedBy>
  <dcterms:created xsi:type="dcterms:W3CDTF">2023-01-17T03:26:48Z</dcterms:created>
  <dcterms:modified xsi:type="dcterms:W3CDTF">2023-07-18T08:26:26Z</dcterms:modified>
</cp:coreProperties>
</file>